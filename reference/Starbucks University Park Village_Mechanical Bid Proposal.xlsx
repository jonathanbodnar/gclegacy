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REAM PC\Downloads\"/>
    </mc:Choice>
  </mc:AlternateContent>
  <xr:revisionPtr revIDLastSave="0" documentId="13_ncr:1_{2307189D-FA89-4873-9816-C11903AC7B09}" xr6:coauthVersionLast="47" xr6:coauthVersionMax="47" xr10:uidLastSave="{00000000-0000-0000-0000-000000000000}"/>
  <bookViews>
    <workbookView xWindow="-120" yWindow="-120" windowWidth="29040" windowHeight="15840" xr2:uid="{84D6A9B0-1992-450C-BCAA-CE86FCA53864}"/>
  </bookViews>
  <sheets>
    <sheet name="Summary" sheetId="1" r:id="rId1"/>
    <sheet name="HVAC COST" sheetId="17" r:id="rId2"/>
    <sheet name="DEMOLITION" sheetId="23" r:id="rId3"/>
    <sheet name="Notes, Assumptions" sheetId="2" r:id="rId4"/>
    <sheet name="COMPUTATION" sheetId="28" r:id="rId5"/>
    <sheet name="MAT - TAKEOFF" sheetId="25" r:id="rId6"/>
  </sheets>
  <externalReferences>
    <externalReference r:id="rId7"/>
  </externalReferences>
  <definedNames>
    <definedName name="_xlnm._FilterDatabase" localSheetId="2" hidden="1">DEMOLITION!#REF!</definedName>
    <definedName name="_xlnm._FilterDatabase" localSheetId="1" hidden="1">'HVAC COST'!#REF!</definedName>
    <definedName name="_xlnm._FilterDatabase" localSheetId="5" hidden="1">'MAT - TAKEOFF'!$J$1:$DH$19</definedName>
    <definedName name="_xlnm.Print_Area" localSheetId="2">DEMOLITION!#REF!</definedName>
    <definedName name="_xlnm.Print_Area" localSheetId="1">'HVAC COST'!$A$1:$N$289</definedName>
    <definedName name="_xlnm.Print_Area" localSheetId="5">'MAT - TAKEOFF'!$J$2:$T$7</definedName>
    <definedName name="_xlnm.Print_Area" localSheetId="0">Summary!$A$1:$H$74</definedName>
    <definedName name="UnitType2" localSheetId="2">#REF!</definedName>
    <definedName name="UnitType2" localSheetId="1">#REF!</definedName>
    <definedName name="UnitType2" localSheetId="5">#REF!</definedName>
    <definedName name="UnitType2">#REF!</definedName>
    <definedName name="Validation_Equipment">OFFSET('[1]EQUIPMENT DYNAMIC LIST'!$N$2,,,COUNTIF('[1]EQUIPMENT DYNAMIC LIST'!$N$2:$N$500,"?*"))</definedName>
    <definedName name="Validation_Fans">OFFSET('[1]FAN DYNAMIC LIST'!$Q$2,,,COUNTIF('[1]FAN DYNAMIC LIST'!$Q$2:$Q$1000,"?*"))</definedName>
    <definedName name="Validation_Heaters">OFFSET('[1]HEATER DYNAMIC LIST'!$Q$2,,,COUNTIF('[1]HEATER DYNAMIC LIST'!$Q$2:$Q$1000,"?*"))</definedName>
    <definedName name="Validation_MiniSplit">OFFSET('[1]MINI SPLIT DYNAMIC LIST'!$Q$2,,,COUNTIF('[1]MINI SPLIT DYNAMIC LIST'!$Q$2:$Q$1000,"?*"))</definedName>
    <definedName name="Validation_PTAC">OFFSET('[1]PTAC DYNAMIC LIST'!$Q$2,,,COUNTIF('[1]PTAC DYNAMIC LIST'!$Q$2:$Q$1000,"?*"))</definedName>
    <definedName name="Validation_Thermstats">OFFSET('[1]THERMOSTAT DYNAMIC LIST'!$M$2,,,COUNTIF('[1]THERMOSTAT DYNAMIC LIST'!$M$2:$M$500,"?*"))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7" i="28" l="1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8" i="28"/>
  <c r="L159" i="17"/>
  <c r="L160" i="17"/>
  <c r="L161" i="17"/>
  <c r="L163" i="17"/>
  <c r="L198" i="17"/>
  <c r="F18" i="17"/>
  <c r="G19" i="17" s="1"/>
  <c r="I19" i="17" s="1"/>
  <c r="J19" i="17" s="1"/>
  <c r="I18" i="17"/>
  <c r="J18" i="17" s="1"/>
  <c r="F24" i="17"/>
  <c r="G25" i="17" s="1"/>
  <c r="B206" i="17"/>
  <c r="B207" i="17"/>
  <c r="B208" i="17"/>
  <c r="B209" i="17"/>
  <c r="B210" i="17"/>
  <c r="B211" i="17"/>
  <c r="B212" i="17"/>
  <c r="B213" i="17"/>
  <c r="B214" i="17"/>
  <c r="B215" i="17"/>
  <c r="H20" i="17"/>
  <c r="B202" i="17"/>
  <c r="B203" i="17"/>
  <c r="B204" i="17"/>
  <c r="B205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178" i="17"/>
  <c r="C118" i="28"/>
  <c r="F198" i="17" s="1"/>
  <c r="I198" i="17" s="1"/>
  <c r="J198" i="17" s="1"/>
  <c r="M198" i="17" l="1"/>
  <c r="L19" i="17"/>
  <c r="M19" i="17" s="1"/>
  <c r="L18" i="17"/>
  <c r="M18" i="17" s="1"/>
  <c r="I25" i="17"/>
  <c r="J25" i="17" s="1"/>
  <c r="L25" i="17"/>
  <c r="I24" i="17"/>
  <c r="J24" i="17" s="1"/>
  <c r="L24" i="17"/>
  <c r="P198" i="17"/>
  <c r="M24" i="17" l="1"/>
  <c r="M25" i="17"/>
  <c r="Q198" i="17"/>
  <c r="J163" i="17" l="1"/>
  <c r="J127" i="17"/>
  <c r="J128" i="17"/>
  <c r="J130" i="17"/>
  <c r="J93" i="17"/>
  <c r="J107" i="17"/>
  <c r="J108" i="17"/>
  <c r="J112" i="17"/>
  <c r="I81" i="17"/>
  <c r="J81" i="17" s="1"/>
  <c r="J62" i="17"/>
  <c r="J65" i="17"/>
  <c r="J66" i="17"/>
  <c r="J68" i="17"/>
  <c r="J69" i="17"/>
  <c r="J42" i="17"/>
  <c r="J47" i="17"/>
  <c r="J26" i="17"/>
  <c r="J27" i="17"/>
  <c r="I8" i="23"/>
  <c r="J8" i="23" s="1"/>
  <c r="I7" i="23"/>
  <c r="J7" i="23" s="1"/>
  <c r="J94" i="17"/>
  <c r="J96" i="17"/>
  <c r="J97" i="17"/>
  <c r="J98" i="17"/>
  <c r="J118" i="17"/>
  <c r="J119" i="17"/>
  <c r="J122" i="17"/>
  <c r="J123" i="17"/>
  <c r="J131" i="17"/>
  <c r="J133" i="17"/>
  <c r="J134" i="17"/>
  <c r="J136" i="17"/>
  <c r="J144" i="17"/>
  <c r="J145" i="17"/>
  <c r="J29" i="17"/>
  <c r="J16" i="17"/>
  <c r="J159" i="17"/>
  <c r="J160" i="17"/>
  <c r="J161" i="17"/>
  <c r="J151" i="17"/>
  <c r="J137" i="17"/>
  <c r="J90" i="17"/>
  <c r="J91" i="17"/>
  <c r="J113" i="17"/>
  <c r="J114" i="17"/>
  <c r="J61" i="17"/>
  <c r="J70" i="17"/>
  <c r="J74" i="17"/>
  <c r="J41" i="17"/>
  <c r="J15" i="17"/>
  <c r="H723" i="28"/>
  <c r="I723" i="28" s="1"/>
  <c r="F723" i="28"/>
  <c r="G723" i="28" s="1"/>
  <c r="H710" i="28"/>
  <c r="F710" i="28"/>
  <c r="H708" i="28"/>
  <c r="F708" i="28"/>
  <c r="H690" i="28"/>
  <c r="F690" i="28"/>
  <c r="H672" i="28"/>
  <c r="F672" i="28"/>
  <c r="H660" i="28"/>
  <c r="F660" i="28"/>
  <c r="H659" i="28"/>
  <c r="F659" i="28"/>
  <c r="H646" i="28"/>
  <c r="F646" i="28"/>
  <c r="D646" i="28"/>
  <c r="H630" i="28"/>
  <c r="F630" i="28"/>
  <c r="D630" i="28"/>
  <c r="H614" i="28"/>
  <c r="F614" i="28"/>
  <c r="H601" i="28"/>
  <c r="F601" i="28"/>
  <c r="H585" i="28"/>
  <c r="F585" i="28"/>
  <c r="J584" i="28"/>
  <c r="I584" i="28"/>
  <c r="H572" i="28"/>
  <c r="I572" i="28" s="1"/>
  <c r="F572" i="28"/>
  <c r="G572" i="28" s="1"/>
  <c r="H559" i="28"/>
  <c r="F559" i="28"/>
  <c r="H544" i="28"/>
  <c r="F544" i="28"/>
  <c r="P5" i="28" l="1"/>
  <c r="L81" i="17"/>
  <c r="G8" i="1"/>
  <c r="D8" i="1"/>
  <c r="H13" i="1"/>
  <c r="K92" i="28"/>
  <c r="P160" i="17"/>
  <c r="Q160" i="17"/>
  <c r="P161" i="17"/>
  <c r="Q161" i="17"/>
  <c r="P163" i="17"/>
  <c r="Q163" i="17"/>
  <c r="Q159" i="17"/>
  <c r="P159" i="17"/>
  <c r="P136" i="17"/>
  <c r="Q136" i="17"/>
  <c r="P137" i="17"/>
  <c r="Q137" i="17"/>
  <c r="P144" i="17"/>
  <c r="Q144" i="17"/>
  <c r="P145" i="17"/>
  <c r="Q145" i="17"/>
  <c r="P151" i="17"/>
  <c r="Q151" i="17"/>
  <c r="P118" i="17"/>
  <c r="Q118" i="17"/>
  <c r="P119" i="17"/>
  <c r="Q119" i="17"/>
  <c r="P122" i="17"/>
  <c r="Q122" i="17"/>
  <c r="P123" i="17"/>
  <c r="Q123" i="17"/>
  <c r="P127" i="17"/>
  <c r="Q127" i="17"/>
  <c r="P128" i="17"/>
  <c r="Q128" i="17"/>
  <c r="P130" i="17"/>
  <c r="Q130" i="17"/>
  <c r="P131" i="17"/>
  <c r="Q131" i="17"/>
  <c r="P133" i="17"/>
  <c r="Q133" i="17"/>
  <c r="P134" i="17"/>
  <c r="Q134" i="17"/>
  <c r="P90" i="17"/>
  <c r="Q90" i="17"/>
  <c r="P91" i="17"/>
  <c r="Q91" i="17"/>
  <c r="P93" i="17"/>
  <c r="Q93" i="17"/>
  <c r="P94" i="17"/>
  <c r="Q94" i="17"/>
  <c r="P96" i="17"/>
  <c r="Q96" i="17"/>
  <c r="P97" i="17"/>
  <c r="Q97" i="17"/>
  <c r="P98" i="17"/>
  <c r="Q98" i="17"/>
  <c r="P107" i="17"/>
  <c r="Q107" i="17"/>
  <c r="P108" i="17"/>
  <c r="Q108" i="17"/>
  <c r="P112" i="17"/>
  <c r="Q112" i="17"/>
  <c r="P61" i="17"/>
  <c r="Q61" i="17"/>
  <c r="P62" i="17"/>
  <c r="Q62" i="17"/>
  <c r="P65" i="17"/>
  <c r="Q65" i="17"/>
  <c r="P66" i="17"/>
  <c r="Q66" i="17"/>
  <c r="P68" i="17"/>
  <c r="Q68" i="17"/>
  <c r="P69" i="17"/>
  <c r="Q69" i="17"/>
  <c r="P70" i="17"/>
  <c r="Q70" i="17"/>
  <c r="P41" i="17"/>
  <c r="Q41" i="17"/>
  <c r="P42" i="17"/>
  <c r="Q42" i="17"/>
  <c r="P47" i="17"/>
  <c r="Q47" i="17"/>
  <c r="P11" i="17"/>
  <c r="Q11" i="17"/>
  <c r="P15" i="17"/>
  <c r="Q15" i="17"/>
  <c r="P16" i="17"/>
  <c r="Q16" i="17"/>
  <c r="P26" i="17"/>
  <c r="Q26" i="17"/>
  <c r="P27" i="17"/>
  <c r="Q27" i="17"/>
  <c r="P29" i="17"/>
  <c r="Q29" i="17"/>
  <c r="K94" i="28"/>
  <c r="K93" i="28"/>
  <c r="K90" i="28"/>
  <c r="K91" i="28"/>
  <c r="K89" i="28"/>
  <c r="M81" i="17" l="1"/>
  <c r="P81" i="17" s="1"/>
  <c r="Q81" i="17" l="1"/>
  <c r="B160" i="17" l="1"/>
  <c r="B161" i="17"/>
  <c r="B157" i="17"/>
  <c r="M161" i="17" l="1"/>
  <c r="M160" i="17"/>
  <c r="L123" i="17" l="1"/>
  <c r="L134" i="17"/>
  <c r="L145" i="17"/>
  <c r="L91" i="17"/>
  <c r="L94" i="17"/>
  <c r="L97" i="17"/>
  <c r="L98" i="17"/>
  <c r="L108" i="17"/>
  <c r="L128" i="17"/>
  <c r="L131" i="17"/>
  <c r="M131" i="17" s="1"/>
  <c r="L113" i="17"/>
  <c r="L114" i="17"/>
  <c r="M114" i="17" s="1"/>
  <c r="L119" i="17"/>
  <c r="B145" i="17"/>
  <c r="B128" i="17"/>
  <c r="B131" i="17"/>
  <c r="B134" i="17"/>
  <c r="B137" i="17"/>
  <c r="B98" i="17"/>
  <c r="B108" i="17"/>
  <c r="B113" i="17"/>
  <c r="B114" i="17"/>
  <c r="B119" i="17"/>
  <c r="B123" i="17"/>
  <c r="B87" i="17"/>
  <c r="B91" i="17"/>
  <c r="B94" i="17"/>
  <c r="B97" i="17"/>
  <c r="B86" i="17"/>
  <c r="C81" i="28"/>
  <c r="F162" i="17" s="1"/>
  <c r="A81" i="28"/>
  <c r="B81" i="28" s="1"/>
  <c r="B162" i="17" s="1"/>
  <c r="C77" i="28"/>
  <c r="G158" i="17" s="1"/>
  <c r="F164" i="17" s="1"/>
  <c r="A77" i="28"/>
  <c r="B77" i="28" s="1"/>
  <c r="C67" i="28"/>
  <c r="F147" i="17" s="1"/>
  <c r="I147" i="17" s="1"/>
  <c r="J147" i="17" s="1"/>
  <c r="C68" i="28"/>
  <c r="F148" i="17" s="1"/>
  <c r="I148" i="17" s="1"/>
  <c r="J148" i="17" s="1"/>
  <c r="C69" i="28"/>
  <c r="F149" i="17" s="1"/>
  <c r="I149" i="17" s="1"/>
  <c r="J149" i="17" s="1"/>
  <c r="C70" i="28"/>
  <c r="F150" i="17" s="1"/>
  <c r="I150" i="17" s="1"/>
  <c r="J150" i="17" s="1"/>
  <c r="C66" i="28"/>
  <c r="F146" i="17" s="1"/>
  <c r="I146" i="17" s="1"/>
  <c r="J146" i="17" s="1"/>
  <c r="I162" i="17" l="1"/>
  <c r="J162" i="17" s="1"/>
  <c r="L162" i="17"/>
  <c r="L164" i="17"/>
  <c r="I164" i="17"/>
  <c r="J164" i="17" s="1"/>
  <c r="L150" i="17"/>
  <c r="L147" i="17"/>
  <c r="K77" i="28"/>
  <c r="L77" i="28"/>
  <c r="L158" i="17" s="1"/>
  <c r="H77" i="28"/>
  <c r="G77" i="28"/>
  <c r="B158" i="17"/>
  <c r="G165" i="17"/>
  <c r="E15" i="1" s="1"/>
  <c r="L148" i="17"/>
  <c r="M128" i="17"/>
  <c r="M134" i="17"/>
  <c r="L137" i="17"/>
  <c r="M137" i="17" s="1"/>
  <c r="M113" i="17"/>
  <c r="M145" i="17"/>
  <c r="L146" i="17"/>
  <c r="L149" i="17"/>
  <c r="M123" i="17"/>
  <c r="M108" i="17"/>
  <c r="M94" i="17"/>
  <c r="M98" i="17"/>
  <c r="M91" i="17"/>
  <c r="M97" i="17"/>
  <c r="M119" i="17"/>
  <c r="N77" i="28" l="1"/>
  <c r="O77" i="28" s="1"/>
  <c r="P77" i="28" s="1"/>
  <c r="Z77" i="28"/>
  <c r="AC77" i="28" s="1"/>
  <c r="AD77" i="28" s="1"/>
  <c r="AD88" i="28" s="1"/>
  <c r="M146" i="17"/>
  <c r="P146" i="17" s="1"/>
  <c r="H158" i="17"/>
  <c r="I158" i="17" s="1"/>
  <c r="R77" i="28"/>
  <c r="M147" i="17"/>
  <c r="P147" i="17" s="1"/>
  <c r="M149" i="17"/>
  <c r="M162" i="17"/>
  <c r="P162" i="17" s="1"/>
  <c r="M148" i="17"/>
  <c r="P148" i="17" s="1"/>
  <c r="M150" i="17"/>
  <c r="I165" i="17" l="1"/>
  <c r="J158" i="17"/>
  <c r="M158" i="17" s="1"/>
  <c r="Q158" i="17" s="1"/>
  <c r="Q146" i="17"/>
  <c r="Q147" i="17"/>
  <c r="Q148" i="17"/>
  <c r="P150" i="17"/>
  <c r="Q150" i="17"/>
  <c r="P149" i="17"/>
  <c r="Q149" i="17"/>
  <c r="Q162" i="17"/>
  <c r="P158" i="17" l="1"/>
  <c r="Q86" i="17"/>
  <c r="P86" i="17"/>
  <c r="Q85" i="17"/>
  <c r="P85" i="17"/>
  <c r="Q84" i="17"/>
  <c r="P84" i="17"/>
  <c r="Q157" i="17"/>
  <c r="P157" i="17"/>
  <c r="Q156" i="17"/>
  <c r="P156" i="17"/>
  <c r="P87" i="17" l="1"/>
  <c r="Q87" i="17"/>
  <c r="P114" i="17" l="1"/>
  <c r="Q114" i="17"/>
  <c r="Q113" i="17"/>
  <c r="P113" i="17" l="1"/>
  <c r="L49" i="17" l="1"/>
  <c r="H49" i="17"/>
  <c r="I49" i="17" s="1"/>
  <c r="J49" i="17" s="1"/>
  <c r="H50" i="17"/>
  <c r="I50" i="17" s="1"/>
  <c r="J50" i="17" s="1"/>
  <c r="C47" i="17"/>
  <c r="C42" i="17"/>
  <c r="C41" i="17"/>
  <c r="L31" i="17"/>
  <c r="H31" i="17"/>
  <c r="I31" i="17" s="1"/>
  <c r="J31" i="17" s="1"/>
  <c r="H2" i="25" a="1"/>
  <c r="F72" i="17" s="1"/>
  <c r="I72" i="17" s="1"/>
  <c r="J72" i="17" s="1"/>
  <c r="C65" i="17"/>
  <c r="C66" i="17"/>
  <c r="C61" i="17"/>
  <c r="C62" i="17"/>
  <c r="H32" i="17"/>
  <c r="I32" i="17" s="1"/>
  <c r="J32" i="17" s="1"/>
  <c r="L16" i="17"/>
  <c r="F28" i="17" l="1"/>
  <c r="I28" i="17" s="1"/>
  <c r="J28" i="17" s="1"/>
  <c r="B64" i="17"/>
  <c r="B8" i="23"/>
  <c r="F63" i="17"/>
  <c r="I63" i="17" s="1"/>
  <c r="J63" i="17" s="1"/>
  <c r="F7" i="23"/>
  <c r="N7" i="23" s="1"/>
  <c r="F64" i="17"/>
  <c r="I64" i="17" s="1"/>
  <c r="J64" i="17" s="1"/>
  <c r="F8" i="23"/>
  <c r="N8" i="23" s="1"/>
  <c r="B57" i="17"/>
  <c r="B67" i="17"/>
  <c r="B39" i="17"/>
  <c r="B60" i="17"/>
  <c r="B40" i="17"/>
  <c r="B59" i="17"/>
  <c r="B43" i="17"/>
  <c r="C43" i="17" s="1"/>
  <c r="B58" i="17"/>
  <c r="B73" i="17"/>
  <c r="F57" i="17"/>
  <c r="I57" i="17" s="1"/>
  <c r="B46" i="17"/>
  <c r="C46" i="17" s="1"/>
  <c r="F60" i="17"/>
  <c r="I60" i="17" s="1"/>
  <c r="J60" i="17" s="1"/>
  <c r="F71" i="17"/>
  <c r="I71" i="17" s="1"/>
  <c r="J71" i="17" s="1"/>
  <c r="F39" i="17"/>
  <c r="I39" i="17" s="1"/>
  <c r="J39" i="17" s="1"/>
  <c r="F14" i="17"/>
  <c r="I14" i="17" s="1"/>
  <c r="J14" i="17" s="1"/>
  <c r="F59" i="17"/>
  <c r="I59" i="17" s="1"/>
  <c r="J59" i="17" s="1"/>
  <c r="F73" i="17"/>
  <c r="I73" i="17" s="1"/>
  <c r="J73" i="17" s="1"/>
  <c r="F40" i="17"/>
  <c r="I40" i="17" s="1"/>
  <c r="J40" i="17" s="1"/>
  <c r="F13" i="17"/>
  <c r="I13" i="17" s="1"/>
  <c r="J13" i="17" s="1"/>
  <c r="F58" i="17"/>
  <c r="I58" i="17" s="1"/>
  <c r="J58" i="17" s="1"/>
  <c r="H2" i="25"/>
  <c r="B28" i="17" s="1"/>
  <c r="B92" i="28" s="1"/>
  <c r="A67" i="28"/>
  <c r="B67" i="28" s="1"/>
  <c r="B147" i="17" s="1"/>
  <c r="C37" i="28"/>
  <c r="F117" i="17" s="1"/>
  <c r="I117" i="17" s="1"/>
  <c r="J117" i="17" s="1"/>
  <c r="A55" i="28"/>
  <c r="B55" i="28" s="1"/>
  <c r="B135" i="17" s="1"/>
  <c r="C35" i="28"/>
  <c r="F115" i="17" s="1"/>
  <c r="I115" i="17" s="1"/>
  <c r="J115" i="17" s="1"/>
  <c r="C49" i="28"/>
  <c r="A59" i="28"/>
  <c r="B59" i="28" s="1"/>
  <c r="B139" i="17" s="1"/>
  <c r="C40" i="28"/>
  <c r="A49" i="28"/>
  <c r="B49" i="28" s="1"/>
  <c r="B129" i="17" s="1"/>
  <c r="A61" i="28"/>
  <c r="B61" i="28" s="1"/>
  <c r="B141" i="17" s="1"/>
  <c r="A62" i="28"/>
  <c r="B62" i="28" s="1"/>
  <c r="B142" i="17" s="1"/>
  <c r="C58" i="28"/>
  <c r="F138" i="17" s="1"/>
  <c r="I138" i="17" s="1"/>
  <c r="J138" i="17" s="1"/>
  <c r="C36" i="28"/>
  <c r="F116" i="17" s="1"/>
  <c r="I116" i="17" s="1"/>
  <c r="J116" i="17" s="1"/>
  <c r="A68" i="28"/>
  <c r="B68" i="28" s="1"/>
  <c r="B148" i="17" s="1"/>
  <c r="A69" i="28"/>
  <c r="B69" i="28" s="1"/>
  <c r="B149" i="17" s="1"/>
  <c r="C52" i="28"/>
  <c r="F132" i="17" s="1"/>
  <c r="I132" i="17" s="1"/>
  <c r="J132" i="17" s="1"/>
  <c r="A45" i="28"/>
  <c r="B45" i="28" s="1"/>
  <c r="B125" i="17" s="1"/>
  <c r="A44" i="28"/>
  <c r="B44" i="28" s="1"/>
  <c r="B124" i="17" s="1"/>
  <c r="C59" i="28"/>
  <c r="F139" i="17" s="1"/>
  <c r="I139" i="17" s="1"/>
  <c r="J139" i="17" s="1"/>
  <c r="C60" i="28"/>
  <c r="F140" i="17" s="1"/>
  <c r="I140" i="17" s="1"/>
  <c r="J140" i="17" s="1"/>
  <c r="C61" i="28"/>
  <c r="F141" i="17" s="1"/>
  <c r="I141" i="17" s="1"/>
  <c r="J141" i="17" s="1"/>
  <c r="C63" i="28"/>
  <c r="F143" i="17" s="1"/>
  <c r="I143" i="17" s="1"/>
  <c r="J143" i="17" s="1"/>
  <c r="A41" i="28"/>
  <c r="B41" i="28" s="1"/>
  <c r="B121" i="17" s="1"/>
  <c r="C44" i="28"/>
  <c r="F124" i="17" s="1"/>
  <c r="I124" i="17" s="1"/>
  <c r="J124" i="17" s="1"/>
  <c r="C55" i="28"/>
  <c r="F135" i="17" s="1"/>
  <c r="I135" i="17" s="1"/>
  <c r="J135" i="17" s="1"/>
  <c r="A70" i="28"/>
  <c r="B70" i="28" s="1"/>
  <c r="B150" i="17" s="1"/>
  <c r="A46" i="28"/>
  <c r="B46" i="28" s="1"/>
  <c r="B126" i="17" s="1"/>
  <c r="A66" i="28"/>
  <c r="B66" i="28" s="1"/>
  <c r="B146" i="17" s="1"/>
  <c r="A52" i="28"/>
  <c r="B52" i="28" s="1"/>
  <c r="B132" i="17" s="1"/>
  <c r="A63" i="28"/>
  <c r="B63" i="28" s="1"/>
  <c r="B143" i="17" s="1"/>
  <c r="C41" i="28"/>
  <c r="F121" i="17" s="1"/>
  <c r="I121" i="17" s="1"/>
  <c r="J121" i="17" s="1"/>
  <c r="A60" i="28"/>
  <c r="B60" i="28" s="1"/>
  <c r="B140" i="17" s="1"/>
  <c r="C62" i="28"/>
  <c r="F142" i="17" s="1"/>
  <c r="I142" i="17" s="1"/>
  <c r="J142" i="17" s="1"/>
  <c r="C45" i="28"/>
  <c r="F125" i="17" s="1"/>
  <c r="I125" i="17" s="1"/>
  <c r="J125" i="17" s="1"/>
  <c r="C46" i="28"/>
  <c r="F126" i="17" s="1"/>
  <c r="I126" i="17" s="1"/>
  <c r="J126" i="17" s="1"/>
  <c r="A58" i="28"/>
  <c r="B58" i="28" s="1"/>
  <c r="B138" i="17" s="1"/>
  <c r="A40" i="28"/>
  <c r="B40" i="28" s="1"/>
  <c r="B120" i="17" s="1"/>
  <c r="A37" i="28"/>
  <c r="B37" i="28" s="1"/>
  <c r="B117" i="17" s="1"/>
  <c r="C31" i="28"/>
  <c r="G111" i="17" s="1"/>
  <c r="A30" i="28"/>
  <c r="B30" i="28" s="1"/>
  <c r="A31" i="28"/>
  <c r="B31" i="28" s="1"/>
  <c r="A36" i="28"/>
  <c r="B36" i="28" s="1"/>
  <c r="B116" i="17" s="1"/>
  <c r="A35" i="28"/>
  <c r="B35" i="28" s="1"/>
  <c r="B115" i="17" s="1"/>
  <c r="C30" i="28"/>
  <c r="G110" i="17" s="1"/>
  <c r="C29" i="28"/>
  <c r="A29" i="28"/>
  <c r="B29" i="28" s="1"/>
  <c r="B109" i="17" s="1"/>
  <c r="C20" i="28"/>
  <c r="G100" i="17" s="1"/>
  <c r="A24" i="28"/>
  <c r="B24" i="28" s="1"/>
  <c r="C25" i="28"/>
  <c r="G105" i="17" s="1"/>
  <c r="A12" i="28"/>
  <c r="B12" i="28" s="1"/>
  <c r="B92" i="17" s="1"/>
  <c r="C26" i="28"/>
  <c r="G106" i="17" s="1"/>
  <c r="C9" i="28"/>
  <c r="G89" i="17" s="1"/>
  <c r="C8" i="28"/>
  <c r="A20" i="28"/>
  <c r="B20" i="28" s="1"/>
  <c r="A9" i="28"/>
  <c r="B9" i="28" s="1"/>
  <c r="B89" i="17" s="1"/>
  <c r="A8" i="28"/>
  <c r="B8" i="28" s="1"/>
  <c r="B88" i="17" s="1"/>
  <c r="A23" i="28"/>
  <c r="B23" i="28" s="1"/>
  <c r="C21" i="28"/>
  <c r="G101" i="17" s="1"/>
  <c r="A25" i="28"/>
  <c r="B25" i="28" s="1"/>
  <c r="C22" i="28"/>
  <c r="G102" i="17" s="1"/>
  <c r="A26" i="28"/>
  <c r="B26" i="28" s="1"/>
  <c r="C23" i="28"/>
  <c r="G103" i="17" s="1"/>
  <c r="A19" i="28"/>
  <c r="B19" i="28" s="1"/>
  <c r="C24" i="28"/>
  <c r="G104" i="17" s="1"/>
  <c r="C12" i="28"/>
  <c r="G92" i="17" s="1"/>
  <c r="C19" i="28"/>
  <c r="C15" i="28"/>
  <c r="G95" i="17" s="1"/>
  <c r="A21" i="28"/>
  <c r="B21" i="28" s="1"/>
  <c r="A22" i="28"/>
  <c r="B22" i="28" s="1"/>
  <c r="A15" i="28"/>
  <c r="F22" i="17"/>
  <c r="I22" i="17" s="1"/>
  <c r="J22" i="17" s="1"/>
  <c r="B22" i="17"/>
  <c r="F67" i="17"/>
  <c r="I67" i="17" s="1"/>
  <c r="J67" i="17" s="1"/>
  <c r="B12" i="17"/>
  <c r="B89" i="28" s="1"/>
  <c r="B71" i="17"/>
  <c r="B14" i="17"/>
  <c r="B91" i="28" s="1"/>
  <c r="B45" i="17"/>
  <c r="C45" i="17" s="1"/>
  <c r="B13" i="17"/>
  <c r="B90" i="28" s="1"/>
  <c r="B72" i="17"/>
  <c r="F12" i="17"/>
  <c r="B63" i="17"/>
  <c r="B7" i="23"/>
  <c r="M16" i="17"/>
  <c r="C129" i="28" l="1"/>
  <c r="C130" i="28"/>
  <c r="B102" i="17"/>
  <c r="AE21" i="28"/>
  <c r="B101" i="17"/>
  <c r="AE20" i="28"/>
  <c r="B100" i="17"/>
  <c r="AE19" i="28"/>
  <c r="B106" i="17"/>
  <c r="AE25" i="28"/>
  <c r="B104" i="17"/>
  <c r="AE23" i="28"/>
  <c r="B103" i="17"/>
  <c r="AE22" i="28"/>
  <c r="B99" i="17"/>
  <c r="AE18" i="28"/>
  <c r="B105" i="17"/>
  <c r="AE24" i="28"/>
  <c r="C131" i="28"/>
  <c r="F211" i="17" s="1"/>
  <c r="F209" i="17"/>
  <c r="F210" i="17"/>
  <c r="F120" i="17"/>
  <c r="I120" i="17" s="1"/>
  <c r="J120" i="17" s="1"/>
  <c r="C110" i="28"/>
  <c r="F190" i="17" s="1"/>
  <c r="F129" i="17"/>
  <c r="I129" i="17" s="1"/>
  <c r="J129" i="17" s="1"/>
  <c r="C117" i="28"/>
  <c r="F197" i="17" s="1"/>
  <c r="G88" i="17"/>
  <c r="C126" i="28"/>
  <c r="G99" i="17"/>
  <c r="C127" i="28"/>
  <c r="F207" i="17" s="1"/>
  <c r="G109" i="17"/>
  <c r="C128" i="28"/>
  <c r="F208" i="17" s="1"/>
  <c r="I75" i="17"/>
  <c r="J57" i="17"/>
  <c r="I12" i="17"/>
  <c r="J12" i="17" s="1"/>
  <c r="F33" i="17"/>
  <c r="F172" i="17"/>
  <c r="I172" i="17" s="1"/>
  <c r="J172" i="17" s="1"/>
  <c r="C92" i="28"/>
  <c r="V92" i="28" s="1"/>
  <c r="X92" i="28" s="1"/>
  <c r="C90" i="28"/>
  <c r="V90" i="28" s="1"/>
  <c r="X90" i="28" s="1"/>
  <c r="L28" i="17"/>
  <c r="C91" i="28"/>
  <c r="V91" i="28" s="1"/>
  <c r="X91" i="28" s="1"/>
  <c r="H30" i="17"/>
  <c r="I30" i="17" s="1"/>
  <c r="J30" i="17" s="1"/>
  <c r="C89" i="28"/>
  <c r="F170" i="17"/>
  <c r="I170" i="17" s="1"/>
  <c r="C39" i="17"/>
  <c r="B93" i="28"/>
  <c r="F174" i="17"/>
  <c r="I174" i="17" s="1"/>
  <c r="J174" i="17" s="1"/>
  <c r="C40" i="17"/>
  <c r="B94" i="28"/>
  <c r="C93" i="28"/>
  <c r="F171" i="17"/>
  <c r="I171" i="17" s="1"/>
  <c r="J171" i="17" s="1"/>
  <c r="L40" i="17"/>
  <c r="C94" i="28"/>
  <c r="V94" i="28" s="1"/>
  <c r="X94" i="28" s="1"/>
  <c r="L121" i="17"/>
  <c r="L139" i="17"/>
  <c r="K31" i="28"/>
  <c r="H111" i="17" s="1"/>
  <c r="I111" i="17" s="1"/>
  <c r="J111" i="17" s="1"/>
  <c r="B111" i="17"/>
  <c r="L115" i="17"/>
  <c r="K30" i="28"/>
  <c r="H110" i="17" s="1"/>
  <c r="I110" i="17" s="1"/>
  <c r="J110" i="17" s="1"/>
  <c r="B110" i="17"/>
  <c r="L132" i="17"/>
  <c r="L117" i="17"/>
  <c r="L140" i="17"/>
  <c r="L135" i="17"/>
  <c r="L116" i="17"/>
  <c r="L124" i="17"/>
  <c r="L138" i="17"/>
  <c r="L126" i="17"/>
  <c r="L142" i="17"/>
  <c r="L141" i="17"/>
  <c r="L125" i="17"/>
  <c r="L143" i="17"/>
  <c r="F43" i="17"/>
  <c r="L22" i="28"/>
  <c r="L102" i="17" s="1"/>
  <c r="N22" i="28"/>
  <c r="O22" i="28" s="1"/>
  <c r="P22" i="28" s="1"/>
  <c r="K22" i="28"/>
  <c r="N23" i="28"/>
  <c r="O23" i="28" s="1"/>
  <c r="P23" i="28" s="1"/>
  <c r="K23" i="28"/>
  <c r="L23" i="28"/>
  <c r="L103" i="17" s="1"/>
  <c r="K21" i="28"/>
  <c r="L21" i="28"/>
  <c r="L101" i="17" s="1"/>
  <c r="N21" i="28"/>
  <c r="O21" i="28" s="1"/>
  <c r="P21" i="28" s="1"/>
  <c r="G8" i="28"/>
  <c r="L8" i="28"/>
  <c r="K8" i="28"/>
  <c r="H8" i="28"/>
  <c r="G9" i="28"/>
  <c r="L9" i="28"/>
  <c r="L89" i="17" s="1"/>
  <c r="K9" i="28"/>
  <c r="H9" i="28"/>
  <c r="K20" i="28"/>
  <c r="N20" i="28"/>
  <c r="O20" i="28" s="1"/>
  <c r="P20" i="28" s="1"/>
  <c r="L20" i="28"/>
  <c r="L100" i="17" s="1"/>
  <c r="L48" i="17"/>
  <c r="K19" i="28"/>
  <c r="L19" i="28"/>
  <c r="L99" i="17" s="1"/>
  <c r="N19" i="28"/>
  <c r="O19" i="28" s="1"/>
  <c r="P19" i="28" s="1"/>
  <c r="L39" i="17"/>
  <c r="H48" i="17"/>
  <c r="I48" i="17" s="1"/>
  <c r="J48" i="17" s="1"/>
  <c r="H12" i="28"/>
  <c r="G12" i="28"/>
  <c r="AE12" i="28" s="1"/>
  <c r="K12" i="28"/>
  <c r="L12" i="28"/>
  <c r="L92" i="17" s="1"/>
  <c r="F51" i="17"/>
  <c r="D14" i="1" s="1"/>
  <c r="N26" i="28"/>
  <c r="O26" i="28" s="1"/>
  <c r="P26" i="28" s="1"/>
  <c r="K26" i="28"/>
  <c r="L26" i="28"/>
  <c r="L106" i="17" s="1"/>
  <c r="K24" i="28"/>
  <c r="N24" i="28"/>
  <c r="O24" i="28" s="1"/>
  <c r="P24" i="28" s="1"/>
  <c r="L24" i="28"/>
  <c r="L104" i="17" s="1"/>
  <c r="K25" i="28"/>
  <c r="N25" i="28"/>
  <c r="O25" i="28" s="1"/>
  <c r="P25" i="28" s="1"/>
  <c r="L25" i="28"/>
  <c r="L105" i="17" s="1"/>
  <c r="I209" i="17" l="1"/>
  <c r="J209" i="17" s="1"/>
  <c r="L209" i="17"/>
  <c r="I208" i="17"/>
  <c r="J208" i="17" s="1"/>
  <c r="L208" i="17"/>
  <c r="F206" i="17"/>
  <c r="C98" i="28"/>
  <c r="I190" i="17"/>
  <c r="J190" i="17" s="1"/>
  <c r="L190" i="17"/>
  <c r="I210" i="17"/>
  <c r="J210" i="17" s="1"/>
  <c r="L210" i="17"/>
  <c r="L211" i="17"/>
  <c r="I211" i="17"/>
  <c r="J211" i="17" s="1"/>
  <c r="L207" i="17"/>
  <c r="I207" i="17"/>
  <c r="J207" i="17" s="1"/>
  <c r="M207" i="17" s="1"/>
  <c r="F152" i="17"/>
  <c r="I197" i="17"/>
  <c r="J197" i="17" s="1"/>
  <c r="L197" i="17"/>
  <c r="I43" i="17"/>
  <c r="J43" i="17" s="1"/>
  <c r="G44" i="17"/>
  <c r="I44" i="17" s="1"/>
  <c r="J44" i="17" s="1"/>
  <c r="AE8" i="28"/>
  <c r="L88" i="17"/>
  <c r="C134" i="28"/>
  <c r="F214" i="17" s="1"/>
  <c r="C135" i="28"/>
  <c r="F215" i="17" s="1"/>
  <c r="C133" i="28"/>
  <c r="F213" i="17" s="1"/>
  <c r="C132" i="28"/>
  <c r="F212" i="17" s="1"/>
  <c r="AE9" i="28"/>
  <c r="L120" i="17"/>
  <c r="L129" i="17"/>
  <c r="M129" i="17" s="1"/>
  <c r="G153" i="17"/>
  <c r="E11" i="1" s="1"/>
  <c r="V93" i="28"/>
  <c r="X93" i="28" s="1"/>
  <c r="C125" i="28"/>
  <c r="F205" i="17" s="1"/>
  <c r="C109" i="28"/>
  <c r="F189" i="17" s="1"/>
  <c r="Q19" i="28"/>
  <c r="V89" i="28"/>
  <c r="X89" i="28" s="1"/>
  <c r="C99" i="28"/>
  <c r="F178" i="17"/>
  <c r="N12" i="28"/>
  <c r="O12" i="28" s="1"/>
  <c r="P12" i="28" s="1"/>
  <c r="J170" i="17"/>
  <c r="L172" i="17"/>
  <c r="M143" i="17"/>
  <c r="P143" i="17" s="1"/>
  <c r="H104" i="17"/>
  <c r="I104" i="17" s="1"/>
  <c r="J104" i="17" s="1"/>
  <c r="M104" i="17" s="1"/>
  <c r="P104" i="17" s="1"/>
  <c r="R24" i="28"/>
  <c r="H102" i="17"/>
  <c r="R22" i="28"/>
  <c r="H99" i="17"/>
  <c r="R19" i="28"/>
  <c r="H92" i="17"/>
  <c r="R12" i="28"/>
  <c r="H88" i="17"/>
  <c r="R8" i="28"/>
  <c r="H101" i="17"/>
  <c r="R21" i="28"/>
  <c r="H105" i="17"/>
  <c r="R25" i="28"/>
  <c r="H100" i="17"/>
  <c r="R20" i="28"/>
  <c r="N9" i="28"/>
  <c r="O9" i="28" s="1"/>
  <c r="P9" i="28" s="1"/>
  <c r="H106" i="17"/>
  <c r="R26" i="28"/>
  <c r="H89" i="17"/>
  <c r="R9" i="28"/>
  <c r="H103" i="17"/>
  <c r="R23" i="28"/>
  <c r="M48" i="17"/>
  <c r="M124" i="17"/>
  <c r="M142" i="17"/>
  <c r="P142" i="17" s="1"/>
  <c r="M126" i="17"/>
  <c r="M115" i="17"/>
  <c r="L171" i="17"/>
  <c r="M139" i="17"/>
  <c r="P139" i="17" s="1"/>
  <c r="L174" i="17"/>
  <c r="F173" i="17"/>
  <c r="I173" i="17" s="1"/>
  <c r="J173" i="17" s="1"/>
  <c r="L170" i="17"/>
  <c r="M116" i="17"/>
  <c r="P116" i="17" s="1"/>
  <c r="M141" i="17"/>
  <c r="P141" i="17" s="1"/>
  <c r="M117" i="17"/>
  <c r="P117" i="17" s="1"/>
  <c r="M125" i="17"/>
  <c r="P125" i="17" s="1"/>
  <c r="M138" i="17"/>
  <c r="M135" i="17"/>
  <c r="M132" i="17"/>
  <c r="P132" i="17" s="1"/>
  <c r="M121" i="17"/>
  <c r="N8" i="28"/>
  <c r="O8" i="28" s="1"/>
  <c r="P8" i="28" s="1"/>
  <c r="M140" i="17"/>
  <c r="P140" i="17" s="1"/>
  <c r="M120" i="17"/>
  <c r="M40" i="17"/>
  <c r="P40" i="17" s="1"/>
  <c r="M49" i="17"/>
  <c r="M28" i="17"/>
  <c r="P28" i="17" s="1"/>
  <c r="L43" i="17"/>
  <c r="F45" i="17"/>
  <c r="I45" i="17" s="1"/>
  <c r="J45" i="17" s="1"/>
  <c r="F46" i="17"/>
  <c r="I46" i="17" s="1"/>
  <c r="J46" i="17" s="1"/>
  <c r="M39" i="17"/>
  <c r="P39" i="17" s="1"/>
  <c r="M197" i="17" l="1"/>
  <c r="P197" i="17" s="1"/>
  <c r="M209" i="17"/>
  <c r="M208" i="17"/>
  <c r="L213" i="17"/>
  <c r="I213" i="17"/>
  <c r="J213" i="17" s="1"/>
  <c r="I215" i="17"/>
  <c r="J215" i="17" s="1"/>
  <c r="L215" i="17"/>
  <c r="L189" i="17"/>
  <c r="I189" i="17"/>
  <c r="J189" i="17" s="1"/>
  <c r="M189" i="17" s="1"/>
  <c r="P189" i="17" s="1"/>
  <c r="M211" i="17"/>
  <c r="I214" i="17"/>
  <c r="J214" i="17" s="1"/>
  <c r="L214" i="17"/>
  <c r="M214" i="17" s="1"/>
  <c r="I205" i="17"/>
  <c r="J205" i="17" s="1"/>
  <c r="L205" i="17"/>
  <c r="M210" i="17"/>
  <c r="M190" i="17"/>
  <c r="P190" i="17" s="1"/>
  <c r="L206" i="17"/>
  <c r="I206" i="17"/>
  <c r="J206" i="17" s="1"/>
  <c r="I152" i="17"/>
  <c r="J152" i="17" s="1"/>
  <c r="L152" i="17"/>
  <c r="M152" i="17" s="1"/>
  <c r="P152" i="17" s="1"/>
  <c r="L178" i="17"/>
  <c r="I178" i="17"/>
  <c r="L212" i="17"/>
  <c r="I212" i="17"/>
  <c r="J212" i="17" s="1"/>
  <c r="Q197" i="17"/>
  <c r="X95" i="28"/>
  <c r="Y89" i="28"/>
  <c r="C114" i="28"/>
  <c r="F194" i="17" s="1"/>
  <c r="F179" i="17"/>
  <c r="C113" i="28"/>
  <c r="F193" i="17" s="1"/>
  <c r="C119" i="28"/>
  <c r="F199" i="17" s="1"/>
  <c r="C124" i="28"/>
  <c r="F204" i="17" s="1"/>
  <c r="C112" i="28"/>
  <c r="F192" i="17" s="1"/>
  <c r="C111" i="28"/>
  <c r="F191" i="17" s="1"/>
  <c r="C116" i="28"/>
  <c r="F196" i="17" s="1"/>
  <c r="C115" i="28"/>
  <c r="F195" i="17" s="1"/>
  <c r="C107" i="28"/>
  <c r="C103" i="28"/>
  <c r="F183" i="17" s="1"/>
  <c r="C105" i="28"/>
  <c r="F185" i="17" s="1"/>
  <c r="C102" i="28"/>
  <c r="F182" i="17" s="1"/>
  <c r="C106" i="28"/>
  <c r="F186" i="17" s="1"/>
  <c r="C101" i="28"/>
  <c r="F181" i="17" s="1"/>
  <c r="C104" i="28"/>
  <c r="F184" i="17" s="1"/>
  <c r="C100" i="28"/>
  <c r="F180" i="17" s="1"/>
  <c r="Q8" i="28"/>
  <c r="F80" i="17" s="1"/>
  <c r="I105" i="17"/>
  <c r="J105" i="17" s="1"/>
  <c r="M105" i="17" s="1"/>
  <c r="I99" i="17"/>
  <c r="J99" i="17" s="1"/>
  <c r="M99" i="17" s="1"/>
  <c r="I102" i="17"/>
  <c r="J102" i="17" s="1"/>
  <c r="M102" i="17" s="1"/>
  <c r="I101" i="17"/>
  <c r="J101" i="17" s="1"/>
  <c r="M101" i="17" s="1"/>
  <c r="I106" i="17"/>
  <c r="J106" i="17" s="1"/>
  <c r="M106" i="17" s="1"/>
  <c r="I100" i="17"/>
  <c r="J100" i="17" s="1"/>
  <c r="M100" i="17" s="1"/>
  <c r="I103" i="17"/>
  <c r="J103" i="17" s="1"/>
  <c r="M103" i="17" s="1"/>
  <c r="I88" i="17"/>
  <c r="I89" i="17"/>
  <c r="J89" i="17" s="1"/>
  <c r="M89" i="17" s="1"/>
  <c r="I175" i="17"/>
  <c r="I92" i="17"/>
  <c r="J92" i="17" s="1"/>
  <c r="M92" i="17" s="1"/>
  <c r="Q143" i="17"/>
  <c r="M172" i="17"/>
  <c r="P48" i="17"/>
  <c r="Q48" i="17"/>
  <c r="Q104" i="17"/>
  <c r="Q116" i="17"/>
  <c r="Q28" i="17"/>
  <c r="Q142" i="17"/>
  <c r="Q132" i="17"/>
  <c r="Q120" i="17"/>
  <c r="P120" i="17"/>
  <c r="P115" i="17"/>
  <c r="Q115" i="17"/>
  <c r="Q40" i="17"/>
  <c r="Q125" i="17"/>
  <c r="P121" i="17"/>
  <c r="Q121" i="17"/>
  <c r="Q129" i="17"/>
  <c r="P129" i="17"/>
  <c r="Q135" i="17"/>
  <c r="P135" i="17"/>
  <c r="Q126" i="17"/>
  <c r="P126" i="17"/>
  <c r="Q141" i="17"/>
  <c r="Q117" i="17"/>
  <c r="Q140" i="17"/>
  <c r="Q124" i="17"/>
  <c r="P124" i="17"/>
  <c r="L46" i="17"/>
  <c r="M43" i="17"/>
  <c r="P43" i="17" s="1"/>
  <c r="P138" i="17"/>
  <c r="Q138" i="17"/>
  <c r="Q139" i="17"/>
  <c r="M174" i="17"/>
  <c r="P174" i="17" s="1"/>
  <c r="M171" i="17"/>
  <c r="M170" i="17"/>
  <c r="L173" i="17"/>
  <c r="Q152" i="17"/>
  <c r="P49" i="17"/>
  <c r="Q49" i="17"/>
  <c r="L44" i="17"/>
  <c r="Q39" i="17"/>
  <c r="L45" i="17"/>
  <c r="Q190" i="17" l="1"/>
  <c r="M205" i="17"/>
  <c r="P205" i="17" s="1"/>
  <c r="I180" i="17"/>
  <c r="J180" i="17" s="1"/>
  <c r="L180" i="17"/>
  <c r="M212" i="17"/>
  <c r="J178" i="17"/>
  <c r="L193" i="17"/>
  <c r="I193" i="17"/>
  <c r="J193" i="17" s="1"/>
  <c r="I185" i="17"/>
  <c r="J185" i="17" s="1"/>
  <c r="L185" i="17"/>
  <c r="I194" i="17"/>
  <c r="J194" i="17" s="1"/>
  <c r="L194" i="17"/>
  <c r="M194" i="17" s="1"/>
  <c r="P194" i="17" s="1"/>
  <c r="M215" i="17"/>
  <c r="L184" i="17"/>
  <c r="I184" i="17"/>
  <c r="J184" i="17" s="1"/>
  <c r="I181" i="17"/>
  <c r="J181" i="17" s="1"/>
  <c r="L181" i="17"/>
  <c r="I179" i="17"/>
  <c r="J179" i="17" s="1"/>
  <c r="L179" i="17"/>
  <c r="I183" i="17"/>
  <c r="J183" i="17" s="1"/>
  <c r="L183" i="17"/>
  <c r="I196" i="17"/>
  <c r="J196" i="17" s="1"/>
  <c r="L196" i="17"/>
  <c r="I191" i="17"/>
  <c r="J191" i="17" s="1"/>
  <c r="L191" i="17"/>
  <c r="I192" i="17"/>
  <c r="J192" i="17" s="1"/>
  <c r="L192" i="17"/>
  <c r="I186" i="17"/>
  <c r="J186" i="17" s="1"/>
  <c r="L186" i="17"/>
  <c r="M178" i="17"/>
  <c r="M206" i="17"/>
  <c r="M213" i="17"/>
  <c r="L195" i="17"/>
  <c r="I195" i="17"/>
  <c r="J195" i="17" s="1"/>
  <c r="M195" i="17" s="1"/>
  <c r="P195" i="17" s="1"/>
  <c r="L204" i="17"/>
  <c r="I204" i="17"/>
  <c r="J204" i="17" s="1"/>
  <c r="M204" i="17" s="1"/>
  <c r="P204" i="17" s="1"/>
  <c r="L199" i="17"/>
  <c r="I199" i="17"/>
  <c r="J199" i="17" s="1"/>
  <c r="I182" i="17"/>
  <c r="J182" i="17" s="1"/>
  <c r="L182" i="17"/>
  <c r="Q189" i="17"/>
  <c r="Q205" i="17"/>
  <c r="C108" i="28"/>
  <c r="F188" i="17" s="1"/>
  <c r="F187" i="17"/>
  <c r="C123" i="28"/>
  <c r="F203" i="17" s="1"/>
  <c r="C120" i="28"/>
  <c r="C122" i="28"/>
  <c r="F202" i="17" s="1"/>
  <c r="Q43" i="17"/>
  <c r="F82" i="17"/>
  <c r="D12" i="1" s="1"/>
  <c r="I80" i="17"/>
  <c r="L80" i="17"/>
  <c r="L82" i="17" s="1"/>
  <c r="G12" i="1" s="1"/>
  <c r="Q92" i="17"/>
  <c r="P92" i="17"/>
  <c r="Q89" i="17"/>
  <c r="P89" i="17"/>
  <c r="P103" i="17"/>
  <c r="Q103" i="17"/>
  <c r="Q106" i="17"/>
  <c r="P106" i="17"/>
  <c r="P99" i="17"/>
  <c r="Q99" i="17"/>
  <c r="Q100" i="17"/>
  <c r="P100" i="17"/>
  <c r="Q101" i="17"/>
  <c r="P101" i="17"/>
  <c r="P102" i="17"/>
  <c r="Q102" i="17"/>
  <c r="Q105" i="17"/>
  <c r="P105" i="17"/>
  <c r="J88" i="17"/>
  <c r="M88" i="17" s="1"/>
  <c r="Q174" i="17"/>
  <c r="P172" i="17"/>
  <c r="Q172" i="17"/>
  <c r="M44" i="17"/>
  <c r="P44" i="17" s="1"/>
  <c r="P171" i="17"/>
  <c r="Q171" i="17"/>
  <c r="Q170" i="17"/>
  <c r="P170" i="17"/>
  <c r="M173" i="17"/>
  <c r="F17" i="1"/>
  <c r="L175" i="17"/>
  <c r="G17" i="1" s="1"/>
  <c r="M46" i="17"/>
  <c r="P46" i="17" s="1"/>
  <c r="I51" i="17"/>
  <c r="F14" i="1" s="1"/>
  <c r="M45" i="17"/>
  <c r="P45" i="17" s="1"/>
  <c r="M196" i="17" l="1"/>
  <c r="P196" i="17" s="1"/>
  <c r="M183" i="17"/>
  <c r="P183" i="17" s="1"/>
  <c r="M180" i="17"/>
  <c r="P180" i="17" s="1"/>
  <c r="M186" i="17"/>
  <c r="P186" i="17" s="1"/>
  <c r="M191" i="17"/>
  <c r="P191" i="17" s="1"/>
  <c r="M199" i="17"/>
  <c r="P199" i="17" s="1"/>
  <c r="M184" i="17"/>
  <c r="P184" i="17" s="1"/>
  <c r="M185" i="17"/>
  <c r="P185" i="17" s="1"/>
  <c r="L202" i="17"/>
  <c r="I202" i="17"/>
  <c r="J202" i="17" s="1"/>
  <c r="M179" i="17"/>
  <c r="L203" i="17"/>
  <c r="I203" i="17"/>
  <c r="J203" i="17" s="1"/>
  <c r="M181" i="17"/>
  <c r="P181" i="17" s="1"/>
  <c r="M193" i="17"/>
  <c r="P193" i="17" s="1"/>
  <c r="I187" i="17"/>
  <c r="J187" i="17" s="1"/>
  <c r="L187" i="17"/>
  <c r="M182" i="17"/>
  <c r="P182" i="17" s="1"/>
  <c r="L188" i="17"/>
  <c r="I188" i="17"/>
  <c r="J188" i="17" s="1"/>
  <c r="M188" i="17" s="1"/>
  <c r="M192" i="17"/>
  <c r="P192" i="17" s="1"/>
  <c r="Q204" i="17"/>
  <c r="Q192" i="17"/>
  <c r="Q191" i="17"/>
  <c r="Q183" i="17"/>
  <c r="Q186" i="17"/>
  <c r="Q199" i="17"/>
  <c r="Q180" i="17"/>
  <c r="Q195" i="17"/>
  <c r="Q196" i="17"/>
  <c r="Q182" i="17"/>
  <c r="Q194" i="17"/>
  <c r="Q185" i="17"/>
  <c r="P188" i="17"/>
  <c r="Q184" i="17"/>
  <c r="C121" i="28"/>
  <c r="F201" i="17" s="1"/>
  <c r="F200" i="17"/>
  <c r="I82" i="17"/>
  <c r="F12" i="1" s="1"/>
  <c r="H12" i="1" s="1"/>
  <c r="J80" i="17"/>
  <c r="M80" i="17" s="1"/>
  <c r="Q88" i="17"/>
  <c r="P88" i="17"/>
  <c r="Q44" i="17"/>
  <c r="H17" i="1"/>
  <c r="Q45" i="17"/>
  <c r="Q46" i="17"/>
  <c r="Q173" i="17"/>
  <c r="P173" i="17"/>
  <c r="N175" i="17"/>
  <c r="I17" i="1" s="1"/>
  <c r="L50" i="17"/>
  <c r="L51" i="17" s="1"/>
  <c r="G14" i="1" s="1"/>
  <c r="H14" i="1" s="1"/>
  <c r="K29" i="28"/>
  <c r="H109" i="17" s="1"/>
  <c r="I109" i="17" s="1"/>
  <c r="J109" i="17" s="1"/>
  <c r="G233" i="28"/>
  <c r="G232" i="28"/>
  <c r="G231" i="28"/>
  <c r="G230" i="28"/>
  <c r="G229" i="28"/>
  <c r="L30" i="28" s="1"/>
  <c r="L110" i="17" s="1"/>
  <c r="G228" i="28"/>
  <c r="G227" i="28"/>
  <c r="G226" i="28"/>
  <c r="L29" i="28" s="1"/>
  <c r="L109" i="17" s="1"/>
  <c r="G225" i="28"/>
  <c r="G224" i="28"/>
  <c r="L31" i="28" s="1"/>
  <c r="L111" i="17" s="1"/>
  <c r="G223" i="28"/>
  <c r="G222" i="28"/>
  <c r="B15" i="28"/>
  <c r="B95" i="17" s="1"/>
  <c r="Q181" i="17" l="1"/>
  <c r="Q193" i="17"/>
  <c r="M203" i="17"/>
  <c r="P203" i="17" s="1"/>
  <c r="P179" i="17"/>
  <c r="Q179" i="17"/>
  <c r="M187" i="17"/>
  <c r="P187" i="17" s="1"/>
  <c r="L200" i="17"/>
  <c r="I200" i="17"/>
  <c r="J200" i="17" s="1"/>
  <c r="M202" i="17"/>
  <c r="P202" i="17" s="1"/>
  <c r="L201" i="17"/>
  <c r="I201" i="17"/>
  <c r="J201" i="17" s="1"/>
  <c r="M201" i="17" s="1"/>
  <c r="Q188" i="17"/>
  <c r="N82" i="17"/>
  <c r="I12" i="1" s="1"/>
  <c r="Q80" i="17"/>
  <c r="P80" i="17"/>
  <c r="M110" i="17"/>
  <c r="P110" i="17" s="1"/>
  <c r="M109" i="17"/>
  <c r="P109" i="17" s="1"/>
  <c r="M111" i="17"/>
  <c r="P111" i="17" s="1"/>
  <c r="M50" i="17"/>
  <c r="C58" i="17"/>
  <c r="C59" i="17"/>
  <c r="C60" i="17"/>
  <c r="C57" i="17"/>
  <c r="C63" i="17"/>
  <c r="C64" i="17"/>
  <c r="C67" i="17"/>
  <c r="C12" i="17"/>
  <c r="C13" i="17"/>
  <c r="C14" i="17"/>
  <c r="P10" i="17"/>
  <c r="Q10" i="17"/>
  <c r="I216" i="17" l="1"/>
  <c r="Q203" i="17"/>
  <c r="Q201" i="17"/>
  <c r="Q202" i="17"/>
  <c r="M200" i="17"/>
  <c r="P200" i="17" s="1"/>
  <c r="Q187" i="17"/>
  <c r="P201" i="17"/>
  <c r="Q200" i="17"/>
  <c r="Q110" i="17"/>
  <c r="Q111" i="17"/>
  <c r="Q109" i="17"/>
  <c r="P50" i="17"/>
  <c r="N51" i="17"/>
  <c r="I14" i="1" s="1"/>
  <c r="Q50" i="17"/>
  <c r="L59" i="17"/>
  <c r="L60" i="17"/>
  <c r="D10" i="1"/>
  <c r="L12" i="17"/>
  <c r="F23" i="17"/>
  <c r="I23" i="17" s="1"/>
  <c r="J23" i="17" s="1"/>
  <c r="L30" i="17"/>
  <c r="F17" i="17"/>
  <c r="I17" i="17" s="1"/>
  <c r="J17" i="17" s="1"/>
  <c r="M31" i="17"/>
  <c r="L14" i="17"/>
  <c r="L58" i="17"/>
  <c r="L13" i="17"/>
  <c r="L72" i="17"/>
  <c r="P53" i="17"/>
  <c r="Q53" i="17"/>
  <c r="P54" i="17"/>
  <c r="Q54" i="17"/>
  <c r="P55" i="17"/>
  <c r="Q55" i="17"/>
  <c r="P74" i="17"/>
  <c r="Q74" i="17"/>
  <c r="P75" i="17"/>
  <c r="Q75" i="17"/>
  <c r="F21" i="17" l="1"/>
  <c r="I21" i="17" s="1"/>
  <c r="J21" i="17" s="1"/>
  <c r="M58" i="17"/>
  <c r="P58" i="17" s="1"/>
  <c r="M72" i="17"/>
  <c r="P72" i="17" s="1"/>
  <c r="P31" i="17"/>
  <c r="Q31" i="17"/>
  <c r="M12" i="17"/>
  <c r="P12" i="17" s="1"/>
  <c r="F20" i="17"/>
  <c r="I20" i="17" s="1"/>
  <c r="J20" i="17" s="1"/>
  <c r="L17" i="17"/>
  <c r="M13" i="17"/>
  <c r="P13" i="17" s="1"/>
  <c r="M14" i="17"/>
  <c r="P14" i="17" s="1"/>
  <c r="M60" i="17"/>
  <c r="P60" i="17" s="1"/>
  <c r="L23" i="17"/>
  <c r="M59" i="17"/>
  <c r="P59" i="17" s="1"/>
  <c r="L15" i="28"/>
  <c r="L95" i="17" s="1"/>
  <c r="K15" i="28"/>
  <c r="H95" i="17" l="1"/>
  <c r="I95" i="17" s="1"/>
  <c r="R15" i="28"/>
  <c r="S95" i="28" s="1"/>
  <c r="Q14" i="17"/>
  <c r="Q72" i="17"/>
  <c r="Q58" i="17"/>
  <c r="Q13" i="17"/>
  <c r="Q59" i="17"/>
  <c r="Q12" i="17"/>
  <c r="L21" i="17"/>
  <c r="Q60" i="17"/>
  <c r="L153" i="17"/>
  <c r="L154" i="17" s="1"/>
  <c r="N154" i="17" s="1"/>
  <c r="M30" i="17"/>
  <c r="M23" i="17"/>
  <c r="P23" i="17" s="1"/>
  <c r="M17" i="17"/>
  <c r="P17" i="17" s="1"/>
  <c r="L20" i="17"/>
  <c r="L22" i="17"/>
  <c r="H15" i="28"/>
  <c r="G15" i="28"/>
  <c r="AE15" i="28" l="1"/>
  <c r="J95" i="17"/>
  <c r="I153" i="17"/>
  <c r="F11" i="1" s="1"/>
  <c r="M21" i="17"/>
  <c r="P21" i="17" s="1"/>
  <c r="M95" i="17"/>
  <c r="Q23" i="17"/>
  <c r="Q17" i="17"/>
  <c r="Q30" i="17"/>
  <c r="P30" i="17"/>
  <c r="M22" i="17"/>
  <c r="P22" i="17" s="1"/>
  <c r="M20" i="17"/>
  <c r="I33" i="17"/>
  <c r="F10" i="1" s="1"/>
  <c r="N15" i="28"/>
  <c r="O15" i="28" s="1"/>
  <c r="P15" i="28" s="1"/>
  <c r="L71" i="17"/>
  <c r="Q21" i="17" l="1"/>
  <c r="Q22" i="17"/>
  <c r="Q20" i="17"/>
  <c r="P20" i="17"/>
  <c r="N153" i="17"/>
  <c r="P95" i="17"/>
  <c r="Q95" i="17"/>
  <c r="L32" i="17"/>
  <c r="M32" i="17" s="1"/>
  <c r="N33" i="17" s="1"/>
  <c r="I10" i="1" s="1"/>
  <c r="T95" i="28"/>
  <c r="T96" i="28" s="1"/>
  <c r="L64" i="17"/>
  <c r="L73" i="17"/>
  <c r="L63" i="17"/>
  <c r="L67" i="17"/>
  <c r="F75" i="17"/>
  <c r="M67" i="17" l="1"/>
  <c r="P67" i="17" s="1"/>
  <c r="U95" i="28"/>
  <c r="M71" i="17"/>
  <c r="L33" i="17"/>
  <c r="G10" i="1" s="1"/>
  <c r="P32" i="17"/>
  <c r="Q32" i="17"/>
  <c r="M63" i="17"/>
  <c r="P63" i="17" s="1"/>
  <c r="M73" i="17"/>
  <c r="P73" i="17" s="1"/>
  <c r="M64" i="17"/>
  <c r="P64" i="17" s="1"/>
  <c r="P56" i="17"/>
  <c r="Q67" i="17" l="1"/>
  <c r="H10" i="1"/>
  <c r="Q64" i="17"/>
  <c r="P71" i="17"/>
  <c r="Q71" i="17"/>
  <c r="Q73" i="17"/>
  <c r="Q63" i="17"/>
  <c r="Q56" i="17"/>
  <c r="L57" i="17" l="1"/>
  <c r="M57" i="17" l="1"/>
  <c r="L75" i="17"/>
  <c r="G11" i="1" s="1"/>
  <c r="H11" i="1" l="1"/>
  <c r="N75" i="17"/>
  <c r="I11" i="1" s="1"/>
  <c r="P57" i="17"/>
  <c r="Q57" i="17"/>
  <c r="F10" i="23" l="1"/>
  <c r="F15" i="1" l="1"/>
  <c r="L10" i="23"/>
  <c r="C5" i="17" l="1"/>
  <c r="C4" i="2" s="1"/>
  <c r="C4" i="17"/>
  <c r="C3" i="2" s="1"/>
  <c r="C3" i="17"/>
  <c r="C2" i="2" s="1"/>
  <c r="L216" i="17"/>
  <c r="G18" i="1" l="1"/>
  <c r="N216" i="17"/>
  <c r="P178" i="17" l="1"/>
  <c r="Q178" i="17"/>
  <c r="I10" i="23" l="1"/>
  <c r="F8" i="1" s="1"/>
  <c r="H8" i="1" l="1"/>
  <c r="G10" i="23"/>
  <c r="J10" i="23" l="1"/>
  <c r="L13" i="23" l="1"/>
  <c r="K13" i="23"/>
  <c r="O10" i="23"/>
  <c r="I8" i="1" s="1"/>
  <c r="I12" i="23" l="1"/>
  <c r="J12" i="23" s="1"/>
  <c r="I13" i="23" l="1"/>
  <c r="F18" i="1" s="1"/>
  <c r="N12" i="23"/>
  <c r="O13" i="23" s="1"/>
  <c r="I18" i="1" s="1"/>
  <c r="J13" i="23"/>
  <c r="H18" i="1" l="1"/>
  <c r="F22" i="1"/>
  <c r="H22" i="1" s="1"/>
  <c r="O14" i="23"/>
  <c r="L165" i="17" l="1"/>
  <c r="M164" i="17" l="1"/>
  <c r="Q164" i="17" l="1"/>
  <c r="N165" i="17"/>
  <c r="P164" i="17"/>
  <c r="L166" i="17"/>
  <c r="N166" i="17" l="1"/>
  <c r="I15" i="1" s="1"/>
  <c r="G15" i="1"/>
  <c r="N217" i="17" l="1"/>
  <c r="K19" i="1" s="1"/>
  <c r="H15" i="1"/>
  <c r="H23" i="1" s="1"/>
  <c r="H24" i="1" s="1"/>
  <c r="I22" i="1"/>
  <c r="I19" i="1"/>
  <c r="H21" i="1" l="1"/>
  <c r="K18" i="1"/>
  <c r="L18" i="1" s="1"/>
  <c r="J29" i="1"/>
  <c r="J30" i="1" s="1"/>
  <c r="H26" i="1" l="1"/>
  <c r="K27" i="1" s="1"/>
  <c r="L30" i="1" l="1"/>
  <c r="K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tc={1DA4D91D-E957-455E-9B4E-0D3759DFEC45}</author>
    <author>Lanie Mae</author>
    <author>tc={98AD1582-EFFB-4851-81B2-635A1ED15955}</author>
  </authors>
  <commentList>
    <comment ref="P2" authorId="0" shapeId="0" xr:uid="{1DA4D91D-E957-455E-9B4E-0D3759DFEC45}">
      <text>
        <t>[Threaded comment]
Your version of Excel allows you to read this threaded comment; however, any edits to it will get removed if the file is opened in a newer version of Excel. Learn more: https://go.microsoft.com/fwlink/?linkid=870924
Comment:
    Duct wrap</t>
      </text>
    </comment>
    <comment ref="AE2" authorId="1" shapeId="0" xr:uid="{9717843D-E1EA-4EF0-B8EA-38E6C04807B6}">
      <text>
        <r>
          <rPr>
            <b/>
            <sz val="9"/>
            <color indexed="81"/>
            <rFont val="Tahoma"/>
            <family val="2"/>
          </rPr>
          <t>Lanie Mae:</t>
        </r>
        <r>
          <rPr>
            <sz val="9"/>
            <color indexed="81"/>
            <rFont val="Tahoma"/>
            <family val="2"/>
          </rPr>
          <t xml:space="preserve">
GAUGE 26</t>
        </r>
      </text>
    </comment>
    <comment ref="AE3" authorId="1" shapeId="0" xr:uid="{5C190915-3980-4C80-B3AB-8F6C5A121054}">
      <text>
        <r>
          <rPr>
            <b/>
            <sz val="9"/>
            <color indexed="81"/>
            <rFont val="Tahoma"/>
            <family val="2"/>
          </rPr>
          <t>Lanie Mae:</t>
        </r>
        <r>
          <rPr>
            <sz val="9"/>
            <color indexed="81"/>
            <rFont val="Tahoma"/>
            <family val="2"/>
          </rPr>
          <t xml:space="preserve">
LINER</t>
        </r>
      </text>
    </comment>
    <comment ref="AE4" authorId="1" shapeId="0" xr:uid="{4B450C77-CED5-4019-A965-3403FF1F0282}">
      <text>
        <r>
          <rPr>
            <b/>
            <sz val="9"/>
            <color indexed="81"/>
            <rFont val="Tahoma"/>
            <family val="2"/>
          </rPr>
          <t>Lanie Mae:</t>
        </r>
        <r>
          <rPr>
            <sz val="9"/>
            <color indexed="81"/>
            <rFont val="Tahoma"/>
            <family val="2"/>
          </rPr>
          <t xml:space="preserve">
DUCT WRAP</t>
        </r>
      </text>
    </comment>
    <comment ref="P5" authorId="2" shapeId="0" xr:uid="{98AD1582-EFFB-4851-81B2-635A1ED15955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<sst xmlns="http://schemas.openxmlformats.org/spreadsheetml/2006/main" count="1392" uniqueCount="588">
  <si>
    <t>Project Name</t>
  </si>
  <si>
    <t>Total SQFT</t>
  </si>
  <si>
    <t>Address</t>
  </si>
  <si>
    <t>Number of Units</t>
  </si>
  <si>
    <t>Plan Date</t>
  </si>
  <si>
    <t>Labor Rate:</t>
  </si>
  <si>
    <t>Item No.</t>
  </si>
  <si>
    <t>Description</t>
  </si>
  <si>
    <t>Qty</t>
  </si>
  <si>
    <t>Lin. Ft.</t>
  </si>
  <si>
    <t>Total Labor Hrs</t>
  </si>
  <si>
    <t>Material Pricing</t>
  </si>
  <si>
    <t>Total</t>
  </si>
  <si>
    <t>Equipment</t>
  </si>
  <si>
    <t>1 lot</t>
  </si>
  <si>
    <t>Project Management-Mobilization , demobilization, 1 yr warranty costs, tools and utilities</t>
  </si>
  <si>
    <t>TOTAL</t>
  </si>
  <si>
    <t>Price per sqft</t>
  </si>
  <si>
    <t>Price per Unit</t>
  </si>
  <si>
    <t>Project Information</t>
  </si>
  <si>
    <t>Scope of Work</t>
  </si>
  <si>
    <t>Supply and Installation</t>
  </si>
  <si>
    <t>Supply and Install</t>
  </si>
  <si>
    <t>Assumptions</t>
  </si>
  <si>
    <r>
      <rPr>
        <b/>
        <i/>
        <sz val="11"/>
        <color theme="1"/>
        <rFont val="Calibri"/>
        <family val="2"/>
        <scheme val="minor"/>
      </rPr>
      <t>Note:</t>
    </r>
    <r>
      <rPr>
        <i/>
        <sz val="11"/>
        <color theme="1"/>
        <rFont val="Calibri"/>
        <family val="2"/>
        <scheme val="minor"/>
      </rPr>
      <t xml:space="preserve"> Assumptions below are company-wide for every project. If these exclusions do not pertain to your project, please disregard.</t>
    </r>
  </si>
  <si>
    <t>Exclusions</t>
  </si>
  <si>
    <r>
      <rPr>
        <b/>
        <i/>
        <sz val="11"/>
        <color theme="1"/>
        <rFont val="Calibri"/>
        <family val="2"/>
        <scheme val="minor"/>
      </rPr>
      <t>Note:</t>
    </r>
    <r>
      <rPr>
        <i/>
        <sz val="11"/>
        <color theme="1"/>
        <rFont val="Calibri"/>
        <family val="2"/>
        <scheme val="minor"/>
      </rPr>
      <t xml:space="preserve"> Exclusions below are company-wide for every project. If these exclusions do not pertain to your project, please disregard.</t>
    </r>
  </si>
  <si>
    <t>General Assumptions</t>
  </si>
  <si>
    <t>Project Name:</t>
  </si>
  <si>
    <t>Address:</t>
  </si>
  <si>
    <t>Plan Date:</t>
  </si>
  <si>
    <t>X</t>
  </si>
  <si>
    <t>MISCELLANEOUS ITEMS</t>
  </si>
  <si>
    <t>Demolition</t>
  </si>
  <si>
    <t>Quotation ref. no</t>
  </si>
  <si>
    <t>ASSUMPTIONS/TAKE OFF CONSIDERATION</t>
  </si>
  <si>
    <t>ILLUSTRATION</t>
  </si>
  <si>
    <t>SHEET NO.</t>
  </si>
  <si>
    <t>Civil works such as the provision of block-outs/sleeves for ducting</t>
  </si>
  <si>
    <t>Ductworks and accessories</t>
  </si>
  <si>
    <t>Supply</t>
  </si>
  <si>
    <t>Install</t>
  </si>
  <si>
    <t>Total Labor Cost</t>
  </si>
  <si>
    <t>x</t>
  </si>
  <si>
    <t>Unit Labor</t>
  </si>
  <si>
    <t>Total Material Cost</t>
  </si>
  <si>
    <t>Unit Material Cost</t>
  </si>
  <si>
    <t>Miscellaneous</t>
  </si>
  <si>
    <t>WASTAGE FACTOR (MATERIAL COST)</t>
  </si>
  <si>
    <t>Duct and fittings material unit price includes hangers and other miscellaneous hardwares</t>
  </si>
  <si>
    <t>16X14</t>
  </si>
  <si>
    <t>24X24</t>
  </si>
  <si>
    <t>16X16</t>
  </si>
  <si>
    <t>18X18</t>
  </si>
  <si>
    <t xml:space="preserve">DUCT IDENTIFICATION </t>
  </si>
  <si>
    <t>Total Labor</t>
  </si>
  <si>
    <t>Unit Materials</t>
  </si>
  <si>
    <t>Install Materials</t>
  </si>
  <si>
    <t>Total Materials</t>
  </si>
  <si>
    <t>SUMTOTAL</t>
  </si>
  <si>
    <t xml:space="preserve">Hauling </t>
  </si>
  <si>
    <t>General Exhaust System</t>
  </si>
  <si>
    <t>Unit Labor costs are based on 2024 NPH book</t>
  </si>
  <si>
    <t>Assume 25% of total labor hrs</t>
  </si>
  <si>
    <t>GALVANIZED STEEL SHEET DUCT WORKS</t>
  </si>
  <si>
    <t>QTY</t>
  </si>
  <si>
    <t>18X12</t>
  </si>
  <si>
    <t>8X10</t>
  </si>
  <si>
    <t>10X8</t>
  </si>
  <si>
    <t>16X10</t>
  </si>
  <si>
    <t>14X10</t>
  </si>
  <si>
    <t>20X10</t>
  </si>
  <si>
    <t>Material cost</t>
  </si>
  <si>
    <t>DUCT SIZE</t>
  </si>
  <si>
    <t>MATERIA COST</t>
  </si>
  <si>
    <t>LABOR COST</t>
  </si>
  <si>
    <t>12X12</t>
  </si>
  <si>
    <t>14X12</t>
  </si>
  <si>
    <t>4X4</t>
  </si>
  <si>
    <t>14X14</t>
  </si>
  <si>
    <t>18X16</t>
  </si>
  <si>
    <t>4X5</t>
  </si>
  <si>
    <t>18X14</t>
  </si>
  <si>
    <t>16X12</t>
  </si>
  <si>
    <t>26X22</t>
  </si>
  <si>
    <t>4X6</t>
  </si>
  <si>
    <t>20X16</t>
  </si>
  <si>
    <t>28X12</t>
  </si>
  <si>
    <t>4X7</t>
  </si>
  <si>
    <t>22X16</t>
  </si>
  <si>
    <t>20X14</t>
  </si>
  <si>
    <t>4X8</t>
  </si>
  <si>
    <t>22X12</t>
  </si>
  <si>
    <t>4X9</t>
  </si>
  <si>
    <t>24X12</t>
  </si>
  <si>
    <t>4X10</t>
  </si>
  <si>
    <t>24X16</t>
  </si>
  <si>
    <t>4X11</t>
  </si>
  <si>
    <t>26X12</t>
  </si>
  <si>
    <t>4X12</t>
  </si>
  <si>
    <t>5X5</t>
  </si>
  <si>
    <t>5X6</t>
  </si>
  <si>
    <t>5X7</t>
  </si>
  <si>
    <t>5X8</t>
  </si>
  <si>
    <t>24X18</t>
  </si>
  <si>
    <t>5X9</t>
  </si>
  <si>
    <t>5X10</t>
  </si>
  <si>
    <t>5X11</t>
  </si>
  <si>
    <t>5X12</t>
  </si>
  <si>
    <t>6X6</t>
  </si>
  <si>
    <t>6X7</t>
  </si>
  <si>
    <t>6X8</t>
  </si>
  <si>
    <t>6X9</t>
  </si>
  <si>
    <t>6X10</t>
  </si>
  <si>
    <t>6X11</t>
  </si>
  <si>
    <t>6X12</t>
  </si>
  <si>
    <t>7X7</t>
  </si>
  <si>
    <t>7X8</t>
  </si>
  <si>
    <t>7X9</t>
  </si>
  <si>
    <t>7X10</t>
  </si>
  <si>
    <t>7X11</t>
  </si>
  <si>
    <t>7X12</t>
  </si>
  <si>
    <t>8X8</t>
  </si>
  <si>
    <t>8X9</t>
  </si>
  <si>
    <t>8X11</t>
  </si>
  <si>
    <t>8X12</t>
  </si>
  <si>
    <t>9X9</t>
  </si>
  <si>
    <t>9X10</t>
  </si>
  <si>
    <t>9X11</t>
  </si>
  <si>
    <t>9X12</t>
  </si>
  <si>
    <t>10X10</t>
  </si>
  <si>
    <t>10X11</t>
  </si>
  <si>
    <t>10X12</t>
  </si>
  <si>
    <t>11X11</t>
  </si>
  <si>
    <t>11X12</t>
  </si>
  <si>
    <t>12X10</t>
  </si>
  <si>
    <t>14X6</t>
  </si>
  <si>
    <t>14X8</t>
  </si>
  <si>
    <t>14X16</t>
  </si>
  <si>
    <t>14X18</t>
  </si>
  <si>
    <t>14X20</t>
  </si>
  <si>
    <t>14X22</t>
  </si>
  <si>
    <t>14X24</t>
  </si>
  <si>
    <t>14X26</t>
  </si>
  <si>
    <t>14X28</t>
  </si>
  <si>
    <t>14X30</t>
  </si>
  <si>
    <t>16X6</t>
  </si>
  <si>
    <t>16X8</t>
  </si>
  <si>
    <t>16X18</t>
  </si>
  <si>
    <t>16X20</t>
  </si>
  <si>
    <t>16X22</t>
  </si>
  <si>
    <t>16X24</t>
  </si>
  <si>
    <t>16X26</t>
  </si>
  <si>
    <t>16X28</t>
  </si>
  <si>
    <t>16X30</t>
  </si>
  <si>
    <t>18X6</t>
  </si>
  <si>
    <t>18X8</t>
  </si>
  <si>
    <t>18X10</t>
  </si>
  <si>
    <t>18X20</t>
  </si>
  <si>
    <t>18X22</t>
  </si>
  <si>
    <t>18X24</t>
  </si>
  <si>
    <t>18X26</t>
  </si>
  <si>
    <t>18X28</t>
  </si>
  <si>
    <t>18X30</t>
  </si>
  <si>
    <t>20X6</t>
  </si>
  <si>
    <t>20X8</t>
  </si>
  <si>
    <t>20X12</t>
  </si>
  <si>
    <t>20X18</t>
  </si>
  <si>
    <t>20X20</t>
  </si>
  <si>
    <t>20X22</t>
  </si>
  <si>
    <t>20X24</t>
  </si>
  <si>
    <t>20X26</t>
  </si>
  <si>
    <t>20X28</t>
  </si>
  <si>
    <t>20X30</t>
  </si>
  <si>
    <t>22X6</t>
  </si>
  <si>
    <t>22X8</t>
  </si>
  <si>
    <t>22X10</t>
  </si>
  <si>
    <t>22X14</t>
  </si>
  <si>
    <t>22X18</t>
  </si>
  <si>
    <t>22X20</t>
  </si>
  <si>
    <t>22X22</t>
  </si>
  <si>
    <t>22X24</t>
  </si>
  <si>
    <t>22X25</t>
  </si>
  <si>
    <t>22X28</t>
  </si>
  <si>
    <t>22X30</t>
  </si>
  <si>
    <t>24X6</t>
  </si>
  <si>
    <t>24X8</t>
  </si>
  <si>
    <t>24X10</t>
  </si>
  <si>
    <t>24X14</t>
  </si>
  <si>
    <t>24X20</t>
  </si>
  <si>
    <t>24X22</t>
  </si>
  <si>
    <t>24X26</t>
  </si>
  <si>
    <t>24X28</t>
  </si>
  <si>
    <t>24X30</t>
  </si>
  <si>
    <t>12X8</t>
  </si>
  <si>
    <t>12X14</t>
  </si>
  <si>
    <t>26X6</t>
  </si>
  <si>
    <t>26X8</t>
  </si>
  <si>
    <t>26X10</t>
  </si>
  <si>
    <t>26X14</t>
  </si>
  <si>
    <t>26X16</t>
  </si>
  <si>
    <t>26X18</t>
  </si>
  <si>
    <t>26X20</t>
  </si>
  <si>
    <t>26X24</t>
  </si>
  <si>
    <t>26X26</t>
  </si>
  <si>
    <t>26X28</t>
  </si>
  <si>
    <t>26X30</t>
  </si>
  <si>
    <t>28X6</t>
  </si>
  <si>
    <t>28X8</t>
  </si>
  <si>
    <t>28X10</t>
  </si>
  <si>
    <t>28X14</t>
  </si>
  <si>
    <t>28X16</t>
  </si>
  <si>
    <t>28X18</t>
  </si>
  <si>
    <t>28X20</t>
  </si>
  <si>
    <t>28X22</t>
  </si>
  <si>
    <t>28X24</t>
  </si>
  <si>
    <t>28X26</t>
  </si>
  <si>
    <t>28X28</t>
  </si>
  <si>
    <t>28X30</t>
  </si>
  <si>
    <t>30X6</t>
  </si>
  <si>
    <t>30X8</t>
  </si>
  <si>
    <t>30X10</t>
  </si>
  <si>
    <t>30X12</t>
  </si>
  <si>
    <t>30X14</t>
  </si>
  <si>
    <t>30X16</t>
  </si>
  <si>
    <t>30X18</t>
  </si>
  <si>
    <t>30X20</t>
  </si>
  <si>
    <t>30X22</t>
  </si>
  <si>
    <t>30X24</t>
  </si>
  <si>
    <t>30X26</t>
  </si>
  <si>
    <t>30X28</t>
  </si>
  <si>
    <t>30X30</t>
  </si>
  <si>
    <t>32X8</t>
  </si>
  <si>
    <t>32X10</t>
  </si>
  <si>
    <t>32X12</t>
  </si>
  <si>
    <t>32X14</t>
  </si>
  <si>
    <t>32X16</t>
  </si>
  <si>
    <t>32X18</t>
  </si>
  <si>
    <t>32X20</t>
  </si>
  <si>
    <t>32X22</t>
  </si>
  <si>
    <t>32X24</t>
  </si>
  <si>
    <t>32X26</t>
  </si>
  <si>
    <t>32X28</t>
  </si>
  <si>
    <t>32X30</t>
  </si>
  <si>
    <t>32X32</t>
  </si>
  <si>
    <t>32X34</t>
  </si>
  <si>
    <t>32X36</t>
  </si>
  <si>
    <t>32X38</t>
  </si>
  <si>
    <t>32X40</t>
  </si>
  <si>
    <t>32X42</t>
  </si>
  <si>
    <t>32X44</t>
  </si>
  <si>
    <t>32X46</t>
  </si>
  <si>
    <t>32X48</t>
  </si>
  <si>
    <t>32X50</t>
  </si>
  <si>
    <t>32X52</t>
  </si>
  <si>
    <t>32X54</t>
  </si>
  <si>
    <t>34X8</t>
  </si>
  <si>
    <t>34X10</t>
  </si>
  <si>
    <t>34X12</t>
  </si>
  <si>
    <t>34X14</t>
  </si>
  <si>
    <t>34X16</t>
  </si>
  <si>
    <t>34X18</t>
  </si>
  <si>
    <t>34X20</t>
  </si>
  <si>
    <t>34X22</t>
  </si>
  <si>
    <t>34X24</t>
  </si>
  <si>
    <t>34X26</t>
  </si>
  <si>
    <t>34X28</t>
  </si>
  <si>
    <t>34X30</t>
  </si>
  <si>
    <t>34X32</t>
  </si>
  <si>
    <t>34X34</t>
  </si>
  <si>
    <t>34X36</t>
  </si>
  <si>
    <t>34X38</t>
  </si>
  <si>
    <t>34X40</t>
  </si>
  <si>
    <t>34X42</t>
  </si>
  <si>
    <t>34X44</t>
  </si>
  <si>
    <t>34X46</t>
  </si>
  <si>
    <t>34X48</t>
  </si>
  <si>
    <t>34X50</t>
  </si>
  <si>
    <t>34X52</t>
  </si>
  <si>
    <t>34X54</t>
  </si>
  <si>
    <t>10X6</t>
  </si>
  <si>
    <t>8X6</t>
  </si>
  <si>
    <t>36X18</t>
  </si>
  <si>
    <t>36X10</t>
  </si>
  <si>
    <t>44X10</t>
  </si>
  <si>
    <t>54X10</t>
  </si>
  <si>
    <t>ROUND DUCT</t>
  </si>
  <si>
    <t>RECTANGULAR DUCT</t>
  </si>
  <si>
    <t>42X42</t>
  </si>
  <si>
    <t>52X52</t>
  </si>
  <si>
    <t>96X96</t>
  </si>
  <si>
    <t>16X11</t>
  </si>
  <si>
    <t>DUCTWORKS</t>
  </si>
  <si>
    <t>DAMPERS</t>
  </si>
  <si>
    <t>10% wastage (Insulation)</t>
  </si>
  <si>
    <t>Insulation / roll</t>
  </si>
  <si>
    <t>Total Insulation / roll</t>
  </si>
  <si>
    <t>12X4</t>
  </si>
  <si>
    <t>AIR OUTLETS AND ACCESSORIES</t>
  </si>
  <si>
    <t>36X12</t>
  </si>
  <si>
    <t>36X14</t>
  </si>
  <si>
    <t>Page</t>
  </si>
  <si>
    <t>Digitizer Item</t>
  </si>
  <si>
    <t>Units</t>
  </si>
  <si>
    <t>EA</t>
  </si>
  <si>
    <t>FT</t>
  </si>
  <si>
    <t>PLENUM DUCTBOOTS</t>
  </si>
  <si>
    <t>RND DUCT SIZE</t>
  </si>
  <si>
    <t>REC DUCT (W)</t>
  </si>
  <si>
    <t>R Value</t>
  </si>
  <si>
    <t>Square Foot</t>
  </si>
  <si>
    <t>MH hr/ft</t>
  </si>
  <si>
    <t>MH hr</t>
  </si>
  <si>
    <t>MH (assume 8 hrs a day)</t>
  </si>
  <si>
    <t>Assume 5 working days in a week</t>
  </si>
  <si>
    <t>UNIT MATERIAL AND LABOR COST</t>
  </si>
  <si>
    <t>COMBINED</t>
  </si>
  <si>
    <t>GRILLES</t>
  </si>
  <si>
    <t>Labot HOUR</t>
  </si>
  <si>
    <t>EXHAUST</t>
  </si>
  <si>
    <t>Assume Galvanized Sheet # 26</t>
  </si>
  <si>
    <t>M001</t>
  </si>
  <si>
    <t>SUPPLY</t>
  </si>
  <si>
    <t>RETURN</t>
  </si>
  <si>
    <t>FITTINGS</t>
  </si>
  <si>
    <t>FLEXIBLE DUCT</t>
  </si>
  <si>
    <t>R-8/25 length</t>
  </si>
  <si>
    <t>R-6/ 25 length</t>
  </si>
  <si>
    <t>SIZE</t>
  </si>
  <si>
    <t>UNIT LABOR</t>
  </si>
  <si>
    <t>MATERIAL COST</t>
  </si>
  <si>
    <t>MATERIALS COST</t>
  </si>
  <si>
    <t xml:space="preserve">RECTANGULAR DUCT </t>
  </si>
  <si>
    <t>RECTANGULAR DUCT COLLAR</t>
  </si>
  <si>
    <t>W/ INSULATION</t>
  </si>
  <si>
    <t>Dampers</t>
  </si>
  <si>
    <t>Duct Insulation</t>
  </si>
  <si>
    <t>M101_MECHANICAL PLAN - EXHAUST</t>
  </si>
  <si>
    <t>REC DUCT(EA); 8X8</t>
  </si>
  <si>
    <t>GRILLES(EA); X1001_TITUS 350_12X12</t>
  </si>
  <si>
    <t>PLENUM DUCTBOOTS(EA); 8X8 TO 12X12</t>
  </si>
  <si>
    <t>REC DUCT 90EL(EA); 8X8</t>
  </si>
  <si>
    <t>M101_MECHANICAL PLAN</t>
  </si>
  <si>
    <t>FLEX DUCT(SA); 10" DIA</t>
  </si>
  <si>
    <t>FLEX DUCT(SA); 6" DIA</t>
  </si>
  <si>
    <t>FLEX DUCT(SA); 12" DIA</t>
  </si>
  <si>
    <t>RND DUCT W/ DCUT WRAP(SA); 20" DIA</t>
  </si>
  <si>
    <t>RND DUCT W/ DCUT WRAP(SA); 10" DIA</t>
  </si>
  <si>
    <t>DAMPER_MANUAL VOLUME(SA); 10" DIA</t>
  </si>
  <si>
    <t>RND DUCT 45DEG EL(SA); 10" DIA</t>
  </si>
  <si>
    <t>RND DUCT COLLAR(SA); 10" DIA</t>
  </si>
  <si>
    <t>DIFFUSER(SA); X2030_TITUS OMN_24X24</t>
  </si>
  <si>
    <t>DUCTBOOTS 90DEG(SA); 10" DIA TO 24X24</t>
  </si>
  <si>
    <t>RND DUCT W/ DCUT WRAP(SA); 16" DIA</t>
  </si>
  <si>
    <t>RND DUCT W/ DCUT WRAP(SA); 12" DIA</t>
  </si>
  <si>
    <t>RND DUCT 90EL(SA); 20" DIA</t>
  </si>
  <si>
    <t>RND DUCT COLLAR(SA); 20" DIA</t>
  </si>
  <si>
    <t>REC DUCT COLLAR(SA); 18X6</t>
  </si>
  <si>
    <t>REC DUCT W/ DUCT WRAP(SA); 18X6</t>
  </si>
  <si>
    <t>DEFLECTION GRILLES(SA); X2010_TITUS 300RS_18X6</t>
  </si>
  <si>
    <t>RND DUCT REDUCER(SA); 20 TO 16</t>
  </si>
  <si>
    <t>RND DUCT REDUCER(SA); 16 TO 12</t>
  </si>
  <si>
    <t>GRILLES(RA); X1020_ TITUS 50F_18X22</t>
  </si>
  <si>
    <t>ROOFTOP UNIT; RTU-1_TRANE YHK120_10 TONS</t>
  </si>
  <si>
    <t>ROOF CURB</t>
  </si>
  <si>
    <t>SMOKE DETECTOR</t>
  </si>
  <si>
    <t>THERMOSTAT</t>
  </si>
  <si>
    <t>HAIL GUARDS</t>
  </si>
  <si>
    <t>BAROMETRIC RELIEF</t>
  </si>
  <si>
    <t>ROOFTOP UNIT; RTU-2_TRANE YHK090*_7.5 TONS</t>
  </si>
  <si>
    <t>REC DUCT W/ LINE(SA); 34X20</t>
  </si>
  <si>
    <t>REC DUCT 90EL(SA); 34X20</t>
  </si>
  <si>
    <t>RND DUCT W/ DUCT WRAP(SA); 18" DIA</t>
  </si>
  <si>
    <t>RND DUCT COLLAR(SA); 18" DIA</t>
  </si>
  <si>
    <t>RND DUCT W/ DUCT WRAP(SA); 12" DIA</t>
  </si>
  <si>
    <t>RND DUCT W/ DUCT WRAP(SA); 6" DIA</t>
  </si>
  <si>
    <t>RND DUCT COLLAR(SA); 12" DIA</t>
  </si>
  <si>
    <t>RND DUCT COLLAR(SA); 6" DIA</t>
  </si>
  <si>
    <t>DAMPER_MANUAL VOLUME(SA); 12" DIA</t>
  </si>
  <si>
    <t>DAMPER_MANUAL VOLUME(SA); 6" DIA</t>
  </si>
  <si>
    <t>DIFFUSER(SA); X2070_ TITUS OMNI_12X12</t>
  </si>
  <si>
    <t>DUCTBOOTS 90DEG(SA); 12" DIA to 24X24</t>
  </si>
  <si>
    <t>DUCTBOOTS 90DEG(SA); 6" DIA TO 12X12</t>
  </si>
  <si>
    <t>RND DUCT REDUCER(SA); 16 TO 10</t>
  </si>
  <si>
    <t>RND DUCT COLLAR(SA); 16" DIA</t>
  </si>
  <si>
    <t>CO2 SENSOR</t>
  </si>
  <si>
    <t>TEMPERATURE SENSOR</t>
  </si>
  <si>
    <t>REC DUCT W/ LINED(SA); 35X20</t>
  </si>
  <si>
    <t>REC DUCT 90EL(SA); 35X20</t>
  </si>
  <si>
    <t>REC DUCT W/ LINED(RA); 20X16</t>
  </si>
  <si>
    <t>REC DUCT 90EL(SA); 20X16</t>
  </si>
  <si>
    <t>RND DUCT W/ DUCT WRAP(SA); 14" DIA</t>
  </si>
  <si>
    <t>RND DUCT REDUCER(SA); 16 TO 14</t>
  </si>
  <si>
    <t>RND DUCT REDUCER(SA); 14 TO 10</t>
  </si>
  <si>
    <t>DIFFUSER(SA); X2020_ TITUS TDC_24X24</t>
  </si>
  <si>
    <t>CARBON MONOXIDE DETECTOR</t>
  </si>
  <si>
    <t>GRILLES(RA); X1010_ TITUS 50F_24X24</t>
  </si>
  <si>
    <t>PLENUM DUCTBOOTS(RA); 20X16 TO 24X24</t>
  </si>
  <si>
    <t>M102_ROOF DEMOLISHED</t>
  </si>
  <si>
    <t>EXISTING EXHAUST FAN TO BE DEMOLISHED</t>
  </si>
  <si>
    <t>EXISTING ROOFTOP UNIT TO BE DEMOLISHED</t>
  </si>
  <si>
    <t>University Park Village</t>
  </si>
  <si>
    <t>1620 S University DR, Fort Worth, TX 76107</t>
  </si>
  <si>
    <t>ROOFTOP UNIT</t>
  </si>
  <si>
    <t>ACCESSORIES</t>
  </si>
  <si>
    <t>CONTROL WIRING</t>
  </si>
  <si>
    <t xml:space="preserve">FLEXIBLE CONNECTOR </t>
  </si>
  <si>
    <t xml:space="preserve">EQUIPMENT IDENTIFICATION </t>
  </si>
  <si>
    <t xml:space="preserve">EQUIPMENT SUPPORT </t>
  </si>
  <si>
    <t xml:space="preserve">MISCELLANEOUS AND CONSUMABLES </t>
  </si>
  <si>
    <t>ROOFTOP UNIT; RTU-3_TRANE YHK036*_3 TONS</t>
  </si>
  <si>
    <t>MANUAL VOLUME DAMPER</t>
  </si>
  <si>
    <t>01734-094_University Park Village_IFP SET</t>
  </si>
  <si>
    <t>EXHAUST FAN; X0632_GREENHECK G-090-VG_300 CFM</t>
  </si>
  <si>
    <t xml:space="preserve">EXHAUST FAN; X0633_ GREENHECK G-080-VG_150 CFM </t>
  </si>
  <si>
    <t>EXHAUST ROOF CURB</t>
  </si>
  <si>
    <t>SPEED CONTROLLER</t>
  </si>
  <si>
    <t>GRAVITY BACKDRAFT DAMPER; 8X8</t>
  </si>
  <si>
    <t>AIR CURTAIN; X0702_ MARS STD242</t>
  </si>
  <si>
    <t>AIR CURTAIN UNIT</t>
  </si>
  <si>
    <t>EQUIPMENT</t>
  </si>
  <si>
    <t>GENERAL EXHAUST SYSTEM</t>
  </si>
  <si>
    <t>EXHAUST EQUIPMENT</t>
  </si>
  <si>
    <t>35X20</t>
  </si>
  <si>
    <t xml:space="preserve">ROUND DUCT </t>
  </si>
  <si>
    <t>SUPPLY - LINER</t>
  </si>
  <si>
    <t>SUPPLY - DUCT WRAP</t>
  </si>
  <si>
    <t>RETURN - LINER</t>
  </si>
  <si>
    <t xml:space="preserve">   Gas pipe line</t>
  </si>
  <si>
    <t xml:space="preserve">   Condensing Unit for Ice Machine</t>
  </si>
  <si>
    <t xml:space="preserve">   Rooftop Unit landlord (LL) is responsible</t>
  </si>
  <si>
    <t xml:space="preserve">   Exhaust fan Unit landlord (LL) is responsible</t>
  </si>
  <si>
    <t>SUPPLY - DUCTBOOTS 90DEG</t>
  </si>
  <si>
    <t>RECTANGULAR DUCT 90DEG ELBOW</t>
  </si>
  <si>
    <t>ROUND DUCT 45DEG ELBOW</t>
  </si>
  <si>
    <t>ROUND DUCT 90DEG ELBOW</t>
  </si>
  <si>
    <t>ROUND DUCT COLLAR</t>
  </si>
  <si>
    <t>ROUND DUCT REDUCER</t>
  </si>
  <si>
    <t>EXHAUST DUCT</t>
  </si>
  <si>
    <t>TESTING AND COMMISSIONING</t>
  </si>
  <si>
    <t>Commissioning and final test</t>
  </si>
  <si>
    <t>Exhaust fan unit</t>
  </si>
  <si>
    <t>Air Balancing- Air Conditioning unit</t>
  </si>
  <si>
    <t>Air Balancing- air outlets</t>
  </si>
  <si>
    <t>Supply ceiling diffuser</t>
  </si>
  <si>
    <t>Rooftop Unit</t>
  </si>
  <si>
    <t>UNIT</t>
  </si>
  <si>
    <t>EQUIPMENT TOTAL Labot Rate</t>
  </si>
  <si>
    <t>ASSUME 3 CREW / DAY &amp; 8 HRS A DAY</t>
  </si>
  <si>
    <t>CREW HRS / DAY</t>
  </si>
  <si>
    <t>Air curtain Unit</t>
  </si>
  <si>
    <t>Heating and Airconditioning</t>
  </si>
  <si>
    <t xml:space="preserve">Ductwork and Accessories </t>
  </si>
  <si>
    <t xml:space="preserve">Duct Insulation </t>
  </si>
  <si>
    <t>Testing and commissioning</t>
  </si>
  <si>
    <t>Permits and fees</t>
  </si>
  <si>
    <t>DUCT INSULATION</t>
  </si>
  <si>
    <t>DUCT LINER 1" THICKNESS</t>
  </si>
  <si>
    <t>SUPPLY ROUND DUCT  (48" X 100')</t>
  </si>
  <si>
    <t>SUPPLY &amp; RETURN RECTANGULAR DUCT  (48" X 25')</t>
  </si>
  <si>
    <t>Demolition &amp; Renovation of University Park Village 1620 S University DR, Fort Worth, TX 76107</t>
  </si>
  <si>
    <t xml:space="preserve">Sheet metal duct and fittings for Rectangular Duct( Supply ,return and outside air) </t>
  </si>
  <si>
    <t xml:space="preserve">GI Sheet metal and fittings for Round Duct( Supply ,return and outside air) </t>
  </si>
  <si>
    <t>Flexible duct for AHU supply air</t>
  </si>
  <si>
    <t>Duct insulation( Supply and return)</t>
  </si>
  <si>
    <t>Equipment including support</t>
  </si>
  <si>
    <t xml:space="preserve">   Air Curtain Unit</t>
  </si>
  <si>
    <t xml:space="preserve">   Rooftop Unit</t>
  </si>
  <si>
    <t>Duct specialties and air outlets</t>
  </si>
  <si>
    <t>Sheet metal duct and fittings( Exhaust)</t>
  </si>
  <si>
    <t xml:space="preserve">   Exhaust Fan</t>
  </si>
  <si>
    <t>Piping</t>
  </si>
  <si>
    <t xml:space="preserve">Assume Condensate PVC Pipes including insulation </t>
  </si>
  <si>
    <t>Electrical</t>
  </si>
  <si>
    <t xml:space="preserve">  Low Voltage wiring and controllers</t>
  </si>
  <si>
    <t>Others</t>
  </si>
  <si>
    <t>Hanger and miscellaneous items as per SMACNa standards</t>
  </si>
  <si>
    <t>Duct and fittings</t>
  </si>
  <si>
    <t>Assume GI sheet guage 26</t>
  </si>
  <si>
    <t>Flexible duct</t>
  </si>
  <si>
    <t>Assume R-6</t>
  </si>
  <si>
    <t>Condensate Pipe</t>
  </si>
  <si>
    <t>Assume PVC pipe</t>
  </si>
  <si>
    <t>Fiberglass duct wrap R-6 &amp; Duct liner</t>
  </si>
  <si>
    <t>Assume condensate pipe set of 10ft PVC pipe including traps and fittings</t>
  </si>
  <si>
    <t>DUCT WRAP 1 1/2" R-6</t>
  </si>
  <si>
    <t xml:space="preserve">   Energy management system</t>
  </si>
  <si>
    <t>Total Area required firestop sealant</t>
  </si>
  <si>
    <t>Assume 1" thickness of sealant</t>
  </si>
  <si>
    <t># OF WALL TO PENETRATE</t>
  </si>
  <si>
    <t>Total Volume 
(Cu. FT)</t>
  </si>
  <si>
    <t>Per pail (10.36)</t>
  </si>
  <si>
    <t>Duct Insulation; 1" thickness liner, R-6 Duct wrap</t>
  </si>
  <si>
    <t>Flashing and sealing at all roof cap penetration</t>
  </si>
  <si>
    <t>Concrete Equipment Pad</t>
  </si>
  <si>
    <t>High voltage Electrical wirings and breaker for equipment</t>
  </si>
  <si>
    <t xml:space="preserve">   Flue and combustion air pipe for water heater</t>
  </si>
  <si>
    <t xml:space="preserve">   Refrigerant pipe for ice machine &amp; Utility Hood for condensing unit</t>
  </si>
  <si>
    <t>CONDENSATE DRAIN W/ SECONDARY DRAIN PAN &amp; OVERFLOW SWITCH</t>
  </si>
  <si>
    <t>Material</t>
  </si>
  <si>
    <t>Length</t>
  </si>
  <si>
    <t>Size</t>
  </si>
  <si>
    <t>Labor rate</t>
  </si>
  <si>
    <t>Material Cost</t>
  </si>
  <si>
    <t xml:space="preserve">CONDENSATE PIPE </t>
  </si>
  <si>
    <t>PVC</t>
  </si>
  <si>
    <t>elbow</t>
  </si>
  <si>
    <t>drain trap</t>
  </si>
  <si>
    <t>Male adapter</t>
  </si>
  <si>
    <t>INSULATION</t>
  </si>
  <si>
    <t xml:space="preserve">Closed cell  elastomeric </t>
  </si>
  <si>
    <t>1x1/2</t>
  </si>
  <si>
    <t>secondary drain pan (aluminum)</t>
  </si>
  <si>
    <t>overflow switch</t>
  </si>
  <si>
    <t>3.4x1/2</t>
  </si>
  <si>
    <t>3/4x3/4</t>
  </si>
  <si>
    <t>COPPER PIPE</t>
  </si>
  <si>
    <t>Copper  type M</t>
  </si>
  <si>
    <t>FIBERGLASS</t>
  </si>
  <si>
    <t>DUCT WRAP</t>
  </si>
  <si>
    <t>1 1/2 X 3/4</t>
  </si>
  <si>
    <t>1 1/4 X 3/4</t>
  </si>
  <si>
    <t>1 1/4x1/2</t>
  </si>
  <si>
    <t>Copper  type L</t>
  </si>
  <si>
    <t>Consider Duct wastage at 10%</t>
  </si>
  <si>
    <t>Heating &amp; Airconditioning System</t>
  </si>
  <si>
    <t>EXHAUST DUCTWORKS</t>
  </si>
  <si>
    <t xml:space="preserve">HEATING &amp; AIRCONDITIONING </t>
  </si>
  <si>
    <t>BLACK WEB STRAP 1.5" X 100</t>
  </si>
  <si>
    <t>1/2 PINT PVC GLUE #70512</t>
  </si>
  <si>
    <t>PURPLE PRIMER</t>
  </si>
  <si>
    <t>HURRICANE CLIP</t>
  </si>
  <si>
    <t>2x2 ISOLATION PADS</t>
  </si>
  <si>
    <t>FOR PLENUM; ANGLE IRON, 2"x2", 16ga</t>
  </si>
  <si>
    <t>5/16"x3/4" SCREW</t>
  </si>
  <si>
    <t>1/4" x 2" SCREW</t>
  </si>
  <si>
    <t>DUCT TAPE (60ft) UL BLACK ARMAFLEX</t>
  </si>
  <si>
    <t>5X8 BOCA/NAIL GUARD PLATE 16GA 6HOLE</t>
  </si>
  <si>
    <t>SHURTAPE UL 181</t>
  </si>
  <si>
    <t>BLUE SHRINK WRAP 300FT ROLL (CDS DIST)</t>
  </si>
  <si>
    <t>PANDUIT STRAPS - FLEX TIES (COME IN PACK OF 50)</t>
  </si>
  <si>
    <t>2IN #8 WHITE SCREWS (250/PK)</t>
  </si>
  <si>
    <t>1 INCH METAL STRAP 100FT</t>
  </si>
  <si>
    <t>SMACNA METAL TAPE (SILVER TAPE) RED LETTER</t>
  </si>
  <si>
    <t>MASTIC (1 GALLON) WHITE CCW181</t>
  </si>
  <si>
    <t>HILTI FS-ONE FIRE CAULK</t>
  </si>
  <si>
    <t>2" MASTIC CHIP BRUSH</t>
  </si>
  <si>
    <t>18/8 Thermostat Wire + Indoor Equipment to TSTAT Wiring</t>
  </si>
  <si>
    <t>BOOT RAILS(BOX OF 50)</t>
  </si>
  <si>
    <t>3/4" PVC PIPE (10FT PIECE)</t>
  </si>
  <si>
    <t>3/4" SCH 40 PVC COUPLING SXS</t>
  </si>
  <si>
    <t>3/4" SCH 40 PVC MALE ADAPTER</t>
  </si>
  <si>
    <t>3/4" PVC 90 DEG ELBOW S X S SCH40</t>
  </si>
  <si>
    <t>3/4" PVC CAP</t>
  </si>
  <si>
    <t>3/4" PVC TEE</t>
  </si>
  <si>
    <t>ROLL</t>
  </si>
  <si>
    <t>CAN</t>
  </si>
  <si>
    <t>STRAP</t>
  </si>
  <si>
    <t>GALLON</t>
  </si>
  <si>
    <t>OVERFLOW SWITCH</t>
  </si>
  <si>
    <t>Total Labor hrs</t>
  </si>
  <si>
    <t>RECTANGULAR DUCT (8FT - 10FT) SPACE</t>
  </si>
  <si>
    <t>ROUND DUCT (10FT - 12FT) SPACE</t>
  </si>
  <si>
    <t>RECTANGULAR DUCT HANGER COUNT</t>
  </si>
  <si>
    <t>ROUND DUCT HANGER COUNT</t>
  </si>
  <si>
    <t>FLEX DUCT HANGER COUNT</t>
  </si>
  <si>
    <t>FLEX DUCT W/ SADDLES 4FT</t>
  </si>
  <si>
    <t>DUCT LOADS IB/FT</t>
  </si>
  <si>
    <t>HEIGHT CEILING- 12, DUCT BOTTOM - 5FT, 0.5 LENGTH  FOR HARDWARE</t>
  </si>
  <si>
    <t>3 SPACE</t>
  </si>
  <si>
    <t>TOP ANCHORS/BEAM CLAMPS</t>
  </si>
  <si>
    <t>CHANNEL NUTS &amp; BOLTS (STRUT CONNECTIONS)</t>
  </si>
  <si>
    <t>HEX NUT 3/8"</t>
  </si>
  <si>
    <t>WASHER 3/8</t>
  </si>
  <si>
    <t>LOCK NUTS 3/8"</t>
  </si>
  <si>
    <t>8 PCS PER ROD</t>
  </si>
  <si>
    <t xml:space="preserve">CO2 SENSOR </t>
  </si>
  <si>
    <t xml:space="preserve">ASSUME 15FT </t>
  </si>
  <si>
    <t xml:space="preserve">   Carbon monoxide detector </t>
  </si>
  <si>
    <t>TEMPERATURE SENSOR CONTROL WIRING</t>
  </si>
  <si>
    <t>CO2 SENSOR CONTROL WIRING</t>
  </si>
  <si>
    <t xml:space="preserve">ASSUME 10FT </t>
  </si>
  <si>
    <t>THREADED ROD 3/8" X 6FT</t>
  </si>
  <si>
    <t>UNISTRUT 1 5/8" X 1 5/8"X10FT, 12-GA</t>
  </si>
  <si>
    <t xml:space="preserve">Gooseneck Curb </t>
  </si>
  <si>
    <t>Overhead and Profit</t>
  </si>
  <si>
    <t>Contigency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</si>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</sst>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₱&quot;* #,##0.00_-;\-&quot;₱&quot;* #,##0.00_-;_-&quot;₱&quot;* &quot;-&quot;??_-;_-@_-"/>
    <numFmt numFmtId="165" formatCode="_-* #,##0.00_-;\-* #,##0.00_-;_-* &quot;-&quot;??_-;_-@_-"/>
    <numFmt numFmtId="166" formatCode="[$-409]mmmm\ d\,\ yyyy;@"/>
    <numFmt numFmtId="167" formatCode="0\ &quot;EA&quot;"/>
    <numFmt numFmtId="168" formatCode="0\ &quot;LF&quot;"/>
    <numFmt numFmtId="169" formatCode="0.00\ &quot;hrs&quot;"/>
    <numFmt numFmtId="170" formatCode="[$$-409]#,##0.00"/>
    <numFmt numFmtId="171" formatCode="0.0\ &quot;hrs&quot;"/>
    <numFmt numFmtId="172" formatCode="0\ &quot;LOT&quot;"/>
    <numFmt numFmtId="173" formatCode="0\ &quot;SQ. ft.&quot;"/>
    <numFmt numFmtId="174" formatCode="_-[$$-409]* #,##0.00_ ;_-[$$-409]* \-#,##0.00\ ;_-[$$-409]* &quot;-&quot;??_ ;_-@_ "/>
    <numFmt numFmtId="175" formatCode="_(&quot;$&quot;* #,##0_);_(&quot;$&quot;* \(#,##0\);_(&quot;$&quot;* &quot;-&quot;??_);_(@_)"/>
    <numFmt numFmtId="176" formatCode="0;\-0;;@"/>
    <numFmt numFmtId="177" formatCode="0.00000"/>
    <numFmt numFmtId="178" formatCode="_(* #,##0_);_(* \(#,##0\);_(* &quot;-&quot;??_);_(@_)"/>
    <numFmt numFmtId="179" formatCode="_(* #,##0.00_);_(* \(#,##0.00\);_(* &quot;-&quot;??.00_);_(@_)"/>
    <numFmt numFmtId="180" formatCode="0.00\ &quot;EA&quot;"/>
    <numFmt numFmtId="181" formatCode="0\ &quot;ROLLS&quot;"/>
    <numFmt numFmtId="182" formatCode="0.0\ &quot;ROLLS&quot;"/>
    <numFmt numFmtId="183" formatCode="0.00\ &quot;days&quot;"/>
    <numFmt numFmtId="184" formatCode="0.00\ &quot;CAN&quot;"/>
    <numFmt numFmtId="185" formatCode="0\ &quot;FT&quot;"/>
    <numFmt numFmtId="186" formatCode="0.00\ &quot;FT&quot;"/>
    <numFmt numFmtId="187" formatCode="0\ &quot;STRAP&quot;"/>
    <numFmt numFmtId="188" formatCode="0\ &quot;GALLON&quot;"/>
  </numFmts>
  <fonts count="8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2C363A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sz val="12"/>
      <name val="CG Omega"/>
      <charset val="134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rgb="FF0070C0"/>
      <name val="Arial"/>
      <family val="2"/>
    </font>
    <font>
      <u/>
      <sz val="11"/>
      <color theme="1"/>
      <name val="Arial"/>
      <family val="2"/>
    </font>
    <font>
      <b/>
      <sz val="11"/>
      <color theme="0" tint="-4.9989318521683403E-2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sz val="11"/>
      <color theme="0" tint="-4.9989318521683403E-2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Calibri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1"/>
      <color rgb="FFFF0000"/>
      <name val="Century Gothic"/>
      <family val="2"/>
    </font>
    <font>
      <b/>
      <sz val="16"/>
      <name val="Century Gothic"/>
      <family val="2"/>
    </font>
    <font>
      <sz val="11"/>
      <color rgb="FF3F3F76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28"/>
      <color theme="1"/>
      <name val="Arial"/>
      <family val="2"/>
    </font>
    <font>
      <b/>
      <sz val="9"/>
      <color theme="1"/>
      <name val="Arial"/>
      <family val="2"/>
    </font>
    <font>
      <b/>
      <sz val="11"/>
      <color rgb="FF3F3F76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</patternFill>
    </fill>
    <fill>
      <patternFill patternType="solid">
        <fgColor indexed="65"/>
        <bgColor theme="0" tint="-4.9989318521683403E-2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0.24994659260841701"/>
      </bottom>
      <diagonal/>
    </border>
    <border>
      <left/>
      <right/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61">
    <xf numFmtId="0" fontId="0" fillId="0" borderId="0"/>
    <xf numFmtId="43" fontId="55" fillId="0" borderId="0" applyFont="0" applyFill="0" applyBorder="0" applyAlignment="0" applyProtection="0"/>
    <xf numFmtId="44" fontId="55" fillId="0" borderId="0" applyFont="0" applyFill="0" applyBorder="0" applyAlignment="0" applyProtection="0"/>
    <xf numFmtId="0" fontId="55" fillId="4" borderId="20" applyNumberFormat="0" applyFont="0" applyAlignment="0" applyProtection="0"/>
    <xf numFmtId="0" fontId="49" fillId="5" borderId="21" applyNumberFormat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1" fillId="0" borderId="0"/>
    <xf numFmtId="0" fontId="41" fillId="0" borderId="0"/>
    <xf numFmtId="0" fontId="52" fillId="0" borderId="0"/>
    <xf numFmtId="0" fontId="5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3" fillId="0" borderId="0"/>
    <xf numFmtId="0" fontId="55" fillId="4" borderId="20" applyNumberFormat="0" applyFont="0" applyAlignment="0" applyProtection="0"/>
    <xf numFmtId="0" fontId="41" fillId="4" borderId="20" applyNumberFormat="0" applyFont="0" applyAlignment="0" applyProtection="0"/>
    <xf numFmtId="0" fontId="55" fillId="4" borderId="20" applyNumberFormat="0" applyFont="0" applyAlignment="0" applyProtection="0"/>
    <xf numFmtId="0" fontId="41" fillId="4" borderId="20" applyNumberFormat="0" applyFont="0" applyAlignment="0" applyProtection="0"/>
    <xf numFmtId="0" fontId="41" fillId="4" borderId="20" applyNumberFormat="0" applyFont="0" applyAlignment="0" applyProtection="0"/>
    <xf numFmtId="0" fontId="55" fillId="4" borderId="20" applyNumberFormat="0" applyFont="0" applyAlignment="0" applyProtection="0"/>
    <xf numFmtId="0" fontId="49" fillId="5" borderId="21" applyNumberFormat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4" fillId="4" borderId="20" applyNumberFormat="0" applyFont="0" applyAlignment="0" applyProtection="0"/>
    <xf numFmtId="0" fontId="34" fillId="0" borderId="0"/>
    <xf numFmtId="0" fontId="33" fillId="0" borderId="0"/>
    <xf numFmtId="0" fontId="32" fillId="0" borderId="0"/>
    <xf numFmtId="43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31" fillId="4" borderId="20" applyNumberFormat="0" applyFont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4" borderId="20" applyNumberFormat="0" applyFont="0" applyAlignment="0" applyProtection="0"/>
    <xf numFmtId="0" fontId="30" fillId="0" borderId="0"/>
    <xf numFmtId="0" fontId="29" fillId="0" borderId="0"/>
    <xf numFmtId="0" fontId="28" fillId="0" borderId="0"/>
    <xf numFmtId="0" fontId="27" fillId="0" borderId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4" borderId="20" applyNumberFormat="0" applyFont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4" borderId="20" applyNumberFormat="0" applyFont="0" applyAlignment="0" applyProtection="0"/>
    <xf numFmtId="0" fontId="27" fillId="4" borderId="20" applyNumberFormat="0" applyFont="0" applyAlignment="0" applyProtection="0"/>
    <xf numFmtId="0" fontId="27" fillId="4" borderId="20" applyNumberFormat="0" applyFont="0" applyAlignment="0" applyProtection="0"/>
    <xf numFmtId="43" fontId="27" fillId="0" borderId="0" applyFont="0" applyFill="0" applyBorder="0" applyAlignment="0" applyProtection="0"/>
    <xf numFmtId="0" fontId="27" fillId="4" borderId="20" applyNumberFormat="0" applyFont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27" fillId="4" borderId="20" applyNumberFormat="0" applyFont="0" applyAlignment="0" applyProtection="0"/>
    <xf numFmtId="0" fontId="27" fillId="0" borderId="0"/>
    <xf numFmtId="43" fontId="27" fillId="0" borderId="0" applyFont="0" applyFill="0" applyBorder="0" applyAlignment="0" applyProtection="0"/>
    <xf numFmtId="0" fontId="27" fillId="4" borderId="20" applyNumberFormat="0" applyFont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4" borderId="20" applyNumberFormat="0" applyFont="0" applyAlignment="0" applyProtection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4" borderId="20" applyNumberFormat="0" applyFont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4" borderId="20" applyNumberFormat="0" applyFont="0" applyAlignment="0" applyProtection="0"/>
    <xf numFmtId="0" fontId="10" fillId="4" borderId="20" applyNumberFormat="0" applyFont="0" applyAlignment="0" applyProtection="0"/>
    <xf numFmtId="0" fontId="10" fillId="4" borderId="20" applyNumberFormat="0" applyFont="0" applyAlignment="0" applyProtection="0"/>
    <xf numFmtId="43" fontId="10" fillId="0" borderId="0" applyFont="0" applyFill="0" applyBorder="0" applyAlignment="0" applyProtection="0"/>
    <xf numFmtId="0" fontId="10" fillId="4" borderId="20" applyNumberFormat="0" applyFont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4" borderId="20" applyNumberFormat="0" applyFont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4" borderId="20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4" borderId="20" applyNumberFormat="0" applyFont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4" borderId="20" applyNumberFormat="0" applyFont="0" applyAlignment="0" applyProtection="0"/>
    <xf numFmtId="0" fontId="10" fillId="4" borderId="20" applyNumberFormat="0" applyFont="0" applyAlignment="0" applyProtection="0"/>
    <xf numFmtId="0" fontId="10" fillId="4" borderId="20" applyNumberFormat="0" applyFont="0" applyAlignment="0" applyProtection="0"/>
    <xf numFmtId="43" fontId="10" fillId="0" borderId="0" applyFont="0" applyFill="0" applyBorder="0" applyAlignment="0" applyProtection="0"/>
    <xf numFmtId="0" fontId="10" fillId="4" borderId="20" applyNumberFormat="0" applyFont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4" borderId="20" applyNumberFormat="0" applyFont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4" borderId="20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4" borderId="20" applyNumberFormat="0" applyFont="0" applyAlignment="0" applyProtection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9" fillId="0" borderId="0"/>
    <xf numFmtId="0" fontId="8" fillId="0" borderId="0"/>
    <xf numFmtId="0" fontId="7" fillId="0" borderId="0"/>
    <xf numFmtId="0" fontId="73" fillId="15" borderId="39" applyNumberFormat="0" applyAlignment="0" applyProtection="0"/>
  </cellStyleXfs>
  <cellXfs count="576">
    <xf numFmtId="0" fontId="0" fillId="0" borderId="0" xfId="0"/>
    <xf numFmtId="0" fontId="36" fillId="0" borderId="0" xfId="0" applyFont="1"/>
    <xf numFmtId="0" fontId="0" fillId="0" borderId="1" xfId="0" applyBorder="1"/>
    <xf numFmtId="165" fontId="0" fillId="0" borderId="0" xfId="0" applyNumberFormat="1"/>
    <xf numFmtId="167" fontId="40" fillId="0" borderId="1" xfId="228" applyNumberFormat="1" applyFont="1" applyBorder="1" applyAlignment="1">
      <alignment horizontal="center" vertical="center"/>
    </xf>
    <xf numFmtId="0" fontId="36" fillId="0" borderId="1" xfId="0" applyFont="1" applyBorder="1"/>
    <xf numFmtId="44" fontId="40" fillId="3" borderId="1" xfId="2" applyFont="1" applyFill="1" applyBorder="1" applyAlignment="1">
      <alignment horizontal="center" vertical="center"/>
    </xf>
    <xf numFmtId="168" fontId="40" fillId="0" borderId="1" xfId="1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3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6" fillId="0" borderId="3" xfId="0" applyFont="1" applyBorder="1"/>
    <xf numFmtId="0" fontId="36" fillId="0" borderId="7" xfId="0" applyFont="1" applyBorder="1"/>
    <xf numFmtId="0" fontId="36" fillId="0" borderId="11" xfId="0" applyFont="1" applyBorder="1"/>
    <xf numFmtId="0" fontId="38" fillId="2" borderId="5" xfId="4" applyFont="1" applyFill="1" applyBorder="1" applyAlignment="1">
      <alignment horizontal="center" vertical="center"/>
    </xf>
    <xf numFmtId="0" fontId="39" fillId="2" borderId="12" xfId="4" applyFont="1" applyFill="1" applyBorder="1" applyAlignment="1">
      <alignment horizontal="center" vertical="center"/>
    </xf>
    <xf numFmtId="0" fontId="39" fillId="2" borderId="6" xfId="4" applyFont="1" applyFill="1" applyBorder="1" applyAlignment="1">
      <alignment horizontal="center" vertical="center"/>
    </xf>
    <xf numFmtId="3" fontId="36" fillId="0" borderId="7" xfId="3" applyNumberFormat="1" applyFont="1" applyFill="1" applyBorder="1" applyAlignment="1">
      <alignment horizontal="left" vertical="center"/>
    </xf>
    <xf numFmtId="169" fontId="40" fillId="3" borderId="1" xfId="1" applyNumberFormat="1" applyFont="1" applyFill="1" applyBorder="1" applyAlignment="1">
      <alignment horizontal="right" vertical="center"/>
    </xf>
    <xf numFmtId="44" fontId="40" fillId="3" borderId="8" xfId="2" applyFont="1" applyFill="1" applyBorder="1" applyAlignment="1">
      <alignment horizontal="center" vertical="center"/>
    </xf>
    <xf numFmtId="172" fontId="40" fillId="0" borderId="1" xfId="228" applyNumberFormat="1" applyFont="1" applyBorder="1" applyAlignment="1">
      <alignment horizontal="center" vertical="center"/>
    </xf>
    <xf numFmtId="3" fontId="37" fillId="0" borderId="13" xfId="3" applyNumberFormat="1" applyFont="1" applyFill="1" applyBorder="1" applyAlignment="1">
      <alignment horizontal="left" vertical="center"/>
    </xf>
    <xf numFmtId="0" fontId="0" fillId="0" borderId="14" xfId="0" applyBorder="1"/>
    <xf numFmtId="172" fontId="40" fillId="0" borderId="14" xfId="228" applyNumberFormat="1" applyFont="1" applyBorder="1" applyAlignment="1">
      <alignment horizontal="center" vertical="center"/>
    </xf>
    <xf numFmtId="168" fontId="40" fillId="0" borderId="14" xfId="1" applyNumberFormat="1" applyFont="1" applyFill="1" applyBorder="1" applyAlignment="1">
      <alignment horizontal="center" vertical="center"/>
    </xf>
    <xf numFmtId="44" fontId="40" fillId="3" borderId="14" xfId="2" applyFont="1" applyFill="1" applyBorder="1" applyAlignment="1">
      <alignment horizontal="center" vertical="center"/>
    </xf>
    <xf numFmtId="44" fontId="40" fillId="3" borderId="15" xfId="2" applyFont="1" applyFill="1" applyBorder="1" applyAlignment="1">
      <alignment horizontal="center" vertical="center"/>
    </xf>
    <xf numFmtId="3" fontId="43" fillId="0" borderId="16" xfId="3" applyNumberFormat="1" applyFont="1" applyFill="1" applyBorder="1" applyAlignment="1">
      <alignment horizontal="center" vertical="center"/>
    </xf>
    <xf numFmtId="0" fontId="0" fillId="0" borderId="17" xfId="0" applyBorder="1"/>
    <xf numFmtId="172" fontId="40" fillId="0" borderId="17" xfId="228" applyNumberFormat="1" applyFont="1" applyBorder="1" applyAlignment="1">
      <alignment horizontal="center" vertical="center"/>
    </xf>
    <xf numFmtId="168" fontId="40" fillId="0" borderId="17" xfId="1" applyNumberFormat="1" applyFont="1" applyFill="1" applyBorder="1" applyAlignment="1">
      <alignment horizontal="center" vertical="center"/>
    </xf>
    <xf numFmtId="169" fontId="40" fillId="3" borderId="17" xfId="1" applyNumberFormat="1" applyFont="1" applyFill="1" applyBorder="1" applyAlignment="1">
      <alignment horizontal="right" vertical="center"/>
    </xf>
    <xf numFmtId="44" fontId="40" fillId="3" borderId="17" xfId="2" applyFont="1" applyFill="1" applyBorder="1" applyAlignment="1">
      <alignment horizontal="center" vertical="center"/>
    </xf>
    <xf numFmtId="44" fontId="44" fillId="3" borderId="18" xfId="2" applyFont="1" applyFill="1" applyBorder="1" applyAlignment="1">
      <alignment horizontal="center" vertical="center"/>
    </xf>
    <xf numFmtId="0" fontId="45" fillId="0" borderId="0" xfId="0" applyFont="1"/>
    <xf numFmtId="0" fontId="36" fillId="0" borderId="19" xfId="0" applyFont="1" applyBorder="1" applyAlignment="1">
      <alignment horizontal="center"/>
    </xf>
    <xf numFmtId="44" fontId="46" fillId="0" borderId="0" xfId="0" applyNumberFormat="1" applyFont="1"/>
    <xf numFmtId="0" fontId="48" fillId="0" borderId="0" xfId="0" applyFont="1" applyAlignment="1">
      <alignment horizontal="center" wrapText="1"/>
    </xf>
    <xf numFmtId="49" fontId="36" fillId="0" borderId="0" xfId="0" applyNumberFormat="1" applyFont="1" applyAlignment="1">
      <alignment horizontal="left" vertical="center"/>
    </xf>
    <xf numFmtId="0" fontId="33" fillId="0" borderId="0" xfId="0" applyFont="1"/>
    <xf numFmtId="1" fontId="0" fillId="0" borderId="1" xfId="0" applyNumberFormat="1" applyBorder="1"/>
    <xf numFmtId="170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  <xf numFmtId="0" fontId="42" fillId="0" borderId="0" xfId="0" applyFont="1"/>
    <xf numFmtId="167" fontId="42" fillId="0" borderId="0" xfId="228" applyNumberFormat="1" applyFont="1" applyAlignment="1">
      <alignment horizontal="center" vertical="center"/>
    </xf>
    <xf numFmtId="0" fontId="36" fillId="3" borderId="0" xfId="0" applyFont="1" applyFill="1" applyAlignment="1">
      <alignment horizontal="center"/>
    </xf>
    <xf numFmtId="0" fontId="0" fillId="3" borderId="0" xfId="0" applyFill="1"/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center" vertical="center"/>
    </xf>
    <xf numFmtId="0" fontId="42" fillId="0" borderId="5" xfId="0" applyFont="1" applyBorder="1"/>
    <xf numFmtId="0" fontId="42" fillId="0" borderId="12" xfId="0" applyFont="1" applyBorder="1"/>
    <xf numFmtId="0" fontId="42" fillId="0" borderId="6" xfId="0" applyFont="1" applyBorder="1"/>
    <xf numFmtId="0" fontId="42" fillId="0" borderId="29" xfId="0" applyFont="1" applyBorder="1"/>
    <xf numFmtId="43" fontId="42" fillId="0" borderId="0" xfId="1" applyFont="1" applyBorder="1"/>
    <xf numFmtId="43" fontId="42" fillId="0" borderId="0" xfId="1" applyFont="1" applyFill="1" applyBorder="1" applyAlignment="1">
      <alignment horizontal="left"/>
    </xf>
    <xf numFmtId="43" fontId="42" fillId="0" borderId="0" xfId="1" applyFont="1" applyFill="1" applyBorder="1"/>
    <xf numFmtId="175" fontId="42" fillId="0" borderId="0" xfId="0" applyNumberFormat="1" applyFont="1"/>
    <xf numFmtId="0" fontId="42" fillId="0" borderId="27" xfId="0" applyFont="1" applyBorder="1"/>
    <xf numFmtId="175" fontId="59" fillId="0" borderId="0" xfId="2" applyNumberFormat="1" applyFont="1" applyFill="1" applyBorder="1"/>
    <xf numFmtId="0" fontId="42" fillId="7" borderId="9" xfId="0" applyFont="1" applyFill="1" applyBorder="1"/>
    <xf numFmtId="0" fontId="42" fillId="7" borderId="30" xfId="0" applyFont="1" applyFill="1" applyBorder="1"/>
    <xf numFmtId="175" fontId="59" fillId="7" borderId="30" xfId="0" applyNumberFormat="1" applyFont="1" applyFill="1" applyBorder="1"/>
    <xf numFmtId="175" fontId="59" fillId="7" borderId="10" xfId="0" applyNumberFormat="1" applyFont="1" applyFill="1" applyBorder="1"/>
    <xf numFmtId="43" fontId="42" fillId="0" borderId="29" xfId="1" applyFont="1" applyBorder="1"/>
    <xf numFmtId="44" fontId="59" fillId="0" borderId="0" xfId="2" applyFont="1" applyBorder="1"/>
    <xf numFmtId="175" fontId="59" fillId="0" borderId="29" xfId="2" applyNumberFormat="1" applyFont="1" applyBorder="1"/>
    <xf numFmtId="0" fontId="59" fillId="7" borderId="9" xfId="0" applyFont="1" applyFill="1" applyBorder="1" applyAlignment="1">
      <alignment horizontal="center"/>
    </xf>
    <xf numFmtId="0" fontId="59" fillId="7" borderId="30" xfId="0" applyFont="1" applyFill="1" applyBorder="1" applyAlignment="1">
      <alignment horizontal="center"/>
    </xf>
    <xf numFmtId="0" fontId="59" fillId="7" borderId="30" xfId="0" applyFont="1" applyFill="1" applyBorder="1" applyAlignment="1">
      <alignment horizontal="center" vertical="center"/>
    </xf>
    <xf numFmtId="175" fontId="59" fillId="7" borderId="30" xfId="0" applyNumberFormat="1" applyFont="1" applyFill="1" applyBorder="1" applyAlignment="1">
      <alignment horizontal="center" vertical="center"/>
    </xf>
    <xf numFmtId="43" fontId="59" fillId="7" borderId="30" xfId="0" applyNumberFormat="1" applyFont="1" applyFill="1" applyBorder="1"/>
    <xf numFmtId="0" fontId="59" fillId="7" borderId="10" xfId="0" applyFont="1" applyFill="1" applyBorder="1" applyAlignment="1">
      <alignment horizontal="center" vertical="center"/>
    </xf>
    <xf numFmtId="0" fontId="59" fillId="0" borderId="27" xfId="0" applyFont="1" applyBorder="1" applyAlignment="1">
      <alignment horizontal="center" vertical="center"/>
    </xf>
    <xf numFmtId="4" fontId="42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vertical="center"/>
    </xf>
    <xf numFmtId="0" fontId="28" fillId="0" borderId="0" xfId="0" applyFont="1"/>
    <xf numFmtId="169" fontId="28" fillId="0" borderId="0" xfId="0" applyNumberFormat="1" applyFont="1"/>
    <xf numFmtId="44" fontId="28" fillId="0" borderId="0" xfId="0" applyNumberFormat="1" applyFont="1"/>
    <xf numFmtId="0" fontId="36" fillId="0" borderId="0" xfId="299" applyFont="1" applyAlignment="1">
      <alignment horizontal="center"/>
    </xf>
    <xf numFmtId="0" fontId="30" fillId="0" borderId="0" xfId="299" applyAlignment="1">
      <alignment horizontal="center"/>
    </xf>
    <xf numFmtId="0" fontId="41" fillId="0" borderId="0" xfId="299" applyFont="1"/>
    <xf numFmtId="0" fontId="28" fillId="0" borderId="0" xfId="301"/>
    <xf numFmtId="0" fontId="36" fillId="0" borderId="0" xfId="301" applyFont="1" applyAlignment="1">
      <alignment horizontal="center"/>
    </xf>
    <xf numFmtId="0" fontId="48" fillId="0" borderId="0" xfId="301" applyFont="1" applyAlignment="1">
      <alignment horizontal="center" wrapText="1"/>
    </xf>
    <xf numFmtId="0" fontId="48" fillId="0" borderId="0" xfId="301" applyFont="1" applyAlignment="1">
      <alignment horizontal="center"/>
    </xf>
    <xf numFmtId="0" fontId="47" fillId="0" borderId="0" xfId="301" applyFont="1" applyAlignment="1">
      <alignment horizontal="left" vertical="center" wrapText="1" indent="1"/>
    </xf>
    <xf numFmtId="0" fontId="27" fillId="0" borderId="0" xfId="0" applyFont="1"/>
    <xf numFmtId="44" fontId="0" fillId="0" borderId="0" xfId="304" applyFont="1"/>
    <xf numFmtId="44" fontId="27" fillId="0" borderId="0" xfId="304" applyFont="1"/>
    <xf numFmtId="168" fontId="59" fillId="7" borderId="30" xfId="1" applyNumberFormat="1" applyFont="1" applyFill="1" applyBorder="1" applyAlignment="1">
      <alignment horizontal="center" vertical="center"/>
    </xf>
    <xf numFmtId="167" fontId="59" fillId="7" borderId="30" xfId="1" applyNumberFormat="1" applyFont="1" applyFill="1" applyBorder="1" applyAlignment="1">
      <alignment horizontal="center" vertical="center"/>
    </xf>
    <xf numFmtId="171" fontId="42" fillId="0" borderId="0" xfId="1" applyNumberFormat="1" applyFont="1" applyFill="1" applyBorder="1" applyAlignment="1">
      <alignment horizontal="right"/>
    </xf>
    <xf numFmtId="0" fontId="36" fillId="0" borderId="14" xfId="0" applyFont="1" applyBorder="1" applyAlignment="1">
      <alignment horizontal="center"/>
    </xf>
    <xf numFmtId="0" fontId="42" fillId="0" borderId="1" xfId="435" applyFont="1" applyBorder="1"/>
    <xf numFmtId="0" fontId="26" fillId="0" borderId="0" xfId="0" applyFont="1"/>
    <xf numFmtId="44" fontId="26" fillId="0" borderId="0" xfId="0" applyNumberFormat="1" applyFont="1"/>
    <xf numFmtId="0" fontId="42" fillId="0" borderId="0" xfId="430" applyFont="1"/>
    <xf numFmtId="166" fontId="61" fillId="0" borderId="0" xfId="430" applyNumberFormat="1" applyFont="1" applyAlignment="1">
      <alignment horizontal="left" vertical="center"/>
    </xf>
    <xf numFmtId="0" fontId="42" fillId="0" borderId="0" xfId="430" applyFont="1" applyAlignment="1">
      <alignment horizontal="center"/>
    </xf>
    <xf numFmtId="44" fontId="42" fillId="0" borderId="0" xfId="430" applyNumberFormat="1" applyFont="1" applyAlignment="1">
      <alignment horizontal="right"/>
    </xf>
    <xf numFmtId="0" fontId="42" fillId="0" borderId="0" xfId="430" applyFont="1" applyAlignment="1">
      <alignment vertical="center"/>
    </xf>
    <xf numFmtId="168" fontId="58" fillId="0" borderId="0" xfId="438" applyNumberFormat="1" applyFont="1" applyFill="1" applyBorder="1" applyAlignment="1">
      <alignment horizontal="center" vertical="center"/>
    </xf>
    <xf numFmtId="169" fontId="58" fillId="0" borderId="0" xfId="438" applyNumberFormat="1" applyFont="1" applyFill="1" applyBorder="1" applyAlignment="1">
      <alignment horizontal="center" vertical="center"/>
    </xf>
    <xf numFmtId="44" fontId="58" fillId="0" borderId="0" xfId="438" applyNumberFormat="1" applyFont="1" applyFill="1" applyBorder="1" applyAlignment="1">
      <alignment horizontal="right" vertical="center"/>
    </xf>
    <xf numFmtId="44" fontId="58" fillId="0" borderId="0" xfId="439" applyFont="1" applyFill="1" applyBorder="1" applyAlignment="1">
      <alignment horizontal="center" vertical="center"/>
    </xf>
    <xf numFmtId="3" fontId="58" fillId="0" borderId="25" xfId="430" applyNumberFormat="1" applyFont="1" applyBorder="1" applyAlignment="1">
      <alignment horizontal="center" vertical="center" wrapText="1"/>
    </xf>
    <xf numFmtId="167" fontId="58" fillId="0" borderId="25" xfId="228" applyNumberFormat="1" applyFont="1" applyBorder="1" applyAlignment="1">
      <alignment horizontal="center" vertical="center"/>
    </xf>
    <xf numFmtId="168" fontId="58" fillId="0" borderId="25" xfId="438" applyNumberFormat="1" applyFont="1" applyFill="1" applyBorder="1" applyAlignment="1">
      <alignment horizontal="center" vertical="center"/>
    </xf>
    <xf numFmtId="169" fontId="58" fillId="0" borderId="25" xfId="439" applyNumberFormat="1" applyFont="1" applyFill="1" applyBorder="1" applyAlignment="1">
      <alignment horizontal="center" vertical="center"/>
    </xf>
    <xf numFmtId="44" fontId="58" fillId="0" borderId="25" xfId="438" applyNumberFormat="1" applyFont="1" applyFill="1" applyBorder="1" applyAlignment="1">
      <alignment horizontal="right" vertical="center"/>
    </xf>
    <xf numFmtId="170" fontId="58" fillId="0" borderId="25" xfId="439" applyNumberFormat="1" applyFont="1" applyFill="1" applyBorder="1" applyAlignment="1">
      <alignment horizontal="center" vertical="center"/>
    </xf>
    <xf numFmtId="169" fontId="58" fillId="0" borderId="0" xfId="439" applyNumberFormat="1" applyFont="1" applyFill="1" applyBorder="1" applyAlignment="1">
      <alignment horizontal="center" vertical="center"/>
    </xf>
    <xf numFmtId="170" fontId="58" fillId="0" borderId="0" xfId="439" applyNumberFormat="1" applyFont="1" applyFill="1" applyBorder="1" applyAlignment="1">
      <alignment horizontal="center" vertical="center"/>
    </xf>
    <xf numFmtId="3" fontId="42" fillId="0" borderId="0" xfId="430" applyNumberFormat="1" applyFont="1" applyAlignment="1">
      <alignment horizontal="center" vertical="center" wrapText="1"/>
    </xf>
    <xf numFmtId="168" fontId="42" fillId="0" borderId="0" xfId="440" applyNumberFormat="1" applyFont="1" applyFill="1" applyBorder="1" applyAlignment="1">
      <alignment horizontal="center" vertical="center"/>
    </xf>
    <xf numFmtId="169" fontId="42" fillId="0" borderId="0" xfId="438" applyNumberFormat="1" applyFont="1" applyFill="1" applyBorder="1" applyAlignment="1">
      <alignment horizontal="center" vertical="center"/>
    </xf>
    <xf numFmtId="174" fontId="42" fillId="0" borderId="0" xfId="438" applyNumberFormat="1" applyFont="1" applyFill="1" applyBorder="1" applyAlignment="1">
      <alignment horizontal="center" vertical="center"/>
    </xf>
    <xf numFmtId="165" fontId="42" fillId="0" borderId="0" xfId="430" applyNumberFormat="1" applyFont="1"/>
    <xf numFmtId="44" fontId="42" fillId="0" borderId="0" xfId="430" applyNumberFormat="1" applyFont="1"/>
    <xf numFmtId="169" fontId="42" fillId="9" borderId="0" xfId="441" applyNumberFormat="1" applyFont="1" applyFill="1" applyBorder="1" applyAlignment="1">
      <alignment horizontal="center" vertical="center"/>
    </xf>
    <xf numFmtId="169" fontId="42" fillId="0" borderId="0" xfId="441" applyNumberFormat="1" applyFont="1" applyFill="1" applyBorder="1" applyAlignment="1">
      <alignment horizontal="center" vertical="center"/>
    </xf>
    <xf numFmtId="174" fontId="42" fillId="0" borderId="0" xfId="441" applyNumberFormat="1" applyFont="1" applyFill="1" applyBorder="1" applyAlignment="1">
      <alignment horizontal="center" vertical="center"/>
    </xf>
    <xf numFmtId="44" fontId="42" fillId="9" borderId="0" xfId="439" applyFont="1" applyFill="1" applyBorder="1" applyAlignment="1">
      <alignment horizontal="center" vertical="center"/>
    </xf>
    <xf numFmtId="44" fontId="42" fillId="0" borderId="0" xfId="442" applyFont="1" applyFill="1" applyBorder="1" applyAlignment="1">
      <alignment horizontal="center" vertical="center"/>
    </xf>
    <xf numFmtId="0" fontId="60" fillId="0" borderId="0" xfId="430" applyFont="1" applyAlignment="1">
      <alignment horizontal="center"/>
    </xf>
    <xf numFmtId="44" fontId="42" fillId="0" borderId="0" xfId="439" applyFont="1" applyFill="1" applyBorder="1" applyAlignment="1">
      <alignment horizontal="center" vertical="center"/>
    </xf>
    <xf numFmtId="0" fontId="42" fillId="3" borderId="0" xfId="430" applyFont="1" applyFill="1" applyAlignment="1">
      <alignment vertical="center"/>
    </xf>
    <xf numFmtId="0" fontId="42" fillId="6" borderId="24" xfId="430" applyFont="1" applyFill="1" applyBorder="1" applyAlignment="1">
      <alignment vertical="center"/>
    </xf>
    <xf numFmtId="43" fontId="42" fillId="6" borderId="24" xfId="438" applyFont="1" applyFill="1" applyBorder="1" applyAlignment="1">
      <alignment horizontal="left" vertical="center"/>
    </xf>
    <xf numFmtId="43" fontId="42" fillId="6" borderId="24" xfId="438" applyFont="1" applyFill="1" applyBorder="1" applyAlignment="1">
      <alignment horizontal="right" vertical="center"/>
    </xf>
    <xf numFmtId="168" fontId="42" fillId="0" borderId="0" xfId="438" applyNumberFormat="1" applyFont="1" applyFill="1" applyBorder="1" applyAlignment="1">
      <alignment horizontal="center" vertical="center"/>
    </xf>
    <xf numFmtId="169" fontId="42" fillId="0" borderId="0" xfId="439" applyNumberFormat="1" applyFont="1" applyFill="1" applyBorder="1" applyAlignment="1">
      <alignment horizontal="center" vertical="center"/>
    </xf>
    <xf numFmtId="170" fontId="42" fillId="0" borderId="0" xfId="438" applyNumberFormat="1" applyFont="1" applyFill="1" applyBorder="1" applyAlignment="1">
      <alignment horizontal="center" vertical="center"/>
    </xf>
    <xf numFmtId="44" fontId="42" fillId="9" borderId="0" xfId="438" applyNumberFormat="1" applyFont="1" applyFill="1" applyBorder="1" applyAlignment="1">
      <alignment horizontal="center" vertical="center"/>
    </xf>
    <xf numFmtId="0" fontId="42" fillId="6" borderId="2" xfId="430" applyFont="1" applyFill="1" applyBorder="1" applyAlignment="1">
      <alignment vertical="center"/>
    </xf>
    <xf numFmtId="43" fontId="42" fillId="6" borderId="2" xfId="438" applyFont="1" applyFill="1" applyBorder="1" applyAlignment="1">
      <alignment horizontal="left" vertical="center"/>
    </xf>
    <xf numFmtId="4" fontId="42" fillId="6" borderId="2" xfId="438" applyNumberFormat="1" applyFont="1" applyFill="1" applyBorder="1" applyAlignment="1">
      <alignment horizontal="center" vertical="center"/>
    </xf>
    <xf numFmtId="43" fontId="42" fillId="6" borderId="2" xfId="438" applyFont="1" applyFill="1" applyBorder="1" applyAlignment="1">
      <alignment horizontal="right" vertical="center"/>
    </xf>
    <xf numFmtId="43" fontId="59" fillId="6" borderId="24" xfId="438" applyFont="1" applyFill="1" applyBorder="1" applyAlignment="1">
      <alignment horizontal="left" vertical="center"/>
    </xf>
    <xf numFmtId="167" fontId="59" fillId="6" borderId="24" xfId="438" applyNumberFormat="1" applyFont="1" applyFill="1" applyBorder="1" applyAlignment="1">
      <alignment horizontal="center" vertical="center"/>
    </xf>
    <xf numFmtId="169" fontId="59" fillId="6" borderId="24" xfId="438" applyNumberFormat="1" applyFont="1" applyFill="1" applyBorder="1" applyAlignment="1">
      <alignment horizontal="center" vertical="center"/>
    </xf>
    <xf numFmtId="174" fontId="59" fillId="6" borderId="24" xfId="438" applyNumberFormat="1" applyFont="1" applyFill="1" applyBorder="1" applyAlignment="1">
      <alignment horizontal="center" vertical="center"/>
    </xf>
    <xf numFmtId="170" fontId="42" fillId="0" borderId="0" xfId="439" applyNumberFormat="1" applyFont="1" applyFill="1" applyBorder="1" applyAlignment="1">
      <alignment horizontal="center" vertical="center"/>
    </xf>
    <xf numFmtId="169" fontId="59" fillId="0" borderId="0" xfId="438" applyNumberFormat="1" applyFont="1" applyFill="1" applyBorder="1" applyAlignment="1">
      <alignment horizontal="center" vertical="center"/>
    </xf>
    <xf numFmtId="170" fontId="42" fillId="0" borderId="0" xfId="430" applyNumberFormat="1" applyFont="1"/>
    <xf numFmtId="44" fontId="42" fillId="0" borderId="0" xfId="430" applyNumberFormat="1" applyFont="1" applyAlignment="1">
      <alignment horizontal="center"/>
    </xf>
    <xf numFmtId="0" fontId="42" fillId="0" borderId="0" xfId="430" applyFont="1" applyAlignment="1">
      <alignment horizontal="left" indent="2"/>
    </xf>
    <xf numFmtId="0" fontId="42" fillId="0" borderId="0" xfId="430" applyFont="1" applyAlignment="1">
      <alignment horizontal="left"/>
    </xf>
    <xf numFmtId="3" fontId="0" fillId="0" borderId="6" xfId="0" applyNumberFormat="1" applyBorder="1"/>
    <xf numFmtId="0" fontId="36" fillId="0" borderId="4" xfId="430" applyFont="1" applyBorder="1"/>
    <xf numFmtId="0" fontId="27" fillId="0" borderId="0" xfId="430"/>
    <xf numFmtId="0" fontId="65" fillId="0" borderId="0" xfId="0" applyFont="1" applyAlignment="1">
      <alignment vertical="center"/>
    </xf>
    <xf numFmtId="174" fontId="59" fillId="0" borderId="0" xfId="438" applyNumberFormat="1" applyFont="1" applyFill="1" applyBorder="1" applyAlignment="1">
      <alignment horizontal="center" vertical="center"/>
    </xf>
    <xf numFmtId="170" fontId="59" fillId="6" borderId="0" xfId="430" applyNumberFormat="1" applyFont="1" applyFill="1" applyAlignment="1">
      <alignment vertical="center"/>
    </xf>
    <xf numFmtId="0" fontId="59" fillId="0" borderId="0" xfId="430" applyFont="1" applyAlignment="1">
      <alignment vertical="center"/>
    </xf>
    <xf numFmtId="0" fontId="59" fillId="6" borderId="24" xfId="430" applyFont="1" applyFill="1" applyBorder="1" applyAlignment="1">
      <alignment vertical="center"/>
    </xf>
    <xf numFmtId="44" fontId="59" fillId="6" borderId="0" xfId="430" applyNumberFormat="1" applyFont="1" applyFill="1" applyAlignment="1">
      <alignment vertical="center"/>
    </xf>
    <xf numFmtId="168" fontId="59" fillId="6" borderId="2" xfId="438" applyNumberFormat="1" applyFont="1" applyFill="1" applyBorder="1" applyAlignment="1">
      <alignment horizontal="center" vertical="center"/>
    </xf>
    <xf numFmtId="174" fontId="59" fillId="6" borderId="2" xfId="438" applyNumberFormat="1" applyFont="1" applyFill="1" applyBorder="1" applyAlignment="1">
      <alignment horizontal="center" vertical="center"/>
    </xf>
    <xf numFmtId="170" fontId="59" fillId="0" borderId="0" xfId="430" applyNumberFormat="1" applyFont="1"/>
    <xf numFmtId="0" fontId="24" fillId="0" borderId="0" xfId="299" applyFont="1" applyAlignment="1">
      <alignment horizontal="left" indent="1"/>
    </xf>
    <xf numFmtId="168" fontId="42" fillId="0" borderId="0" xfId="430" applyNumberFormat="1" applyFont="1" applyAlignment="1">
      <alignment horizontal="center"/>
    </xf>
    <xf numFmtId="14" fontId="36" fillId="0" borderId="4" xfId="430" quotePrefix="1" applyNumberFormat="1" applyFont="1" applyBorder="1" applyAlignment="1">
      <alignment horizontal="left"/>
    </xf>
    <xf numFmtId="177" fontId="0" fillId="0" borderId="0" xfId="0" applyNumberFormat="1"/>
    <xf numFmtId="43" fontId="42" fillId="0" borderId="0" xfId="1" applyFont="1"/>
    <xf numFmtId="3" fontId="58" fillId="6" borderId="24" xfId="430" applyNumberFormat="1" applyFont="1" applyFill="1" applyBorder="1" applyAlignment="1">
      <alignment horizontal="center" vertical="center" wrapText="1"/>
    </xf>
    <xf numFmtId="3" fontId="58" fillId="6" borderId="24" xfId="430" applyNumberFormat="1" applyFont="1" applyFill="1" applyBorder="1" applyAlignment="1">
      <alignment horizontal="left" vertical="center" wrapText="1"/>
    </xf>
    <xf numFmtId="167" fontId="58" fillId="6" borderId="24" xfId="228" applyNumberFormat="1" applyFont="1" applyFill="1" applyBorder="1" applyAlignment="1">
      <alignment horizontal="center" vertical="center"/>
    </xf>
    <xf numFmtId="168" fontId="58" fillId="6" borderId="24" xfId="438" applyNumberFormat="1" applyFont="1" applyFill="1" applyBorder="1" applyAlignment="1">
      <alignment horizontal="center" vertical="center"/>
    </xf>
    <xf numFmtId="169" fontId="58" fillId="6" borderId="24" xfId="439" applyNumberFormat="1" applyFont="1" applyFill="1" applyBorder="1" applyAlignment="1">
      <alignment horizontal="center" vertical="center"/>
    </xf>
    <xf numFmtId="44" fontId="58" fillId="6" borderId="24" xfId="438" applyNumberFormat="1" applyFont="1" applyFill="1" applyBorder="1" applyAlignment="1">
      <alignment horizontal="right" vertical="center"/>
    </xf>
    <xf numFmtId="170" fontId="58" fillId="6" borderId="24" xfId="439" applyNumberFormat="1" applyFont="1" applyFill="1" applyBorder="1" applyAlignment="1">
      <alignment horizontal="center" vertical="center"/>
    </xf>
    <xf numFmtId="44" fontId="42" fillId="9" borderId="0" xfId="438" applyNumberFormat="1" applyFont="1" applyFill="1" applyBorder="1" applyAlignment="1">
      <alignment horizontal="right" vertical="center"/>
    </xf>
    <xf numFmtId="0" fontId="42" fillId="0" borderId="27" xfId="0" applyFont="1" applyBorder="1" applyAlignment="1">
      <alignment horizontal="left"/>
    </xf>
    <xf numFmtId="0" fontId="42" fillId="0" borderId="0" xfId="0" applyFont="1" applyAlignment="1">
      <alignment vertical="center"/>
    </xf>
    <xf numFmtId="0" fontId="62" fillId="2" borderId="5" xfId="4" applyFont="1" applyFill="1" applyBorder="1" applyAlignment="1">
      <alignment horizontal="center" vertical="center"/>
    </xf>
    <xf numFmtId="0" fontId="62" fillId="2" borderId="12" xfId="4" applyFont="1" applyFill="1" applyBorder="1" applyAlignment="1">
      <alignment horizontal="center" vertical="center"/>
    </xf>
    <xf numFmtId="0" fontId="62" fillId="2" borderId="30" xfId="4" applyFont="1" applyFill="1" applyBorder="1" applyAlignment="1">
      <alignment vertical="center"/>
    </xf>
    <xf numFmtId="0" fontId="62" fillId="2" borderId="30" xfId="4" applyFont="1" applyFill="1" applyBorder="1" applyAlignment="1">
      <alignment horizontal="center" vertical="center"/>
    </xf>
    <xf numFmtId="0" fontId="62" fillId="2" borderId="6" xfId="4" applyFont="1" applyFill="1" applyBorder="1" applyAlignment="1">
      <alignment horizontal="center" vertical="center"/>
    </xf>
    <xf numFmtId="43" fontId="59" fillId="0" borderId="0" xfId="1" applyFont="1" applyFill="1"/>
    <xf numFmtId="9" fontId="67" fillId="0" borderId="0" xfId="443" applyFont="1" applyFill="1" applyBorder="1" applyAlignment="1">
      <alignment horizontal="center"/>
    </xf>
    <xf numFmtId="44" fontId="59" fillId="0" borderId="0" xfId="438" applyNumberFormat="1" applyFont="1" applyFill="1" applyBorder="1" applyAlignment="1">
      <alignment horizontal="right" vertical="center"/>
    </xf>
    <xf numFmtId="44" fontId="59" fillId="0" borderId="0" xfId="439" applyFont="1" applyFill="1" applyBorder="1" applyAlignment="1">
      <alignment horizontal="center" vertical="center"/>
    </xf>
    <xf numFmtId="43" fontId="42" fillId="0" borderId="0" xfId="1" applyFont="1" applyFill="1"/>
    <xf numFmtId="0" fontId="36" fillId="0" borderId="1" xfId="0" applyFont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4" fontId="0" fillId="0" borderId="0" xfId="0" applyNumberFormat="1"/>
    <xf numFmtId="0" fontId="68" fillId="11" borderId="0" xfId="0" applyFont="1" applyFill="1"/>
    <xf numFmtId="0" fontId="69" fillId="0" borderId="0" xfId="0" applyFont="1" applyAlignment="1">
      <alignment vertical="center"/>
    </xf>
    <xf numFmtId="0" fontId="70" fillId="0" borderId="0" xfId="0" applyFont="1" applyAlignment="1">
      <alignment horizontal="center" vertical="center" wrapText="1"/>
    </xf>
    <xf numFmtId="179" fontId="70" fillId="0" borderId="1" xfId="1" applyNumberFormat="1" applyFont="1" applyFill="1" applyBorder="1" applyAlignment="1">
      <alignment horizontal="center" vertical="center" wrapText="1"/>
    </xf>
    <xf numFmtId="43" fontId="70" fillId="0" borderId="1" xfId="1" applyFont="1" applyFill="1" applyBorder="1" applyAlignment="1">
      <alignment horizontal="center" vertical="center" wrapText="1"/>
    </xf>
    <xf numFmtId="0" fontId="69" fillId="0" borderId="1" xfId="0" applyFont="1" applyBorder="1" applyAlignment="1">
      <alignment vertical="center"/>
    </xf>
    <xf numFmtId="0" fontId="69" fillId="0" borderId="1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178" fontId="69" fillId="0" borderId="1" xfId="1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70" fillId="0" borderId="1" xfId="1" applyNumberFormat="1" applyFont="1" applyFill="1" applyBorder="1" applyAlignment="1">
      <alignment horizontal="center" vertical="center" wrapText="1"/>
    </xf>
    <xf numFmtId="4" fontId="69" fillId="0" borderId="1" xfId="1" applyNumberFormat="1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 vertical="center" wrapText="1"/>
    </xf>
    <xf numFmtId="0" fontId="36" fillId="13" borderId="26" xfId="0" applyFont="1" applyFill="1" applyBorder="1" applyAlignment="1">
      <alignment horizontal="center"/>
    </xf>
    <xf numFmtId="0" fontId="36" fillId="13" borderId="28" xfId="0" applyFont="1" applyFill="1" applyBorder="1" applyAlignment="1">
      <alignment horizontal="center"/>
    </xf>
    <xf numFmtId="0" fontId="36" fillId="13" borderId="1" xfId="0" applyFont="1" applyFill="1" applyBorder="1" applyAlignment="1">
      <alignment horizontal="center"/>
    </xf>
    <xf numFmtId="0" fontId="70" fillId="0" borderId="23" xfId="0" applyFont="1" applyBorder="1" applyAlignment="1">
      <alignment horizontal="center" vertical="center" wrapText="1"/>
    </xf>
    <xf numFmtId="0" fontId="70" fillId="0" borderId="22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9" fontId="42" fillId="9" borderId="0" xfId="438" applyNumberFormat="1" applyFont="1" applyFill="1" applyBorder="1" applyAlignment="1">
      <alignment horizontal="center" vertical="center"/>
    </xf>
    <xf numFmtId="0" fontId="13" fillId="0" borderId="1" xfId="458" applyBorder="1"/>
    <xf numFmtId="44" fontId="58" fillId="9" borderId="0" xfId="438" applyNumberFormat="1" applyFont="1" applyFill="1" applyBorder="1" applyAlignment="1">
      <alignment horizontal="center" vertical="center"/>
    </xf>
    <xf numFmtId="0" fontId="59" fillId="0" borderId="0" xfId="0" applyFont="1"/>
    <xf numFmtId="170" fontId="59" fillId="6" borderId="0" xfId="1" applyNumberFormat="1" applyFont="1" applyFill="1"/>
    <xf numFmtId="44" fontId="42" fillId="0" borderId="0" xfId="462" applyFont="1" applyFill="1" applyBorder="1"/>
    <xf numFmtId="43" fontId="42" fillId="0" borderId="0" xfId="461" applyFont="1" applyFill="1" applyBorder="1"/>
    <xf numFmtId="44" fontId="59" fillId="0" borderId="0" xfId="462" applyFont="1" applyFill="1" applyBorder="1"/>
    <xf numFmtId="0" fontId="42" fillId="0" borderId="0" xfId="460" applyFont="1"/>
    <xf numFmtId="0" fontId="69" fillId="0" borderId="1" xfId="0" applyFont="1" applyBorder="1" applyAlignment="1">
      <alignment horizontal="left" vertical="center"/>
    </xf>
    <xf numFmtId="169" fontId="42" fillId="0" borderId="0" xfId="430" applyNumberFormat="1" applyFont="1"/>
    <xf numFmtId="169" fontId="58" fillId="0" borderId="25" xfId="438" applyNumberFormat="1" applyFont="1" applyFill="1" applyBorder="1" applyAlignment="1">
      <alignment horizontal="center" vertical="center"/>
    </xf>
    <xf numFmtId="169" fontId="58" fillId="6" borderId="24" xfId="438" applyNumberFormat="1" applyFont="1" applyFill="1" applyBorder="1" applyAlignment="1">
      <alignment horizontal="center" vertical="center"/>
    </xf>
    <xf numFmtId="169" fontId="59" fillId="6" borderId="24" xfId="438" applyNumberFormat="1" applyFont="1" applyFill="1" applyBorder="1" applyAlignment="1">
      <alignment horizontal="left" vertical="center"/>
    </xf>
    <xf numFmtId="169" fontId="42" fillId="6" borderId="2" xfId="438" applyNumberFormat="1" applyFont="1" applyFill="1" applyBorder="1" applyAlignment="1">
      <alignment horizontal="left" vertical="center"/>
    </xf>
    <xf numFmtId="0" fontId="10" fillId="0" borderId="0" xfId="727" applyAlignment="1">
      <alignment horizontal="center"/>
    </xf>
    <xf numFmtId="0" fontId="36" fillId="0" borderId="0" xfId="727" applyFont="1"/>
    <xf numFmtId="0" fontId="10" fillId="0" borderId="0" xfId="727"/>
    <xf numFmtId="0" fontId="10" fillId="0" borderId="0" xfId="0" applyFont="1"/>
    <xf numFmtId="44" fontId="10" fillId="0" borderId="0" xfId="0" applyNumberFormat="1" applyFont="1"/>
    <xf numFmtId="0" fontId="70" fillId="12" borderId="1" xfId="0" applyFont="1" applyFill="1" applyBorder="1" applyAlignment="1">
      <alignment horizontal="center" vertical="center" wrapText="1"/>
    </xf>
    <xf numFmtId="0" fontId="70" fillId="12" borderId="31" xfId="0" applyFont="1" applyFill="1" applyBorder="1" applyAlignment="1">
      <alignment horizontal="center" vertical="center" wrapText="1"/>
    </xf>
    <xf numFmtId="0" fontId="36" fillId="13" borderId="0" xfId="0" applyFont="1" applyFill="1" applyAlignment="1">
      <alignment horizontal="center"/>
    </xf>
    <xf numFmtId="0" fontId="59" fillId="0" borderId="0" xfId="757" applyFont="1" applyAlignment="1">
      <alignment horizontal="center"/>
    </xf>
    <xf numFmtId="0" fontId="59" fillId="0" borderId="0" xfId="0" applyFont="1" applyAlignment="1">
      <alignment horizontal="center"/>
    </xf>
    <xf numFmtId="0" fontId="58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1" fontId="59" fillId="0" borderId="0" xfId="0" applyNumberFormat="1" applyFont="1" applyAlignment="1">
      <alignment horizontal="center"/>
    </xf>
    <xf numFmtId="0" fontId="63" fillId="0" borderId="0" xfId="458" applyFont="1" applyAlignment="1">
      <alignment horizontal="center"/>
    </xf>
    <xf numFmtId="0" fontId="59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0" xfId="458" applyFont="1"/>
    <xf numFmtId="1" fontId="42" fillId="0" borderId="0" xfId="0" applyNumberFormat="1" applyFont="1" applyAlignment="1">
      <alignment horizontal="center"/>
    </xf>
    <xf numFmtId="0" fontId="58" fillId="0" borderId="0" xfId="458" applyFont="1"/>
    <xf numFmtId="2" fontId="42" fillId="0" borderId="0" xfId="0" applyNumberFormat="1" applyFont="1"/>
    <xf numFmtId="176" fontId="42" fillId="0" borderId="0" xfId="0" applyNumberFormat="1" applyFont="1"/>
    <xf numFmtId="176" fontId="42" fillId="0" borderId="0" xfId="0" applyNumberFormat="1" applyFont="1" applyAlignment="1">
      <alignment horizontal="left"/>
    </xf>
    <xf numFmtId="1" fontId="42" fillId="0" borderId="0" xfId="0" applyNumberFormat="1" applyFont="1" applyAlignment="1">
      <alignment horizontal="center" vertical="center"/>
    </xf>
    <xf numFmtId="0" fontId="42" fillId="0" borderId="0" xfId="436" applyFont="1"/>
    <xf numFmtId="0" fontId="42" fillId="0" borderId="0" xfId="454" applyFont="1"/>
    <xf numFmtId="0" fontId="58" fillId="0" borderId="0" xfId="0" applyFont="1"/>
    <xf numFmtId="179" fontId="70" fillId="12" borderId="14" xfId="1" applyNumberFormat="1" applyFont="1" applyFill="1" applyBorder="1" applyAlignment="1">
      <alignment horizontal="center" vertical="center" wrapText="1"/>
    </xf>
    <xf numFmtId="43" fontId="70" fillId="12" borderId="14" xfId="1" applyFont="1" applyFill="1" applyBorder="1" applyAlignment="1">
      <alignment horizontal="center" vertical="center" wrapText="1"/>
    </xf>
    <xf numFmtId="4" fontId="70" fillId="12" borderId="14" xfId="1" applyNumberFormat="1" applyFont="1" applyFill="1" applyBorder="1" applyAlignment="1">
      <alignment horizontal="center" vertical="center" wrapText="1"/>
    </xf>
    <xf numFmtId="0" fontId="70" fillId="12" borderId="0" xfId="0" applyFont="1" applyFill="1" applyAlignment="1">
      <alignment horizontal="center" vertical="center" wrapText="1"/>
    </xf>
    <xf numFmtId="0" fontId="70" fillId="12" borderId="23" xfId="0" applyFont="1" applyFill="1" applyBorder="1" applyAlignment="1">
      <alignment horizontal="center" vertical="center" wrapText="1"/>
    </xf>
    <xf numFmtId="0" fontId="71" fillId="0" borderId="32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59" fillId="0" borderId="1" xfId="457" applyFont="1" applyBorder="1" applyAlignment="1">
      <alignment horizontal="left" vertical="center"/>
    </xf>
    <xf numFmtId="0" fontId="69" fillId="0" borderId="31" xfId="0" applyFont="1" applyBorder="1" applyAlignment="1">
      <alignment vertical="center"/>
    </xf>
    <xf numFmtId="43" fontId="70" fillId="0" borderId="1" xfId="0" applyNumberFormat="1" applyFont="1" applyBorder="1" applyAlignment="1">
      <alignment vertical="center"/>
    </xf>
    <xf numFmtId="0" fontId="69" fillId="0" borderId="23" xfId="0" applyFont="1" applyBorder="1" applyAlignment="1">
      <alignment vertical="center"/>
    </xf>
    <xf numFmtId="2" fontId="42" fillId="0" borderId="1" xfId="435" applyNumberFormat="1" applyFont="1" applyBorder="1"/>
    <xf numFmtId="39" fontId="69" fillId="0" borderId="1" xfId="1" applyNumberFormat="1" applyFont="1" applyFill="1" applyBorder="1" applyAlignment="1">
      <alignment vertical="center"/>
    </xf>
    <xf numFmtId="178" fontId="69" fillId="0" borderId="1" xfId="0" applyNumberFormat="1" applyFont="1" applyBorder="1" applyAlignment="1">
      <alignment vertical="center"/>
    </xf>
    <xf numFmtId="43" fontId="69" fillId="0" borderId="1" xfId="0" applyNumberFormat="1" applyFont="1" applyBorder="1" applyAlignment="1">
      <alignment vertical="center"/>
    </xf>
    <xf numFmtId="39" fontId="69" fillId="0" borderId="23" xfId="1" applyNumberFormat="1" applyFont="1" applyFill="1" applyBorder="1" applyAlignment="1">
      <alignment vertical="center"/>
    </xf>
    <xf numFmtId="0" fontId="13" fillId="0" borderId="1" xfId="458" applyBorder="1" applyAlignment="1">
      <alignment horizontal="center"/>
    </xf>
    <xf numFmtId="2" fontId="69" fillId="0" borderId="1" xfId="0" applyNumberFormat="1" applyFont="1" applyBorder="1" applyAlignment="1">
      <alignment vertical="center"/>
    </xf>
    <xf numFmtId="0" fontId="70" fillId="0" borderId="1" xfId="0" applyFont="1" applyBorder="1" applyAlignment="1">
      <alignment horizontal="left" vertical="center"/>
    </xf>
    <xf numFmtId="2" fontId="13" fillId="0" borderId="1" xfId="458" applyNumberFormat="1" applyBorder="1"/>
    <xf numFmtId="4" fontId="69" fillId="0" borderId="1" xfId="1" applyNumberFormat="1" applyFont="1" applyFill="1" applyBorder="1" applyAlignment="1">
      <alignment vertical="center"/>
    </xf>
    <xf numFmtId="0" fontId="70" fillId="0" borderId="1" xfId="0" applyFont="1" applyBorder="1" applyAlignment="1">
      <alignment horizontal="center" vertical="center"/>
    </xf>
    <xf numFmtId="0" fontId="70" fillId="8" borderId="1" xfId="0" applyFont="1" applyFill="1" applyBorder="1" applyAlignment="1">
      <alignment vertical="center"/>
    </xf>
    <xf numFmtId="4" fontId="42" fillId="0" borderId="22" xfId="0" applyNumberFormat="1" applyFont="1" applyBorder="1" applyAlignment="1">
      <alignment horizontal="center"/>
    </xf>
    <xf numFmtId="0" fontId="9" fillId="0" borderId="1" xfId="0" applyFont="1" applyBorder="1"/>
    <xf numFmtId="0" fontId="69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/>
    <xf numFmtId="0" fontId="70" fillId="10" borderId="1" xfId="0" applyFont="1" applyFill="1" applyBorder="1" applyAlignment="1">
      <alignment vertical="center"/>
    </xf>
    <xf numFmtId="2" fontId="0" fillId="0" borderId="1" xfId="0" applyNumberFormat="1" applyBorder="1"/>
    <xf numFmtId="0" fontId="70" fillId="3" borderId="0" xfId="0" applyFont="1" applyFill="1" applyAlignment="1">
      <alignment vertical="center"/>
    </xf>
    <xf numFmtId="0" fontId="70" fillId="3" borderId="1" xfId="0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0" xfId="0" applyFont="1" applyFill="1"/>
    <xf numFmtId="3" fontId="9" fillId="3" borderId="1" xfId="429" applyNumberFormat="1" applyFont="1" applyFill="1" applyBorder="1" applyAlignment="1" applyProtection="1">
      <alignment horizontal="center" vertical="center" wrapText="1"/>
    </xf>
    <xf numFmtId="3" fontId="9" fillId="3" borderId="0" xfId="429" applyNumberFormat="1" applyFont="1" applyFill="1" applyBorder="1" applyAlignment="1" applyProtection="1">
      <alignment horizontal="left" vertical="center" wrapText="1"/>
    </xf>
    <xf numFmtId="0" fontId="42" fillId="8" borderId="0" xfId="0" applyFont="1" applyFill="1"/>
    <xf numFmtId="169" fontId="58" fillId="9" borderId="0" xfId="438" applyNumberFormat="1" applyFont="1" applyFill="1" applyBorder="1" applyAlignment="1">
      <alignment horizontal="center" vertical="center"/>
    </xf>
    <xf numFmtId="44" fontId="58" fillId="9" borderId="0" xfId="438" applyNumberFormat="1" applyFont="1" applyFill="1" applyBorder="1" applyAlignment="1">
      <alignment horizontal="right" vertical="center"/>
    </xf>
    <xf numFmtId="39" fontId="69" fillId="0" borderId="1" xfId="1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63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vertical="center"/>
    </xf>
    <xf numFmtId="39" fontId="69" fillId="0" borderId="1" xfId="461" applyNumberFormat="1" applyFont="1" applyFill="1" applyBorder="1" applyAlignment="1">
      <alignment vertical="center"/>
    </xf>
    <xf numFmtId="4" fontId="69" fillId="0" borderId="1" xfId="461" applyNumberFormat="1" applyFont="1" applyFill="1" applyBorder="1" applyAlignment="1">
      <alignment vertical="center"/>
    </xf>
    <xf numFmtId="0" fontId="30" fillId="0" borderId="0" xfId="299"/>
    <xf numFmtId="0" fontId="8" fillId="0" borderId="0" xfId="0" applyFont="1"/>
    <xf numFmtId="44" fontId="8" fillId="0" borderId="0" xfId="0" applyNumberFormat="1" applyFont="1"/>
    <xf numFmtId="0" fontId="27" fillId="0" borderId="1" xfId="430" applyBorder="1"/>
    <xf numFmtId="0" fontId="8" fillId="0" borderId="0" xfId="301" applyFont="1"/>
    <xf numFmtId="3" fontId="63" fillId="0" borderId="27" xfId="429" applyNumberFormat="1" applyFont="1" applyFill="1" applyBorder="1" applyAlignment="1">
      <alignment horizontal="left" vertical="center"/>
    </xf>
    <xf numFmtId="44" fontId="63" fillId="9" borderId="0" xfId="438" applyNumberFormat="1" applyFont="1" applyFill="1" applyBorder="1" applyAlignment="1">
      <alignment horizontal="center" vertical="center"/>
    </xf>
    <xf numFmtId="44" fontId="59" fillId="0" borderId="0" xfId="442" applyFont="1" applyFill="1" applyBorder="1" applyAlignment="1">
      <alignment horizontal="center" vertical="center"/>
    </xf>
    <xf numFmtId="44" fontId="59" fillId="0" borderId="29" xfId="442" applyFont="1" applyFill="1" applyBorder="1" applyAlignment="1">
      <alignment horizontal="center" vertical="center"/>
    </xf>
    <xf numFmtId="3" fontId="58" fillId="0" borderId="27" xfId="429" applyNumberFormat="1" applyFont="1" applyFill="1" applyBorder="1" applyAlignment="1">
      <alignment horizontal="left" vertical="center"/>
    </xf>
    <xf numFmtId="44" fontId="42" fillId="0" borderId="29" xfId="442" applyFont="1" applyFill="1" applyBorder="1" applyAlignment="1">
      <alignment horizontal="center" vertical="center"/>
    </xf>
    <xf numFmtId="3" fontId="42" fillId="0" borderId="27" xfId="298" applyNumberFormat="1" applyFont="1" applyFill="1" applyBorder="1" applyAlignment="1">
      <alignment horizontal="left" vertical="center" wrapText="1"/>
    </xf>
    <xf numFmtId="168" fontId="42" fillId="0" borderId="0" xfId="90" applyNumberFormat="1" applyFont="1" applyFill="1" applyBorder="1" applyAlignment="1">
      <alignment horizontal="center" vertical="center"/>
    </xf>
    <xf numFmtId="169" fontId="42" fillId="9" borderId="0" xfId="461" applyNumberFormat="1" applyFont="1" applyFill="1" applyBorder="1" applyAlignment="1">
      <alignment horizontal="center" vertical="center"/>
    </xf>
    <xf numFmtId="44" fontId="42" fillId="0" borderId="0" xfId="462" applyFont="1" applyFill="1" applyBorder="1" applyAlignment="1">
      <alignment horizontal="center" vertical="center"/>
    </xf>
    <xf numFmtId="44" fontId="42" fillId="0" borderId="29" xfId="462" applyFont="1" applyFill="1" applyBorder="1" applyAlignment="1">
      <alignment horizontal="center" vertical="center"/>
    </xf>
    <xf numFmtId="165" fontId="42" fillId="0" borderId="0" xfId="0" applyNumberFormat="1" applyFont="1"/>
    <xf numFmtId="44" fontId="42" fillId="0" borderId="0" xfId="0" applyNumberFormat="1" applyFont="1"/>
    <xf numFmtId="0" fontId="60" fillId="0" borderId="0" xfId="0" applyFont="1" applyAlignment="1">
      <alignment horizontal="center"/>
    </xf>
    <xf numFmtId="0" fontId="42" fillId="6" borderId="33" xfId="430" applyFont="1" applyFill="1" applyBorder="1" applyAlignment="1">
      <alignment vertical="center"/>
    </xf>
    <xf numFmtId="43" fontId="42" fillId="6" borderId="24" xfId="438" applyFont="1" applyFill="1" applyBorder="1" applyAlignment="1">
      <alignment horizontal="center" vertical="center"/>
    </xf>
    <xf numFmtId="175" fontId="42" fillId="6" borderId="34" xfId="430" applyNumberFormat="1" applyFont="1" applyFill="1" applyBorder="1" applyAlignment="1">
      <alignment vertical="center"/>
    </xf>
    <xf numFmtId="0" fontId="64" fillId="0" borderId="0" xfId="0" applyFont="1"/>
    <xf numFmtId="44" fontId="42" fillId="0" borderId="29" xfId="462" applyFont="1" applyFill="1" applyBorder="1"/>
    <xf numFmtId="0" fontId="7" fillId="0" borderId="0" xfId="759"/>
    <xf numFmtId="0" fontId="59" fillId="0" borderId="27" xfId="0" applyFont="1" applyBorder="1" applyAlignment="1">
      <alignment horizontal="left" vertical="center"/>
    </xf>
    <xf numFmtId="0" fontId="42" fillId="9" borderId="0" xfId="0" applyFont="1" applyFill="1"/>
    <xf numFmtId="0" fontId="42" fillId="0" borderId="0" xfId="299" applyFont="1"/>
    <xf numFmtId="180" fontId="42" fillId="0" borderId="0" xfId="228" applyNumberFormat="1" applyFont="1" applyAlignment="1">
      <alignment horizontal="center" vertical="center"/>
    </xf>
    <xf numFmtId="169" fontId="42" fillId="9" borderId="0" xfId="459" applyNumberFormat="1" applyFont="1" applyFill="1"/>
    <xf numFmtId="0" fontId="59" fillId="0" borderId="0" xfId="0" applyFont="1" applyAlignment="1">
      <alignment horizontal="left" vertical="center" indent="1"/>
    </xf>
    <xf numFmtId="0" fontId="42" fillId="0" borderId="0" xfId="0" applyFont="1" applyAlignment="1">
      <alignment horizontal="right"/>
    </xf>
    <xf numFmtId="4" fontId="42" fillId="0" borderId="0" xfId="0" applyNumberFormat="1" applyFont="1" applyAlignment="1">
      <alignment horizontal="right"/>
    </xf>
    <xf numFmtId="3" fontId="59" fillId="0" borderId="27" xfId="281" applyNumberFormat="1" applyFont="1" applyFill="1" applyBorder="1" applyAlignment="1">
      <alignment horizontal="center" vertical="center"/>
    </xf>
    <xf numFmtId="168" fontId="59" fillId="0" borderId="0" xfId="438" applyNumberFormat="1" applyFont="1" applyFill="1" applyBorder="1" applyAlignment="1">
      <alignment horizontal="center" vertical="center"/>
    </xf>
    <xf numFmtId="169" fontId="59" fillId="9" borderId="0" xfId="438" applyNumberFormat="1" applyFont="1" applyFill="1" applyBorder="1" applyAlignment="1">
      <alignment horizontal="center" vertical="center"/>
    </xf>
    <xf numFmtId="169" fontId="59" fillId="0" borderId="0" xfId="439" applyNumberFormat="1" applyFont="1" applyFill="1" applyBorder="1" applyAlignment="1">
      <alignment horizontal="center" vertical="center"/>
    </xf>
    <xf numFmtId="44" fontId="59" fillId="9" borderId="0" xfId="438" applyNumberFormat="1" applyFont="1" applyFill="1" applyBorder="1" applyAlignment="1">
      <alignment horizontal="center" vertical="center"/>
    </xf>
    <xf numFmtId="170" fontId="59" fillId="0" borderId="0" xfId="439" applyNumberFormat="1" applyFont="1" applyFill="1" applyBorder="1" applyAlignment="1">
      <alignment horizontal="center" vertical="center"/>
    </xf>
    <xf numFmtId="170" fontId="59" fillId="0" borderId="29" xfId="439" applyNumberFormat="1" applyFont="1" applyFill="1" applyBorder="1" applyAlignment="1">
      <alignment horizontal="center" vertical="center"/>
    </xf>
    <xf numFmtId="168" fontId="42" fillId="9" borderId="0" xfId="438" applyNumberFormat="1" applyFont="1" applyFill="1" applyBorder="1" applyAlignment="1">
      <alignment horizontal="center" vertical="center"/>
    </xf>
    <xf numFmtId="170" fontId="42" fillId="0" borderId="0" xfId="0" applyNumberFormat="1" applyFont="1"/>
    <xf numFmtId="3" fontId="59" fillId="0" borderId="27" xfId="281" applyNumberFormat="1" applyFont="1" applyFill="1" applyBorder="1" applyAlignment="1">
      <alignment horizontal="left" vertical="center" wrapText="1"/>
    </xf>
    <xf numFmtId="44" fontId="59" fillId="0" borderId="29" xfId="439" applyFont="1" applyFill="1" applyBorder="1" applyAlignment="1">
      <alignment horizontal="center" vertical="center"/>
    </xf>
    <xf numFmtId="0" fontId="59" fillId="0" borderId="0" xfId="0" applyFont="1" applyAlignment="1">
      <alignment vertical="center"/>
    </xf>
    <xf numFmtId="3" fontId="42" fillId="0" borderId="27" xfId="281" applyNumberFormat="1" applyFont="1" applyFill="1" applyBorder="1" applyAlignment="1">
      <alignment horizontal="left" vertical="center" wrapText="1"/>
    </xf>
    <xf numFmtId="4" fontId="42" fillId="9" borderId="0" xfId="441" applyNumberFormat="1" applyFont="1" applyFill="1" applyBorder="1" applyAlignment="1">
      <alignment horizontal="center" vertical="center"/>
    </xf>
    <xf numFmtId="44" fontId="59" fillId="0" borderId="0" xfId="0" applyNumberFormat="1" applyFont="1" applyAlignment="1">
      <alignment vertical="center"/>
    </xf>
    <xf numFmtId="0" fontId="42" fillId="10" borderId="0" xfId="0" applyFont="1" applyFill="1"/>
    <xf numFmtId="3" fontId="59" fillId="0" borderId="27" xfId="429" applyNumberFormat="1" applyFont="1" applyFill="1" applyBorder="1" applyAlignment="1">
      <alignment horizontal="center" vertical="center"/>
    </xf>
    <xf numFmtId="4" fontId="42" fillId="9" borderId="0" xfId="438" applyNumberFormat="1" applyFont="1" applyFill="1" applyBorder="1" applyAlignment="1">
      <alignment horizontal="center" vertical="center"/>
    </xf>
    <xf numFmtId="170" fontId="42" fillId="0" borderId="29" xfId="438" applyNumberFormat="1" applyFont="1" applyFill="1" applyBorder="1" applyAlignment="1">
      <alignment horizontal="center" vertical="center"/>
    </xf>
    <xf numFmtId="3" fontId="59" fillId="0" borderId="27" xfId="429" applyNumberFormat="1" applyFont="1" applyFill="1" applyBorder="1" applyAlignment="1">
      <alignment horizontal="left" vertical="center"/>
    </xf>
    <xf numFmtId="3" fontId="42" fillId="0" borderId="27" xfId="432" applyNumberFormat="1" applyFont="1" applyFill="1" applyBorder="1" applyAlignment="1">
      <alignment horizontal="left" vertical="center" wrapText="1"/>
    </xf>
    <xf numFmtId="44" fontId="42" fillId="0" borderId="29" xfId="439" applyFont="1" applyFill="1" applyBorder="1" applyAlignment="1">
      <alignment horizontal="center" vertical="center"/>
    </xf>
    <xf numFmtId="0" fontId="42" fillId="6" borderId="35" xfId="430" applyFont="1" applyFill="1" applyBorder="1" applyAlignment="1">
      <alignment vertical="center"/>
    </xf>
    <xf numFmtId="4" fontId="42" fillId="6" borderId="2" xfId="438" applyNumberFormat="1" applyFont="1" applyFill="1" applyBorder="1" applyAlignment="1">
      <alignment horizontal="left" vertical="center"/>
    </xf>
    <xf numFmtId="175" fontId="42" fillId="6" borderId="36" xfId="430" applyNumberFormat="1" applyFont="1" applyFill="1" applyBorder="1" applyAlignment="1">
      <alignment vertical="center"/>
    </xf>
    <xf numFmtId="0" fontId="67" fillId="0" borderId="27" xfId="430" applyFont="1" applyBorder="1"/>
    <xf numFmtId="4" fontId="59" fillId="0" borderId="0" xfId="438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left" vertical="center"/>
    </xf>
    <xf numFmtId="0" fontId="6" fillId="0" borderId="1" xfId="0" applyFont="1" applyBorder="1"/>
    <xf numFmtId="0" fontId="6" fillId="0" borderId="1" xfId="458" applyFont="1" applyBorder="1" applyAlignment="1">
      <alignment horizontal="left"/>
    </xf>
    <xf numFmtId="0" fontId="6" fillId="0" borderId="0" xfId="759" applyFont="1"/>
    <xf numFmtId="0" fontId="70" fillId="14" borderId="1" xfId="0" applyFont="1" applyFill="1" applyBorder="1" applyAlignment="1">
      <alignment horizontal="left" vertical="center"/>
    </xf>
    <xf numFmtId="3" fontId="42" fillId="0" borderId="27" xfId="429" applyNumberFormat="1" applyFont="1" applyFill="1" applyBorder="1" applyAlignment="1">
      <alignment horizontal="left" vertical="center"/>
    </xf>
    <xf numFmtId="168" fontId="42" fillId="0" borderId="0" xfId="1" applyNumberFormat="1" applyFont="1" applyFill="1" applyBorder="1" applyAlignment="1">
      <alignment horizontal="center" vertical="center"/>
    </xf>
    <xf numFmtId="169" fontId="42" fillId="0" borderId="0" xfId="1" applyNumberFormat="1" applyFont="1" applyFill="1" applyBorder="1" applyAlignment="1">
      <alignment horizontal="center" vertical="center"/>
    </xf>
    <xf numFmtId="44" fontId="42" fillId="9" borderId="0" xfId="1" applyNumberFormat="1" applyFont="1" applyFill="1" applyBorder="1" applyAlignment="1">
      <alignment horizontal="center" vertical="center"/>
    </xf>
    <xf numFmtId="44" fontId="42" fillId="0" borderId="0" xfId="2" applyFont="1" applyFill="1" applyBorder="1" applyAlignment="1">
      <alignment horizontal="center" vertical="center"/>
    </xf>
    <xf numFmtId="0" fontId="42" fillId="16" borderId="0" xfId="451" applyFont="1" applyFill="1"/>
    <xf numFmtId="168" fontId="42" fillId="0" borderId="0" xfId="452" applyNumberFormat="1" applyFont="1" applyFill="1" applyBorder="1" applyAlignment="1">
      <alignment horizontal="center" vertical="center"/>
    </xf>
    <xf numFmtId="44" fontId="42" fillId="0" borderId="0" xfId="453" applyFont="1" applyFill="1" applyBorder="1" applyAlignment="1">
      <alignment horizontal="center" vertical="center"/>
    </xf>
    <xf numFmtId="0" fontId="42" fillId="0" borderId="0" xfId="451" applyFont="1"/>
    <xf numFmtId="0" fontId="60" fillId="0" borderId="0" xfId="451" applyFont="1" applyAlignment="1">
      <alignment horizontal="center"/>
    </xf>
    <xf numFmtId="167" fontId="42" fillId="6" borderId="2" xfId="438" applyNumberFormat="1" applyFont="1" applyFill="1" applyBorder="1" applyAlignment="1">
      <alignment horizontal="center" vertical="center"/>
    </xf>
    <xf numFmtId="178" fontId="69" fillId="0" borderId="0" xfId="461" applyNumberFormat="1" applyFont="1" applyFill="1" applyBorder="1" applyAlignment="1">
      <alignment vertical="center"/>
    </xf>
    <xf numFmtId="3" fontId="69" fillId="0" borderId="1" xfId="0" applyNumberFormat="1" applyFont="1" applyBorder="1" applyAlignment="1">
      <alignment horizontal="center" vertical="center"/>
    </xf>
    <xf numFmtId="43" fontId="70" fillId="12" borderId="1" xfId="461" applyFont="1" applyFill="1" applyBorder="1" applyAlignment="1">
      <alignment horizontal="center" vertical="center" wrapText="1"/>
    </xf>
    <xf numFmtId="43" fontId="70" fillId="3" borderId="23" xfId="0" applyNumberFormat="1" applyFont="1" applyFill="1" applyBorder="1" applyAlignment="1">
      <alignment vertical="center"/>
    </xf>
    <xf numFmtId="43" fontId="69" fillId="0" borderId="23" xfId="0" applyNumberFormat="1" applyFont="1" applyBorder="1" applyAlignment="1">
      <alignment vertical="center"/>
    </xf>
    <xf numFmtId="0" fontId="0" fillId="0" borderId="23" xfId="0" applyBorder="1"/>
    <xf numFmtId="0" fontId="70" fillId="17" borderId="1" xfId="0" applyFont="1" applyFill="1" applyBorder="1" applyAlignment="1">
      <alignment horizontal="center" vertical="center"/>
    </xf>
    <xf numFmtId="178" fontId="69" fillId="17" borderId="0" xfId="461" applyNumberFormat="1" applyFont="1" applyFill="1" applyBorder="1" applyAlignment="1">
      <alignment vertical="center"/>
    </xf>
    <xf numFmtId="0" fontId="69" fillId="17" borderId="1" xfId="0" applyFont="1" applyFill="1" applyBorder="1" applyAlignment="1">
      <alignment vertical="center"/>
    </xf>
    <xf numFmtId="39" fontId="69" fillId="17" borderId="1" xfId="461" applyNumberFormat="1" applyFont="1" applyFill="1" applyBorder="1" applyAlignment="1">
      <alignment vertical="center"/>
    </xf>
    <xf numFmtId="4" fontId="42" fillId="17" borderId="1" xfId="0" applyNumberFormat="1" applyFont="1" applyFill="1" applyBorder="1" applyAlignment="1">
      <alignment horizontal="center"/>
    </xf>
    <xf numFmtId="0" fontId="69" fillId="17" borderId="23" xfId="0" applyFont="1" applyFill="1" applyBorder="1" applyAlignment="1">
      <alignment vertical="center"/>
    </xf>
    <xf numFmtId="0" fontId="0" fillId="17" borderId="1" xfId="0" applyFill="1" applyBorder="1"/>
    <xf numFmtId="0" fontId="69" fillId="17" borderId="0" xfId="0" applyFont="1" applyFill="1" applyAlignment="1">
      <alignment vertical="center"/>
    </xf>
    <xf numFmtId="0" fontId="69" fillId="3" borderId="23" xfId="0" applyFont="1" applyFill="1" applyBorder="1" applyAlignment="1">
      <alignment vertical="center"/>
    </xf>
    <xf numFmtId="0" fontId="36" fillId="8" borderId="1" xfId="0" applyFont="1" applyFill="1" applyBorder="1"/>
    <xf numFmtId="3" fontId="42" fillId="0" borderId="27" xfId="284" applyNumberFormat="1" applyFont="1" applyFill="1" applyBorder="1" applyAlignment="1">
      <alignment horizontal="left" vertical="center"/>
    </xf>
    <xf numFmtId="169" fontId="42" fillId="9" borderId="0" xfId="1" applyNumberFormat="1" applyFont="1" applyFill="1" applyBorder="1" applyAlignment="1">
      <alignment horizontal="center" vertical="center"/>
    </xf>
    <xf numFmtId="44" fontId="42" fillId="0" borderId="29" xfId="2" applyFont="1" applyFill="1" applyBorder="1" applyAlignment="1">
      <alignment horizontal="center" vertical="center"/>
    </xf>
    <xf numFmtId="0" fontId="66" fillId="2" borderId="40" xfId="285" applyFont="1" applyFill="1" applyBorder="1" applyAlignment="1">
      <alignment horizontal="center" vertical="center"/>
    </xf>
    <xf numFmtId="0" fontId="66" fillId="2" borderId="41" xfId="285" applyFont="1" applyFill="1" applyBorder="1" applyAlignment="1">
      <alignment horizontal="center" vertical="center"/>
    </xf>
    <xf numFmtId="0" fontId="66" fillId="2" borderId="12" xfId="4" applyFont="1" applyFill="1" applyBorder="1" applyAlignment="1">
      <alignment horizontal="center" vertical="center"/>
    </xf>
    <xf numFmtId="169" fontId="66" fillId="2" borderId="12" xfId="285" applyNumberFormat="1" applyFont="1" applyFill="1" applyBorder="1" applyAlignment="1">
      <alignment horizontal="center" vertical="center" wrapText="1"/>
    </xf>
    <xf numFmtId="0" fontId="66" fillId="2" borderId="12" xfId="285" applyFont="1" applyFill="1" applyBorder="1" applyAlignment="1">
      <alignment horizontal="center" vertical="center" wrapText="1"/>
    </xf>
    <xf numFmtId="0" fontId="66" fillId="2" borderId="12" xfId="4" applyFont="1" applyFill="1" applyBorder="1" applyAlignment="1">
      <alignment horizontal="center" vertical="center" wrapText="1"/>
    </xf>
    <xf numFmtId="0" fontId="66" fillId="2" borderId="12" xfId="4" applyFont="1" applyFill="1" applyBorder="1" applyAlignment="1">
      <alignment horizontal="right" vertical="center" wrapText="1"/>
    </xf>
    <xf numFmtId="0" fontId="66" fillId="2" borderId="6" xfId="285" applyFont="1" applyFill="1" applyBorder="1" applyAlignment="1">
      <alignment horizontal="center" vertical="center" wrapText="1"/>
    </xf>
    <xf numFmtId="0" fontId="42" fillId="0" borderId="27" xfId="430" applyFont="1" applyBorder="1"/>
    <xf numFmtId="0" fontId="42" fillId="0" borderId="29" xfId="430" applyFont="1" applyBorder="1"/>
    <xf numFmtId="0" fontId="61" fillId="0" borderId="0" xfId="430" applyFont="1" applyAlignment="1">
      <alignment horizontal="left" vertical="center"/>
    </xf>
    <xf numFmtId="0" fontId="57" fillId="0" borderId="0" xfId="430" applyFont="1" applyAlignment="1">
      <alignment horizontal="right"/>
    </xf>
    <xf numFmtId="3" fontId="58" fillId="0" borderId="0" xfId="430" applyNumberFormat="1" applyFont="1" applyAlignment="1">
      <alignment horizontal="center" vertical="center" wrapText="1"/>
    </xf>
    <xf numFmtId="3" fontId="58" fillId="0" borderId="0" xfId="430" applyNumberFormat="1" applyFont="1" applyAlignment="1">
      <alignment horizontal="centerContinuous" vertical="center" wrapText="1"/>
    </xf>
    <xf numFmtId="167" fontId="58" fillId="0" borderId="0" xfId="228" applyNumberFormat="1" applyFont="1" applyAlignment="1">
      <alignment horizontal="center" vertical="center"/>
    </xf>
    <xf numFmtId="44" fontId="58" fillId="0" borderId="29" xfId="439" applyFont="1" applyFill="1" applyBorder="1" applyAlignment="1">
      <alignment horizontal="center" vertical="center"/>
    </xf>
    <xf numFmtId="3" fontId="58" fillId="0" borderId="37" xfId="429" applyNumberFormat="1" applyFont="1" applyFill="1" applyBorder="1" applyAlignment="1">
      <alignment horizontal="center" vertical="center"/>
    </xf>
    <xf numFmtId="170" fontId="58" fillId="0" borderId="38" xfId="439" applyNumberFormat="1" applyFont="1" applyFill="1" applyBorder="1" applyAlignment="1">
      <alignment horizontal="center" vertical="center"/>
    </xf>
    <xf numFmtId="3" fontId="58" fillId="0" borderId="27" xfId="429" applyNumberFormat="1" applyFont="1" applyFill="1" applyBorder="1" applyAlignment="1">
      <alignment horizontal="center" vertical="center"/>
    </xf>
    <xf numFmtId="3" fontId="58" fillId="0" borderId="0" xfId="430" applyNumberFormat="1" applyFont="1" applyAlignment="1">
      <alignment horizontal="left" vertical="center" wrapText="1"/>
    </xf>
    <xf numFmtId="170" fontId="58" fillId="0" borderId="29" xfId="439" applyNumberFormat="1" applyFont="1" applyFill="1" applyBorder="1" applyAlignment="1">
      <alignment horizontal="center" vertical="center"/>
    </xf>
    <xf numFmtId="3" fontId="58" fillId="6" borderId="33" xfId="429" applyNumberFormat="1" applyFont="1" applyFill="1" applyBorder="1" applyAlignment="1">
      <alignment horizontal="center" vertical="center"/>
    </xf>
    <xf numFmtId="170" fontId="58" fillId="6" borderId="34" xfId="439" applyNumberFormat="1" applyFont="1" applyFill="1" applyBorder="1" applyAlignment="1">
      <alignment horizontal="center" vertical="center"/>
    </xf>
    <xf numFmtId="178" fontId="69" fillId="0" borderId="0" xfId="0" applyNumberFormat="1" applyFont="1" applyAlignment="1">
      <alignment horizontal="center" vertical="center"/>
    </xf>
    <xf numFmtId="3" fontId="58" fillId="0" borderId="0" xfId="292" applyNumberFormat="1" applyFont="1" applyAlignment="1">
      <alignment horizontal="center" vertical="center" wrapText="1"/>
    </xf>
    <xf numFmtId="3" fontId="42" fillId="0" borderId="0" xfId="0" applyNumberFormat="1" applyFont="1" applyAlignment="1">
      <alignment horizontal="center" vertical="center" wrapText="1"/>
    </xf>
    <xf numFmtId="172" fontId="42" fillId="0" borderId="0" xfId="228" applyNumberFormat="1" applyFont="1" applyAlignment="1">
      <alignment horizontal="center" vertical="center"/>
    </xf>
    <xf numFmtId="3" fontId="59" fillId="0" borderId="0" xfId="0" applyNumberFormat="1" applyFont="1" applyAlignment="1">
      <alignment horizontal="center" vertical="center" wrapText="1"/>
    </xf>
    <xf numFmtId="3" fontId="59" fillId="0" borderId="0" xfId="0" applyNumberFormat="1" applyFont="1" applyAlignment="1">
      <alignment horizontal="centerContinuous" vertical="center" wrapText="1"/>
    </xf>
    <xf numFmtId="4" fontId="42" fillId="0" borderId="0" xfId="228" applyNumberFormat="1" applyFont="1" applyAlignment="1">
      <alignment horizontal="center" vertical="center"/>
    </xf>
    <xf numFmtId="3" fontId="42" fillId="0" borderId="0" xfId="0" applyNumberFormat="1" applyFont="1" applyAlignment="1">
      <alignment horizontal="left" vertical="center" wrapText="1"/>
    </xf>
    <xf numFmtId="3" fontId="63" fillId="0" borderId="27" xfId="429" applyNumberFormat="1" applyFont="1" applyFill="1" applyBorder="1" applyAlignment="1">
      <alignment horizontal="center" vertical="center"/>
    </xf>
    <xf numFmtId="178" fontId="58" fillId="0" borderId="0" xfId="0" applyNumberFormat="1" applyFont="1" applyAlignment="1">
      <alignment horizontal="center" vertical="center"/>
    </xf>
    <xf numFmtId="0" fontId="59" fillId="6" borderId="33" xfId="430" applyFont="1" applyFill="1" applyBorder="1" applyAlignment="1">
      <alignment vertical="center"/>
    </xf>
    <xf numFmtId="175" fontId="59" fillId="6" borderId="34" xfId="430" applyNumberFormat="1" applyFont="1" applyFill="1" applyBorder="1" applyAlignment="1">
      <alignment vertical="center"/>
    </xf>
    <xf numFmtId="3" fontId="42" fillId="0" borderId="0" xfId="430" applyNumberFormat="1" applyFont="1" applyAlignment="1">
      <alignment horizontal="left" vertical="center" wrapText="1"/>
    </xf>
    <xf numFmtId="4" fontId="42" fillId="9" borderId="0" xfId="430" applyNumberFormat="1" applyFont="1" applyFill="1" applyAlignment="1">
      <alignment horizontal="center"/>
    </xf>
    <xf numFmtId="3" fontId="58" fillId="0" borderId="0" xfId="426" applyNumberFormat="1" applyFont="1" applyAlignment="1">
      <alignment horizontal="center" vertical="center" wrapText="1"/>
    </xf>
    <xf numFmtId="3" fontId="59" fillId="0" borderId="0" xfId="430" applyNumberFormat="1" applyFont="1" applyAlignment="1">
      <alignment horizontal="center" vertical="center" wrapText="1"/>
    </xf>
    <xf numFmtId="173" fontId="59" fillId="0" borderId="0" xfId="228" applyNumberFormat="1" applyFont="1" applyAlignment="1">
      <alignment horizontal="center" vertical="center"/>
    </xf>
    <xf numFmtId="169" fontId="42" fillId="9" borderId="0" xfId="430" applyNumberFormat="1" applyFont="1" applyFill="1" applyAlignment="1">
      <alignment horizontal="center"/>
    </xf>
    <xf numFmtId="3" fontId="42" fillId="0" borderId="27" xfId="450" applyNumberFormat="1" applyFont="1" applyFill="1" applyBorder="1" applyAlignment="1">
      <alignment horizontal="left" vertical="center"/>
    </xf>
    <xf numFmtId="44" fontId="42" fillId="0" borderId="29" xfId="453" applyFont="1" applyFill="1" applyBorder="1" applyAlignment="1">
      <alignment horizontal="center" vertical="center"/>
    </xf>
    <xf numFmtId="3" fontId="42" fillId="0" borderId="0" xfId="253" applyNumberFormat="1" applyFont="1" applyAlignment="1">
      <alignment horizontal="center" vertical="center" wrapText="1"/>
    </xf>
    <xf numFmtId="170" fontId="42" fillId="0" borderId="29" xfId="439" applyNumberFormat="1" applyFont="1" applyFill="1" applyBorder="1" applyAlignment="1">
      <alignment horizontal="center" vertical="center"/>
    </xf>
    <xf numFmtId="0" fontId="42" fillId="6" borderId="42" xfId="430" applyFont="1" applyFill="1" applyBorder="1" applyAlignment="1">
      <alignment vertical="center"/>
    </xf>
    <xf numFmtId="0" fontId="42" fillId="6" borderId="43" xfId="430" applyFont="1" applyFill="1" applyBorder="1" applyAlignment="1">
      <alignment vertical="center"/>
    </xf>
    <xf numFmtId="43" fontId="42" fillId="6" borderId="43" xfId="438" applyFont="1" applyFill="1" applyBorder="1" applyAlignment="1">
      <alignment horizontal="left" vertical="center"/>
    </xf>
    <xf numFmtId="167" fontId="42" fillId="6" borderId="43" xfId="438" applyNumberFormat="1" applyFont="1" applyFill="1" applyBorder="1" applyAlignment="1">
      <alignment horizontal="center" vertical="center"/>
    </xf>
    <xf numFmtId="169" fontId="42" fillId="6" borderId="43" xfId="438" applyNumberFormat="1" applyFont="1" applyFill="1" applyBorder="1" applyAlignment="1">
      <alignment horizontal="left" vertical="center"/>
    </xf>
    <xf numFmtId="43" fontId="42" fillId="6" borderId="43" xfId="438" applyFont="1" applyFill="1" applyBorder="1" applyAlignment="1">
      <alignment horizontal="right" vertical="center"/>
    </xf>
    <xf numFmtId="174" fontId="59" fillId="6" borderId="43" xfId="438" applyNumberFormat="1" applyFont="1" applyFill="1" applyBorder="1" applyAlignment="1">
      <alignment horizontal="center" vertical="center"/>
    </xf>
    <xf numFmtId="175" fontId="42" fillId="6" borderId="44" xfId="430" applyNumberFormat="1" applyFont="1" applyFill="1" applyBorder="1" applyAlignment="1">
      <alignment vertical="center"/>
    </xf>
    <xf numFmtId="3" fontId="69" fillId="3" borderId="1" xfId="0" applyNumberFormat="1" applyFont="1" applyFill="1" applyBorder="1" applyAlignment="1">
      <alignment horizontal="center" vertical="center"/>
    </xf>
    <xf numFmtId="0" fontId="69" fillId="3" borderId="1" xfId="0" applyFont="1" applyFill="1" applyBorder="1" applyAlignment="1">
      <alignment horizontal="center" vertical="center"/>
    </xf>
    <xf numFmtId="0" fontId="69" fillId="3" borderId="1" xfId="0" applyFont="1" applyFill="1" applyBorder="1" applyAlignment="1">
      <alignment horizontal="left" vertical="center"/>
    </xf>
    <xf numFmtId="0" fontId="36" fillId="3" borderId="1" xfId="0" applyFont="1" applyFill="1" applyBorder="1" applyAlignment="1">
      <alignment horizontal="left" vertical="center"/>
    </xf>
    <xf numFmtId="0" fontId="70" fillId="3" borderId="1" xfId="0" applyFont="1" applyFill="1" applyBorder="1" applyAlignment="1">
      <alignment horizontal="left" vertical="center"/>
    </xf>
    <xf numFmtId="3" fontId="36" fillId="0" borderId="7" xfId="429" applyNumberFormat="1" applyFont="1" applyFill="1" applyBorder="1" applyAlignment="1">
      <alignment horizontal="left" vertical="center"/>
    </xf>
    <xf numFmtId="3" fontId="6" fillId="0" borderId="0" xfId="278" applyNumberFormat="1" applyFont="1" applyAlignment="1">
      <alignment horizontal="left" vertical="center"/>
    </xf>
    <xf numFmtId="0" fontId="6" fillId="0" borderId="1" xfId="430" applyFont="1" applyBorder="1"/>
    <xf numFmtId="3" fontId="59" fillId="0" borderId="27" xfId="429" applyNumberFormat="1" applyFont="1" applyFill="1" applyBorder="1" applyAlignment="1">
      <alignment horizontal="center" vertical="center" wrapText="1"/>
    </xf>
    <xf numFmtId="0" fontId="42" fillId="0" borderId="0" xfId="228" applyFont="1" applyAlignment="1">
      <alignment horizontal="center" vertical="center"/>
    </xf>
    <xf numFmtId="3" fontId="42" fillId="0" borderId="27" xfId="429" applyNumberFormat="1" applyFont="1" applyFill="1" applyBorder="1" applyAlignment="1">
      <alignment horizontal="left" vertical="center" wrapText="1"/>
    </xf>
    <xf numFmtId="3" fontId="59" fillId="0" borderId="27" xfId="429" applyNumberFormat="1" applyFont="1" applyFill="1" applyBorder="1" applyAlignment="1">
      <alignment horizontal="left" vertical="center" wrapText="1"/>
    </xf>
    <xf numFmtId="181" fontId="42" fillId="0" borderId="0" xfId="228" applyNumberFormat="1" applyFont="1" applyAlignment="1">
      <alignment horizontal="center" vertical="center"/>
    </xf>
    <xf numFmtId="4" fontId="42" fillId="0" borderId="0" xfId="430" applyNumberFormat="1" applyFont="1" applyAlignment="1">
      <alignment horizontal="center"/>
    </xf>
    <xf numFmtId="182" fontId="42" fillId="0" borderId="0" xfId="228" applyNumberFormat="1" applyFont="1" applyAlignment="1">
      <alignment horizontal="center" vertical="center"/>
    </xf>
    <xf numFmtId="0" fontId="6" fillId="0" borderId="0" xfId="299" applyFont="1"/>
    <xf numFmtId="0" fontId="36" fillId="0" borderId="0" xfId="299" applyFont="1"/>
    <xf numFmtId="0" fontId="6" fillId="0" borderId="0" xfId="0" applyFont="1"/>
    <xf numFmtId="44" fontId="6" fillId="0" borderId="0" xfId="0" applyNumberFormat="1" applyFont="1"/>
    <xf numFmtId="0" fontId="41" fillId="0" borderId="0" xfId="299" applyFont="1" applyAlignment="1">
      <alignment horizontal="left"/>
    </xf>
    <xf numFmtId="0" fontId="6" fillId="3" borderId="1" xfId="0" applyFont="1" applyFill="1" applyBorder="1"/>
    <xf numFmtId="0" fontId="27" fillId="3" borderId="1" xfId="430" applyFill="1" applyBorder="1"/>
    <xf numFmtId="0" fontId="6" fillId="0" borderId="0" xfId="430" applyFont="1"/>
    <xf numFmtId="0" fontId="6" fillId="0" borderId="0" xfId="301" applyFont="1"/>
    <xf numFmtId="0" fontId="75" fillId="0" borderId="1" xfId="0" applyFont="1" applyBorder="1" applyAlignment="1">
      <alignment vertical="center"/>
    </xf>
    <xf numFmtId="14" fontId="42" fillId="0" borderId="0" xfId="0" applyNumberFormat="1" applyFont="1" applyAlignment="1">
      <alignment horizontal="left"/>
    </xf>
    <xf numFmtId="0" fontId="42" fillId="0" borderId="0" xfId="0" applyFont="1" applyAlignment="1">
      <alignment wrapText="1"/>
    </xf>
    <xf numFmtId="0" fontId="76" fillId="6" borderId="32" xfId="0" applyFont="1" applyFill="1" applyBorder="1" applyAlignment="1">
      <alignment horizontal="center"/>
    </xf>
    <xf numFmtId="0" fontId="76" fillId="6" borderId="6" xfId="0" applyFont="1" applyFill="1" applyBorder="1" applyAlignment="1">
      <alignment horizontal="center"/>
    </xf>
    <xf numFmtId="0" fontId="74" fillId="0" borderId="0" xfId="0" applyFont="1"/>
    <xf numFmtId="0" fontId="77" fillId="0" borderId="1" xfId="0" applyFont="1" applyBorder="1" applyAlignment="1">
      <alignment horizontal="center" vertical="center"/>
    </xf>
    <xf numFmtId="0" fontId="42" fillId="0" borderId="1" xfId="0" applyFont="1" applyBorder="1"/>
    <xf numFmtId="0" fontId="75" fillId="0" borderId="1" xfId="0" applyFont="1" applyBorder="1" applyAlignment="1">
      <alignment horizontal="left" vertical="center"/>
    </xf>
    <xf numFmtId="0" fontId="78" fillId="12" borderId="1" xfId="0" applyFont="1" applyFill="1" applyBorder="1" applyAlignment="1">
      <alignment horizontal="center" vertical="center" wrapText="1"/>
    </xf>
    <xf numFmtId="0" fontId="79" fillId="12" borderId="1" xfId="760" applyFont="1" applyFill="1" applyBorder="1" applyAlignment="1">
      <alignment horizontal="center" wrapText="1"/>
    </xf>
    <xf numFmtId="0" fontId="78" fillId="12" borderId="45" xfId="0" applyFont="1" applyFill="1" applyBorder="1" applyAlignment="1">
      <alignment horizontal="center" vertical="center" wrapText="1"/>
    </xf>
    <xf numFmtId="0" fontId="70" fillId="17" borderId="1" xfId="0" applyFont="1" applyFill="1" applyBorder="1" applyAlignment="1">
      <alignment vertical="center"/>
    </xf>
    <xf numFmtId="0" fontId="5" fillId="0" borderId="0" xfId="0" applyFont="1"/>
    <xf numFmtId="0" fontId="5" fillId="0" borderId="0" xfId="301" applyFont="1"/>
    <xf numFmtId="0" fontId="41" fillId="10" borderId="14" xfId="437" applyFont="1" applyFill="1" applyBorder="1"/>
    <xf numFmtId="0" fontId="41" fillId="10" borderId="14" xfId="437" applyFont="1" applyFill="1" applyBorder="1" applyAlignment="1">
      <alignment horizontal="center"/>
    </xf>
    <xf numFmtId="4" fontId="41" fillId="10" borderId="14" xfId="437" applyNumberFormat="1" applyFont="1" applyFill="1" applyBorder="1" applyAlignment="1">
      <alignment horizontal="center"/>
    </xf>
    <xf numFmtId="0" fontId="41" fillId="0" borderId="0" xfId="437" applyFont="1" applyAlignment="1">
      <alignment horizontal="center"/>
    </xf>
    <xf numFmtId="0" fontId="36" fillId="0" borderId="5" xfId="437" applyFont="1" applyBorder="1"/>
    <xf numFmtId="0" fontId="0" fillId="0" borderId="12" xfId="0" applyBorder="1"/>
    <xf numFmtId="0" fontId="36" fillId="0" borderId="12" xfId="437" applyFont="1" applyBorder="1" applyAlignment="1">
      <alignment horizontal="center"/>
    </xf>
    <xf numFmtId="4" fontId="36" fillId="0" borderId="12" xfId="437" applyNumberFormat="1" applyFont="1" applyBorder="1" applyAlignment="1">
      <alignment horizontal="center"/>
    </xf>
    <xf numFmtId="0" fontId="36" fillId="0" borderId="6" xfId="437" applyFont="1" applyBorder="1" applyAlignment="1">
      <alignment horizontal="center"/>
    </xf>
    <xf numFmtId="0" fontId="36" fillId="0" borderId="0" xfId="437" applyFont="1" applyAlignment="1">
      <alignment horizontal="center"/>
    </xf>
    <xf numFmtId="0" fontId="0" fillId="0" borderId="27" xfId="0" applyBorder="1"/>
    <xf numFmtId="0" fontId="36" fillId="0" borderId="0" xfId="437" applyFont="1"/>
    <xf numFmtId="4" fontId="36" fillId="0" borderId="0" xfId="437" applyNumberFormat="1" applyFont="1" applyAlignment="1">
      <alignment horizontal="center"/>
    </xf>
    <xf numFmtId="0" fontId="36" fillId="0" borderId="29" xfId="437" applyFont="1" applyBorder="1" applyAlignment="1">
      <alignment horizontal="center"/>
    </xf>
    <xf numFmtId="0" fontId="4" fillId="8" borderId="27" xfId="0" applyFont="1" applyFill="1" applyBorder="1"/>
    <xf numFmtId="0" fontId="4" fillId="0" borderId="0" xfId="437" applyFont="1" applyAlignment="1">
      <alignment horizontal="center"/>
    </xf>
    <xf numFmtId="12" fontId="4" fillId="0" borderId="0" xfId="0" applyNumberFormat="1" applyFont="1" applyAlignment="1">
      <alignment horizontal="center"/>
    </xf>
    <xf numFmtId="4" fontId="4" fillId="0" borderId="0" xfId="437" applyNumberFormat="1" applyFont="1" applyAlignment="1">
      <alignment horizontal="center"/>
    </xf>
    <xf numFmtId="0" fontId="4" fillId="0" borderId="29" xfId="437" applyFont="1" applyBorder="1" applyAlignment="1">
      <alignment horizontal="center"/>
    </xf>
    <xf numFmtId="0" fontId="4" fillId="0" borderId="0" xfId="0" applyFont="1"/>
    <xf numFmtId="0" fontId="36" fillId="0" borderId="27" xfId="0" applyFont="1" applyBorder="1"/>
    <xf numFmtId="0" fontId="4" fillId="0" borderId="0" xfId="437" applyFont="1"/>
    <xf numFmtId="0" fontId="0" fillId="0" borderId="46" xfId="0" applyBorder="1"/>
    <xf numFmtId="0" fontId="36" fillId="0" borderId="47" xfId="437" applyFont="1" applyBorder="1"/>
    <xf numFmtId="0" fontId="45" fillId="0" borderId="47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36" fillId="0" borderId="47" xfId="437" applyFont="1" applyBorder="1" applyAlignment="1">
      <alignment horizontal="center"/>
    </xf>
    <xf numFmtId="4" fontId="36" fillId="0" borderId="47" xfId="0" applyNumberFormat="1" applyFont="1" applyBorder="1" applyAlignment="1">
      <alignment horizontal="center"/>
    </xf>
    <xf numFmtId="0" fontId="36" fillId="0" borderId="48" xfId="0" applyFont="1" applyBorder="1" applyAlignment="1">
      <alignment horizontal="center"/>
    </xf>
    <xf numFmtId="0" fontId="36" fillId="0" borderId="47" xfId="0" applyFont="1" applyBorder="1" applyAlignment="1">
      <alignment horizontal="center"/>
    </xf>
    <xf numFmtId="0" fontId="45" fillId="0" borderId="0" xfId="0" applyFont="1" applyAlignment="1">
      <alignment horizontal="center"/>
    </xf>
    <xf numFmtId="4" fontId="36" fillId="0" borderId="0" xfId="0" applyNumberFormat="1" applyFont="1" applyAlignment="1">
      <alignment horizontal="center"/>
    </xf>
    <xf numFmtId="0" fontId="36" fillId="0" borderId="29" xfId="0" applyFont="1" applyBorder="1" applyAlignment="1">
      <alignment horizontal="center"/>
    </xf>
    <xf numFmtId="0" fontId="4" fillId="8" borderId="5" xfId="0" applyFont="1" applyFill="1" applyBorder="1"/>
    <xf numFmtId="0" fontId="36" fillId="0" borderId="12" xfId="437" applyFont="1" applyBorder="1"/>
    <xf numFmtId="0" fontId="36" fillId="18" borderId="5" xfId="437" applyFont="1" applyFill="1" applyBorder="1"/>
    <xf numFmtId="0" fontId="4" fillId="0" borderId="0" xfId="0" applyFont="1" applyAlignment="1">
      <alignment horizontal="center"/>
    </xf>
    <xf numFmtId="12" fontId="0" fillId="0" borderId="0" xfId="0" applyNumberFormat="1" applyAlignment="1">
      <alignment horizontal="center"/>
    </xf>
    <xf numFmtId="0" fontId="0" fillId="0" borderId="29" xfId="0" applyBorder="1" applyAlignment="1">
      <alignment horizontal="center"/>
    </xf>
    <xf numFmtId="0" fontId="0" fillId="0" borderId="47" xfId="0" applyBorder="1"/>
    <xf numFmtId="0" fontId="36" fillId="18" borderId="27" xfId="437" applyFont="1" applyFill="1" applyBorder="1"/>
    <xf numFmtId="168" fontId="58" fillId="9" borderId="0" xfId="438" applyNumberFormat="1" applyFont="1" applyFill="1" applyBorder="1" applyAlignment="1">
      <alignment horizontal="center" vertical="center"/>
    </xf>
    <xf numFmtId="0" fontId="3" fillId="0" borderId="1" xfId="430" applyFont="1" applyBorder="1"/>
    <xf numFmtId="9" fontId="40" fillId="3" borderId="1" xfId="2" applyNumberFormat="1" applyFont="1" applyFill="1" applyBorder="1" applyAlignment="1">
      <alignment horizontal="center" vertical="center"/>
    </xf>
    <xf numFmtId="0" fontId="3" fillId="0" borderId="0" xfId="301" applyFont="1"/>
    <xf numFmtId="183" fontId="42" fillId="0" borderId="0" xfId="441" applyNumberFormat="1" applyFont="1" applyFill="1" applyBorder="1" applyAlignment="1">
      <alignment horizontal="center" vertical="center"/>
    </xf>
    <xf numFmtId="183" fontId="42" fillId="7" borderId="30" xfId="0" applyNumberFormat="1" applyFont="1" applyFill="1" applyBorder="1" applyAlignment="1">
      <alignment horizontal="right"/>
    </xf>
    <xf numFmtId="183" fontId="42" fillId="0" borderId="0" xfId="1" applyNumberFormat="1" applyFont="1" applyFill="1" applyBorder="1" applyAlignment="1">
      <alignment horizontal="right"/>
    </xf>
    <xf numFmtId="183" fontId="59" fillId="7" borderId="30" xfId="0" applyNumberFormat="1" applyFont="1" applyFill="1" applyBorder="1" applyAlignment="1">
      <alignment horizontal="right" vertical="center"/>
    </xf>
    <xf numFmtId="169" fontId="57" fillId="0" borderId="0" xfId="430" applyNumberFormat="1" applyFont="1" applyAlignment="1">
      <alignment horizontal="right"/>
    </xf>
    <xf numFmtId="0" fontId="80" fillId="3" borderId="1" xfId="227" applyFont="1" applyFill="1" applyBorder="1"/>
    <xf numFmtId="0" fontId="81" fillId="3" borderId="1" xfId="227" applyFont="1" applyFill="1" applyBorder="1" applyAlignment="1">
      <alignment horizontal="left"/>
    </xf>
    <xf numFmtId="0" fontId="81" fillId="3" borderId="1" xfId="227" applyFont="1" applyFill="1" applyBorder="1"/>
    <xf numFmtId="0" fontId="2" fillId="0" borderId="1" xfId="0" applyFont="1" applyBorder="1"/>
    <xf numFmtId="184" fontId="42" fillId="0" borderId="0" xfId="228" applyNumberFormat="1" applyFont="1" applyAlignment="1">
      <alignment horizontal="center" vertical="center"/>
    </xf>
    <xf numFmtId="185" fontId="42" fillId="0" borderId="0" xfId="228" applyNumberFormat="1" applyFont="1" applyAlignment="1">
      <alignment horizontal="center" vertical="center"/>
    </xf>
    <xf numFmtId="186" fontId="42" fillId="0" borderId="0" xfId="228" applyNumberFormat="1" applyFont="1" applyAlignment="1">
      <alignment horizontal="center" vertical="center"/>
    </xf>
    <xf numFmtId="187" fontId="42" fillId="0" borderId="0" xfId="228" applyNumberFormat="1" applyFont="1" applyAlignment="1">
      <alignment horizontal="center" vertical="center"/>
    </xf>
    <xf numFmtId="188" fontId="42" fillId="0" borderId="0" xfId="228" applyNumberFormat="1" applyFont="1" applyAlignment="1">
      <alignment horizontal="center" vertical="center"/>
    </xf>
    <xf numFmtId="169" fontId="0" fillId="0" borderId="0" xfId="0" applyNumberFormat="1"/>
    <xf numFmtId="169" fontId="39" fillId="2" borderId="12" xfId="4" applyNumberFormat="1" applyFont="1" applyFill="1" applyBorder="1" applyAlignment="1">
      <alignment horizontal="center" vertical="center"/>
    </xf>
    <xf numFmtId="169" fontId="40" fillId="3" borderId="14" xfId="1" applyNumberFormat="1" applyFont="1" applyFill="1" applyBorder="1" applyAlignment="1">
      <alignment horizontal="right" vertical="center"/>
    </xf>
    <xf numFmtId="169" fontId="33" fillId="0" borderId="0" xfId="0" applyNumberFormat="1" applyFont="1"/>
    <xf numFmtId="169" fontId="10" fillId="0" borderId="0" xfId="0" applyNumberFormat="1" applyFont="1"/>
    <xf numFmtId="169" fontId="6" fillId="0" borderId="0" xfId="0" applyNumberFormat="1" applyFont="1"/>
    <xf numFmtId="169" fontId="8" fillId="0" borderId="0" xfId="0" applyNumberFormat="1" applyFont="1"/>
    <xf numFmtId="169" fontId="28" fillId="0" borderId="0" xfId="301" applyNumberFormat="1"/>
    <xf numFmtId="169" fontId="27" fillId="0" borderId="0" xfId="430" applyNumberFormat="1"/>
    <xf numFmtId="169" fontId="26" fillId="0" borderId="0" xfId="0" applyNumberFormat="1" applyFont="1"/>
    <xf numFmtId="44" fontId="42" fillId="9" borderId="0" xfId="452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71" fillId="0" borderId="0" xfId="0" applyFont="1" applyAlignment="1">
      <alignment horizontal="center" vertical="center" wrapText="1"/>
    </xf>
    <xf numFmtId="3" fontId="59" fillId="0" borderId="27" xfId="281" applyNumberFormat="1" applyFont="1" applyFill="1" applyBorder="1" applyAlignment="1">
      <alignment horizontal="left" vertical="center"/>
    </xf>
    <xf numFmtId="0" fontId="2" fillId="0" borderId="0" xfId="0" applyFont="1"/>
    <xf numFmtId="169" fontId="42" fillId="9" borderId="0" xfId="452" applyNumberFormat="1" applyFont="1" applyFill="1" applyBorder="1" applyAlignment="1">
      <alignment horizontal="center" vertical="center"/>
    </xf>
    <xf numFmtId="0" fontId="1" fillId="0" borderId="0" xfId="0" applyFont="1"/>
    <xf numFmtId="0" fontId="59" fillId="0" borderId="5" xfId="0" applyFont="1" applyBorder="1" applyAlignment="1">
      <alignment vertical="center"/>
    </xf>
    <xf numFmtId="0" fontId="59" fillId="0" borderId="12" xfId="0" applyFont="1" applyBorder="1" applyAlignment="1">
      <alignment vertical="center"/>
    </xf>
    <xf numFmtId="0" fontId="46" fillId="12" borderId="0" xfId="0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13" borderId="1" xfId="0" applyFont="1" applyFill="1" applyBorder="1" applyAlignment="1">
      <alignment horizontal="center"/>
    </xf>
  </cellXfs>
  <cellStyles count="761">
    <cellStyle name="Comma" xfId="1" builtinId="3"/>
    <cellStyle name="Comma 10" xfId="303" xr:uid="{4BD4ADC5-6C29-4856-BD63-3AFCAD600B6D}"/>
    <cellStyle name="Comma 10 2" xfId="597" xr:uid="{09359683-EE1C-4AE7-B4BC-05FFD581F44E}"/>
    <cellStyle name="Comma 11" xfId="463" xr:uid="{0DE39B96-FEF0-472C-A990-124E785B0CEE}"/>
    <cellStyle name="Comma 15" xfId="438" xr:uid="{07646014-40BC-42A2-AE2E-C6838A47ADBF}"/>
    <cellStyle name="Comma 15 2" xfId="452" xr:uid="{401B89BB-E986-419C-A63D-93CBA82DE4AE}"/>
    <cellStyle name="Comma 15 2 2" xfId="746" xr:uid="{80E45FEE-FB1A-4561-B1BD-5E2E844C3ABC}"/>
    <cellStyle name="Comma 15 3" xfId="732" xr:uid="{D5E8C468-4C39-4FFB-AF35-DEF172018E36}"/>
    <cellStyle name="Comma 17" xfId="461" xr:uid="{6F033812-9A44-44D6-BF5A-81636A4BBD7D}"/>
    <cellStyle name="Comma 17 2" xfId="755" xr:uid="{7C30E309-70D4-4A3D-92BA-B948E51C3CE1}"/>
    <cellStyle name="Comma 2" xfId="5" xr:uid="{00000000-0005-0000-0000-000031000000}"/>
    <cellStyle name="Comma 2 10" xfId="6" xr:uid="{00000000-0005-0000-0000-000032000000}"/>
    <cellStyle name="Comma 2 11" xfId="7" xr:uid="{00000000-0005-0000-0000-000033000000}"/>
    <cellStyle name="Comma 2 11 2" xfId="308" xr:uid="{42EB002F-560F-4CFC-88A0-8156B957FDBB}"/>
    <cellStyle name="Comma 2 11 2 2" xfId="602" xr:uid="{052674C1-8471-4160-9319-F058FEC45C23}"/>
    <cellStyle name="Comma 2 11 3" xfId="468" xr:uid="{047B75CE-1658-4F84-AA5F-A3F6B881D8F0}"/>
    <cellStyle name="Comma 2 12" xfId="307" xr:uid="{C7DF801E-9BAF-4387-84D4-CA24BB0A482E}"/>
    <cellStyle name="Comma 2 12 2" xfId="601" xr:uid="{98DE1B3A-19B2-428C-A931-DA81726FE4F6}"/>
    <cellStyle name="Comma 2 13" xfId="467" xr:uid="{9932FAED-9025-4AF5-AF2D-3D5087865921}"/>
    <cellStyle name="Comma 2 2" xfId="8" xr:uid="{00000000-0005-0000-0000-000034000000}"/>
    <cellStyle name="Comma 2 2 10" xfId="469" xr:uid="{BF4EAC7E-36E6-4DDE-A0C4-6AAEA0120988}"/>
    <cellStyle name="Comma 2 2 2" xfId="9" xr:uid="{00000000-0005-0000-0000-000035000000}"/>
    <cellStyle name="Comma 2 2 2 2" xfId="10" xr:uid="{00000000-0005-0000-0000-000036000000}"/>
    <cellStyle name="Comma 2 2 2 2 2" xfId="11" xr:uid="{00000000-0005-0000-0000-000037000000}"/>
    <cellStyle name="Comma 2 2 2 2 2 2" xfId="12" xr:uid="{00000000-0005-0000-0000-000038000000}"/>
    <cellStyle name="Comma 2 2 2 2 2 2 2" xfId="310" xr:uid="{30A8A778-D39D-49B9-A9E9-787B9A4C469C}"/>
    <cellStyle name="Comma 2 2 2 2 2 2 2 2" xfId="604" xr:uid="{A1ED047C-AC44-4847-881B-87E188FCB640}"/>
    <cellStyle name="Comma 2 2 2 2 2 2 3" xfId="470" xr:uid="{8761D620-D6EB-409E-8548-6DCB2035D66A}"/>
    <cellStyle name="Comma 2 2 2 2 3" xfId="13" xr:uid="{00000000-0005-0000-0000-000039000000}"/>
    <cellStyle name="Comma 2 2 2 2 3 2" xfId="311" xr:uid="{8E41F9E8-1681-4E4C-A1A7-E5F502303508}"/>
    <cellStyle name="Comma 2 2 2 2 3 2 2" xfId="605" xr:uid="{9F9D4E31-62E8-4D6B-BD5E-7816E464C272}"/>
    <cellStyle name="Comma 2 2 2 2 3 3" xfId="471" xr:uid="{E0F033CF-944B-4C45-A164-FED31C38706F}"/>
    <cellStyle name="Comma 2 2 2 2 4" xfId="14" xr:uid="{00000000-0005-0000-0000-00003A000000}"/>
    <cellStyle name="Comma 2 2 2 2 4 2" xfId="312" xr:uid="{C168E020-842A-40F2-AB7F-A16395866C56}"/>
    <cellStyle name="Comma 2 2 2 2 4 2 2" xfId="606" xr:uid="{0E8025C7-CAC2-4DA5-8241-2C479119FE43}"/>
    <cellStyle name="Comma 2 2 2 2 4 3" xfId="472" xr:uid="{9A9AD1F4-EB3A-492E-87C5-54F9EF383F0E}"/>
    <cellStyle name="Comma 2 2 2 3" xfId="15" xr:uid="{00000000-0005-0000-0000-00003B000000}"/>
    <cellStyle name="Comma 2 2 2 3 2" xfId="16" xr:uid="{00000000-0005-0000-0000-00003C000000}"/>
    <cellStyle name="Comma 2 2 2 3 2 2" xfId="313" xr:uid="{3465DBFF-1274-4F42-8E75-F31BD009121A}"/>
    <cellStyle name="Comma 2 2 2 3 2 2 2" xfId="607" xr:uid="{15549272-88F0-4399-BD15-477F4846C9A9}"/>
    <cellStyle name="Comma 2 2 2 3 2 3" xfId="473" xr:uid="{6BAECCD8-2A64-44A0-835D-3E6BB54C5448}"/>
    <cellStyle name="Comma 2 2 2 3 3" xfId="17" xr:uid="{00000000-0005-0000-0000-00003D000000}"/>
    <cellStyle name="Comma 2 2 2 3 3 2" xfId="314" xr:uid="{DC3AD018-23E2-43F7-98F4-CE7CCB8F579C}"/>
    <cellStyle name="Comma 2 2 2 3 3 2 2" xfId="608" xr:uid="{827B6EC8-D1E2-445D-9CF3-D80B99C441A6}"/>
    <cellStyle name="Comma 2 2 2 3 3 3" xfId="474" xr:uid="{8D4AD155-D425-4406-9C14-3E8B6A9216E1}"/>
    <cellStyle name="Comma 2 2 2 3 4" xfId="18" xr:uid="{00000000-0005-0000-0000-00003E000000}"/>
    <cellStyle name="Comma 2 2 2 3 4 2" xfId="315" xr:uid="{B1001643-44E3-4750-B675-FEEB3BDEF331}"/>
    <cellStyle name="Comma 2 2 2 3 4 2 2" xfId="609" xr:uid="{F7A5B55A-A158-4714-AD7B-02942DD871AF}"/>
    <cellStyle name="Comma 2 2 2 3 4 3" xfId="475" xr:uid="{9C0FEC9C-78D1-478C-A0FC-842FEF8675EC}"/>
    <cellStyle name="Comma 2 2 2 4" xfId="19" xr:uid="{00000000-0005-0000-0000-00003F000000}"/>
    <cellStyle name="Comma 2 2 2 4 2" xfId="316" xr:uid="{461FE34B-890D-404F-A9A0-E05275E0822D}"/>
    <cellStyle name="Comma 2 2 2 4 2 2" xfId="610" xr:uid="{0569E8CB-B2C5-4181-BE81-66BE6AC0A1BE}"/>
    <cellStyle name="Comma 2 2 2 4 3" xfId="476" xr:uid="{614BC6F2-F6FC-46A9-B842-4103470C1BA5}"/>
    <cellStyle name="Comma 2 2 2 5" xfId="20" xr:uid="{00000000-0005-0000-0000-000040000000}"/>
    <cellStyle name="Comma 2 2 2 5 2" xfId="317" xr:uid="{445626DC-B27B-40B1-BA9D-E988BDACBE92}"/>
    <cellStyle name="Comma 2 2 2 5 2 2" xfId="611" xr:uid="{C545E929-4C6F-45A5-83E4-176A7014DBA7}"/>
    <cellStyle name="Comma 2 2 2 5 3" xfId="477" xr:uid="{B0BB8946-60FA-4E9C-85A3-0277D4A5D526}"/>
    <cellStyle name="Comma 2 2 3" xfId="21" xr:uid="{00000000-0005-0000-0000-000041000000}"/>
    <cellStyle name="Comma 2 2 3 2" xfId="22" xr:uid="{00000000-0005-0000-0000-000042000000}"/>
    <cellStyle name="Comma 2 2 3 2 2" xfId="23" xr:uid="{00000000-0005-0000-0000-000043000000}"/>
    <cellStyle name="Comma 2 2 3 2 2 2" xfId="24" xr:uid="{00000000-0005-0000-0000-000044000000}"/>
    <cellStyle name="Comma 2 2 3 2 2 2 2" xfId="318" xr:uid="{2DDC6C74-2A7C-4878-924D-66857064800C}"/>
    <cellStyle name="Comma 2 2 3 2 2 2 2 2" xfId="612" xr:uid="{4099AC6D-3501-4DD3-919B-0E20A1A13B61}"/>
    <cellStyle name="Comma 2 2 3 2 2 2 3" xfId="478" xr:uid="{8CD60BD1-D0C8-49E2-B2AD-370BBA527959}"/>
    <cellStyle name="Comma 2 2 3 2 3" xfId="25" xr:uid="{00000000-0005-0000-0000-000045000000}"/>
    <cellStyle name="Comma 2 2 3 2 3 2" xfId="319" xr:uid="{5D59FB0C-6C8E-4307-86E3-42C6B0437173}"/>
    <cellStyle name="Comma 2 2 3 2 3 2 2" xfId="613" xr:uid="{8D85D161-0DD2-42F8-9930-8E009FFE017E}"/>
    <cellStyle name="Comma 2 2 3 2 3 3" xfId="479" xr:uid="{F3EEB545-D699-4150-A00D-CFF18EDD0494}"/>
    <cellStyle name="Comma 2 2 3 2 4" xfId="26" xr:uid="{00000000-0005-0000-0000-000046000000}"/>
    <cellStyle name="Comma 2 2 3 2 4 2" xfId="320" xr:uid="{946484F8-1756-4DF5-9158-3B82875180C5}"/>
    <cellStyle name="Comma 2 2 3 2 4 2 2" xfId="614" xr:uid="{979D92D5-6875-42B8-A246-2814DC6650BF}"/>
    <cellStyle name="Comma 2 2 3 2 4 3" xfId="480" xr:uid="{1432CE1F-D6CC-4D2A-969A-1CC95EAC2286}"/>
    <cellStyle name="Comma 2 2 3 3" xfId="27" xr:uid="{00000000-0005-0000-0000-000047000000}"/>
    <cellStyle name="Comma 2 2 3 3 2" xfId="28" xr:uid="{00000000-0005-0000-0000-000048000000}"/>
    <cellStyle name="Comma 2 2 3 3 2 2" xfId="321" xr:uid="{88421BEA-AB4F-45F2-AB2F-A7B102A96E04}"/>
    <cellStyle name="Comma 2 2 3 3 2 2 2" xfId="615" xr:uid="{6E97C8D9-9599-4474-8E27-1A4D5E9DD2CA}"/>
    <cellStyle name="Comma 2 2 3 3 2 3" xfId="481" xr:uid="{5B9BE95D-3EC8-4B6E-BF34-85BD3966E769}"/>
    <cellStyle name="Comma 2 2 3 3 3" xfId="29" xr:uid="{00000000-0005-0000-0000-000049000000}"/>
    <cellStyle name="Comma 2 2 3 3 3 2" xfId="322" xr:uid="{E1BBA2D8-F3B5-4A40-B77A-D4368D46B20B}"/>
    <cellStyle name="Comma 2 2 3 3 3 2 2" xfId="616" xr:uid="{9495E58C-3FB8-4C5D-BF39-BF1882592F01}"/>
    <cellStyle name="Comma 2 2 3 3 3 3" xfId="482" xr:uid="{C645875C-8C8D-40C6-B55A-F858EDC39374}"/>
    <cellStyle name="Comma 2 2 3 3 4" xfId="30" xr:uid="{00000000-0005-0000-0000-00004A000000}"/>
    <cellStyle name="Comma 2 2 3 3 4 2" xfId="323" xr:uid="{1F316C3D-DDE3-4430-B9F6-F020429C8F46}"/>
    <cellStyle name="Comma 2 2 3 3 4 2 2" xfId="617" xr:uid="{BAC6489B-ED81-46D0-BA89-62C9B311E97A}"/>
    <cellStyle name="Comma 2 2 3 3 4 3" xfId="483" xr:uid="{D33D00D2-3816-4203-9A56-E0414030559B}"/>
    <cellStyle name="Comma 2 2 3 4" xfId="31" xr:uid="{00000000-0005-0000-0000-00004B000000}"/>
    <cellStyle name="Comma 2 2 3 4 2" xfId="324" xr:uid="{A2198627-2B93-4B8B-A74C-664151317C3B}"/>
    <cellStyle name="Comma 2 2 3 4 2 2" xfId="618" xr:uid="{15678DD5-DF36-41D4-AD4E-635EF385E379}"/>
    <cellStyle name="Comma 2 2 3 4 3" xfId="484" xr:uid="{0E261A5E-AE53-4942-A3AF-A853E0229E12}"/>
    <cellStyle name="Comma 2 2 3 5" xfId="32" xr:uid="{00000000-0005-0000-0000-00004C000000}"/>
    <cellStyle name="Comma 2 2 3 5 2" xfId="325" xr:uid="{92CD48FB-DFD1-4AAB-9E29-A7F966380F52}"/>
    <cellStyle name="Comma 2 2 3 5 2 2" xfId="619" xr:uid="{1505F3F5-0359-4A8C-BA24-068A8D53C4ED}"/>
    <cellStyle name="Comma 2 2 3 5 3" xfId="485" xr:uid="{1E0A72D9-1524-423E-B045-9DFA8469DA00}"/>
    <cellStyle name="Comma 2 2 4" xfId="33" xr:uid="{00000000-0005-0000-0000-00004D000000}"/>
    <cellStyle name="Comma 2 2 4 2" xfId="34" xr:uid="{00000000-0005-0000-0000-00004E000000}"/>
    <cellStyle name="Comma 2 2 4 2 2" xfId="35" xr:uid="{00000000-0005-0000-0000-00004F000000}"/>
    <cellStyle name="Comma 2 2 4 2 2 2" xfId="326" xr:uid="{5EAA6853-3C33-4B80-9EAF-03FA858173B6}"/>
    <cellStyle name="Comma 2 2 4 2 2 2 2" xfId="620" xr:uid="{92C8A5B2-743F-4005-8839-7131127E7257}"/>
    <cellStyle name="Comma 2 2 4 2 2 3" xfId="486" xr:uid="{0533C235-4CDE-445A-B8D8-752C104DB1E9}"/>
    <cellStyle name="Comma 2 2 4 3" xfId="36" xr:uid="{00000000-0005-0000-0000-000050000000}"/>
    <cellStyle name="Comma 2 2 4 3 2" xfId="327" xr:uid="{6E492BE8-9F83-4B9F-A654-4816B07EF94E}"/>
    <cellStyle name="Comma 2 2 4 3 2 2" xfId="621" xr:uid="{1392FD80-BB3D-4793-8A70-1A5B561C90A6}"/>
    <cellStyle name="Comma 2 2 4 3 3" xfId="487" xr:uid="{AEA36F52-1E4F-43C1-9373-4026361D0933}"/>
    <cellStyle name="Comma 2 2 4 4" xfId="37" xr:uid="{00000000-0005-0000-0000-000051000000}"/>
    <cellStyle name="Comma 2 2 4 4 2" xfId="328" xr:uid="{34288B39-8A39-4F84-8222-7F98858EC578}"/>
    <cellStyle name="Comma 2 2 4 4 2 2" xfId="622" xr:uid="{BE998894-0FA2-46BF-9D84-64E480B27CC4}"/>
    <cellStyle name="Comma 2 2 4 4 3" xfId="488" xr:uid="{96C0CD7D-486B-4724-A788-F68D7BF97A5B}"/>
    <cellStyle name="Comma 2 2 5" xfId="38" xr:uid="{00000000-0005-0000-0000-000052000000}"/>
    <cellStyle name="Comma 2 2 5 2" xfId="39" xr:uid="{00000000-0005-0000-0000-000053000000}"/>
    <cellStyle name="Comma 2 2 5 2 2" xfId="329" xr:uid="{B0E02740-A657-4E8C-9991-A7E2A4CBC2ED}"/>
    <cellStyle name="Comma 2 2 5 2 2 2" xfId="623" xr:uid="{D70A8B32-A079-4698-A37A-1B75D126350D}"/>
    <cellStyle name="Comma 2 2 5 2 3" xfId="489" xr:uid="{C9538AD7-F8DA-41FC-A9C6-8180CB48D26A}"/>
    <cellStyle name="Comma 2 2 5 3" xfId="40" xr:uid="{00000000-0005-0000-0000-000054000000}"/>
    <cellStyle name="Comma 2 2 5 3 2" xfId="330" xr:uid="{BDF3CBC8-7E06-417B-9027-62BE94AA6E9B}"/>
    <cellStyle name="Comma 2 2 5 3 2 2" xfId="624" xr:uid="{6679C1A7-CEC0-41D5-9316-702748EBE1FE}"/>
    <cellStyle name="Comma 2 2 5 3 3" xfId="490" xr:uid="{7C094536-D4AB-4797-B797-29C79840CFCF}"/>
    <cellStyle name="Comma 2 2 5 4" xfId="41" xr:uid="{00000000-0005-0000-0000-000055000000}"/>
    <cellStyle name="Comma 2 2 5 4 2" xfId="331" xr:uid="{7892E4F2-8F86-4E03-876E-DE49B9212407}"/>
    <cellStyle name="Comma 2 2 5 4 2 2" xfId="625" xr:uid="{B677E7EC-99CB-44CB-AD11-DD2DBA5173D7}"/>
    <cellStyle name="Comma 2 2 5 4 3" xfId="491" xr:uid="{FD6B760F-4EDC-42E5-ACD5-CA5E4D073B4C}"/>
    <cellStyle name="Comma 2 2 6" xfId="42" xr:uid="{00000000-0005-0000-0000-000056000000}"/>
    <cellStyle name="Comma 2 2 6 2" xfId="332" xr:uid="{779EDA38-8AC0-4480-8A24-C84170A15C03}"/>
    <cellStyle name="Comma 2 2 6 2 2" xfId="626" xr:uid="{82181686-1DE0-4DBD-AEC9-3821F2AF8C41}"/>
    <cellStyle name="Comma 2 2 6 3" xfId="492" xr:uid="{40654677-22D1-49C6-80E9-9BA7CD363EA6}"/>
    <cellStyle name="Comma 2 2 7" xfId="43" xr:uid="{00000000-0005-0000-0000-000057000000}"/>
    <cellStyle name="Comma 2 2 7 2" xfId="44" xr:uid="{00000000-0005-0000-0000-000058000000}"/>
    <cellStyle name="Comma 2 2 7 2 2" xfId="333" xr:uid="{B1E1382A-2E64-4543-B2C0-59A574B4DCAE}"/>
    <cellStyle name="Comma 2 2 7 2 2 2" xfId="627" xr:uid="{656016DE-06AE-4620-AD32-3FC6AA65D727}"/>
    <cellStyle name="Comma 2 2 7 2 3" xfId="493" xr:uid="{D6EF3D7D-665E-4257-BA20-075E9822C35E}"/>
    <cellStyle name="Comma 2 2 8" xfId="45" xr:uid="{00000000-0005-0000-0000-000059000000}"/>
    <cellStyle name="Comma 2 2 8 2" xfId="334" xr:uid="{DEDA3FF6-7FFC-404A-8185-C4226D494999}"/>
    <cellStyle name="Comma 2 2 8 2 2" xfId="628" xr:uid="{EE2BAEFD-C8D5-42C1-BCD6-A8D019F52CD1}"/>
    <cellStyle name="Comma 2 2 8 3" xfId="494" xr:uid="{047408A4-0160-4543-BE38-11D93C977C4C}"/>
    <cellStyle name="Comma 2 2 9" xfId="309" xr:uid="{E13C1021-D91B-4BE3-8E39-5D7C1E07E1BA}"/>
    <cellStyle name="Comma 2 2 9 2" xfId="603" xr:uid="{47D7E27A-0099-4322-8F67-274CFD0CA21F}"/>
    <cellStyle name="Comma 2 3" xfId="46" xr:uid="{00000000-0005-0000-0000-00005A000000}"/>
    <cellStyle name="Comma 2 3 2" xfId="47" xr:uid="{00000000-0005-0000-0000-00005B000000}"/>
    <cellStyle name="Comma 2 3 2 2" xfId="48" xr:uid="{00000000-0005-0000-0000-00005C000000}"/>
    <cellStyle name="Comma 2 3 2 2 2" xfId="49" xr:uid="{00000000-0005-0000-0000-00005D000000}"/>
    <cellStyle name="Comma 2 3 2 2 2 2" xfId="335" xr:uid="{02F4B5F8-8871-4043-A004-278BC364E460}"/>
    <cellStyle name="Comma 2 3 2 2 2 2 2" xfId="629" xr:uid="{2F8FF308-5B35-46B6-A1BC-44897ED24004}"/>
    <cellStyle name="Comma 2 3 2 2 2 3" xfId="495" xr:uid="{08BEF101-E64C-4825-95A7-2C4B17FE9317}"/>
    <cellStyle name="Comma 2 3 2 3" xfId="50" xr:uid="{00000000-0005-0000-0000-00005E000000}"/>
    <cellStyle name="Comma 2 3 2 3 2" xfId="336" xr:uid="{BE09EFE2-7FB5-4CA3-9AC1-6361F1065E96}"/>
    <cellStyle name="Comma 2 3 2 3 2 2" xfId="630" xr:uid="{E17B073C-E92E-47F2-9161-5F2B819C3047}"/>
    <cellStyle name="Comma 2 3 2 3 3" xfId="496" xr:uid="{612D57DE-42BA-40F6-B419-D0FD8FDFDE7E}"/>
    <cellStyle name="Comma 2 3 2 4" xfId="51" xr:uid="{00000000-0005-0000-0000-00005F000000}"/>
    <cellStyle name="Comma 2 3 2 4 2" xfId="337" xr:uid="{E90D66C7-4DCE-4672-A1E8-C01FBDF35116}"/>
    <cellStyle name="Comma 2 3 2 4 2 2" xfId="631" xr:uid="{7700430E-5D5B-411F-B080-4D176DAD836B}"/>
    <cellStyle name="Comma 2 3 2 4 3" xfId="497" xr:uid="{70D514D8-BF0C-4CDB-B660-18519E90C7A2}"/>
    <cellStyle name="Comma 2 3 3" xfId="52" xr:uid="{00000000-0005-0000-0000-000060000000}"/>
    <cellStyle name="Comma 2 3 3 2" xfId="53" xr:uid="{00000000-0005-0000-0000-000061000000}"/>
    <cellStyle name="Comma 2 3 3 2 2" xfId="338" xr:uid="{219534F0-FB7B-4706-957C-D6EB5D17E881}"/>
    <cellStyle name="Comma 2 3 3 2 2 2" xfId="632" xr:uid="{7A6095B8-486E-491C-AF16-AE21AF5D30F4}"/>
    <cellStyle name="Comma 2 3 3 2 3" xfId="498" xr:uid="{1E14FF28-C0D4-4C47-81D6-1D8DCA8A0005}"/>
    <cellStyle name="Comma 2 3 3 3" xfId="54" xr:uid="{00000000-0005-0000-0000-000062000000}"/>
    <cellStyle name="Comma 2 3 3 3 2" xfId="339" xr:uid="{0096064D-B79C-4500-9B0E-44F11A7642A5}"/>
    <cellStyle name="Comma 2 3 3 3 2 2" xfId="633" xr:uid="{BF5A9E94-EB9C-4395-9478-FDBB55DA5971}"/>
    <cellStyle name="Comma 2 3 3 3 3" xfId="499" xr:uid="{E24D898B-6603-4876-A9A2-32EF95F5B041}"/>
    <cellStyle name="Comma 2 3 3 4" xfId="55" xr:uid="{00000000-0005-0000-0000-000063000000}"/>
    <cellStyle name="Comma 2 3 3 4 2" xfId="340" xr:uid="{20950595-EAD8-4D81-B841-33CA922340ED}"/>
    <cellStyle name="Comma 2 3 3 4 2 2" xfId="634" xr:uid="{51F98240-D998-4A38-97F1-D4AD676E7A1F}"/>
    <cellStyle name="Comma 2 3 3 4 3" xfId="500" xr:uid="{443B2C16-0794-4306-8961-587719468A76}"/>
    <cellStyle name="Comma 2 3 4" xfId="56" xr:uid="{00000000-0005-0000-0000-000064000000}"/>
    <cellStyle name="Comma 2 3 4 2" xfId="341" xr:uid="{32E76601-362A-4AA8-9F9D-AF113366C4E5}"/>
    <cellStyle name="Comma 2 3 4 2 2" xfId="635" xr:uid="{6E6A518B-16F0-4890-82E5-220DCC205FE6}"/>
    <cellStyle name="Comma 2 3 4 3" xfId="501" xr:uid="{1824EF30-A3A5-4B4D-85F3-B6E2BC3D8BD9}"/>
    <cellStyle name="Comma 2 3 5" xfId="57" xr:uid="{00000000-0005-0000-0000-000065000000}"/>
    <cellStyle name="Comma 2 3 5 2" xfId="342" xr:uid="{ADE572C6-C889-454D-B8B6-644F559E4E6F}"/>
    <cellStyle name="Comma 2 3 5 2 2" xfId="636" xr:uid="{83063A30-35FD-42B7-BD3B-1BEAC7B46F9B}"/>
    <cellStyle name="Comma 2 3 5 3" xfId="502" xr:uid="{B47C47ED-CFEE-4BDA-A12E-4F73DA8BB571}"/>
    <cellStyle name="Comma 2 4" xfId="58" xr:uid="{00000000-0005-0000-0000-000066000000}"/>
    <cellStyle name="Comma 2 4 2" xfId="59" xr:uid="{00000000-0005-0000-0000-000067000000}"/>
    <cellStyle name="Comma 2 4 2 2" xfId="60" xr:uid="{00000000-0005-0000-0000-000068000000}"/>
    <cellStyle name="Comma 2 4 2 2 2" xfId="61" xr:uid="{00000000-0005-0000-0000-000069000000}"/>
    <cellStyle name="Comma 2 4 2 2 2 2" xfId="343" xr:uid="{F0868E35-1DD8-4FB2-B24A-F60FA6112C5A}"/>
    <cellStyle name="Comma 2 4 2 2 2 2 2" xfId="637" xr:uid="{A906207A-00E5-49E3-9C97-23CD720D1144}"/>
    <cellStyle name="Comma 2 4 2 2 2 3" xfId="503" xr:uid="{C78AF01B-A6B1-4EB8-99C5-B8ADE98F48DB}"/>
    <cellStyle name="Comma 2 4 2 3" xfId="62" xr:uid="{00000000-0005-0000-0000-00006A000000}"/>
    <cellStyle name="Comma 2 4 2 3 2" xfId="344" xr:uid="{12E3C1E7-6F16-464E-BD0C-B34728B9006B}"/>
    <cellStyle name="Comma 2 4 2 3 2 2" xfId="638" xr:uid="{B7DD4880-1DF6-4F5D-9E27-4656C8AE4788}"/>
    <cellStyle name="Comma 2 4 2 3 3" xfId="504" xr:uid="{E969EC13-D9E2-4051-820E-123A623BF469}"/>
    <cellStyle name="Comma 2 4 2 4" xfId="63" xr:uid="{00000000-0005-0000-0000-00006B000000}"/>
    <cellStyle name="Comma 2 4 2 4 2" xfId="345" xr:uid="{A9E1F8A6-9A58-491A-9760-8F63D8695128}"/>
    <cellStyle name="Comma 2 4 2 4 2 2" xfId="639" xr:uid="{00CE86B7-CE72-4CB0-ADE5-FB207948D2C1}"/>
    <cellStyle name="Comma 2 4 2 4 3" xfId="505" xr:uid="{53A83293-5879-4EC8-BE27-59876F111A37}"/>
    <cellStyle name="Comma 2 4 3" xfId="64" xr:uid="{00000000-0005-0000-0000-00006C000000}"/>
    <cellStyle name="Comma 2 4 3 2" xfId="65" xr:uid="{00000000-0005-0000-0000-00006D000000}"/>
    <cellStyle name="Comma 2 4 3 2 2" xfId="346" xr:uid="{B71ED727-36F7-4EAD-ACCE-4322E2A14F7A}"/>
    <cellStyle name="Comma 2 4 3 2 2 2" xfId="640" xr:uid="{988D1951-8690-4604-B082-BC582457F0CA}"/>
    <cellStyle name="Comma 2 4 3 2 3" xfId="506" xr:uid="{F8AD7C9C-EC9A-4316-B4B8-91A9826D2FFA}"/>
    <cellStyle name="Comma 2 4 3 3" xfId="66" xr:uid="{00000000-0005-0000-0000-00006E000000}"/>
    <cellStyle name="Comma 2 4 3 3 2" xfId="347" xr:uid="{FCDF3E38-DC69-40E2-9D73-A4EB6DD6C399}"/>
    <cellStyle name="Comma 2 4 3 3 2 2" xfId="641" xr:uid="{D65B7694-412B-4F68-9B00-F0C39A903B58}"/>
    <cellStyle name="Comma 2 4 3 3 3" xfId="507" xr:uid="{1E002B1B-72A7-460F-BF58-6879443E144E}"/>
    <cellStyle name="Comma 2 4 3 4" xfId="67" xr:uid="{00000000-0005-0000-0000-00006F000000}"/>
    <cellStyle name="Comma 2 4 3 4 2" xfId="348" xr:uid="{E47056C9-011E-4E37-9A3F-C4849C1B7452}"/>
    <cellStyle name="Comma 2 4 3 4 2 2" xfId="642" xr:uid="{35E40DFB-575F-4B2F-A2FF-B53EF737A509}"/>
    <cellStyle name="Comma 2 4 3 4 3" xfId="508" xr:uid="{F2BBE64B-BD2B-40E5-B002-B4355C00A53C}"/>
    <cellStyle name="Comma 2 4 4" xfId="68" xr:uid="{00000000-0005-0000-0000-000070000000}"/>
    <cellStyle name="Comma 2 4 4 2" xfId="349" xr:uid="{22E6464F-BCD8-4758-8D8A-83DE96981C99}"/>
    <cellStyle name="Comma 2 4 4 2 2" xfId="643" xr:uid="{02C27C2A-2B1A-441E-8C19-476F2295B817}"/>
    <cellStyle name="Comma 2 4 4 3" xfId="509" xr:uid="{6A92C6FC-48CD-4ABC-A997-8B9062A15057}"/>
    <cellStyle name="Comma 2 4 5" xfId="69" xr:uid="{00000000-0005-0000-0000-000071000000}"/>
    <cellStyle name="Comma 2 4 5 2" xfId="350" xr:uid="{C19E62A1-ACE9-4818-8CD0-4DFB300E1557}"/>
    <cellStyle name="Comma 2 4 5 2 2" xfId="644" xr:uid="{F2163E8B-1A61-467A-9B16-C76C30920DE4}"/>
    <cellStyle name="Comma 2 4 5 3" xfId="510" xr:uid="{4285DB57-35B0-4EE1-B708-FA5C222CEF8B}"/>
    <cellStyle name="Comma 2 5" xfId="70" xr:uid="{00000000-0005-0000-0000-000072000000}"/>
    <cellStyle name="Comma 2 5 2" xfId="71" xr:uid="{00000000-0005-0000-0000-000073000000}"/>
    <cellStyle name="Comma 2 5 2 2" xfId="72" xr:uid="{00000000-0005-0000-0000-000074000000}"/>
    <cellStyle name="Comma 2 5 2 3" xfId="73" xr:uid="{00000000-0005-0000-0000-000075000000}"/>
    <cellStyle name="Comma 2 5 2 3 2" xfId="351" xr:uid="{04F7415F-22EA-427A-9B3F-BF48E8038AE5}"/>
    <cellStyle name="Comma 2 5 2 3 2 2" xfId="645" xr:uid="{2F450594-5BC1-47DF-8E4E-8AC51EA75ED1}"/>
    <cellStyle name="Comma 2 5 2 3 3" xfId="511" xr:uid="{3BB21A64-B6AB-446D-ADD7-E30494A466E5}"/>
    <cellStyle name="Comma 2 5 3" xfId="74" xr:uid="{00000000-0005-0000-0000-000076000000}"/>
    <cellStyle name="Comma 2 5 3 2" xfId="75" xr:uid="{00000000-0005-0000-0000-000077000000}"/>
    <cellStyle name="Comma 2 5 3 2 2" xfId="352" xr:uid="{B9077023-60C0-4888-84C5-13A459076447}"/>
    <cellStyle name="Comma 2 5 3 2 2 2" xfId="646" xr:uid="{F15A9017-5E02-454A-AE8F-506F6B2EE3E1}"/>
    <cellStyle name="Comma 2 5 3 2 3" xfId="512" xr:uid="{EA3348DF-CC0F-4609-8C87-ED91F582500C}"/>
    <cellStyle name="Comma 2 5 4" xfId="76" xr:uid="{00000000-0005-0000-0000-000078000000}"/>
    <cellStyle name="Comma 2 5 4 2" xfId="353" xr:uid="{68998FFA-9FA1-464C-91B2-87BE17EBACA2}"/>
    <cellStyle name="Comma 2 5 4 2 2" xfId="647" xr:uid="{F270B943-007F-4524-B836-2F456D0919C5}"/>
    <cellStyle name="Comma 2 5 4 3" xfId="513" xr:uid="{C97AA742-70F0-4182-B97B-BB9018AD1612}"/>
    <cellStyle name="Comma 2 6" xfId="77" xr:uid="{00000000-0005-0000-0000-000079000000}"/>
    <cellStyle name="Comma 2 6 2" xfId="78" xr:uid="{00000000-0005-0000-0000-00007A000000}"/>
    <cellStyle name="Comma 2 6 2 2" xfId="79" xr:uid="{00000000-0005-0000-0000-00007B000000}"/>
    <cellStyle name="Comma 2 6 2 2 2" xfId="354" xr:uid="{A6E2F66F-148F-458F-B0BF-2421BF2BE09A}"/>
    <cellStyle name="Comma 2 6 2 2 2 2" xfId="648" xr:uid="{FA86ABF7-5522-4CED-A310-FB0F27181FBA}"/>
    <cellStyle name="Comma 2 6 2 2 3" xfId="514" xr:uid="{50052EA5-FA88-444C-896E-C8CDB112D12D}"/>
    <cellStyle name="Comma 2 6 3" xfId="80" xr:uid="{00000000-0005-0000-0000-00007C000000}"/>
    <cellStyle name="Comma 2 6 3 2" xfId="355" xr:uid="{F0972FC9-0E11-4DC1-A22E-B4D7EE41F527}"/>
    <cellStyle name="Comma 2 6 3 2 2" xfId="649" xr:uid="{BBD97EB9-608E-409C-AB12-5A13650B2FD1}"/>
    <cellStyle name="Comma 2 6 3 3" xfId="515" xr:uid="{DB847646-E307-4377-9B45-5687C84A0544}"/>
    <cellStyle name="Comma 2 6 4" xfId="81" xr:uid="{00000000-0005-0000-0000-00007D000000}"/>
    <cellStyle name="Comma 2 6 4 2" xfId="356" xr:uid="{1DC23507-60B6-428D-A2AB-64B1DD05824B}"/>
    <cellStyle name="Comma 2 6 4 2 2" xfId="650" xr:uid="{2C452B45-CCAF-4643-A673-B7349D6FD9E8}"/>
    <cellStyle name="Comma 2 6 4 3" xfId="516" xr:uid="{167B4469-C20F-4BA1-8743-53E9E47520AD}"/>
    <cellStyle name="Comma 2 7" xfId="82" xr:uid="{00000000-0005-0000-0000-00007E000000}"/>
    <cellStyle name="Comma 2 7 2" xfId="83" xr:uid="{00000000-0005-0000-0000-00007F000000}"/>
    <cellStyle name="Comma 2 7 2 2" xfId="84" xr:uid="{00000000-0005-0000-0000-000080000000}"/>
    <cellStyle name="Comma 2 7 2 2 2" xfId="357" xr:uid="{9B760C5B-D060-4CAC-ABD5-6B2517D5878D}"/>
    <cellStyle name="Comma 2 7 2 2 2 2" xfId="651" xr:uid="{E81F02E8-EF09-454E-98D2-8E7766AB61AC}"/>
    <cellStyle name="Comma 2 7 2 2 3" xfId="517" xr:uid="{51C987E4-2315-44E0-BAFE-2729E93F8200}"/>
    <cellStyle name="Comma 2 7 3" xfId="85" xr:uid="{00000000-0005-0000-0000-000081000000}"/>
    <cellStyle name="Comma 2 7 3 2" xfId="358" xr:uid="{E01B3974-36EF-441A-96BE-76E91636EFF6}"/>
    <cellStyle name="Comma 2 7 3 2 2" xfId="652" xr:uid="{A69C279A-5D5C-4B73-BFDF-78B76386FB4C}"/>
    <cellStyle name="Comma 2 7 3 3" xfId="518" xr:uid="{76560860-1033-4E60-ACCE-830F89ECA2DF}"/>
    <cellStyle name="Comma 2 7 4" xfId="86" xr:uid="{00000000-0005-0000-0000-000082000000}"/>
    <cellStyle name="Comma 2 7 4 2" xfId="359" xr:uid="{ED831B41-BFE4-4BD9-AFAC-859113725DA4}"/>
    <cellStyle name="Comma 2 7 4 2 2" xfId="653" xr:uid="{7210DB8B-7B65-4715-9369-1269ED755168}"/>
    <cellStyle name="Comma 2 7 4 3" xfId="519" xr:uid="{994C2F85-7BCB-4785-BCCE-19ACDFA56EC8}"/>
    <cellStyle name="Comma 2 8" xfId="87" xr:uid="{00000000-0005-0000-0000-000083000000}"/>
    <cellStyle name="Comma 2 8 2" xfId="88" xr:uid="{00000000-0005-0000-0000-000084000000}"/>
    <cellStyle name="Comma 2 8 2 2" xfId="360" xr:uid="{271AB67F-F754-46D8-8364-C9CC4711DD8C}"/>
    <cellStyle name="Comma 2 8 2 2 2" xfId="654" xr:uid="{29896F87-8445-4C50-B2F9-9E6914DEF908}"/>
    <cellStyle name="Comma 2 8 2 3" xfId="520" xr:uid="{E0A6E7B7-B321-4697-98B8-DE99C9A71DBE}"/>
    <cellStyle name="Comma 2 9" xfId="89" xr:uid="{00000000-0005-0000-0000-000085000000}"/>
    <cellStyle name="Comma 2 9 2" xfId="361" xr:uid="{CDE0430F-768D-4931-A202-81145CA939E1}"/>
    <cellStyle name="Comma 2 9 2 2" xfId="655" xr:uid="{AC97865E-3929-4CD9-937D-589BF7DE9295}"/>
    <cellStyle name="Comma 2 9 3" xfId="521" xr:uid="{4F797FBB-5115-4C95-A6F1-6DA6B5EF88FE}"/>
    <cellStyle name="Comma 3" xfId="90" xr:uid="{00000000-0005-0000-0000-000086000000}"/>
    <cellStyle name="Comma 3 11" xfId="440" xr:uid="{6178FC87-5B2F-427B-959C-DFC900C0D8B5}"/>
    <cellStyle name="Comma 3 11 2" xfId="734" xr:uid="{2DB771FB-7C48-4B1A-A6D9-51569F5C2013}"/>
    <cellStyle name="Comma 3 2" xfId="91" xr:uid="{00000000-0005-0000-0000-000087000000}"/>
    <cellStyle name="Comma 3 2 10" xfId="363" xr:uid="{502AABA4-2079-4690-9110-23E2D2A73D0D}"/>
    <cellStyle name="Comma 3 2 10 2" xfId="657" xr:uid="{6EADF26A-B89B-42A1-ABD4-5E8DCB3BE47E}"/>
    <cellStyle name="Comma 3 2 11" xfId="523" xr:uid="{975E0F02-26B6-4420-BAF1-0311F5423B9B}"/>
    <cellStyle name="Comma 3 2 2" xfId="92" xr:uid="{00000000-0005-0000-0000-000088000000}"/>
    <cellStyle name="Comma 3 2 2 2" xfId="93" xr:uid="{00000000-0005-0000-0000-000089000000}"/>
    <cellStyle name="Comma 3 2 2 2 2" xfId="94" xr:uid="{00000000-0005-0000-0000-00008A000000}"/>
    <cellStyle name="Comma 3 2 2 2 2 2" xfId="95" xr:uid="{00000000-0005-0000-0000-00008B000000}"/>
    <cellStyle name="Comma 3 2 2 2 2 2 2" xfId="366" xr:uid="{1FC70FC0-2DD8-4F24-A233-6A09861DE061}"/>
    <cellStyle name="Comma 3 2 2 2 2 2 2 2" xfId="660" xr:uid="{721424AD-B2DA-4312-A768-7136B8480859}"/>
    <cellStyle name="Comma 3 2 2 2 2 2 3" xfId="526" xr:uid="{2C30F079-E881-4932-BBB3-3BB33B56E677}"/>
    <cellStyle name="Comma 3 2 2 2 2 3" xfId="96" xr:uid="{00000000-0005-0000-0000-00008C000000}"/>
    <cellStyle name="Comma 3 2 2 2 2 3 2" xfId="367" xr:uid="{95CAA5B9-8CA2-4328-98DC-4CDB5ABAC124}"/>
    <cellStyle name="Comma 3 2 2 2 2 3 2 2" xfId="661" xr:uid="{D787BBDB-D62D-4864-96CF-86CF2D09C2E4}"/>
    <cellStyle name="Comma 3 2 2 2 2 3 3" xfId="527" xr:uid="{5B7AC1FD-9B4B-4E7C-90CF-810BAE1B3564}"/>
    <cellStyle name="Comma 3 2 2 2 2 4" xfId="365" xr:uid="{EEC714AC-2CFE-451F-BD87-67C4211AC417}"/>
    <cellStyle name="Comma 3 2 2 2 2 4 2" xfId="659" xr:uid="{FBCE4C76-3639-4BF9-825B-10DA8362FFA9}"/>
    <cellStyle name="Comma 3 2 2 2 2 5" xfId="525" xr:uid="{E4E40F51-4B72-426C-85E8-8D41793333D4}"/>
    <cellStyle name="Comma 3 2 2 2 3" xfId="97" xr:uid="{00000000-0005-0000-0000-00008D000000}"/>
    <cellStyle name="Comma 3 2 2 2 3 2" xfId="98" xr:uid="{00000000-0005-0000-0000-00008E000000}"/>
    <cellStyle name="Comma 3 2 2 2 3 2 2" xfId="369" xr:uid="{AA9434E8-98F2-4FC0-BCAC-BDCB7E12CF02}"/>
    <cellStyle name="Comma 3 2 2 2 3 2 2 2" xfId="663" xr:uid="{5E331D04-6BA0-4679-B17D-3ED283776685}"/>
    <cellStyle name="Comma 3 2 2 2 3 2 3" xfId="529" xr:uid="{318F37E5-AA4A-4604-B3A0-D82E592FECD8}"/>
    <cellStyle name="Comma 3 2 2 2 3 3" xfId="99" xr:uid="{00000000-0005-0000-0000-00008F000000}"/>
    <cellStyle name="Comma 3 2 2 2 3 3 2" xfId="370" xr:uid="{C4AD4845-64AB-4595-85F9-68086B1DBC36}"/>
    <cellStyle name="Comma 3 2 2 2 3 3 2 2" xfId="664" xr:uid="{5A6E2CA1-E823-433D-ADC2-B5131656395C}"/>
    <cellStyle name="Comma 3 2 2 2 3 3 3" xfId="530" xr:uid="{6884C49D-E270-465A-88B8-7948F637F324}"/>
    <cellStyle name="Comma 3 2 2 2 3 4" xfId="368" xr:uid="{E05A9913-C94C-49E0-AA2E-DFA900FB7C6D}"/>
    <cellStyle name="Comma 3 2 2 2 3 4 2" xfId="662" xr:uid="{85D64A5D-DA94-4F12-9B5E-2C3EB18FB903}"/>
    <cellStyle name="Comma 3 2 2 2 3 5" xfId="528" xr:uid="{85ADF9D6-5B89-49EA-A5F4-50A088E8A860}"/>
    <cellStyle name="Comma 3 2 2 2 4" xfId="100" xr:uid="{00000000-0005-0000-0000-000090000000}"/>
    <cellStyle name="Comma 3 2 2 2 4 2" xfId="371" xr:uid="{A69A502F-E9CF-4389-966B-E68D55433DFB}"/>
    <cellStyle name="Comma 3 2 2 2 4 2 2" xfId="665" xr:uid="{57075578-0702-408C-80B5-53C196C3ABD9}"/>
    <cellStyle name="Comma 3 2 2 2 4 3" xfId="531" xr:uid="{20DA45B6-EFE8-4165-B4A0-C2F5A96AD52D}"/>
    <cellStyle name="Comma 3 2 2 2 5" xfId="101" xr:uid="{00000000-0005-0000-0000-000091000000}"/>
    <cellStyle name="Comma 3 2 2 2 5 2" xfId="372" xr:uid="{1646A094-A6ED-474A-9D3D-4FF037AFA00F}"/>
    <cellStyle name="Comma 3 2 2 2 5 2 2" xfId="666" xr:uid="{977C43D1-BDC0-4951-91E6-2392FDF7883E}"/>
    <cellStyle name="Comma 3 2 2 2 5 3" xfId="532" xr:uid="{BEFEF413-0BA8-4E25-8882-D8F1E746B8EF}"/>
    <cellStyle name="Comma 3 2 2 3" xfId="102" xr:uid="{00000000-0005-0000-0000-000092000000}"/>
    <cellStyle name="Comma 3 2 2 3 2" xfId="103" xr:uid="{00000000-0005-0000-0000-000093000000}"/>
    <cellStyle name="Comma 3 2 2 3 2 2" xfId="104" xr:uid="{00000000-0005-0000-0000-000094000000}"/>
    <cellStyle name="Comma 3 2 2 3 2 2 2" xfId="375" xr:uid="{EB727843-77E7-4E6C-AF83-D5AFF3C555F7}"/>
    <cellStyle name="Comma 3 2 2 3 2 2 2 2" xfId="669" xr:uid="{DA6F3E0A-CDC9-491C-B56F-ED8890646AC0}"/>
    <cellStyle name="Comma 3 2 2 3 2 2 3" xfId="535" xr:uid="{9BFEE3B1-4E67-41BD-AEAC-F54A757CF4C5}"/>
    <cellStyle name="Comma 3 2 2 3 2 3" xfId="105" xr:uid="{00000000-0005-0000-0000-000095000000}"/>
    <cellStyle name="Comma 3 2 2 3 2 3 2" xfId="376" xr:uid="{EAC392FB-0666-4FA3-BE0E-57124B06A526}"/>
    <cellStyle name="Comma 3 2 2 3 2 3 2 2" xfId="670" xr:uid="{793FF771-583D-4001-83E6-63BCD55C9AA5}"/>
    <cellStyle name="Comma 3 2 2 3 2 3 3" xfId="536" xr:uid="{E9FAFC0D-DBB5-4CF3-ACAE-5A6323E6BB84}"/>
    <cellStyle name="Comma 3 2 2 3 2 4" xfId="374" xr:uid="{A84B53D0-BD74-49B9-9651-9D0458C03878}"/>
    <cellStyle name="Comma 3 2 2 3 2 4 2" xfId="668" xr:uid="{FE784363-E4A1-41A1-8622-58EFA3665306}"/>
    <cellStyle name="Comma 3 2 2 3 2 5" xfId="534" xr:uid="{B18E1A12-C0E7-45B7-A29D-D93741A16CB1}"/>
    <cellStyle name="Comma 3 2 2 3 3" xfId="106" xr:uid="{00000000-0005-0000-0000-000096000000}"/>
    <cellStyle name="Comma 3 2 2 3 3 2" xfId="107" xr:uid="{00000000-0005-0000-0000-000097000000}"/>
    <cellStyle name="Comma 3 2 2 3 3 2 2" xfId="378" xr:uid="{5BB049A6-195A-4E8E-A392-9159BD816AAB}"/>
    <cellStyle name="Comma 3 2 2 3 3 2 2 2" xfId="672" xr:uid="{18F2B8DD-A365-42B4-806A-B778F1401559}"/>
    <cellStyle name="Comma 3 2 2 3 3 2 3" xfId="538" xr:uid="{6A806432-E6BF-432C-82CD-6F6EFD92CDB6}"/>
    <cellStyle name="Comma 3 2 2 3 3 3" xfId="108" xr:uid="{00000000-0005-0000-0000-000098000000}"/>
    <cellStyle name="Comma 3 2 2 3 3 3 2" xfId="379" xr:uid="{BF86952C-3F7C-4525-9C0B-611BC040A71C}"/>
    <cellStyle name="Comma 3 2 2 3 3 3 2 2" xfId="673" xr:uid="{94E89BA2-E3D7-4C95-B8E7-0291F56939D1}"/>
    <cellStyle name="Comma 3 2 2 3 3 3 3" xfId="539" xr:uid="{2FC6BCBE-F2ED-417F-8892-1FA9048D985D}"/>
    <cellStyle name="Comma 3 2 2 3 3 4" xfId="377" xr:uid="{6DF8154B-BA96-45AD-9F45-AD32C8538D5B}"/>
    <cellStyle name="Comma 3 2 2 3 3 4 2" xfId="671" xr:uid="{56F25CB7-E0E0-4A24-A29A-9D1DC0F2494F}"/>
    <cellStyle name="Comma 3 2 2 3 3 5" xfId="537" xr:uid="{97A61028-00C0-4A85-9330-FF96B51AC18F}"/>
    <cellStyle name="Comma 3 2 2 3 4" xfId="109" xr:uid="{00000000-0005-0000-0000-000099000000}"/>
    <cellStyle name="Comma 3 2 2 3 4 2" xfId="380" xr:uid="{DA237AF7-BC26-43B8-955E-A491AC5BAF6D}"/>
    <cellStyle name="Comma 3 2 2 3 4 2 2" xfId="674" xr:uid="{C8B48C91-7B52-4159-9E9B-4D2005338DA7}"/>
    <cellStyle name="Comma 3 2 2 3 4 3" xfId="540" xr:uid="{D8B6CD4E-C198-4CC6-BC48-B429B3EB3ED1}"/>
    <cellStyle name="Comma 3 2 2 3 5" xfId="110" xr:uid="{00000000-0005-0000-0000-00009A000000}"/>
    <cellStyle name="Comma 3 2 2 3 5 2" xfId="381" xr:uid="{0F8ED37A-EEDE-4D6C-AED2-05413F63BDCA}"/>
    <cellStyle name="Comma 3 2 2 3 5 2 2" xfId="675" xr:uid="{4CF6C34F-7236-49B4-9798-77BBEB423758}"/>
    <cellStyle name="Comma 3 2 2 3 5 3" xfId="541" xr:uid="{013C6246-BAB4-406E-8FA1-137F003DD56D}"/>
    <cellStyle name="Comma 3 2 2 3 6" xfId="373" xr:uid="{105ADC21-27D5-4E06-A7BE-D2ECCF4E8E46}"/>
    <cellStyle name="Comma 3 2 2 3 6 2" xfId="667" xr:uid="{4DB2DF09-71B3-4526-888D-F67DCB7F5AD9}"/>
    <cellStyle name="Comma 3 2 2 3 7" xfId="533" xr:uid="{4CC21642-480B-4466-B8B8-254D0FD7FC0C}"/>
    <cellStyle name="Comma 3 2 2 4" xfId="111" xr:uid="{00000000-0005-0000-0000-00009B000000}"/>
    <cellStyle name="Comma 3 2 2 4 2" xfId="112" xr:uid="{00000000-0005-0000-0000-00009C000000}"/>
    <cellStyle name="Comma 3 2 2 4 2 2" xfId="382" xr:uid="{34937DC1-BC81-4663-9309-45D34502D694}"/>
    <cellStyle name="Comma 3 2 2 4 2 2 2" xfId="676" xr:uid="{4150D850-F9BA-48B9-95F5-1D99CAF29068}"/>
    <cellStyle name="Comma 3 2 2 4 2 3" xfId="542" xr:uid="{8A47E65F-A573-491A-A20E-5FBA20824F55}"/>
    <cellStyle name="Comma 3 2 2 4 3" xfId="113" xr:uid="{00000000-0005-0000-0000-00009D000000}"/>
    <cellStyle name="Comma 3 2 2 4 3 2" xfId="383" xr:uid="{7B3A12C8-AAA6-4C72-BE60-103D90830468}"/>
    <cellStyle name="Comma 3 2 2 4 3 2 2" xfId="677" xr:uid="{F454F148-4EAD-43D4-B202-30B2A06D5D02}"/>
    <cellStyle name="Comma 3 2 2 4 3 3" xfId="543" xr:uid="{8DB94330-FCE6-4F74-B1EB-298E14CFD13F}"/>
    <cellStyle name="Comma 3 2 2 4 4" xfId="114" xr:uid="{00000000-0005-0000-0000-00009E000000}"/>
    <cellStyle name="Comma 3 2 2 4 4 2" xfId="384" xr:uid="{5903C03D-6F89-4056-94AE-80228B48423E}"/>
    <cellStyle name="Comma 3 2 2 4 4 2 2" xfId="678" xr:uid="{7E4445B9-5649-4806-ADBE-7C32DDDD794E}"/>
    <cellStyle name="Comma 3 2 2 4 4 3" xfId="544" xr:uid="{A3201AC7-4E67-4E6A-A50E-65795672FF35}"/>
    <cellStyle name="Comma 3 2 2 5" xfId="115" xr:uid="{00000000-0005-0000-0000-00009F000000}"/>
    <cellStyle name="Comma 3 2 2 5 2" xfId="116" xr:uid="{00000000-0005-0000-0000-0000A0000000}"/>
    <cellStyle name="Comma 3 2 2 5 2 2" xfId="386" xr:uid="{9EE63F2C-E60F-495E-8DF6-BA38D3685A01}"/>
    <cellStyle name="Comma 3 2 2 5 2 2 2" xfId="680" xr:uid="{A9411E93-D126-4909-9989-EE53DBD43C9C}"/>
    <cellStyle name="Comma 3 2 2 5 2 3" xfId="546" xr:uid="{0ED99DB8-94D9-4338-9BCF-91E9ECC54CE0}"/>
    <cellStyle name="Comma 3 2 2 5 3" xfId="117" xr:uid="{00000000-0005-0000-0000-0000A1000000}"/>
    <cellStyle name="Comma 3 2 2 5 3 2" xfId="387" xr:uid="{4FCEEF9A-ACD3-42C3-B756-049F36CF199A}"/>
    <cellStyle name="Comma 3 2 2 5 3 2 2" xfId="681" xr:uid="{0B8335E4-CFFB-43B5-A0FA-AA283C17406A}"/>
    <cellStyle name="Comma 3 2 2 5 3 3" xfId="547" xr:uid="{FB181A71-195C-4BE4-A5DB-300ABD7F0D13}"/>
    <cellStyle name="Comma 3 2 2 5 4" xfId="385" xr:uid="{C6545873-660B-4223-9E0D-144577DDE4B7}"/>
    <cellStyle name="Comma 3 2 2 5 4 2" xfId="679" xr:uid="{98F98C90-82A0-4006-81F2-21BB3A653CA5}"/>
    <cellStyle name="Comma 3 2 2 5 5" xfId="545" xr:uid="{5A563592-577F-410B-AC89-53D144C762F8}"/>
    <cellStyle name="Comma 3 2 2 6" xfId="118" xr:uid="{00000000-0005-0000-0000-0000A2000000}"/>
    <cellStyle name="Comma 3 2 2 6 2" xfId="388" xr:uid="{B93BD2C8-8679-4CB4-8910-170A623B95DF}"/>
    <cellStyle name="Comma 3 2 2 6 2 2" xfId="682" xr:uid="{BC31E279-6EF1-4CFD-8E0D-D23198BF4C98}"/>
    <cellStyle name="Comma 3 2 2 6 3" xfId="548" xr:uid="{7B1AC213-CEC9-4C96-8E82-390B66437583}"/>
    <cellStyle name="Comma 3 2 2 7" xfId="119" xr:uid="{00000000-0005-0000-0000-0000A3000000}"/>
    <cellStyle name="Comma 3 2 2 7 2" xfId="389" xr:uid="{927B6ED4-268C-42CA-A249-8BCD786BE9DA}"/>
    <cellStyle name="Comma 3 2 2 7 2 2" xfId="683" xr:uid="{DE16D4A7-7E2B-40C1-827E-18B467CF9E58}"/>
    <cellStyle name="Comma 3 2 2 7 3" xfId="549" xr:uid="{569BA90D-CEE7-479B-8C26-26F869D431AC}"/>
    <cellStyle name="Comma 3 2 2 8" xfId="364" xr:uid="{DBE317D1-665E-4E24-B3E9-32688A15BE4B}"/>
    <cellStyle name="Comma 3 2 2 8 2" xfId="658" xr:uid="{9FD7EE32-17FC-442F-BB45-038810C88351}"/>
    <cellStyle name="Comma 3 2 2 9" xfId="524" xr:uid="{4709C235-4162-4E57-943C-A993716F6FD9}"/>
    <cellStyle name="Comma 3 2 3" xfId="120" xr:uid="{00000000-0005-0000-0000-0000A4000000}"/>
    <cellStyle name="Comma 3 2 3 2" xfId="121" xr:uid="{00000000-0005-0000-0000-0000A5000000}"/>
    <cellStyle name="Comma 3 2 3 2 2" xfId="122" xr:uid="{00000000-0005-0000-0000-0000A6000000}"/>
    <cellStyle name="Comma 3 2 3 2 2 2" xfId="391" xr:uid="{26A3F406-4F79-4F1E-B1A1-C9459A48BA8B}"/>
    <cellStyle name="Comma 3 2 3 2 2 2 2" xfId="685" xr:uid="{7D656C08-9B19-4170-BEA5-4F7C7A1481E4}"/>
    <cellStyle name="Comma 3 2 3 2 2 3" xfId="551" xr:uid="{26909E87-FBEA-45B5-B535-074ECA8FF3F5}"/>
    <cellStyle name="Comma 3 2 3 2 3" xfId="123" xr:uid="{00000000-0005-0000-0000-0000A7000000}"/>
    <cellStyle name="Comma 3 2 3 2 3 2" xfId="392" xr:uid="{DE5CFC8C-9DDA-4117-96A0-110F7D9642AD}"/>
    <cellStyle name="Comma 3 2 3 2 3 2 2" xfId="686" xr:uid="{2E6BA8FF-1AA3-49D6-8F0A-108B9B41D609}"/>
    <cellStyle name="Comma 3 2 3 2 3 3" xfId="552" xr:uid="{426F5349-A36B-4377-9E8E-5DBBD4184745}"/>
    <cellStyle name="Comma 3 2 3 2 4" xfId="390" xr:uid="{1829CE9B-CFC8-40E2-82DD-0C862D2DF473}"/>
    <cellStyle name="Comma 3 2 3 2 4 2" xfId="684" xr:uid="{9DF6F3A2-68E7-4686-ACBC-368BED8CD2F1}"/>
    <cellStyle name="Comma 3 2 3 2 5" xfId="550" xr:uid="{8C638C0B-3333-4FBB-A27B-F0863747334C}"/>
    <cellStyle name="Comma 3 2 3 3" xfId="124" xr:uid="{00000000-0005-0000-0000-0000A8000000}"/>
    <cellStyle name="Comma 3 2 3 3 2" xfId="125" xr:uid="{00000000-0005-0000-0000-0000A9000000}"/>
    <cellStyle name="Comma 3 2 3 3 2 2" xfId="394" xr:uid="{3E5E1E71-641D-43F9-A19D-0D54785DB330}"/>
    <cellStyle name="Comma 3 2 3 3 2 2 2" xfId="688" xr:uid="{AF5B9AA9-C166-40EA-8715-00D088D421EE}"/>
    <cellStyle name="Comma 3 2 3 3 2 3" xfId="554" xr:uid="{080F4389-FCC9-400A-9CC6-97D624BBD2BA}"/>
    <cellStyle name="Comma 3 2 3 3 3" xfId="126" xr:uid="{00000000-0005-0000-0000-0000AA000000}"/>
    <cellStyle name="Comma 3 2 3 3 3 2" xfId="395" xr:uid="{131A420D-E72A-4BA7-9A6B-76FDE628831B}"/>
    <cellStyle name="Comma 3 2 3 3 3 2 2" xfId="689" xr:uid="{54E77BE3-8DE5-49B0-9292-C203C6C787D8}"/>
    <cellStyle name="Comma 3 2 3 3 3 3" xfId="555" xr:uid="{275A71E1-67FA-40A9-ACE7-6708FB5A832C}"/>
    <cellStyle name="Comma 3 2 3 3 4" xfId="393" xr:uid="{5D907227-B672-4A6A-B750-6B13432C4CB6}"/>
    <cellStyle name="Comma 3 2 3 3 4 2" xfId="687" xr:uid="{5D2632F6-A36E-4FA7-8C85-D5C6B308324D}"/>
    <cellStyle name="Comma 3 2 3 3 5" xfId="553" xr:uid="{043A9EF5-2CA8-48B0-8ED3-560B0A5E15C7}"/>
    <cellStyle name="Comma 3 2 3 4" xfId="127" xr:uid="{00000000-0005-0000-0000-0000AB000000}"/>
    <cellStyle name="Comma 3 2 3 4 2" xfId="396" xr:uid="{E2466327-9DA7-4AE0-A2BD-14A2B36823FC}"/>
    <cellStyle name="Comma 3 2 3 4 2 2" xfId="690" xr:uid="{B0C21D09-AA40-4A1E-B809-5ECE0FB4B674}"/>
    <cellStyle name="Comma 3 2 3 4 3" xfId="556" xr:uid="{14925B3A-671B-4C92-A655-116345BB93A5}"/>
    <cellStyle name="Comma 3 2 3 5" xfId="128" xr:uid="{00000000-0005-0000-0000-0000AC000000}"/>
    <cellStyle name="Comma 3 2 3 5 2" xfId="397" xr:uid="{A417442A-7FAF-4920-8B00-461C6415B5F5}"/>
    <cellStyle name="Comma 3 2 3 5 2 2" xfId="691" xr:uid="{CE61519E-70A8-47D9-8ACD-FB8923EAB4F5}"/>
    <cellStyle name="Comma 3 2 3 5 3" xfId="557" xr:uid="{C2361838-79E1-4133-BEFE-DDA426D20E02}"/>
    <cellStyle name="Comma 3 2 4" xfId="129" xr:uid="{00000000-0005-0000-0000-0000AD000000}"/>
    <cellStyle name="Comma 3 2 4 2" xfId="130" xr:uid="{00000000-0005-0000-0000-0000AE000000}"/>
    <cellStyle name="Comma 3 2 4 2 2" xfId="131" xr:uid="{00000000-0005-0000-0000-0000AF000000}"/>
    <cellStyle name="Comma 3 2 4 2 2 2" xfId="400" xr:uid="{11200BC9-819F-4424-B619-5FE5C7F67EFF}"/>
    <cellStyle name="Comma 3 2 4 2 2 2 2" xfId="694" xr:uid="{85F258E3-553F-4844-8E8C-9C7C11757C28}"/>
    <cellStyle name="Comma 3 2 4 2 2 3" xfId="560" xr:uid="{7ABE71AF-89E5-47AD-944D-EC5734C4C72E}"/>
    <cellStyle name="Comma 3 2 4 2 3" xfId="132" xr:uid="{00000000-0005-0000-0000-0000B0000000}"/>
    <cellStyle name="Comma 3 2 4 2 3 2" xfId="401" xr:uid="{F5BF878B-56E5-4EE5-AA7C-AD7A019B6E1B}"/>
    <cellStyle name="Comma 3 2 4 2 3 2 2" xfId="695" xr:uid="{CDC44C73-76EE-4C89-84B4-70E09A2C24C8}"/>
    <cellStyle name="Comma 3 2 4 2 3 3" xfId="561" xr:uid="{03B14DDB-7BC3-452E-B6BE-0A64447F3F8A}"/>
    <cellStyle name="Comma 3 2 4 2 4" xfId="399" xr:uid="{832F43EC-FC43-48A7-BBB7-217750363CE4}"/>
    <cellStyle name="Comma 3 2 4 2 4 2" xfId="693" xr:uid="{72012EB4-238F-4099-B722-7E1FD2C14B93}"/>
    <cellStyle name="Comma 3 2 4 2 5" xfId="559" xr:uid="{230673DA-E192-4C85-8434-6A239BBBC394}"/>
    <cellStyle name="Comma 3 2 4 3" xfId="133" xr:uid="{00000000-0005-0000-0000-0000B1000000}"/>
    <cellStyle name="Comma 3 2 4 3 2" xfId="134" xr:uid="{00000000-0005-0000-0000-0000B2000000}"/>
    <cellStyle name="Comma 3 2 4 3 2 2" xfId="403" xr:uid="{DC0AD52F-C9CC-4865-9E53-D54DB35A6B37}"/>
    <cellStyle name="Comma 3 2 4 3 2 2 2" xfId="697" xr:uid="{1A777FC4-063E-4D2D-935E-7E6761EF6D6E}"/>
    <cellStyle name="Comma 3 2 4 3 2 3" xfId="563" xr:uid="{0141FF8E-3D5A-43AD-8D27-91EEB07023EE}"/>
    <cellStyle name="Comma 3 2 4 3 3" xfId="135" xr:uid="{00000000-0005-0000-0000-0000B3000000}"/>
    <cellStyle name="Comma 3 2 4 3 3 2" xfId="404" xr:uid="{C4E053A3-A22C-4D0C-8738-4CBA4026799D}"/>
    <cellStyle name="Comma 3 2 4 3 3 2 2" xfId="698" xr:uid="{9F25D09C-E699-451E-BF96-598E5751DF30}"/>
    <cellStyle name="Comma 3 2 4 3 3 3" xfId="564" xr:uid="{1733AF1B-B03B-48B3-B90A-A85B0B5FDB46}"/>
    <cellStyle name="Comma 3 2 4 3 4" xfId="402" xr:uid="{16855923-55E8-420D-9691-7C84C6E0D2A9}"/>
    <cellStyle name="Comma 3 2 4 3 4 2" xfId="696" xr:uid="{94EB0A81-B7DB-4EB3-B17D-87D4DBF5B4F4}"/>
    <cellStyle name="Comma 3 2 4 3 5" xfId="562" xr:uid="{0D3A0051-8167-4916-B995-7A398B56F9CD}"/>
    <cellStyle name="Comma 3 2 4 4" xfId="136" xr:uid="{00000000-0005-0000-0000-0000B4000000}"/>
    <cellStyle name="Comma 3 2 4 4 2" xfId="405" xr:uid="{B997C6D8-59D9-4200-9E97-45289251832B}"/>
    <cellStyle name="Comma 3 2 4 4 2 2" xfId="699" xr:uid="{4592A4E4-ED12-442F-9CB4-C09C3ED18385}"/>
    <cellStyle name="Comma 3 2 4 4 3" xfId="565" xr:uid="{4A266BFA-738C-46C9-9011-DBD84F35130C}"/>
    <cellStyle name="Comma 3 2 4 5" xfId="137" xr:uid="{00000000-0005-0000-0000-0000B5000000}"/>
    <cellStyle name="Comma 3 2 4 5 2" xfId="406" xr:uid="{35B8997E-0137-4373-9812-E6B8EA08376B}"/>
    <cellStyle name="Comma 3 2 4 5 2 2" xfId="700" xr:uid="{7AE34D82-FC63-4244-89CE-D5BDB4B2CEE4}"/>
    <cellStyle name="Comma 3 2 4 5 3" xfId="566" xr:uid="{3CD0709B-E2AA-454E-8DD6-25E81EB5C9AF}"/>
    <cellStyle name="Comma 3 2 4 6" xfId="398" xr:uid="{7CEAF27F-649F-4844-8C1A-67FA47A31FBB}"/>
    <cellStyle name="Comma 3 2 4 6 2" xfId="692" xr:uid="{CA00FB13-E13B-4204-84E1-89AF6910C364}"/>
    <cellStyle name="Comma 3 2 4 7" xfId="558" xr:uid="{3981E966-6A44-40EF-BA90-6D826CE07194}"/>
    <cellStyle name="Comma 3 2 5" xfId="138" xr:uid="{00000000-0005-0000-0000-0000B6000000}"/>
    <cellStyle name="Comma 3 2 5 2" xfId="139" xr:uid="{00000000-0005-0000-0000-0000B7000000}"/>
    <cellStyle name="Comma 3 2 5 2 2" xfId="407" xr:uid="{8E860858-C670-440E-878C-18C297C99029}"/>
    <cellStyle name="Comma 3 2 5 2 2 2" xfId="701" xr:uid="{DDAA3234-8960-4668-90DA-11FD1478F5EF}"/>
    <cellStyle name="Comma 3 2 5 2 3" xfId="567" xr:uid="{1E65FC38-30D0-49FC-8B75-88C4B3598361}"/>
    <cellStyle name="Comma 3 2 5 3" xfId="140" xr:uid="{00000000-0005-0000-0000-0000B8000000}"/>
    <cellStyle name="Comma 3 2 5 3 2" xfId="408" xr:uid="{22D085A3-F3D8-4BF7-8D0C-A24AF6ED27F0}"/>
    <cellStyle name="Comma 3 2 5 3 2 2" xfId="702" xr:uid="{832C90BA-73BA-4D95-954F-74772D79130E}"/>
    <cellStyle name="Comma 3 2 5 3 3" xfId="568" xr:uid="{594C6312-5D8B-4282-8C1B-303B8DC47D46}"/>
    <cellStyle name="Comma 3 2 6" xfId="141" xr:uid="{00000000-0005-0000-0000-0000B9000000}"/>
    <cellStyle name="Comma 3 2 6 2" xfId="142" xr:uid="{00000000-0005-0000-0000-0000BA000000}"/>
    <cellStyle name="Comma 3 2 6 2 2" xfId="410" xr:uid="{F7959653-8203-45A5-9927-91732BA39F1D}"/>
    <cellStyle name="Comma 3 2 6 2 2 2" xfId="704" xr:uid="{3224627B-AB0B-4663-A704-D5D7DAAE862F}"/>
    <cellStyle name="Comma 3 2 6 2 3" xfId="570" xr:uid="{5632E5E6-D83D-4B18-86A5-56B1CA9890DC}"/>
    <cellStyle name="Comma 3 2 6 3" xfId="143" xr:uid="{00000000-0005-0000-0000-0000BB000000}"/>
    <cellStyle name="Comma 3 2 6 3 2" xfId="411" xr:uid="{BD646915-EBA2-4800-9B77-75A42D9CAD20}"/>
    <cellStyle name="Comma 3 2 6 3 2 2" xfId="705" xr:uid="{882178A8-B393-4403-98F5-17A30899E33F}"/>
    <cellStyle name="Comma 3 2 6 3 3" xfId="571" xr:uid="{EBEE33D9-0165-4778-A43C-6F68A8C3DD22}"/>
    <cellStyle name="Comma 3 2 6 4" xfId="409" xr:uid="{1767B182-B96F-41CF-814B-8D340228405A}"/>
    <cellStyle name="Comma 3 2 6 4 2" xfId="703" xr:uid="{304ECDC1-7073-4085-84CC-DC9D25B64604}"/>
    <cellStyle name="Comma 3 2 6 5" xfId="569" xr:uid="{BB627EFA-5331-4FD9-BF3A-1878421086A0}"/>
    <cellStyle name="Comma 3 2 7" xfId="144" xr:uid="{00000000-0005-0000-0000-0000BC000000}"/>
    <cellStyle name="Comma 3 2 7 2" xfId="145" xr:uid="{00000000-0005-0000-0000-0000BD000000}"/>
    <cellStyle name="Comma 3 2 7 2 2" xfId="413" xr:uid="{411192B2-6125-4C63-A152-1BFC688BCFF1}"/>
    <cellStyle name="Comma 3 2 7 2 2 2" xfId="707" xr:uid="{B64AF30C-F47A-41CE-B946-6FD5C17959FE}"/>
    <cellStyle name="Comma 3 2 7 2 3" xfId="573" xr:uid="{2D8F65F7-09E3-477A-A3A1-90A10E62AE0B}"/>
    <cellStyle name="Comma 3 2 7 3" xfId="146" xr:uid="{00000000-0005-0000-0000-0000BE000000}"/>
    <cellStyle name="Comma 3 2 7 3 2" xfId="414" xr:uid="{AFD88F54-5A0A-4F79-A2B8-CCDF858EBCF0}"/>
    <cellStyle name="Comma 3 2 7 3 2 2" xfId="708" xr:uid="{DCD2598E-C3FD-46EF-9CD4-019D8F83A060}"/>
    <cellStyle name="Comma 3 2 7 3 3" xfId="574" xr:uid="{3322665C-76C2-47F2-8BC0-7FAA43BD82E4}"/>
    <cellStyle name="Comma 3 2 7 4" xfId="412" xr:uid="{55340C58-B58A-4C01-9F95-533D1912D260}"/>
    <cellStyle name="Comma 3 2 7 4 2" xfId="706" xr:uid="{60F89670-3AA2-4FAA-9EE2-FBC33430DCD8}"/>
    <cellStyle name="Comma 3 2 7 5" xfId="572" xr:uid="{A2327EA3-95BE-4E28-9BED-607554336E65}"/>
    <cellStyle name="Comma 3 2 8" xfId="147" xr:uid="{00000000-0005-0000-0000-0000BF000000}"/>
    <cellStyle name="Comma 3 2 8 2" xfId="415" xr:uid="{EE3B8FBD-9C66-4295-A78D-E6F6DC6E68A5}"/>
    <cellStyle name="Comma 3 2 8 2 2" xfId="709" xr:uid="{1F33A585-289C-417F-90AA-A2609E5B89AF}"/>
    <cellStyle name="Comma 3 2 8 3" xfId="575" xr:uid="{E4911FB7-292A-4287-9E11-33391E60F000}"/>
    <cellStyle name="Comma 3 2 9" xfId="148" xr:uid="{00000000-0005-0000-0000-0000C0000000}"/>
    <cellStyle name="Comma 3 2 9 2" xfId="416" xr:uid="{693C6FC5-8DEB-4AB7-9B45-B2748D647817}"/>
    <cellStyle name="Comma 3 2 9 2 2" xfId="710" xr:uid="{65F64475-C7AA-4812-B111-CD6F8A0589DC}"/>
    <cellStyle name="Comma 3 2 9 3" xfId="576" xr:uid="{3DEC1105-982A-4090-8B9E-DB0CC7A5AFF0}"/>
    <cellStyle name="Comma 3 3" xfId="149" xr:uid="{00000000-0005-0000-0000-0000C1000000}"/>
    <cellStyle name="Comma 3 3 2" xfId="150" xr:uid="{00000000-0005-0000-0000-0000C2000000}"/>
    <cellStyle name="Comma 3 4" xfId="151" xr:uid="{00000000-0005-0000-0000-0000C3000000}"/>
    <cellStyle name="Comma 3 5" xfId="288" xr:uid="{5DFCB678-C38A-4A54-9B7C-9CF340512066}"/>
    <cellStyle name="Comma 3 5 2" xfId="422" xr:uid="{D1AC181E-BEC1-4459-8CAA-E82C18311FDF}"/>
    <cellStyle name="Comma 3 5 2 2" xfId="716" xr:uid="{C066D4B1-51D2-473E-A26C-885BF2799FA6}"/>
    <cellStyle name="Comma 3 5 3" xfId="582" xr:uid="{6C1879A3-6B33-48D2-951F-7330186593CB}"/>
    <cellStyle name="Comma 3 6" xfId="297" xr:uid="{0E6C7807-74B2-4727-8CB5-8935F8107995}"/>
    <cellStyle name="Comma 3 6 2" xfId="431" xr:uid="{89B952FD-251C-4E44-AE07-B3E82855C994}"/>
    <cellStyle name="Comma 3 6 2 2" xfId="725" xr:uid="{63F5A7F0-9460-42B6-A751-A4ECDF39BB3F}"/>
    <cellStyle name="Comma 3 6 3" xfId="591" xr:uid="{17E98B8E-7B33-45B6-B49E-BF376C60EDEE}"/>
    <cellStyle name="Comma 3 7" xfId="362" xr:uid="{96677399-15C6-49A4-A298-F81A2E50BAB6}"/>
    <cellStyle name="Comma 3 7 2" xfId="656" xr:uid="{DD21E310-E5FC-488B-89B4-30E5FA28A97C}"/>
    <cellStyle name="Comma 3 8" xfId="522" xr:uid="{74112860-94BD-4E92-84C2-3A7DA5A5FE8C}"/>
    <cellStyle name="Comma 4" xfId="152" xr:uid="{00000000-0005-0000-0000-0000C4000000}"/>
    <cellStyle name="Comma 4 2" xfId="153" xr:uid="{00000000-0005-0000-0000-0000C5000000}"/>
    <cellStyle name="Comma 4 2 2" xfId="154" xr:uid="{00000000-0005-0000-0000-0000C6000000}"/>
    <cellStyle name="Comma 4 3" xfId="155" xr:uid="{00000000-0005-0000-0000-0000C7000000}"/>
    <cellStyle name="Comma 5" xfId="156" xr:uid="{00000000-0005-0000-0000-0000C8000000}"/>
    <cellStyle name="Comma 5 2" xfId="157" xr:uid="{00000000-0005-0000-0000-0000C9000000}"/>
    <cellStyle name="Comma 5 2 2" xfId="158" xr:uid="{00000000-0005-0000-0000-0000CA000000}"/>
    <cellStyle name="Comma 5 3" xfId="159" xr:uid="{00000000-0005-0000-0000-0000CB000000}"/>
    <cellStyle name="Comma 6" xfId="160" xr:uid="{00000000-0005-0000-0000-0000CC000000}"/>
    <cellStyle name="Comma 6 2" xfId="161" xr:uid="{00000000-0005-0000-0000-0000CD000000}"/>
    <cellStyle name="Comma 7" xfId="162" xr:uid="{00000000-0005-0000-0000-0000CE000000}"/>
    <cellStyle name="Comma 7 2" xfId="163" xr:uid="{00000000-0005-0000-0000-0000CF000000}"/>
    <cellStyle name="Comma 8" xfId="164" xr:uid="{00000000-0005-0000-0000-0000D0000000}"/>
    <cellStyle name="Comma 9" xfId="293" xr:uid="{9BDCC654-8BF2-4579-A9CF-5C2ECB9C7BC3}"/>
    <cellStyle name="Comma 9 2" xfId="427" xr:uid="{8655FCE8-155E-4AD8-9D3C-AD968373EB5B}"/>
    <cellStyle name="Comma 9 2 2" xfId="721" xr:uid="{F593C489-F105-4A68-A50E-74A6AC98084F}"/>
    <cellStyle name="Comma 9 3" xfId="587" xr:uid="{DF11D4AE-A964-4D25-A849-5D884DDC81E8}"/>
    <cellStyle name="Comma 9 4" xfId="441" xr:uid="{449D9813-EB8E-41BB-8A44-780C5C3FD003}"/>
    <cellStyle name="Comma 9 4 2" xfId="735" xr:uid="{B0CF4A25-AED8-48CF-B9FD-8C1B0661F2F0}"/>
    <cellStyle name="Currency" xfId="2" builtinId="4"/>
    <cellStyle name="Currency 10" xfId="304" xr:uid="{655DB13A-01D2-484E-97D9-93BC97FE73B9}"/>
    <cellStyle name="Currency 10 2" xfId="598" xr:uid="{9A584253-C81E-4E86-A75D-CC5C83E6118D}"/>
    <cellStyle name="Currency 11" xfId="464" xr:uid="{747F4EED-F773-4CD7-804E-4388A3902BEC}"/>
    <cellStyle name="Currency 15" xfId="439" xr:uid="{30429BD5-3625-4FAC-BF5E-A204D781BE9D}"/>
    <cellStyle name="Currency 15 2" xfId="453" xr:uid="{79E4BC1F-314C-4BF4-98D5-F66B86E308C5}"/>
    <cellStyle name="Currency 15 2 2" xfId="747" xr:uid="{20322C44-7477-4641-9275-1EB25284D8CD}"/>
    <cellStyle name="Currency 15 3" xfId="733" xr:uid="{E4BD9159-78E2-4CBD-B48D-A2098B25E1C5}"/>
    <cellStyle name="Currency 17" xfId="462" xr:uid="{7A66AB24-CF30-4B3C-B246-010BF2ED36B9}"/>
    <cellStyle name="Currency 17 2" xfId="756" xr:uid="{1A10ADB8-AC0D-442B-97E5-5ADA7CF1D859}"/>
    <cellStyle name="Currency 2" xfId="165" xr:uid="{00000000-0005-0000-0000-0000D1000000}"/>
    <cellStyle name="Currency 2 2" xfId="166" xr:uid="{00000000-0005-0000-0000-0000D2000000}"/>
    <cellStyle name="Currency 2 2 2" xfId="167" xr:uid="{00000000-0005-0000-0000-0000D3000000}"/>
    <cellStyle name="Currency 2 2 2 2" xfId="168" xr:uid="{00000000-0005-0000-0000-0000D4000000}"/>
    <cellStyle name="Currency 2 2 2 2 2" xfId="169" xr:uid="{00000000-0005-0000-0000-0000D5000000}"/>
    <cellStyle name="Currency 2 2 2 3" xfId="170" xr:uid="{00000000-0005-0000-0000-0000D6000000}"/>
    <cellStyle name="Currency 2 2 3" xfId="171" xr:uid="{00000000-0005-0000-0000-0000D7000000}"/>
    <cellStyle name="Currency 2 2 3 2" xfId="172" xr:uid="{00000000-0005-0000-0000-0000D8000000}"/>
    <cellStyle name="Currency 2 2 4" xfId="173" xr:uid="{00000000-0005-0000-0000-0000D9000000}"/>
    <cellStyle name="Currency 2 3" xfId="174" xr:uid="{00000000-0005-0000-0000-0000DA000000}"/>
    <cellStyle name="Currency 2 3 2" xfId="175" xr:uid="{00000000-0005-0000-0000-0000DB000000}"/>
    <cellStyle name="Currency 2 3 2 2" xfId="176" xr:uid="{00000000-0005-0000-0000-0000DC000000}"/>
    <cellStyle name="Currency 2 3 3" xfId="177" xr:uid="{00000000-0005-0000-0000-0000DD000000}"/>
    <cellStyle name="Currency 2 4" xfId="178" xr:uid="{00000000-0005-0000-0000-0000DE000000}"/>
    <cellStyle name="Currency 2 4 2" xfId="179" xr:uid="{00000000-0005-0000-0000-0000DF000000}"/>
    <cellStyle name="Currency 2 4 2 2" xfId="180" xr:uid="{00000000-0005-0000-0000-0000E0000000}"/>
    <cellStyle name="Currency 2 4 3" xfId="181" xr:uid="{00000000-0005-0000-0000-0000E1000000}"/>
    <cellStyle name="Currency 2 5" xfId="182" xr:uid="{00000000-0005-0000-0000-0000E2000000}"/>
    <cellStyle name="Currency 2 5 2" xfId="183" xr:uid="{00000000-0005-0000-0000-0000E3000000}"/>
    <cellStyle name="Currency 2 6" xfId="184" xr:uid="{00000000-0005-0000-0000-0000E4000000}"/>
    <cellStyle name="Currency 2 6 2" xfId="185" xr:uid="{00000000-0005-0000-0000-0000E5000000}"/>
    <cellStyle name="Currency 2 7" xfId="186" xr:uid="{00000000-0005-0000-0000-0000E6000000}"/>
    <cellStyle name="Currency 3" xfId="187" xr:uid="{00000000-0005-0000-0000-0000E7000000}"/>
    <cellStyle name="Currency 3 2" xfId="188" xr:uid="{00000000-0005-0000-0000-0000E8000000}"/>
    <cellStyle name="Currency 3 2 2" xfId="189" xr:uid="{00000000-0005-0000-0000-0000E9000000}"/>
    <cellStyle name="Currency 3 2 2 2" xfId="190" xr:uid="{00000000-0005-0000-0000-0000EA000000}"/>
    <cellStyle name="Currency 3 2 3" xfId="191" xr:uid="{00000000-0005-0000-0000-0000EB000000}"/>
    <cellStyle name="Currency 3 3" xfId="192" xr:uid="{00000000-0005-0000-0000-0000EC000000}"/>
    <cellStyle name="Currency 3 3 2" xfId="193" xr:uid="{00000000-0005-0000-0000-0000ED000000}"/>
    <cellStyle name="Currency 3 4" xfId="194" xr:uid="{00000000-0005-0000-0000-0000EE000000}"/>
    <cellStyle name="Currency 4" xfId="195" xr:uid="{00000000-0005-0000-0000-0000EF000000}"/>
    <cellStyle name="Currency 4 2" xfId="196" xr:uid="{00000000-0005-0000-0000-0000F0000000}"/>
    <cellStyle name="Currency 4 2 2" xfId="197" xr:uid="{00000000-0005-0000-0000-0000F1000000}"/>
    <cellStyle name="Currency 4 3" xfId="198" xr:uid="{00000000-0005-0000-0000-0000F2000000}"/>
    <cellStyle name="Currency 5" xfId="199" xr:uid="{00000000-0005-0000-0000-0000F3000000}"/>
    <cellStyle name="Currency 5 2" xfId="200" xr:uid="{00000000-0005-0000-0000-0000F4000000}"/>
    <cellStyle name="Currency 5 2 2" xfId="201" xr:uid="{00000000-0005-0000-0000-0000F5000000}"/>
    <cellStyle name="Currency 5 3" xfId="202" xr:uid="{00000000-0005-0000-0000-0000F6000000}"/>
    <cellStyle name="Currency 6" xfId="203" xr:uid="{00000000-0005-0000-0000-0000F7000000}"/>
    <cellStyle name="Currency 6 2" xfId="204" xr:uid="{00000000-0005-0000-0000-0000F8000000}"/>
    <cellStyle name="Currency 7" xfId="205" xr:uid="{00000000-0005-0000-0000-0000F9000000}"/>
    <cellStyle name="Currency 7 2" xfId="206" xr:uid="{00000000-0005-0000-0000-0000FA000000}"/>
    <cellStyle name="Currency 8" xfId="207" xr:uid="{00000000-0005-0000-0000-0000FB000000}"/>
    <cellStyle name="Currency 9" xfId="294" xr:uid="{E658E358-C6D7-45A7-91F8-E8946B81A113}"/>
    <cellStyle name="Currency 9 2" xfId="428" xr:uid="{E3580580-E4A4-4B48-83D9-B209884BB300}"/>
    <cellStyle name="Currency 9 2 2" xfId="722" xr:uid="{BEC913C2-EA29-486E-8AFB-DAC44FB148FE}"/>
    <cellStyle name="Currency 9 3" xfId="588" xr:uid="{197FEC2F-B547-4C8E-BC98-15797C2DB54C}"/>
    <cellStyle name="Currency 9 4" xfId="442" xr:uid="{DDA85EED-EA97-4F0C-AD0B-CF388F84DCE6}"/>
    <cellStyle name="Currency 9 4 2" xfId="736" xr:uid="{7686F2EE-AD7E-48D1-B416-6EDD7AD429F5}"/>
    <cellStyle name="Hyperlink 2" xfId="208" xr:uid="{00000000-0005-0000-0000-0000FC000000}"/>
    <cellStyle name="Input" xfId="760" builtinId="20"/>
    <cellStyle name="Normal" xfId="0" builtinId="0"/>
    <cellStyle name="Normal 10" xfId="209" xr:uid="{00000000-0005-0000-0000-0000FD000000}"/>
    <cellStyle name="Normal 10 2" xfId="210" xr:uid="{00000000-0005-0000-0000-0000FE000000}"/>
    <cellStyle name="Normal 10 2 2" xfId="211" xr:uid="{00000000-0005-0000-0000-0000FF000000}"/>
    <cellStyle name="Normal 10 3" xfId="212" xr:uid="{00000000-0005-0000-0000-000000010000}"/>
    <cellStyle name="Normal 11" xfId="213" xr:uid="{00000000-0005-0000-0000-000001010000}"/>
    <cellStyle name="Normal 11 2" xfId="214" xr:uid="{00000000-0005-0000-0000-000002010000}"/>
    <cellStyle name="Normal 11 3" xfId="215" xr:uid="{00000000-0005-0000-0000-000003010000}"/>
    <cellStyle name="Normal 12" xfId="216" xr:uid="{00000000-0005-0000-0000-000004010000}"/>
    <cellStyle name="Normal 12 2" xfId="217" xr:uid="{00000000-0005-0000-0000-000005010000}"/>
    <cellStyle name="Normal 13" xfId="218" xr:uid="{00000000-0005-0000-0000-000006010000}"/>
    <cellStyle name="Normal 13 2" xfId="219" xr:uid="{00000000-0005-0000-0000-000007010000}"/>
    <cellStyle name="Normal 14" xfId="220" xr:uid="{00000000-0005-0000-0000-000008010000}"/>
    <cellStyle name="Normal 15" xfId="221" xr:uid="{00000000-0005-0000-0000-000009010000}"/>
    <cellStyle name="Normal 16" xfId="222" xr:uid="{00000000-0005-0000-0000-00000A010000}"/>
    <cellStyle name="Normal 17" xfId="223" xr:uid="{00000000-0005-0000-0000-00000B010000}"/>
    <cellStyle name="Normal 18" xfId="224" xr:uid="{00000000-0005-0000-0000-00000C010000}"/>
    <cellStyle name="Normal 19" xfId="225" xr:uid="{00000000-0005-0000-0000-00000D010000}"/>
    <cellStyle name="Normal 2" xfId="226" xr:uid="{00000000-0005-0000-0000-00000E010000}"/>
    <cellStyle name="Normal 2 2" xfId="227" xr:uid="{00000000-0005-0000-0000-00000F010000}"/>
    <cellStyle name="Normal 2 2 2" xfId="436" xr:uid="{EC0D2DB7-0DCB-40E3-BA5D-D95565D2C172}"/>
    <cellStyle name="Normal 2 2 2 2" xfId="730" xr:uid="{9A9D6EFF-2EE6-4F8C-86FC-DC388E910D61}"/>
    <cellStyle name="Normal 2 3" xfId="228" xr:uid="{00000000-0005-0000-0000-000010010000}"/>
    <cellStyle name="Normal 2 4" xfId="229" xr:uid="{00000000-0005-0000-0000-000011010000}"/>
    <cellStyle name="Normal 20" xfId="230" xr:uid="{00000000-0005-0000-0000-000012010000}"/>
    <cellStyle name="Normal 21" xfId="231" xr:uid="{00000000-0005-0000-0000-000013010000}"/>
    <cellStyle name="Normal 22" xfId="232" xr:uid="{00000000-0005-0000-0000-000014010000}"/>
    <cellStyle name="Normal 23" xfId="233" xr:uid="{00000000-0005-0000-0000-000015010000}"/>
    <cellStyle name="Normal 24" xfId="234" xr:uid="{00000000-0005-0000-0000-000016010000}"/>
    <cellStyle name="Normal 25" xfId="235" xr:uid="{00000000-0005-0000-0000-000017010000}"/>
    <cellStyle name="Normal 26" xfId="236" xr:uid="{00000000-0005-0000-0000-000018010000}"/>
    <cellStyle name="Normal 27" xfId="237" xr:uid="{00000000-0005-0000-0000-000019010000}"/>
    <cellStyle name="Normal 28" xfId="238" xr:uid="{00000000-0005-0000-0000-00001A010000}"/>
    <cellStyle name="Normal 29" xfId="239" xr:uid="{00000000-0005-0000-0000-00001B010000}"/>
    <cellStyle name="Normal 3" xfId="240" xr:uid="{00000000-0005-0000-0000-00001C010000}"/>
    <cellStyle name="Normal 3 2" xfId="241" xr:uid="{00000000-0005-0000-0000-00001D010000}"/>
    <cellStyle name="Normal 3 3" xfId="242" xr:uid="{00000000-0005-0000-0000-00001E010000}"/>
    <cellStyle name="Normal 3 3 2" xfId="243" xr:uid="{00000000-0005-0000-0000-00001F010000}"/>
    <cellStyle name="Normal 3 4" xfId="244" xr:uid="{00000000-0005-0000-0000-000020010000}"/>
    <cellStyle name="Normal 30" xfId="245" xr:uid="{00000000-0005-0000-0000-000021010000}"/>
    <cellStyle name="Normal 31" xfId="246" xr:uid="{00000000-0005-0000-0000-000022010000}"/>
    <cellStyle name="Normal 32" xfId="247" xr:uid="{00000000-0005-0000-0000-000023010000}"/>
    <cellStyle name="Normal 33" xfId="248" xr:uid="{00000000-0005-0000-0000-000024010000}"/>
    <cellStyle name="Normal 34" xfId="249" xr:uid="{00000000-0005-0000-0000-000025010000}"/>
    <cellStyle name="Normal 35" xfId="250" xr:uid="{00000000-0005-0000-0000-000026010000}"/>
    <cellStyle name="Normal 36" xfId="251" xr:uid="{00000000-0005-0000-0000-000027010000}"/>
    <cellStyle name="Normal 37" xfId="291" xr:uid="{0B8D3873-2B54-4324-8F8E-526DA41144CD}"/>
    <cellStyle name="Normal 37 2" xfId="301" xr:uid="{9F5268E1-E142-41A4-91AF-D3C002E9E641}"/>
    <cellStyle name="Normal 37 2 2" xfId="595" xr:uid="{6BD0D0B9-1F4C-488D-B9D9-9D65F8CBDD9A}"/>
    <cellStyle name="Normal 37 3" xfId="425" xr:uid="{D85CEB3B-5567-4A04-B64A-4A3C6486CE95}"/>
    <cellStyle name="Normal 37 3 2" xfId="719" xr:uid="{F04A2178-F57B-4690-BC37-3674AA7F5D1E}"/>
    <cellStyle name="Normal 37 4" xfId="585" xr:uid="{9E292AFE-DD67-427C-915A-1071F8FBF6A2}"/>
    <cellStyle name="Normal 38" xfId="300" xr:uid="{5FC2E330-2FB8-4218-9714-0C0970BE36AB}"/>
    <cellStyle name="Normal 38 2" xfId="434" xr:uid="{28C05AE0-0FF5-44A2-890D-037BC3948CF9}"/>
    <cellStyle name="Normal 38 2 2" xfId="728" xr:uid="{105829A6-E538-4E3B-ABDB-5319A4F46138}"/>
    <cellStyle name="Normal 38 3" xfId="594" xr:uid="{52D91B07-A678-46E1-88F8-7D3AAE937D8F}"/>
    <cellStyle name="Normal 39" xfId="299" xr:uid="{195A1A48-D1B4-4D81-93C3-67153F3E65FF}"/>
    <cellStyle name="Normal 39 2" xfId="433" xr:uid="{C17F2B5D-1E83-41D3-A04A-B97ED641AAA7}"/>
    <cellStyle name="Normal 39 2 2" xfId="727" xr:uid="{0DC42CD5-B2BC-4DD4-BE05-21FCD5ABEF36}"/>
    <cellStyle name="Normal 39 3" xfId="593" xr:uid="{66921948-F67D-43AF-A2F4-3389C900A37C}"/>
    <cellStyle name="Normal 39 4" xfId="444" xr:uid="{78011228-5EA6-42CD-B3FA-1F40CD768940}"/>
    <cellStyle name="Normal 39 4 2" xfId="738" xr:uid="{8B286988-E268-45E9-8F26-7ABC57C91F3D}"/>
    <cellStyle name="Normal 4" xfId="252" xr:uid="{00000000-0005-0000-0000-000028010000}"/>
    <cellStyle name="Normal 4 2" xfId="253" xr:uid="{00000000-0005-0000-0000-000029010000}"/>
    <cellStyle name="Normal 4 2 2" xfId="254" xr:uid="{00000000-0005-0000-0000-00002A010000}"/>
    <cellStyle name="Normal 4 2 2 2" xfId="290" xr:uid="{B2EF4011-CFDB-4020-819D-4053FDC2A1E0}"/>
    <cellStyle name="Normal 4 2 2 2 2" xfId="296" xr:uid="{E4E19284-13AE-45B5-A6E7-3108EBE6FFE8}"/>
    <cellStyle name="Normal 4 2 2 2 2 2" xfId="430" xr:uid="{A47E0B94-2C97-4E09-BD29-3FE545D01CE6}"/>
    <cellStyle name="Normal 4 2 2 2 2 2 2" xfId="451" xr:uid="{CD1BB4F9-C449-4569-8D92-5E0FA7D9814A}"/>
    <cellStyle name="Normal 4 2 2 2 2 2 2 2" xfId="745" xr:uid="{3D4AD845-CF05-40ED-988B-713EE04DD0BB}"/>
    <cellStyle name="Normal 4 2 2 2 2 2 3" xfId="724" xr:uid="{64193696-D8B4-47C5-A49B-37D5E50A96F9}"/>
    <cellStyle name="Normal 4 2 2 2 2 3" xfId="590" xr:uid="{8CB7569B-37EE-4B08-9010-D34C996922AA}"/>
    <cellStyle name="Normal 4 2 2 2 3" xfId="424" xr:uid="{12A6E598-2A86-4B5D-AF13-38B4396947F0}"/>
    <cellStyle name="Normal 4 2 2 2 3 2" xfId="718" xr:uid="{146A8FC2-F193-45C8-8BC9-053F6B8992CC}"/>
    <cellStyle name="Normal 4 2 2 2 4" xfId="584" xr:uid="{B13B64D6-EC88-4AFA-B8D6-4AE769ED5300}"/>
    <cellStyle name="Normal 4 2 2 3" xfId="292" xr:uid="{8EEDE1C7-C2D5-435C-9C4B-879872A8A082}"/>
    <cellStyle name="Normal 4 2 2 3 2" xfId="426" xr:uid="{8F55C4AE-4CEB-4EF9-8F27-1FCBD8475DC3}"/>
    <cellStyle name="Normal 4 2 2 3 2 2" xfId="720" xr:uid="{369508B8-A23D-4250-8384-B64FB75654C7}"/>
    <cellStyle name="Normal 4 2 2 3 3" xfId="586" xr:uid="{1DE7EDB6-DD17-4370-8E17-CC70B13ABB55}"/>
    <cellStyle name="Normal 4 2 2 4" xfId="417" xr:uid="{7B324FDF-2F07-4E95-8971-13831A4A85C4}"/>
    <cellStyle name="Normal 4 2 2 4 2" xfId="711" xr:uid="{E56074EB-5FFB-4CCF-958D-6FBF32432227}"/>
    <cellStyle name="Normal 4 2 2 5" xfId="577" xr:uid="{DC954D32-2932-410B-A39A-33B9897E1CD9}"/>
    <cellStyle name="Normal 4 3" xfId="255" xr:uid="{00000000-0005-0000-0000-00002B010000}"/>
    <cellStyle name="Normal 4 4" xfId="256" xr:uid="{00000000-0005-0000-0000-00002C010000}"/>
    <cellStyle name="Normal 40" xfId="302" xr:uid="{2D6D1BCF-8157-4858-89C5-36F5FC04BF9E}"/>
    <cellStyle name="Normal 40 2" xfId="596" xr:uid="{4C01C1CC-F390-4801-8065-483BF0713E7B}"/>
    <cellStyle name="Normal 41" xfId="445" xr:uid="{CCB1112B-C852-4307-A4DD-69EAFF2BD257}"/>
    <cellStyle name="Normal 41 2" xfId="739" xr:uid="{B335B71B-962C-4FB2-9534-9B4BA8A98EE8}"/>
    <cellStyle name="Normal 42" xfId="446" xr:uid="{615EA414-E7D7-4B41-81D5-A0D008AF2D52}"/>
    <cellStyle name="Normal 42 2" xfId="740" xr:uid="{D2BACCA9-67AD-4D68-9A8F-49B514B6C135}"/>
    <cellStyle name="Normal 43" xfId="447" xr:uid="{9A4A7422-1B9D-43B6-AB94-19E84CE533C7}"/>
    <cellStyle name="Normal 43 2" xfId="741" xr:uid="{1B66ADBD-9528-4ADB-ADF8-1B3EE3CD6346}"/>
    <cellStyle name="Normal 44" xfId="448" xr:uid="{258D7D4D-5C9E-4276-B0FD-2C895BFCC576}"/>
    <cellStyle name="Normal 44 2" xfId="742" xr:uid="{B61B472E-A390-487E-B1F9-C9E5C9543138}"/>
    <cellStyle name="Normal 45" xfId="449" xr:uid="{7BB18687-F640-4C9B-8CF8-8B3692E43533}"/>
    <cellStyle name="Normal 45 2" xfId="743" xr:uid="{0E938CB9-5A86-47E9-B8E7-671EC3F22F81}"/>
    <cellStyle name="Normal 46" xfId="454" xr:uid="{ADEF685D-F420-428D-B73C-90F88E7B8BF2}"/>
    <cellStyle name="Normal 46 2" xfId="748" xr:uid="{15330902-E8C3-42B5-AFDB-912B2AE8B2D8}"/>
    <cellStyle name="Normal 47" xfId="437" xr:uid="{88B72F94-31C8-4CBA-8B2E-5BAAA1C0C3DC}"/>
    <cellStyle name="Normal 47 2" xfId="731" xr:uid="{289ED6AF-FB55-4E16-B7C6-51EF3EB3A034}"/>
    <cellStyle name="Normal 48" xfId="455" xr:uid="{A2688BF9-D16C-49D4-AE24-A7E389DFAEF9}"/>
    <cellStyle name="Normal 48 2" xfId="749" xr:uid="{DE728FBD-8B93-4CA3-A5C0-CEE1FD8A3657}"/>
    <cellStyle name="Normal 49" xfId="435" xr:uid="{568EF8B8-5B9F-4F92-9FC0-B0B804A59063}"/>
    <cellStyle name="Normal 49 2" xfId="729" xr:uid="{230AECE8-6AB2-44BE-ABB6-28164160DEFF}"/>
    <cellStyle name="Normal 5" xfId="257" xr:uid="{00000000-0005-0000-0000-00002D010000}"/>
    <cellStyle name="Normal 5 2" xfId="258" xr:uid="{00000000-0005-0000-0000-00002E010000}"/>
    <cellStyle name="Normal 5 3" xfId="259" xr:uid="{00000000-0005-0000-0000-00002F010000}"/>
    <cellStyle name="Normal 5 4" xfId="260" xr:uid="{00000000-0005-0000-0000-000030010000}"/>
    <cellStyle name="Normal 50" xfId="456" xr:uid="{1BD17BC8-D185-4A40-8266-4C9D186B96A1}"/>
    <cellStyle name="Normal 50 2" xfId="750" xr:uid="{17272839-72E8-470C-AC66-4B38DF2EDA9E}"/>
    <cellStyle name="Normal 51" xfId="457" xr:uid="{788AD4C9-F179-4FFB-A937-184DE8CADBD8}"/>
    <cellStyle name="Normal 51 2" xfId="751" xr:uid="{89F03F56-1B91-4E06-BAF6-44DD11BEFB10}"/>
    <cellStyle name="Normal 52" xfId="458" xr:uid="{FDF25815-7E53-4702-A952-EFFF2D9982EC}"/>
    <cellStyle name="Normal 52 2" xfId="752" xr:uid="{E5A2969F-861F-4EAA-B5EA-10ED35BA8680}"/>
    <cellStyle name="Normal 53" xfId="459" xr:uid="{DDC406F0-1782-4353-A191-128709AD1C6C}"/>
    <cellStyle name="Normal 53 2" xfId="753" xr:uid="{7AB0709C-BE6C-4044-9253-FC9D2250DA66}"/>
    <cellStyle name="Normal 54" xfId="460" xr:uid="{B501A5E3-AAC0-452A-A68B-3D2D412E4EC5}"/>
    <cellStyle name="Normal 54 2" xfId="754" xr:uid="{40721463-6E2E-427B-9F93-905FA09626C6}"/>
    <cellStyle name="Normal 55" xfId="757" xr:uid="{782A2543-9695-4718-96B1-0C2B522F9A5E}"/>
    <cellStyle name="Normal 56" xfId="758" xr:uid="{B32717E7-9CF4-453A-B06C-CD02F335A191}"/>
    <cellStyle name="Normal 57" xfId="759" xr:uid="{EB0CF154-71CC-4D36-8F1C-D8824781B290}"/>
    <cellStyle name="Normal 6" xfId="261" xr:uid="{00000000-0005-0000-0000-000031010000}"/>
    <cellStyle name="Normal 6 2" xfId="262" xr:uid="{00000000-0005-0000-0000-000032010000}"/>
    <cellStyle name="Normal 6 3" xfId="263" xr:uid="{00000000-0005-0000-0000-000033010000}"/>
    <cellStyle name="Normal 6 4" xfId="264" xr:uid="{00000000-0005-0000-0000-000034010000}"/>
    <cellStyle name="Normal 7" xfId="265" xr:uid="{00000000-0005-0000-0000-000035010000}"/>
    <cellStyle name="Normal 7 2" xfId="266" xr:uid="{00000000-0005-0000-0000-000036010000}"/>
    <cellStyle name="Normal 7 3" xfId="267" xr:uid="{00000000-0005-0000-0000-000037010000}"/>
    <cellStyle name="Normal 7 4" xfId="268" xr:uid="{00000000-0005-0000-0000-000038010000}"/>
    <cellStyle name="Normal 7 5" xfId="269" xr:uid="{00000000-0005-0000-0000-000039010000}"/>
    <cellStyle name="Normal 7 5 2" xfId="418" xr:uid="{CBBBF58F-966E-4B67-9628-05325060499C}"/>
    <cellStyle name="Normal 7 5 2 2" xfId="712" xr:uid="{308DCF81-0360-4442-8168-9EB372B284D6}"/>
    <cellStyle name="Normal 7 5 3" xfId="578" xr:uid="{CA6A8E4A-4994-4F6E-B593-4080052499AB}"/>
    <cellStyle name="Normal 8" xfId="270" xr:uid="{00000000-0005-0000-0000-00003A010000}"/>
    <cellStyle name="Normal 8 2" xfId="271" xr:uid="{00000000-0005-0000-0000-00003B010000}"/>
    <cellStyle name="Normal 8 3" xfId="272" xr:uid="{00000000-0005-0000-0000-00003C010000}"/>
    <cellStyle name="Normal 8 4" xfId="273" xr:uid="{00000000-0005-0000-0000-00003D010000}"/>
    <cellStyle name="Normal 9" xfId="274" xr:uid="{00000000-0005-0000-0000-00003E010000}"/>
    <cellStyle name="Normal 9 2" xfId="275" xr:uid="{00000000-0005-0000-0000-00003F010000}"/>
    <cellStyle name="Normal 9 3" xfId="276" xr:uid="{00000000-0005-0000-0000-000040010000}"/>
    <cellStyle name="Normal 9 4" xfId="277" xr:uid="{00000000-0005-0000-0000-000041010000}"/>
    <cellStyle name="Normal_sANYO -SITE $ummary" xfId="278" xr:uid="{00000000-0005-0000-0000-000042010000}"/>
    <cellStyle name="Note" xfId="3" builtinId="10"/>
    <cellStyle name="Note 2" xfId="279" xr:uid="{00000000-0005-0000-0000-000043010000}"/>
    <cellStyle name="Note 2 2" xfId="280" xr:uid="{00000000-0005-0000-0000-000044010000}"/>
    <cellStyle name="Note 2 3" xfId="281" xr:uid="{00000000-0005-0000-0000-000045010000}"/>
    <cellStyle name="Note 2 3 2" xfId="289" xr:uid="{FC16BBD7-99C3-446B-B605-9A51BA9C08CD}"/>
    <cellStyle name="Note 2 3 2 2" xfId="295" xr:uid="{19AC7E0A-CC44-4BF3-A798-CBD6BFF1390B}"/>
    <cellStyle name="Note 2 3 2 2 2" xfId="429" xr:uid="{B80D9CB9-380B-4C5E-A207-5C0280D3B876}"/>
    <cellStyle name="Note 2 3 2 2 2 2" xfId="723" xr:uid="{1101A167-2B32-441D-9C62-89375BA774E4}"/>
    <cellStyle name="Note 2 3 2 2 3" xfId="589" xr:uid="{E79924B9-8BCD-4BC4-8789-D43FADBEEFA6}"/>
    <cellStyle name="Note 2 3 2 3" xfId="423" xr:uid="{59B83E74-54C7-4B1A-8B15-07021E9733DF}"/>
    <cellStyle name="Note 2 3 2 3 2" xfId="717" xr:uid="{395367EB-99E0-4BF6-9C46-D80C944A9920}"/>
    <cellStyle name="Note 2 3 2 4" xfId="583" xr:uid="{1064D3B4-B067-4F6C-AE7F-38811CA51F85}"/>
    <cellStyle name="Note 2 3 3" xfId="298" xr:uid="{B486B4DA-17DE-4895-AF43-2BA633AE8A44}"/>
    <cellStyle name="Note 2 3 3 2" xfId="432" xr:uid="{FC7231EF-D68D-49DE-9ED7-B8B1868A609D}"/>
    <cellStyle name="Note 2 3 3 2 2" xfId="726" xr:uid="{5851E45C-1611-458C-8E39-018BBC184199}"/>
    <cellStyle name="Note 2 3 3 3" xfId="592" xr:uid="{C7A53527-BBE2-47F4-9A9D-11C1E9C73C48}"/>
    <cellStyle name="Note 2 3 4" xfId="420" xr:uid="{383AA8D9-F85B-4500-B178-65B100DED12A}"/>
    <cellStyle name="Note 2 3 4 2" xfId="714" xr:uid="{ABBC100C-4134-4C1E-A845-3C2468EB8FAB}"/>
    <cellStyle name="Note 2 3 5" xfId="580" xr:uid="{6900DEBE-D55E-4890-986A-579F251F3336}"/>
    <cellStyle name="Note 2 4" xfId="419" xr:uid="{BD1063F6-2146-4B2F-989A-67AE253B6720}"/>
    <cellStyle name="Note 2 4 2" xfId="713" xr:uid="{F1D5E674-82FE-419E-AA33-11DB026D9771}"/>
    <cellStyle name="Note 2 5" xfId="579" xr:uid="{D1EF2ED5-6B85-4E9D-85E8-A1787C0400A5}"/>
    <cellStyle name="Note 3" xfId="282" xr:uid="{00000000-0005-0000-0000-000046010000}"/>
    <cellStyle name="Note 4" xfId="283" xr:uid="{00000000-0005-0000-0000-000047010000}"/>
    <cellStyle name="Note 5" xfId="284" xr:uid="{00000000-0005-0000-0000-000048010000}"/>
    <cellStyle name="Note 5 2" xfId="421" xr:uid="{7AD783DA-ABB7-4D1F-90EA-DD31C8234EBF}"/>
    <cellStyle name="Note 5 2 2" xfId="450" xr:uid="{6F765E30-3DD2-443C-BAC4-0FD1DAB14062}"/>
    <cellStyle name="Note 5 2 2 2" xfId="744" xr:uid="{1F439775-6C76-4CC8-837B-36BA072AE263}"/>
    <cellStyle name="Note 5 2 3" xfId="715" xr:uid="{D78D8F71-C47D-4EEE-BB02-E8304035DFFD}"/>
    <cellStyle name="Note 5 3" xfId="581" xr:uid="{E5E8114C-317C-4ADD-96DD-E0C530D33237}"/>
    <cellStyle name="Note 6" xfId="306" xr:uid="{9BE40A6B-3DC3-40B3-970D-122C6899A93A}"/>
    <cellStyle name="Note 6 2" xfId="600" xr:uid="{DEA962AC-1BCB-450E-A6A8-F46BA201107E}"/>
    <cellStyle name="Note 7" xfId="466" xr:uid="{145AB06E-9A01-4E14-81F1-1AB353525A4B}"/>
    <cellStyle name="Output" xfId="4" builtinId="21"/>
    <cellStyle name="Output 2" xfId="285" xr:uid="{00000000-0005-0000-0000-000049010000}"/>
    <cellStyle name="Percent 2" xfId="286" xr:uid="{00000000-0005-0000-0000-00004A010000}"/>
    <cellStyle name="Percent 3" xfId="287" xr:uid="{00000000-0005-0000-0000-00004B010000}"/>
    <cellStyle name="Percent 4" xfId="305" xr:uid="{8C6EE7F2-E394-40FE-AE6B-6B90598B130E}"/>
    <cellStyle name="Percent 4 2" xfId="599" xr:uid="{0D056790-8573-42D9-94F2-81C3CB582160}"/>
    <cellStyle name="Percent 5" xfId="443" xr:uid="{C2A555B0-E1C8-4C89-8B2D-5B0597976FBD}"/>
    <cellStyle name="Percent 5 2" xfId="737" xr:uid="{6BC6187B-15C0-495F-BAB3-DC9E637CEB7C}"/>
    <cellStyle name="Percent 6" xfId="465" xr:uid="{D07F7D87-1844-4587-B5E5-1650D7D74118}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7C80"/>
      <color rgb="FFFF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867833</xdr:colOff>
      <xdr:row>12</xdr:row>
      <xdr:rowOff>349251</xdr:rowOff>
    </xdr:from>
    <xdr:to>
      <xdr:col>2</xdr:col>
      <xdr:colOff>10096404</xdr:colOff>
      <xdr:row>12</xdr:row>
      <xdr:rowOff>2168299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7CF6D2-3AF4-FF84-7D84-C049EF6E4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2561168"/>
          <a:ext cx="9228571" cy="1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751416</xdr:colOff>
      <xdr:row>13</xdr:row>
      <xdr:rowOff>84667</xdr:rowOff>
    </xdr:from>
    <xdr:to>
      <xdr:col>2</xdr:col>
      <xdr:colOff>10265702</xdr:colOff>
      <xdr:row>13</xdr:row>
      <xdr:rowOff>1979905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30D751-B7B6-1925-9943-47FF71845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1083" y="4963584"/>
          <a:ext cx="9514286" cy="1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751416</xdr:colOff>
      <xdr:row>14</xdr:row>
      <xdr:rowOff>74083</xdr:rowOff>
    </xdr:from>
    <xdr:to>
      <xdr:col>2</xdr:col>
      <xdr:colOff>10437130</xdr:colOff>
      <xdr:row>14</xdr:row>
      <xdr:rowOff>2502654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6A5E9B-40FF-9C66-2736-57446169D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1083" y="7016750"/>
          <a:ext cx="9685714" cy="2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14</xdr:row>
      <xdr:rowOff>2402417</xdr:rowOff>
    </xdr:from>
    <xdr:to>
      <xdr:col>2</xdr:col>
      <xdr:colOff>9342976</xdr:colOff>
      <xdr:row>14</xdr:row>
      <xdr:rowOff>5154798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6A4C5E-2E6A-EA4D-C7DB-D4C6C24DB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52167" y="9345084"/>
          <a:ext cx="8390476" cy="2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434975</xdr:colOff>
      <xdr:row>276</xdr:row>
      <xdr:rowOff>101600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413376-AA11-46F3-815F-60A7CAE6FAB5}"/>
            </a:ext>
          </a:extLst>
        </xdr:cNvPr>
        <xdr:cNvSpPr txBox="1"/>
      </xdr:nvSpPr>
      <xdr:spPr>
        <a:xfrm>
          <a:off x="17478375" y="4693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434975</xdr:colOff>
      <xdr:row>276</xdr:row>
      <xdr:rowOff>101600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A412DF-9A9A-408C-AE2A-901E895C3635}"/>
            </a:ext>
          </a:extLst>
        </xdr:cNvPr>
        <xdr:cNvSpPr txBox="1"/>
      </xdr:nvSpPr>
      <xdr:spPr>
        <a:xfrm>
          <a:off x="17478375" y="4693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434975</xdr:colOff>
      <xdr:row>277</xdr:row>
      <xdr:rowOff>101600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F4ECBA-B88F-4E39-87A4-3BB7D760A1C3}"/>
            </a:ext>
          </a:extLst>
        </xdr:cNvPr>
        <xdr:cNvSpPr txBox="1"/>
      </xdr:nvSpPr>
      <xdr:spPr>
        <a:xfrm>
          <a:off x="17478375" y="471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434975</xdr:colOff>
      <xdr:row>277</xdr:row>
      <xdr:rowOff>101600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E70304-7151-4DA7-BF24-082700EAC029}"/>
            </a:ext>
          </a:extLst>
        </xdr:cNvPr>
        <xdr:cNvSpPr txBox="1"/>
      </xdr:nvSpPr>
      <xdr:spPr>
        <a:xfrm>
          <a:off x="17478375" y="471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434975</xdr:colOff>
      <xdr:row>276</xdr:row>
      <xdr:rowOff>101600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BA9C81-8DBA-4176-AC20-687B92977E9E}"/>
            </a:ext>
          </a:extLst>
        </xdr:cNvPr>
        <xdr:cNvSpPr txBox="1"/>
      </xdr:nvSpPr>
      <xdr:spPr>
        <a:xfrm>
          <a:off x="17478375" y="4693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434975</xdr:colOff>
      <xdr:row>276</xdr:row>
      <xdr:rowOff>101600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DE6A4CC-B462-4B27-A5AB-F3FF31431990}"/>
            </a:ext>
          </a:extLst>
        </xdr:cNvPr>
        <xdr:cNvSpPr txBox="1"/>
      </xdr:nvSpPr>
      <xdr:spPr>
        <a:xfrm>
          <a:off x="17478375" y="4693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434975</xdr:colOff>
      <xdr:row>277</xdr:row>
      <xdr:rowOff>101600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E40E22-E4DF-4B36-A683-44CF906D5B3B}"/>
            </a:ext>
          </a:extLst>
        </xdr:cNvPr>
        <xdr:cNvSpPr txBox="1"/>
      </xdr:nvSpPr>
      <xdr:spPr>
        <a:xfrm>
          <a:off x="17478375" y="471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434975</xdr:colOff>
      <xdr:row>277</xdr:row>
      <xdr:rowOff>101600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A6BDA8A-B88C-49EA-B61B-90EF14AABDFC}"/>
            </a:ext>
          </a:extLst>
        </xdr:cNvPr>
        <xdr:cNvSpPr txBox="1"/>
      </xdr:nvSpPr>
      <xdr:spPr>
        <a:xfrm>
          <a:off x="17478375" y="471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13</xdr:col>
      <xdr:colOff>1034981</xdr:colOff>
      <xdr:row>282</xdr:row>
      <xdr:rowOff>75338</xdr:rowOff>
    </xdr:from>
    <xdr:to>
      <xdr:col>17</xdr:col>
      <xdr:colOff>697597</xdr:colOff>
      <xdr:row>321</xdr:row>
      <xdr:rowOff>75338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A37AFC-2C58-55A2-40F0-DF8927D7D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27523" y="51305846"/>
          <a:ext cx="4484311" cy="7135679"/>
        </a:xfrm>
        <a:prstGeom prst="rect">
          <a:avLst/>
        </a:prstGeom>
      </xdr:spPr>
    </xdr:pic>
    <xdr:clientData/>
  </xdr:twoCellAnchor>
  <xdr:twoCellAnchor editAs="oneCell">
    <xdr:from>
      <xdr:col>31</xdr:col>
      <xdr:colOff>591949</xdr:colOff>
      <xdr:row>1</xdr:row>
      <xdr:rowOff>228353</xdr:rowOff>
    </xdr:from>
    <xdr:to>
      <xdr:col>34</xdr:col>
      <xdr:colOff>295234</xdr:colOff>
      <xdr:row>7</xdr:row>
      <xdr:rowOff>43051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68FB38-BB7E-4214-4B3F-63396E541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63644" y="1024794"/>
          <a:ext cx="1543709" cy="13860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a582-my.sharepoint.com/Users/PRIME3/Desktop/Vintage%20Stonetrace/Equipment%20Schedule%20-%20VINTAGE%20STONETRACE%20APARTMENTS%206.30.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TER DYNAMIC LIST"/>
      <sheetName val="PTAC DYNAMIC LIST"/>
      <sheetName val="1 BLDG. SCH."/>
      <sheetName val="2 APTS EQUIP. SCH."/>
      <sheetName val="3 COMM. AREA &amp; CORR EQUIP. "/>
      <sheetName val="4 MINI SPLIT"/>
      <sheetName val="PTAC"/>
      <sheetName val="5 UNIT TYP. DEATILS"/>
      <sheetName val="THERMOSTAT DYNAMIC LIST"/>
      <sheetName val="FAN DYNAMIC LIST"/>
      <sheetName val="MINI SPLIT DYNAMIC LIST"/>
      <sheetName val="EQUIPMENT DYNAMIC LIST"/>
      <sheetName val="Sheet2"/>
      <sheetName val="6 EXT FAN SCH"/>
      <sheetName val="7 ELEC HTR SCH"/>
      <sheetName val="8 WALL CAP"/>
      <sheetName val="9 LOUVER "/>
      <sheetName val="9 DRYER BOX"/>
      <sheetName val="10 FLT SW SCH"/>
      <sheetName val="11 GRILLES"/>
      <sheetName val="12 RAD DMP"/>
      <sheetName val="MECH NOTES"/>
      <sheetName val="Sheet1"/>
    </sheetNames>
    <sheetDataSet>
      <sheetData sheetId="0">
        <row r="2">
          <cell r="Q2" t="str">
            <v/>
          </cell>
        </row>
        <row r="3">
          <cell r="Q3" t="str">
            <v/>
          </cell>
        </row>
        <row r="4">
          <cell r="Q4" t="str">
            <v/>
          </cell>
        </row>
        <row r="5">
          <cell r="Q5" t="str">
            <v/>
          </cell>
        </row>
        <row r="6">
          <cell r="Q6" t="str">
            <v/>
          </cell>
        </row>
        <row r="7">
          <cell r="Q7" t="str">
            <v/>
          </cell>
        </row>
        <row r="8">
          <cell r="Q8" t="str">
            <v/>
          </cell>
        </row>
        <row r="9">
          <cell r="Q9" t="str">
            <v/>
          </cell>
        </row>
        <row r="10">
          <cell r="Q10" t="str">
            <v/>
          </cell>
        </row>
        <row r="11">
          <cell r="Q11" t="str">
            <v/>
          </cell>
        </row>
        <row r="12">
          <cell r="Q12" t="str">
            <v/>
          </cell>
        </row>
        <row r="13">
          <cell r="Q13" t="str">
            <v/>
          </cell>
        </row>
        <row r="14">
          <cell r="Q14" t="str">
            <v/>
          </cell>
        </row>
        <row r="15">
          <cell r="Q15" t="str">
            <v/>
          </cell>
        </row>
        <row r="16">
          <cell r="Q16" t="str">
            <v/>
          </cell>
        </row>
        <row r="17">
          <cell r="Q17" t="str">
            <v/>
          </cell>
        </row>
        <row r="18">
          <cell r="Q18" t="str">
            <v/>
          </cell>
        </row>
        <row r="19">
          <cell r="Q19" t="str">
            <v/>
          </cell>
        </row>
        <row r="20">
          <cell r="Q20" t="str">
            <v/>
          </cell>
        </row>
        <row r="21">
          <cell r="Q21" t="str">
            <v/>
          </cell>
        </row>
        <row r="22">
          <cell r="Q22" t="str">
            <v/>
          </cell>
        </row>
        <row r="23">
          <cell r="Q23" t="str">
            <v/>
          </cell>
        </row>
        <row r="24">
          <cell r="Q24" t="str">
            <v/>
          </cell>
        </row>
        <row r="25">
          <cell r="Q25" t="str">
            <v/>
          </cell>
        </row>
        <row r="26">
          <cell r="Q26" t="str">
            <v/>
          </cell>
        </row>
        <row r="27">
          <cell r="Q27" t="str">
            <v/>
          </cell>
        </row>
        <row r="28">
          <cell r="Q28" t="str">
            <v/>
          </cell>
        </row>
        <row r="29">
          <cell r="Q29" t="str">
            <v/>
          </cell>
        </row>
        <row r="30">
          <cell r="Q30" t="str">
            <v/>
          </cell>
        </row>
        <row r="31">
          <cell r="Q31" t="str">
            <v/>
          </cell>
        </row>
        <row r="32">
          <cell r="Q32" t="str">
            <v/>
          </cell>
        </row>
        <row r="33">
          <cell r="Q33" t="str">
            <v/>
          </cell>
        </row>
        <row r="34">
          <cell r="Q34" t="str">
            <v/>
          </cell>
        </row>
        <row r="35">
          <cell r="Q35" t="str">
            <v/>
          </cell>
        </row>
        <row r="36">
          <cell r="Q36" t="str">
            <v/>
          </cell>
        </row>
        <row r="37">
          <cell r="Q37" t="str">
            <v/>
          </cell>
        </row>
        <row r="38">
          <cell r="Q38" t="str">
            <v/>
          </cell>
        </row>
        <row r="39">
          <cell r="Q39" t="str">
            <v/>
          </cell>
        </row>
        <row r="40">
          <cell r="Q40" t="str">
            <v/>
          </cell>
        </row>
        <row r="41">
          <cell r="Q41" t="str">
            <v/>
          </cell>
        </row>
        <row r="42">
          <cell r="Q42" t="str">
            <v/>
          </cell>
        </row>
        <row r="43">
          <cell r="Q43" t="str">
            <v/>
          </cell>
        </row>
        <row r="44">
          <cell r="Q44" t="str">
            <v/>
          </cell>
        </row>
        <row r="45">
          <cell r="Q45" t="str">
            <v/>
          </cell>
        </row>
        <row r="46">
          <cell r="Q46" t="str">
            <v/>
          </cell>
        </row>
        <row r="47">
          <cell r="Q47" t="str">
            <v/>
          </cell>
        </row>
        <row r="48">
          <cell r="Q48" t="str">
            <v/>
          </cell>
        </row>
        <row r="49">
          <cell r="Q49" t="str">
            <v/>
          </cell>
        </row>
        <row r="50">
          <cell r="Q50" t="str">
            <v/>
          </cell>
        </row>
        <row r="51">
          <cell r="Q51" t="str">
            <v/>
          </cell>
        </row>
        <row r="52">
          <cell r="Q52" t="str">
            <v/>
          </cell>
        </row>
        <row r="53">
          <cell r="Q53" t="str">
            <v/>
          </cell>
        </row>
        <row r="54">
          <cell r="Q54" t="str">
            <v/>
          </cell>
        </row>
        <row r="55">
          <cell r="Q55" t="str">
            <v/>
          </cell>
        </row>
        <row r="56">
          <cell r="Q56" t="str">
            <v/>
          </cell>
        </row>
        <row r="57">
          <cell r="Q57" t="str">
            <v/>
          </cell>
        </row>
        <row r="58">
          <cell r="Q58" t="str">
            <v/>
          </cell>
        </row>
        <row r="59">
          <cell r="Q59" t="str">
            <v/>
          </cell>
        </row>
        <row r="60">
          <cell r="Q60" t="str">
            <v/>
          </cell>
        </row>
        <row r="61">
          <cell r="Q61" t="str">
            <v/>
          </cell>
        </row>
        <row r="62">
          <cell r="Q62" t="str">
            <v/>
          </cell>
        </row>
        <row r="63">
          <cell r="Q63" t="str">
            <v/>
          </cell>
        </row>
        <row r="64">
          <cell r="Q64" t="str">
            <v/>
          </cell>
        </row>
        <row r="65">
          <cell r="Q65" t="str">
            <v/>
          </cell>
        </row>
        <row r="66">
          <cell r="Q66" t="str">
            <v/>
          </cell>
        </row>
        <row r="67">
          <cell r="Q67" t="str">
            <v/>
          </cell>
        </row>
        <row r="68">
          <cell r="Q68" t="str">
            <v/>
          </cell>
        </row>
        <row r="69">
          <cell r="Q69" t="str">
            <v/>
          </cell>
        </row>
        <row r="70">
          <cell r="Q70" t="str">
            <v/>
          </cell>
        </row>
        <row r="71">
          <cell r="Q71" t="str">
            <v/>
          </cell>
        </row>
        <row r="72">
          <cell r="Q72" t="str">
            <v/>
          </cell>
        </row>
        <row r="73">
          <cell r="Q73" t="str">
            <v/>
          </cell>
        </row>
        <row r="74">
          <cell r="Q74" t="str">
            <v/>
          </cell>
        </row>
        <row r="75">
          <cell r="Q75" t="str">
            <v/>
          </cell>
        </row>
        <row r="76">
          <cell r="Q76" t="str">
            <v/>
          </cell>
        </row>
        <row r="77">
          <cell r="Q77" t="str">
            <v/>
          </cell>
        </row>
        <row r="78">
          <cell r="Q78" t="str">
            <v/>
          </cell>
        </row>
        <row r="79">
          <cell r="Q79" t="str">
            <v/>
          </cell>
        </row>
        <row r="80">
          <cell r="Q80" t="str">
            <v/>
          </cell>
        </row>
        <row r="81">
          <cell r="Q81" t="str">
            <v/>
          </cell>
        </row>
        <row r="82">
          <cell r="Q82" t="str">
            <v/>
          </cell>
        </row>
        <row r="83">
          <cell r="Q83" t="str">
            <v/>
          </cell>
        </row>
        <row r="84">
          <cell r="Q84" t="str">
            <v/>
          </cell>
        </row>
        <row r="85">
          <cell r="Q85" t="str">
            <v/>
          </cell>
        </row>
        <row r="86">
          <cell r="Q86" t="str">
            <v/>
          </cell>
        </row>
        <row r="87">
          <cell r="Q87" t="str">
            <v/>
          </cell>
        </row>
        <row r="88">
          <cell r="Q88" t="str">
            <v/>
          </cell>
        </row>
        <row r="89">
          <cell r="Q89" t="str">
            <v/>
          </cell>
        </row>
        <row r="90">
          <cell r="Q90" t="str">
            <v/>
          </cell>
        </row>
        <row r="91">
          <cell r="Q91" t="str">
            <v/>
          </cell>
        </row>
        <row r="92">
          <cell r="Q92" t="str">
            <v/>
          </cell>
        </row>
        <row r="93">
          <cell r="Q93" t="str">
            <v/>
          </cell>
        </row>
        <row r="94">
          <cell r="Q94" t="str">
            <v/>
          </cell>
        </row>
        <row r="95">
          <cell r="Q95" t="str">
            <v/>
          </cell>
        </row>
        <row r="96">
          <cell r="Q96" t="str">
            <v/>
          </cell>
        </row>
        <row r="97">
          <cell r="Q97" t="str">
            <v/>
          </cell>
        </row>
        <row r="98">
          <cell r="Q98" t="str">
            <v/>
          </cell>
        </row>
        <row r="99">
          <cell r="Q99" t="str">
            <v/>
          </cell>
        </row>
        <row r="100">
          <cell r="Q100" t="str">
            <v/>
          </cell>
        </row>
        <row r="101">
          <cell r="Q101" t="str">
            <v/>
          </cell>
        </row>
        <row r="102">
          <cell r="Q102" t="str">
            <v/>
          </cell>
        </row>
        <row r="103">
          <cell r="Q103" t="str">
            <v/>
          </cell>
        </row>
        <row r="104">
          <cell r="Q104" t="str">
            <v/>
          </cell>
        </row>
        <row r="105">
          <cell r="Q105" t="str">
            <v/>
          </cell>
        </row>
        <row r="106">
          <cell r="Q106" t="str">
            <v/>
          </cell>
        </row>
        <row r="107">
          <cell r="Q107" t="str">
            <v/>
          </cell>
        </row>
        <row r="108">
          <cell r="Q108" t="str">
            <v/>
          </cell>
        </row>
        <row r="109">
          <cell r="Q109" t="str">
            <v/>
          </cell>
        </row>
        <row r="110">
          <cell r="Q110" t="str">
            <v/>
          </cell>
        </row>
        <row r="111">
          <cell r="Q111" t="str">
            <v/>
          </cell>
        </row>
        <row r="112">
          <cell r="Q112" t="str">
            <v/>
          </cell>
        </row>
        <row r="113">
          <cell r="Q113" t="str">
            <v/>
          </cell>
        </row>
        <row r="114">
          <cell r="Q114" t="str">
            <v/>
          </cell>
        </row>
        <row r="115">
          <cell r="Q115" t="str">
            <v/>
          </cell>
        </row>
        <row r="116">
          <cell r="Q116" t="str">
            <v/>
          </cell>
        </row>
        <row r="117">
          <cell r="Q117" t="str">
            <v/>
          </cell>
        </row>
        <row r="118">
          <cell r="Q118" t="str">
            <v/>
          </cell>
        </row>
        <row r="119">
          <cell r="Q119" t="str">
            <v/>
          </cell>
        </row>
        <row r="120">
          <cell r="Q120" t="str">
            <v/>
          </cell>
        </row>
        <row r="121">
          <cell r="Q121" t="str">
            <v/>
          </cell>
        </row>
        <row r="122">
          <cell r="Q122" t="str">
            <v/>
          </cell>
        </row>
        <row r="123">
          <cell r="Q123" t="str">
            <v/>
          </cell>
        </row>
        <row r="124">
          <cell r="Q124" t="str">
            <v/>
          </cell>
        </row>
        <row r="125">
          <cell r="Q125" t="str">
            <v/>
          </cell>
        </row>
        <row r="126">
          <cell r="Q126" t="str">
            <v/>
          </cell>
        </row>
        <row r="127">
          <cell r="Q127" t="str">
            <v/>
          </cell>
        </row>
        <row r="128">
          <cell r="Q128" t="str">
            <v/>
          </cell>
        </row>
        <row r="129">
          <cell r="Q129" t="str">
            <v/>
          </cell>
        </row>
        <row r="130">
          <cell r="Q130" t="str">
            <v/>
          </cell>
        </row>
        <row r="131">
          <cell r="Q131" t="str">
            <v/>
          </cell>
        </row>
        <row r="132">
          <cell r="Q132" t="str">
            <v/>
          </cell>
        </row>
        <row r="133">
          <cell r="Q133" t="str">
            <v/>
          </cell>
        </row>
        <row r="134">
          <cell r="Q134" t="str">
            <v/>
          </cell>
        </row>
        <row r="135">
          <cell r="Q135" t="str">
            <v/>
          </cell>
        </row>
        <row r="136">
          <cell r="Q136" t="str">
            <v/>
          </cell>
        </row>
        <row r="137">
          <cell r="Q137" t="str">
            <v/>
          </cell>
        </row>
        <row r="138">
          <cell r="Q138" t="str">
            <v/>
          </cell>
        </row>
        <row r="139">
          <cell r="Q139" t="str">
            <v/>
          </cell>
        </row>
        <row r="140">
          <cell r="Q140" t="str">
            <v/>
          </cell>
        </row>
        <row r="141">
          <cell r="Q141" t="str">
            <v/>
          </cell>
        </row>
        <row r="142">
          <cell r="Q142" t="str">
            <v/>
          </cell>
        </row>
        <row r="143">
          <cell r="Q143" t="str">
            <v/>
          </cell>
        </row>
        <row r="144">
          <cell r="Q144" t="str">
            <v/>
          </cell>
        </row>
        <row r="145">
          <cell r="Q145" t="str">
            <v/>
          </cell>
        </row>
        <row r="146">
          <cell r="Q146" t="str">
            <v/>
          </cell>
        </row>
        <row r="147">
          <cell r="Q147" t="str">
            <v/>
          </cell>
        </row>
        <row r="148">
          <cell r="Q148" t="str">
            <v/>
          </cell>
        </row>
        <row r="149">
          <cell r="Q149" t="str">
            <v/>
          </cell>
        </row>
        <row r="150">
          <cell r="Q150" t="str">
            <v/>
          </cell>
        </row>
        <row r="151">
          <cell r="Q151" t="str">
            <v/>
          </cell>
        </row>
        <row r="152">
          <cell r="Q152" t="str">
            <v/>
          </cell>
        </row>
        <row r="153">
          <cell r="Q153" t="str">
            <v/>
          </cell>
        </row>
        <row r="154">
          <cell r="Q154" t="str">
            <v/>
          </cell>
        </row>
        <row r="155">
          <cell r="Q155" t="str">
            <v/>
          </cell>
        </row>
        <row r="156">
          <cell r="Q156" t="str">
            <v/>
          </cell>
        </row>
        <row r="157">
          <cell r="Q157" t="str">
            <v/>
          </cell>
        </row>
        <row r="158">
          <cell r="Q158" t="str">
            <v/>
          </cell>
        </row>
        <row r="159">
          <cell r="Q159" t="str">
            <v/>
          </cell>
        </row>
        <row r="160">
          <cell r="Q160" t="str">
            <v/>
          </cell>
        </row>
        <row r="161">
          <cell r="Q161" t="str">
            <v/>
          </cell>
        </row>
        <row r="162">
          <cell r="Q162" t="str">
            <v/>
          </cell>
        </row>
        <row r="163">
          <cell r="Q163" t="str">
            <v/>
          </cell>
        </row>
        <row r="164">
          <cell r="Q164" t="str">
            <v/>
          </cell>
        </row>
        <row r="165">
          <cell r="Q165" t="str">
            <v/>
          </cell>
        </row>
        <row r="166">
          <cell r="Q166" t="str">
            <v/>
          </cell>
        </row>
        <row r="167">
          <cell r="Q167" t="str">
            <v/>
          </cell>
        </row>
        <row r="168">
          <cell r="Q168" t="str">
            <v/>
          </cell>
        </row>
        <row r="169">
          <cell r="Q169" t="str">
            <v/>
          </cell>
        </row>
        <row r="170">
          <cell r="Q170" t="str">
            <v/>
          </cell>
        </row>
        <row r="171">
          <cell r="Q171" t="str">
            <v/>
          </cell>
        </row>
        <row r="172">
          <cell r="Q172" t="str">
            <v/>
          </cell>
        </row>
        <row r="173">
          <cell r="Q173" t="str">
            <v/>
          </cell>
        </row>
        <row r="174">
          <cell r="Q174" t="str">
            <v/>
          </cell>
        </row>
        <row r="175">
          <cell r="Q175" t="str">
            <v/>
          </cell>
        </row>
        <row r="176">
          <cell r="Q176" t="str">
            <v/>
          </cell>
        </row>
        <row r="177">
          <cell r="Q177" t="str">
            <v/>
          </cell>
        </row>
        <row r="178">
          <cell r="Q178" t="str">
            <v/>
          </cell>
        </row>
        <row r="179">
          <cell r="Q179" t="str">
            <v/>
          </cell>
        </row>
        <row r="180">
          <cell r="Q180" t="str">
            <v/>
          </cell>
        </row>
        <row r="181">
          <cell r="Q181" t="str">
            <v/>
          </cell>
        </row>
        <row r="182">
          <cell r="Q182" t="str">
            <v/>
          </cell>
        </row>
        <row r="183">
          <cell r="Q183" t="str">
            <v/>
          </cell>
        </row>
        <row r="184">
          <cell r="Q184" t="str">
            <v/>
          </cell>
        </row>
        <row r="185">
          <cell r="Q185" t="str">
            <v/>
          </cell>
        </row>
        <row r="186">
          <cell r="Q186" t="str">
            <v/>
          </cell>
        </row>
        <row r="187">
          <cell r="Q187" t="str">
            <v/>
          </cell>
        </row>
        <row r="188">
          <cell r="Q188" t="str">
            <v/>
          </cell>
        </row>
        <row r="189">
          <cell r="Q189" t="str">
            <v/>
          </cell>
        </row>
        <row r="190">
          <cell r="Q190" t="str">
            <v/>
          </cell>
        </row>
        <row r="191">
          <cell r="Q191" t="str">
            <v/>
          </cell>
        </row>
        <row r="192">
          <cell r="Q192" t="str">
            <v/>
          </cell>
        </row>
        <row r="193">
          <cell r="Q193" t="str">
            <v/>
          </cell>
        </row>
        <row r="194">
          <cell r="Q194" t="str">
            <v/>
          </cell>
        </row>
        <row r="195">
          <cell r="Q195" t="str">
            <v/>
          </cell>
        </row>
        <row r="196">
          <cell r="Q196" t="str">
            <v/>
          </cell>
        </row>
        <row r="197">
          <cell r="Q197" t="str">
            <v/>
          </cell>
        </row>
        <row r="198">
          <cell r="Q198" t="str">
            <v/>
          </cell>
        </row>
        <row r="199">
          <cell r="Q199" t="str">
            <v/>
          </cell>
        </row>
        <row r="200">
          <cell r="Q200" t="str">
            <v/>
          </cell>
        </row>
        <row r="201">
          <cell r="Q201" t="str">
            <v/>
          </cell>
        </row>
        <row r="202">
          <cell r="Q202" t="str">
            <v/>
          </cell>
        </row>
        <row r="203">
          <cell r="Q203" t="str">
            <v/>
          </cell>
        </row>
        <row r="204">
          <cell r="Q204" t="str">
            <v/>
          </cell>
        </row>
        <row r="205">
          <cell r="Q205" t="str">
            <v/>
          </cell>
        </row>
        <row r="206">
          <cell r="Q206" t="str">
            <v/>
          </cell>
        </row>
        <row r="207">
          <cell r="Q207" t="str">
            <v/>
          </cell>
        </row>
        <row r="208">
          <cell r="Q208" t="str">
            <v/>
          </cell>
        </row>
        <row r="209">
          <cell r="Q209" t="str">
            <v/>
          </cell>
        </row>
        <row r="210">
          <cell r="Q210" t="str">
            <v/>
          </cell>
        </row>
        <row r="211">
          <cell r="Q211" t="str">
            <v/>
          </cell>
        </row>
        <row r="212">
          <cell r="Q212" t="str">
            <v/>
          </cell>
        </row>
        <row r="213">
          <cell r="Q213" t="str">
            <v/>
          </cell>
        </row>
        <row r="214">
          <cell r="Q214" t="str">
            <v/>
          </cell>
        </row>
        <row r="215">
          <cell r="Q215" t="str">
            <v/>
          </cell>
        </row>
        <row r="216">
          <cell r="Q216" t="str">
            <v/>
          </cell>
        </row>
        <row r="217">
          <cell r="Q217" t="str">
            <v/>
          </cell>
        </row>
        <row r="218">
          <cell r="Q218" t="str">
            <v/>
          </cell>
        </row>
        <row r="219">
          <cell r="Q219" t="str">
            <v/>
          </cell>
        </row>
        <row r="220">
          <cell r="Q220" t="str">
            <v/>
          </cell>
        </row>
        <row r="221">
          <cell r="Q221" t="str">
            <v/>
          </cell>
        </row>
        <row r="222">
          <cell r="Q222" t="str">
            <v/>
          </cell>
        </row>
        <row r="223">
          <cell r="Q223" t="str">
            <v/>
          </cell>
        </row>
        <row r="224">
          <cell r="Q224" t="str">
            <v/>
          </cell>
        </row>
        <row r="225">
          <cell r="Q225" t="str">
            <v/>
          </cell>
        </row>
        <row r="226">
          <cell r="Q226" t="str">
            <v/>
          </cell>
        </row>
        <row r="227">
          <cell r="Q227" t="str">
            <v/>
          </cell>
        </row>
        <row r="228">
          <cell r="Q228" t="str">
            <v/>
          </cell>
        </row>
        <row r="229">
          <cell r="Q229" t="str">
            <v/>
          </cell>
        </row>
        <row r="230">
          <cell r="Q230" t="str">
            <v/>
          </cell>
        </row>
        <row r="231">
          <cell r="Q231" t="str">
            <v/>
          </cell>
        </row>
        <row r="232">
          <cell r="Q232" t="str">
            <v/>
          </cell>
        </row>
        <row r="233">
          <cell r="Q233" t="str">
            <v/>
          </cell>
        </row>
        <row r="234">
          <cell r="Q234" t="str">
            <v/>
          </cell>
        </row>
        <row r="235">
          <cell r="Q235" t="str">
            <v/>
          </cell>
        </row>
        <row r="236">
          <cell r="Q236" t="str">
            <v/>
          </cell>
        </row>
        <row r="237">
          <cell r="Q237" t="str">
            <v/>
          </cell>
        </row>
        <row r="238">
          <cell r="Q238" t="str">
            <v/>
          </cell>
        </row>
        <row r="239">
          <cell r="Q239" t="str">
            <v/>
          </cell>
        </row>
        <row r="240">
          <cell r="Q240" t="str">
            <v/>
          </cell>
        </row>
        <row r="241">
          <cell r="Q241" t="str">
            <v/>
          </cell>
        </row>
        <row r="242">
          <cell r="Q242" t="str">
            <v/>
          </cell>
        </row>
        <row r="243">
          <cell r="Q243" t="str">
            <v/>
          </cell>
        </row>
        <row r="244">
          <cell r="Q244" t="str">
            <v/>
          </cell>
        </row>
        <row r="245">
          <cell r="Q245" t="str">
            <v/>
          </cell>
        </row>
        <row r="246">
          <cell r="Q246" t="str">
            <v/>
          </cell>
        </row>
        <row r="247">
          <cell r="Q247" t="str">
            <v/>
          </cell>
        </row>
        <row r="248">
          <cell r="Q248" t="str">
            <v/>
          </cell>
        </row>
        <row r="249">
          <cell r="Q249" t="str">
            <v/>
          </cell>
        </row>
        <row r="250">
          <cell r="Q250" t="str">
            <v/>
          </cell>
        </row>
        <row r="251">
          <cell r="Q251" t="str">
            <v/>
          </cell>
        </row>
        <row r="252">
          <cell r="Q252" t="str">
            <v/>
          </cell>
        </row>
        <row r="253">
          <cell r="Q253" t="str">
            <v/>
          </cell>
        </row>
        <row r="254">
          <cell r="Q254" t="str">
            <v/>
          </cell>
        </row>
        <row r="255">
          <cell r="Q255" t="str">
            <v/>
          </cell>
        </row>
        <row r="256">
          <cell r="Q256" t="str">
            <v/>
          </cell>
        </row>
        <row r="257">
          <cell r="Q257" t="str">
            <v/>
          </cell>
        </row>
        <row r="258">
          <cell r="Q258" t="str">
            <v/>
          </cell>
        </row>
        <row r="259">
          <cell r="Q259" t="str">
            <v/>
          </cell>
        </row>
        <row r="260">
          <cell r="Q260" t="str">
            <v/>
          </cell>
        </row>
        <row r="261">
          <cell r="Q261" t="str">
            <v/>
          </cell>
        </row>
        <row r="262">
          <cell r="Q262" t="str">
            <v/>
          </cell>
        </row>
        <row r="263">
          <cell r="Q263" t="str">
            <v/>
          </cell>
        </row>
        <row r="264">
          <cell r="Q264" t="str">
            <v/>
          </cell>
        </row>
        <row r="265">
          <cell r="Q265" t="str">
            <v/>
          </cell>
        </row>
        <row r="266">
          <cell r="Q266" t="str">
            <v/>
          </cell>
        </row>
        <row r="267">
          <cell r="Q267" t="str">
            <v/>
          </cell>
        </row>
        <row r="268">
          <cell r="Q268" t="str">
            <v/>
          </cell>
        </row>
        <row r="269">
          <cell r="Q269" t="str">
            <v/>
          </cell>
        </row>
        <row r="270">
          <cell r="Q270" t="str">
            <v/>
          </cell>
        </row>
        <row r="271">
          <cell r="Q271" t="str">
            <v/>
          </cell>
        </row>
        <row r="272">
          <cell r="Q272" t="str">
            <v/>
          </cell>
        </row>
        <row r="273">
          <cell r="Q273" t="str">
            <v/>
          </cell>
        </row>
        <row r="274">
          <cell r="Q274" t="str">
            <v/>
          </cell>
        </row>
        <row r="275">
          <cell r="Q275" t="str">
            <v/>
          </cell>
        </row>
        <row r="276">
          <cell r="Q276" t="str">
            <v/>
          </cell>
        </row>
        <row r="277">
          <cell r="Q277" t="str">
            <v/>
          </cell>
        </row>
        <row r="278">
          <cell r="Q278" t="str">
            <v/>
          </cell>
        </row>
        <row r="279">
          <cell r="Q279" t="str">
            <v/>
          </cell>
        </row>
        <row r="280">
          <cell r="Q280" t="str">
            <v/>
          </cell>
        </row>
        <row r="281">
          <cell r="Q281" t="str">
            <v/>
          </cell>
        </row>
        <row r="282">
          <cell r="Q282" t="str">
            <v/>
          </cell>
        </row>
        <row r="283">
          <cell r="Q283" t="str">
            <v/>
          </cell>
        </row>
        <row r="284">
          <cell r="Q284" t="str">
            <v/>
          </cell>
        </row>
        <row r="285">
          <cell r="Q285" t="str">
            <v/>
          </cell>
        </row>
        <row r="286">
          <cell r="Q286" t="str">
            <v/>
          </cell>
        </row>
        <row r="287">
          <cell r="Q287" t="str">
            <v/>
          </cell>
        </row>
        <row r="288">
          <cell r="Q288" t="str">
            <v/>
          </cell>
        </row>
        <row r="289">
          <cell r="Q289" t="str">
            <v/>
          </cell>
        </row>
        <row r="290">
          <cell r="Q290" t="str">
            <v/>
          </cell>
        </row>
        <row r="291">
          <cell r="Q291" t="str">
            <v/>
          </cell>
        </row>
        <row r="292">
          <cell r="Q292" t="str">
            <v/>
          </cell>
        </row>
        <row r="293">
          <cell r="Q293" t="str">
            <v/>
          </cell>
        </row>
        <row r="294">
          <cell r="Q294" t="str">
            <v/>
          </cell>
        </row>
        <row r="295">
          <cell r="Q295" t="str">
            <v/>
          </cell>
        </row>
        <row r="296">
          <cell r="Q296" t="str">
            <v/>
          </cell>
        </row>
        <row r="297">
          <cell r="Q297" t="str">
            <v/>
          </cell>
        </row>
        <row r="298">
          <cell r="Q298" t="str">
            <v/>
          </cell>
        </row>
        <row r="299">
          <cell r="Q299" t="str">
            <v/>
          </cell>
        </row>
        <row r="300">
          <cell r="Q300" t="str">
            <v/>
          </cell>
        </row>
        <row r="301">
          <cell r="Q301" t="str">
            <v/>
          </cell>
        </row>
        <row r="302">
          <cell r="Q302" t="str">
            <v/>
          </cell>
        </row>
        <row r="303">
          <cell r="Q303" t="str">
            <v/>
          </cell>
        </row>
        <row r="304">
          <cell r="Q304" t="str">
            <v/>
          </cell>
        </row>
        <row r="305">
          <cell r="Q305" t="str">
            <v/>
          </cell>
        </row>
        <row r="306">
          <cell r="Q306" t="str">
            <v/>
          </cell>
        </row>
        <row r="307">
          <cell r="Q307" t="str">
            <v/>
          </cell>
        </row>
        <row r="308">
          <cell r="Q308" t="str">
            <v/>
          </cell>
        </row>
        <row r="309">
          <cell r="Q309" t="str">
            <v/>
          </cell>
        </row>
        <row r="310">
          <cell r="Q310" t="str">
            <v/>
          </cell>
        </row>
        <row r="311">
          <cell r="Q311" t="str">
            <v/>
          </cell>
        </row>
        <row r="312">
          <cell r="Q312" t="str">
            <v/>
          </cell>
        </row>
        <row r="313">
          <cell r="Q313" t="str">
            <v/>
          </cell>
        </row>
        <row r="314">
          <cell r="Q314" t="str">
            <v/>
          </cell>
        </row>
        <row r="315">
          <cell r="Q315" t="str">
            <v/>
          </cell>
        </row>
        <row r="316">
          <cell r="Q316" t="str">
            <v/>
          </cell>
        </row>
        <row r="317">
          <cell r="Q317" t="str">
            <v/>
          </cell>
        </row>
        <row r="318">
          <cell r="Q318" t="str">
            <v/>
          </cell>
        </row>
        <row r="319">
          <cell r="Q319" t="str">
            <v/>
          </cell>
        </row>
        <row r="320">
          <cell r="Q320" t="str">
            <v/>
          </cell>
        </row>
        <row r="321">
          <cell r="Q321" t="str">
            <v/>
          </cell>
        </row>
        <row r="322">
          <cell r="Q322" t="str">
            <v/>
          </cell>
        </row>
        <row r="323">
          <cell r="Q323" t="str">
            <v/>
          </cell>
        </row>
        <row r="324">
          <cell r="Q324" t="str">
            <v/>
          </cell>
        </row>
        <row r="325">
          <cell r="Q325" t="str">
            <v/>
          </cell>
        </row>
        <row r="326">
          <cell r="Q326" t="str">
            <v/>
          </cell>
        </row>
        <row r="327">
          <cell r="Q327" t="str">
            <v/>
          </cell>
        </row>
        <row r="328">
          <cell r="Q328" t="str">
            <v/>
          </cell>
        </row>
        <row r="329">
          <cell r="Q329" t="str">
            <v/>
          </cell>
        </row>
        <row r="330">
          <cell r="Q330" t="str">
            <v/>
          </cell>
        </row>
        <row r="331">
          <cell r="Q331" t="str">
            <v/>
          </cell>
        </row>
        <row r="332">
          <cell r="Q332" t="str">
            <v/>
          </cell>
        </row>
        <row r="333">
          <cell r="Q333" t="str">
            <v/>
          </cell>
        </row>
        <row r="334">
          <cell r="Q334" t="str">
            <v/>
          </cell>
        </row>
        <row r="335">
          <cell r="Q335" t="str">
            <v/>
          </cell>
        </row>
        <row r="336">
          <cell r="Q336" t="str">
            <v/>
          </cell>
        </row>
        <row r="337">
          <cell r="Q337" t="str">
            <v/>
          </cell>
        </row>
        <row r="338">
          <cell r="Q338" t="str">
            <v/>
          </cell>
        </row>
        <row r="339">
          <cell r="Q339" t="str">
            <v/>
          </cell>
        </row>
        <row r="340">
          <cell r="Q340" t="str">
            <v/>
          </cell>
        </row>
        <row r="341">
          <cell r="Q341" t="str">
            <v/>
          </cell>
        </row>
        <row r="342">
          <cell r="Q342" t="str">
            <v/>
          </cell>
        </row>
        <row r="343">
          <cell r="Q343" t="str">
            <v/>
          </cell>
        </row>
        <row r="344">
          <cell r="Q344" t="str">
            <v/>
          </cell>
        </row>
        <row r="345">
          <cell r="Q345" t="str">
            <v/>
          </cell>
        </row>
        <row r="346">
          <cell r="Q346" t="str">
            <v/>
          </cell>
        </row>
        <row r="347">
          <cell r="Q347" t="str">
            <v/>
          </cell>
        </row>
        <row r="348">
          <cell r="Q348" t="str">
            <v/>
          </cell>
        </row>
        <row r="349">
          <cell r="Q349" t="str">
            <v/>
          </cell>
        </row>
        <row r="350">
          <cell r="Q350" t="str">
            <v/>
          </cell>
        </row>
        <row r="351">
          <cell r="Q351" t="str">
            <v/>
          </cell>
        </row>
        <row r="352">
          <cell r="Q352" t="str">
            <v/>
          </cell>
        </row>
        <row r="353">
          <cell r="Q353" t="str">
            <v/>
          </cell>
        </row>
        <row r="354">
          <cell r="Q354" t="str">
            <v/>
          </cell>
        </row>
        <row r="355">
          <cell r="Q355" t="str">
            <v/>
          </cell>
        </row>
        <row r="356">
          <cell r="Q356" t="str">
            <v/>
          </cell>
        </row>
        <row r="357">
          <cell r="Q357" t="str">
            <v/>
          </cell>
        </row>
        <row r="358">
          <cell r="Q358" t="str">
            <v/>
          </cell>
        </row>
        <row r="359">
          <cell r="Q359" t="str">
            <v/>
          </cell>
        </row>
        <row r="360">
          <cell r="Q360" t="str">
            <v/>
          </cell>
        </row>
        <row r="361">
          <cell r="Q361" t="str">
            <v/>
          </cell>
        </row>
        <row r="362">
          <cell r="Q362" t="str">
            <v/>
          </cell>
        </row>
        <row r="363">
          <cell r="Q363" t="str">
            <v/>
          </cell>
        </row>
        <row r="364">
          <cell r="Q364" t="str">
            <v/>
          </cell>
        </row>
        <row r="365">
          <cell r="Q365" t="str">
            <v/>
          </cell>
        </row>
        <row r="366">
          <cell r="Q366" t="str">
            <v/>
          </cell>
        </row>
        <row r="367">
          <cell r="Q367" t="str">
            <v/>
          </cell>
        </row>
        <row r="368">
          <cell r="Q368" t="str">
            <v/>
          </cell>
        </row>
        <row r="369">
          <cell r="Q369" t="str">
            <v/>
          </cell>
        </row>
        <row r="370">
          <cell r="Q370" t="str">
            <v/>
          </cell>
        </row>
        <row r="371">
          <cell r="Q371" t="str">
            <v/>
          </cell>
        </row>
        <row r="372">
          <cell r="Q372" t="str">
            <v/>
          </cell>
        </row>
        <row r="373">
          <cell r="Q373" t="str">
            <v/>
          </cell>
        </row>
        <row r="374">
          <cell r="Q374" t="str">
            <v/>
          </cell>
        </row>
        <row r="375">
          <cell r="Q375" t="str">
            <v/>
          </cell>
        </row>
        <row r="376">
          <cell r="Q376" t="str">
            <v/>
          </cell>
        </row>
        <row r="377">
          <cell r="Q377" t="str">
            <v/>
          </cell>
        </row>
        <row r="378">
          <cell r="Q378" t="str">
            <v/>
          </cell>
        </row>
        <row r="379">
          <cell r="Q379" t="str">
            <v/>
          </cell>
        </row>
        <row r="380">
          <cell r="Q380" t="str">
            <v/>
          </cell>
        </row>
        <row r="381">
          <cell r="Q381" t="str">
            <v/>
          </cell>
        </row>
        <row r="382">
          <cell r="Q382" t="str">
            <v/>
          </cell>
        </row>
        <row r="383">
          <cell r="Q383" t="str">
            <v/>
          </cell>
        </row>
        <row r="384">
          <cell r="Q384" t="str">
            <v/>
          </cell>
        </row>
        <row r="385">
          <cell r="Q385" t="str">
            <v/>
          </cell>
        </row>
        <row r="386">
          <cell r="Q386" t="str">
            <v/>
          </cell>
        </row>
        <row r="387">
          <cell r="Q387" t="str">
            <v/>
          </cell>
        </row>
        <row r="388">
          <cell r="Q388" t="str">
            <v/>
          </cell>
        </row>
        <row r="389">
          <cell r="Q389" t="str">
            <v/>
          </cell>
        </row>
        <row r="390">
          <cell r="Q390" t="str">
            <v/>
          </cell>
        </row>
        <row r="391">
          <cell r="Q391" t="str">
            <v/>
          </cell>
        </row>
        <row r="392">
          <cell r="Q392" t="str">
            <v/>
          </cell>
        </row>
        <row r="393">
          <cell r="Q393" t="str">
            <v/>
          </cell>
        </row>
        <row r="394">
          <cell r="Q394" t="str">
            <v/>
          </cell>
        </row>
        <row r="395">
          <cell r="Q395" t="str">
            <v/>
          </cell>
        </row>
        <row r="396">
          <cell r="Q396" t="str">
            <v/>
          </cell>
        </row>
        <row r="397">
          <cell r="Q397" t="str">
            <v/>
          </cell>
        </row>
        <row r="398">
          <cell r="Q398" t="str">
            <v/>
          </cell>
        </row>
        <row r="399">
          <cell r="Q399" t="str">
            <v/>
          </cell>
        </row>
        <row r="400">
          <cell r="Q400" t="str">
            <v/>
          </cell>
        </row>
        <row r="401">
          <cell r="Q401" t="str">
            <v/>
          </cell>
        </row>
        <row r="402">
          <cell r="Q402" t="str">
            <v/>
          </cell>
        </row>
        <row r="403">
          <cell r="Q403" t="str">
            <v/>
          </cell>
        </row>
        <row r="404">
          <cell r="Q404" t="str">
            <v/>
          </cell>
        </row>
        <row r="405">
          <cell r="Q405" t="str">
            <v/>
          </cell>
        </row>
        <row r="406">
          <cell r="Q406" t="str">
            <v/>
          </cell>
        </row>
        <row r="407">
          <cell r="Q407" t="str">
            <v/>
          </cell>
        </row>
        <row r="408">
          <cell r="Q408" t="str">
            <v/>
          </cell>
        </row>
        <row r="409">
          <cell r="Q409" t="str">
            <v/>
          </cell>
        </row>
        <row r="410">
          <cell r="Q410" t="str">
            <v/>
          </cell>
        </row>
        <row r="411">
          <cell r="Q411" t="str">
            <v/>
          </cell>
        </row>
        <row r="412">
          <cell r="Q412" t="str">
            <v/>
          </cell>
        </row>
        <row r="413">
          <cell r="Q413" t="str">
            <v/>
          </cell>
        </row>
        <row r="414">
          <cell r="Q414" t="str">
            <v/>
          </cell>
        </row>
        <row r="415">
          <cell r="Q415" t="str">
            <v/>
          </cell>
        </row>
        <row r="416">
          <cell r="Q416" t="str">
            <v/>
          </cell>
        </row>
        <row r="417">
          <cell r="Q417" t="str">
            <v/>
          </cell>
        </row>
        <row r="418">
          <cell r="Q418" t="str">
            <v/>
          </cell>
        </row>
        <row r="419">
          <cell r="Q419" t="str">
            <v/>
          </cell>
        </row>
        <row r="420">
          <cell r="Q420" t="str">
            <v/>
          </cell>
        </row>
        <row r="421">
          <cell r="Q421" t="str">
            <v/>
          </cell>
        </row>
        <row r="422">
          <cell r="Q422" t="str">
            <v/>
          </cell>
        </row>
        <row r="423">
          <cell r="Q423" t="str">
            <v/>
          </cell>
        </row>
        <row r="424">
          <cell r="Q424" t="str">
            <v/>
          </cell>
        </row>
        <row r="425">
          <cell r="Q425" t="str">
            <v/>
          </cell>
        </row>
        <row r="426">
          <cell r="Q426" t="str">
            <v/>
          </cell>
        </row>
        <row r="427">
          <cell r="Q427" t="str">
            <v/>
          </cell>
        </row>
        <row r="428">
          <cell r="Q428" t="str">
            <v/>
          </cell>
        </row>
        <row r="429">
          <cell r="Q429" t="str">
            <v/>
          </cell>
        </row>
        <row r="430">
          <cell r="Q430" t="str">
            <v/>
          </cell>
        </row>
        <row r="431">
          <cell r="Q431" t="str">
            <v/>
          </cell>
        </row>
        <row r="432">
          <cell r="Q432" t="str">
            <v/>
          </cell>
        </row>
        <row r="433">
          <cell r="Q433" t="str">
            <v/>
          </cell>
        </row>
        <row r="434">
          <cell r="Q434" t="str">
            <v/>
          </cell>
        </row>
        <row r="435">
          <cell r="Q435" t="str">
            <v/>
          </cell>
        </row>
        <row r="436">
          <cell r="Q436" t="str">
            <v/>
          </cell>
        </row>
        <row r="437">
          <cell r="Q437" t="str">
            <v/>
          </cell>
        </row>
        <row r="438">
          <cell r="Q438" t="str">
            <v/>
          </cell>
        </row>
        <row r="439">
          <cell r="Q439" t="str">
            <v/>
          </cell>
        </row>
        <row r="440">
          <cell r="Q440" t="str">
            <v/>
          </cell>
        </row>
        <row r="441">
          <cell r="Q441" t="str">
            <v/>
          </cell>
        </row>
        <row r="442">
          <cell r="Q442" t="str">
            <v/>
          </cell>
        </row>
        <row r="443">
          <cell r="Q443" t="str">
            <v/>
          </cell>
        </row>
        <row r="444">
          <cell r="Q444" t="str">
            <v/>
          </cell>
        </row>
        <row r="445">
          <cell r="Q445" t="str">
            <v/>
          </cell>
        </row>
        <row r="446">
          <cell r="Q446" t="str">
            <v/>
          </cell>
        </row>
        <row r="447">
          <cell r="Q447" t="str">
            <v/>
          </cell>
        </row>
        <row r="448">
          <cell r="Q448" t="str">
            <v/>
          </cell>
        </row>
        <row r="449">
          <cell r="Q449" t="str">
            <v/>
          </cell>
        </row>
        <row r="450">
          <cell r="Q450" t="str">
            <v/>
          </cell>
        </row>
        <row r="451">
          <cell r="Q451" t="str">
            <v/>
          </cell>
        </row>
        <row r="452">
          <cell r="Q452" t="str">
            <v/>
          </cell>
        </row>
        <row r="453">
          <cell r="Q453" t="str">
            <v/>
          </cell>
        </row>
        <row r="454">
          <cell r="Q454" t="str">
            <v/>
          </cell>
        </row>
        <row r="455">
          <cell r="Q455" t="str">
            <v/>
          </cell>
        </row>
        <row r="456">
          <cell r="Q456" t="str">
            <v/>
          </cell>
        </row>
        <row r="457">
          <cell r="Q457" t="str">
            <v/>
          </cell>
        </row>
        <row r="458">
          <cell r="Q458" t="str">
            <v/>
          </cell>
        </row>
        <row r="459">
          <cell r="Q459" t="str">
            <v/>
          </cell>
        </row>
        <row r="460">
          <cell r="Q460" t="str">
            <v/>
          </cell>
        </row>
        <row r="461">
          <cell r="Q461" t="str">
            <v/>
          </cell>
        </row>
        <row r="462">
          <cell r="Q462" t="str">
            <v/>
          </cell>
        </row>
        <row r="463">
          <cell r="Q463" t="str">
            <v/>
          </cell>
        </row>
        <row r="464">
          <cell r="Q464" t="str">
            <v/>
          </cell>
        </row>
        <row r="465">
          <cell r="Q465" t="str">
            <v/>
          </cell>
        </row>
        <row r="466">
          <cell r="Q466" t="str">
            <v/>
          </cell>
        </row>
        <row r="467">
          <cell r="Q467" t="str">
            <v/>
          </cell>
        </row>
        <row r="468">
          <cell r="Q468" t="str">
            <v/>
          </cell>
        </row>
        <row r="469">
          <cell r="Q469" t="str">
            <v/>
          </cell>
        </row>
        <row r="470">
          <cell r="Q470" t="str">
            <v/>
          </cell>
        </row>
        <row r="471">
          <cell r="Q471" t="str">
            <v/>
          </cell>
        </row>
        <row r="472">
          <cell r="Q472" t="str">
            <v/>
          </cell>
        </row>
        <row r="473">
          <cell r="Q473" t="str">
            <v/>
          </cell>
        </row>
        <row r="474">
          <cell r="Q474" t="str">
            <v/>
          </cell>
        </row>
        <row r="475">
          <cell r="Q475" t="str">
            <v/>
          </cell>
        </row>
        <row r="476">
          <cell r="Q476" t="str">
            <v/>
          </cell>
        </row>
        <row r="477">
          <cell r="Q477" t="str">
            <v/>
          </cell>
        </row>
        <row r="478">
          <cell r="Q478" t="str">
            <v/>
          </cell>
        </row>
        <row r="479">
          <cell r="Q479" t="str">
            <v/>
          </cell>
        </row>
        <row r="480">
          <cell r="Q480" t="str">
            <v/>
          </cell>
        </row>
        <row r="481">
          <cell r="Q481" t="str">
            <v/>
          </cell>
        </row>
        <row r="482">
          <cell r="Q482" t="str">
            <v/>
          </cell>
        </row>
        <row r="483">
          <cell r="Q483" t="str">
            <v/>
          </cell>
        </row>
        <row r="484">
          <cell r="Q484" t="str">
            <v/>
          </cell>
        </row>
        <row r="485">
          <cell r="Q485" t="str">
            <v/>
          </cell>
        </row>
        <row r="486">
          <cell r="Q486" t="str">
            <v/>
          </cell>
        </row>
        <row r="487">
          <cell r="Q487" t="str">
            <v/>
          </cell>
        </row>
        <row r="488">
          <cell r="Q488" t="str">
            <v/>
          </cell>
        </row>
        <row r="489">
          <cell r="Q489" t="str">
            <v/>
          </cell>
        </row>
        <row r="490">
          <cell r="Q490" t="str">
            <v/>
          </cell>
        </row>
        <row r="491">
          <cell r="Q491" t="str">
            <v/>
          </cell>
        </row>
        <row r="492">
          <cell r="Q492" t="str">
            <v/>
          </cell>
        </row>
        <row r="493">
          <cell r="Q493" t="str">
            <v/>
          </cell>
        </row>
        <row r="494">
          <cell r="Q494" t="str">
            <v/>
          </cell>
        </row>
        <row r="495">
          <cell r="Q495" t="str">
            <v/>
          </cell>
        </row>
        <row r="496">
          <cell r="Q496" t="str">
            <v/>
          </cell>
        </row>
        <row r="497">
          <cell r="Q497" t="str">
            <v/>
          </cell>
        </row>
        <row r="498">
          <cell r="Q498" t="str">
            <v/>
          </cell>
        </row>
        <row r="499">
          <cell r="Q499" t="str">
            <v/>
          </cell>
        </row>
        <row r="500">
          <cell r="Q500" t="str">
            <v/>
          </cell>
        </row>
        <row r="501">
          <cell r="Q501" t="str">
            <v/>
          </cell>
        </row>
        <row r="502">
          <cell r="Q502" t="str">
            <v/>
          </cell>
        </row>
        <row r="503">
          <cell r="Q503" t="str">
            <v/>
          </cell>
        </row>
        <row r="504">
          <cell r="Q504" t="str">
            <v/>
          </cell>
        </row>
        <row r="505">
          <cell r="Q505" t="str">
            <v/>
          </cell>
        </row>
        <row r="506">
          <cell r="Q506" t="str">
            <v/>
          </cell>
        </row>
        <row r="507">
          <cell r="Q507" t="str">
            <v/>
          </cell>
        </row>
        <row r="508">
          <cell r="Q508" t="str">
            <v/>
          </cell>
        </row>
        <row r="509">
          <cell r="Q509" t="str">
            <v/>
          </cell>
        </row>
        <row r="510">
          <cell r="Q510" t="str">
            <v/>
          </cell>
        </row>
        <row r="511">
          <cell r="Q511" t="str">
            <v/>
          </cell>
        </row>
        <row r="512">
          <cell r="Q512" t="str">
            <v/>
          </cell>
        </row>
        <row r="513">
          <cell r="Q513" t="str">
            <v/>
          </cell>
        </row>
        <row r="514">
          <cell r="Q514" t="str">
            <v/>
          </cell>
        </row>
        <row r="515">
          <cell r="Q515" t="str">
            <v/>
          </cell>
        </row>
        <row r="516">
          <cell r="Q516" t="str">
            <v/>
          </cell>
        </row>
        <row r="517">
          <cell r="Q517" t="str">
            <v/>
          </cell>
        </row>
        <row r="518">
          <cell r="Q518" t="str">
            <v/>
          </cell>
        </row>
        <row r="519">
          <cell r="Q519" t="str">
            <v/>
          </cell>
        </row>
        <row r="520">
          <cell r="Q520" t="str">
            <v/>
          </cell>
        </row>
        <row r="521">
          <cell r="Q521" t="str">
            <v/>
          </cell>
        </row>
        <row r="522">
          <cell r="Q522" t="str">
            <v/>
          </cell>
        </row>
        <row r="523">
          <cell r="Q523" t="str">
            <v/>
          </cell>
        </row>
        <row r="524">
          <cell r="Q524" t="str">
            <v/>
          </cell>
        </row>
        <row r="525">
          <cell r="Q525" t="str">
            <v/>
          </cell>
        </row>
        <row r="526">
          <cell r="Q526" t="str">
            <v/>
          </cell>
        </row>
        <row r="527">
          <cell r="Q527" t="str">
            <v/>
          </cell>
        </row>
        <row r="528">
          <cell r="Q528" t="str">
            <v/>
          </cell>
        </row>
        <row r="529">
          <cell r="Q529" t="str">
            <v/>
          </cell>
        </row>
        <row r="530">
          <cell r="Q530" t="str">
            <v/>
          </cell>
        </row>
        <row r="531">
          <cell r="Q531" t="str">
            <v/>
          </cell>
        </row>
        <row r="532">
          <cell r="Q532" t="str">
            <v/>
          </cell>
        </row>
        <row r="533">
          <cell r="Q533" t="str">
            <v/>
          </cell>
        </row>
        <row r="534">
          <cell r="Q534" t="str">
            <v/>
          </cell>
        </row>
        <row r="535">
          <cell r="Q535" t="str">
            <v/>
          </cell>
        </row>
        <row r="536">
          <cell r="Q536" t="str">
            <v/>
          </cell>
        </row>
        <row r="537">
          <cell r="Q537" t="str">
            <v/>
          </cell>
        </row>
        <row r="538">
          <cell r="Q538" t="str">
            <v/>
          </cell>
        </row>
        <row r="539">
          <cell r="Q539" t="str">
            <v/>
          </cell>
        </row>
        <row r="540">
          <cell r="Q540" t="str">
            <v/>
          </cell>
        </row>
        <row r="541">
          <cell r="Q541" t="str">
            <v/>
          </cell>
        </row>
        <row r="542">
          <cell r="Q542" t="str">
            <v/>
          </cell>
        </row>
        <row r="543">
          <cell r="Q543" t="str">
            <v/>
          </cell>
        </row>
        <row r="544">
          <cell r="Q544" t="str">
            <v/>
          </cell>
        </row>
        <row r="545">
          <cell r="Q545" t="str">
            <v/>
          </cell>
        </row>
        <row r="546">
          <cell r="Q546" t="str">
            <v/>
          </cell>
        </row>
        <row r="547">
          <cell r="Q547" t="str">
            <v/>
          </cell>
        </row>
        <row r="548">
          <cell r="Q548" t="str">
            <v/>
          </cell>
        </row>
        <row r="549">
          <cell r="Q549" t="str">
            <v/>
          </cell>
        </row>
        <row r="550">
          <cell r="Q550" t="str">
            <v/>
          </cell>
        </row>
        <row r="551">
          <cell r="Q551" t="str">
            <v/>
          </cell>
        </row>
        <row r="552">
          <cell r="Q552" t="str">
            <v/>
          </cell>
        </row>
        <row r="553">
          <cell r="Q553" t="str">
            <v/>
          </cell>
        </row>
        <row r="554">
          <cell r="Q554" t="str">
            <v/>
          </cell>
        </row>
        <row r="555">
          <cell r="Q555" t="str">
            <v/>
          </cell>
        </row>
        <row r="556">
          <cell r="Q556" t="str">
            <v/>
          </cell>
        </row>
        <row r="557">
          <cell r="Q557" t="str">
            <v/>
          </cell>
        </row>
        <row r="558">
          <cell r="Q558" t="str">
            <v/>
          </cell>
        </row>
        <row r="559">
          <cell r="Q559" t="str">
            <v/>
          </cell>
        </row>
        <row r="560">
          <cell r="Q560" t="str">
            <v/>
          </cell>
        </row>
        <row r="561">
          <cell r="Q561" t="str">
            <v/>
          </cell>
        </row>
        <row r="562">
          <cell r="Q562" t="str">
            <v/>
          </cell>
        </row>
        <row r="563">
          <cell r="Q563" t="str">
            <v/>
          </cell>
        </row>
        <row r="564">
          <cell r="Q564" t="str">
            <v/>
          </cell>
        </row>
        <row r="565">
          <cell r="Q565" t="str">
            <v/>
          </cell>
        </row>
        <row r="566">
          <cell r="Q566" t="str">
            <v/>
          </cell>
        </row>
        <row r="567">
          <cell r="Q567" t="str">
            <v/>
          </cell>
        </row>
        <row r="568">
          <cell r="Q568" t="str">
            <v/>
          </cell>
        </row>
        <row r="569">
          <cell r="Q569" t="str">
            <v/>
          </cell>
        </row>
        <row r="570">
          <cell r="Q570" t="str">
            <v/>
          </cell>
        </row>
        <row r="571">
          <cell r="Q571" t="str">
            <v/>
          </cell>
        </row>
        <row r="572">
          <cell r="Q572" t="str">
            <v/>
          </cell>
        </row>
        <row r="573">
          <cell r="Q573" t="str">
            <v/>
          </cell>
        </row>
        <row r="574">
          <cell r="Q574" t="str">
            <v/>
          </cell>
        </row>
        <row r="575">
          <cell r="Q575" t="str">
            <v/>
          </cell>
        </row>
        <row r="576">
          <cell r="Q576" t="str">
            <v/>
          </cell>
        </row>
        <row r="577">
          <cell r="Q577" t="str">
            <v/>
          </cell>
        </row>
        <row r="578">
          <cell r="Q578" t="str">
            <v/>
          </cell>
        </row>
        <row r="579">
          <cell r="Q579" t="str">
            <v/>
          </cell>
        </row>
        <row r="580">
          <cell r="Q580" t="str">
            <v/>
          </cell>
        </row>
        <row r="581">
          <cell r="Q581" t="str">
            <v/>
          </cell>
        </row>
        <row r="582">
          <cell r="Q582" t="str">
            <v/>
          </cell>
        </row>
        <row r="583">
          <cell r="Q583" t="str">
            <v/>
          </cell>
        </row>
        <row r="584">
          <cell r="Q584" t="str">
            <v/>
          </cell>
        </row>
        <row r="585">
          <cell r="Q585" t="str">
            <v/>
          </cell>
        </row>
        <row r="586">
          <cell r="Q586" t="str">
            <v/>
          </cell>
        </row>
        <row r="587">
          <cell r="Q587" t="str">
            <v/>
          </cell>
        </row>
        <row r="588">
          <cell r="Q588" t="str">
            <v/>
          </cell>
        </row>
        <row r="589">
          <cell r="Q589" t="str">
            <v/>
          </cell>
        </row>
        <row r="590">
          <cell r="Q590" t="str">
            <v/>
          </cell>
        </row>
        <row r="591">
          <cell r="Q591" t="str">
            <v/>
          </cell>
        </row>
        <row r="592">
          <cell r="Q592" t="str">
            <v/>
          </cell>
        </row>
        <row r="593">
          <cell r="Q593" t="str">
            <v/>
          </cell>
        </row>
        <row r="594">
          <cell r="Q594" t="str">
            <v/>
          </cell>
        </row>
        <row r="595">
          <cell r="Q595" t="str">
            <v/>
          </cell>
        </row>
        <row r="596">
          <cell r="Q596" t="str">
            <v/>
          </cell>
        </row>
        <row r="597">
          <cell r="Q597" t="str">
            <v/>
          </cell>
        </row>
        <row r="598">
          <cell r="Q598" t="str">
            <v/>
          </cell>
        </row>
        <row r="599">
          <cell r="Q599" t="str">
            <v/>
          </cell>
        </row>
        <row r="600">
          <cell r="Q600" t="str">
            <v/>
          </cell>
        </row>
        <row r="601">
          <cell r="Q601" t="str">
            <v/>
          </cell>
        </row>
        <row r="602">
          <cell r="Q602" t="str">
            <v/>
          </cell>
        </row>
        <row r="603">
          <cell r="Q603" t="str">
            <v/>
          </cell>
        </row>
        <row r="604">
          <cell r="Q604" t="str">
            <v/>
          </cell>
        </row>
        <row r="605">
          <cell r="Q605" t="str">
            <v/>
          </cell>
        </row>
        <row r="606">
          <cell r="Q606" t="str">
            <v/>
          </cell>
        </row>
        <row r="607">
          <cell r="Q607" t="str">
            <v/>
          </cell>
        </row>
        <row r="608">
          <cell r="Q608" t="str">
            <v/>
          </cell>
        </row>
        <row r="609">
          <cell r="Q609" t="str">
            <v/>
          </cell>
        </row>
        <row r="610">
          <cell r="Q610" t="str">
            <v/>
          </cell>
        </row>
        <row r="611">
          <cell r="Q611" t="str">
            <v/>
          </cell>
        </row>
        <row r="612">
          <cell r="Q612" t="str">
            <v/>
          </cell>
        </row>
        <row r="613">
          <cell r="Q613" t="str">
            <v/>
          </cell>
        </row>
        <row r="614">
          <cell r="Q614" t="str">
            <v/>
          </cell>
        </row>
        <row r="615">
          <cell r="Q615" t="str">
            <v/>
          </cell>
        </row>
        <row r="616">
          <cell r="Q616" t="str">
            <v/>
          </cell>
        </row>
        <row r="617">
          <cell r="Q617" t="str">
            <v/>
          </cell>
        </row>
        <row r="618">
          <cell r="Q618" t="str">
            <v/>
          </cell>
        </row>
        <row r="619">
          <cell r="Q619" t="str">
            <v/>
          </cell>
        </row>
        <row r="620">
          <cell r="Q620" t="str">
            <v/>
          </cell>
        </row>
        <row r="621">
          <cell r="Q621" t="str">
            <v/>
          </cell>
        </row>
        <row r="622">
          <cell r="Q622" t="str">
            <v/>
          </cell>
        </row>
        <row r="623">
          <cell r="Q623" t="str">
            <v/>
          </cell>
        </row>
        <row r="624">
          <cell r="Q624" t="str">
            <v/>
          </cell>
        </row>
        <row r="625">
          <cell r="Q625" t="str">
            <v/>
          </cell>
        </row>
        <row r="626">
          <cell r="Q626" t="str">
            <v/>
          </cell>
        </row>
        <row r="627">
          <cell r="Q627" t="str">
            <v/>
          </cell>
        </row>
        <row r="628">
          <cell r="Q628" t="str">
            <v/>
          </cell>
        </row>
        <row r="629">
          <cell r="Q629" t="str">
            <v/>
          </cell>
        </row>
        <row r="630">
          <cell r="Q630" t="str">
            <v/>
          </cell>
        </row>
        <row r="631">
          <cell r="Q631" t="str">
            <v/>
          </cell>
        </row>
        <row r="632">
          <cell r="Q632" t="str">
            <v/>
          </cell>
        </row>
        <row r="633">
          <cell r="Q633" t="str">
            <v/>
          </cell>
        </row>
        <row r="634">
          <cell r="Q634" t="str">
            <v/>
          </cell>
        </row>
        <row r="635">
          <cell r="Q635" t="str">
            <v/>
          </cell>
        </row>
        <row r="636">
          <cell r="Q636" t="str">
            <v/>
          </cell>
        </row>
        <row r="637">
          <cell r="Q637" t="str">
            <v/>
          </cell>
        </row>
        <row r="638">
          <cell r="Q638" t="str">
            <v/>
          </cell>
        </row>
        <row r="639">
          <cell r="Q639" t="str">
            <v/>
          </cell>
        </row>
        <row r="640">
          <cell r="Q640" t="str">
            <v/>
          </cell>
        </row>
        <row r="641">
          <cell r="Q641" t="str">
            <v/>
          </cell>
        </row>
        <row r="642">
          <cell r="Q642" t="str">
            <v/>
          </cell>
        </row>
        <row r="643">
          <cell r="Q643" t="str">
            <v/>
          </cell>
        </row>
        <row r="644">
          <cell r="Q644" t="str">
            <v/>
          </cell>
        </row>
        <row r="645">
          <cell r="Q645" t="str">
            <v/>
          </cell>
        </row>
        <row r="646">
          <cell r="Q646" t="str">
            <v/>
          </cell>
        </row>
        <row r="647">
          <cell r="Q647" t="str">
            <v/>
          </cell>
        </row>
        <row r="648">
          <cell r="Q648" t="str">
            <v/>
          </cell>
        </row>
        <row r="649">
          <cell r="Q649" t="str">
            <v/>
          </cell>
        </row>
        <row r="650">
          <cell r="Q650" t="str">
            <v/>
          </cell>
        </row>
        <row r="651">
          <cell r="Q651" t="str">
            <v/>
          </cell>
        </row>
        <row r="652">
          <cell r="Q652" t="str">
            <v/>
          </cell>
        </row>
        <row r="653">
          <cell r="Q653" t="str">
            <v/>
          </cell>
        </row>
        <row r="654">
          <cell r="Q654" t="str">
            <v/>
          </cell>
        </row>
        <row r="655">
          <cell r="Q655" t="str">
            <v/>
          </cell>
        </row>
        <row r="656">
          <cell r="Q656" t="str">
            <v/>
          </cell>
        </row>
        <row r="657">
          <cell r="Q657" t="str">
            <v/>
          </cell>
        </row>
        <row r="658">
          <cell r="Q658" t="str">
            <v/>
          </cell>
        </row>
        <row r="659">
          <cell r="Q659" t="str">
            <v/>
          </cell>
        </row>
        <row r="660">
          <cell r="Q660" t="str">
            <v/>
          </cell>
        </row>
        <row r="661">
          <cell r="Q661" t="str">
            <v/>
          </cell>
        </row>
        <row r="662">
          <cell r="Q662" t="str">
            <v/>
          </cell>
        </row>
        <row r="663">
          <cell r="Q663" t="str">
            <v/>
          </cell>
        </row>
        <row r="664">
          <cell r="Q664" t="str">
            <v/>
          </cell>
        </row>
        <row r="665">
          <cell r="Q665" t="str">
            <v/>
          </cell>
        </row>
        <row r="666">
          <cell r="Q666" t="str">
            <v/>
          </cell>
        </row>
        <row r="667">
          <cell r="Q667" t="str">
            <v/>
          </cell>
        </row>
        <row r="668">
          <cell r="Q668" t="str">
            <v/>
          </cell>
        </row>
        <row r="669">
          <cell r="Q669" t="str">
            <v/>
          </cell>
        </row>
        <row r="670">
          <cell r="Q670" t="str">
            <v/>
          </cell>
        </row>
        <row r="671">
          <cell r="Q671" t="str">
            <v/>
          </cell>
        </row>
        <row r="672">
          <cell r="Q672" t="str">
            <v/>
          </cell>
        </row>
        <row r="673">
          <cell r="Q673" t="str">
            <v/>
          </cell>
        </row>
        <row r="674">
          <cell r="Q674" t="str">
            <v/>
          </cell>
        </row>
        <row r="675">
          <cell r="Q675" t="str">
            <v/>
          </cell>
        </row>
        <row r="676">
          <cell r="Q676" t="str">
            <v/>
          </cell>
        </row>
        <row r="677">
          <cell r="Q677" t="str">
            <v/>
          </cell>
        </row>
        <row r="678">
          <cell r="Q678" t="str">
            <v/>
          </cell>
        </row>
        <row r="679">
          <cell r="Q679" t="str">
            <v/>
          </cell>
        </row>
        <row r="680">
          <cell r="Q680" t="str">
            <v/>
          </cell>
        </row>
        <row r="681">
          <cell r="Q681" t="str">
            <v/>
          </cell>
        </row>
        <row r="682">
          <cell r="Q682" t="str">
            <v/>
          </cell>
        </row>
        <row r="683">
          <cell r="Q683" t="str">
            <v/>
          </cell>
        </row>
        <row r="684">
          <cell r="Q684" t="str">
            <v/>
          </cell>
        </row>
        <row r="685">
          <cell r="Q685" t="str">
            <v/>
          </cell>
        </row>
        <row r="686">
          <cell r="Q686" t="str">
            <v/>
          </cell>
        </row>
        <row r="687">
          <cell r="Q687" t="str">
            <v/>
          </cell>
        </row>
        <row r="688">
          <cell r="Q688" t="str">
            <v/>
          </cell>
        </row>
        <row r="689">
          <cell r="Q689" t="str">
            <v/>
          </cell>
        </row>
        <row r="690">
          <cell r="Q690" t="str">
            <v/>
          </cell>
        </row>
        <row r="691">
          <cell r="Q691" t="str">
            <v/>
          </cell>
        </row>
        <row r="692">
          <cell r="Q692" t="str">
            <v/>
          </cell>
        </row>
        <row r="693">
          <cell r="Q693" t="str">
            <v/>
          </cell>
        </row>
        <row r="694">
          <cell r="Q694" t="str">
            <v/>
          </cell>
        </row>
        <row r="695">
          <cell r="Q695" t="str">
            <v/>
          </cell>
        </row>
        <row r="696">
          <cell r="Q696" t="str">
            <v/>
          </cell>
        </row>
        <row r="697">
          <cell r="Q697" t="str">
            <v/>
          </cell>
        </row>
        <row r="698">
          <cell r="Q698" t="str">
            <v/>
          </cell>
        </row>
        <row r="699">
          <cell r="Q699" t="str">
            <v/>
          </cell>
        </row>
        <row r="700">
          <cell r="Q700" t="str">
            <v/>
          </cell>
        </row>
        <row r="701">
          <cell r="Q701" t="str">
            <v/>
          </cell>
        </row>
        <row r="702">
          <cell r="Q702" t="str">
            <v/>
          </cell>
        </row>
        <row r="703">
          <cell r="Q703" t="str">
            <v/>
          </cell>
        </row>
        <row r="704">
          <cell r="Q704" t="str">
            <v/>
          </cell>
        </row>
        <row r="705">
          <cell r="Q705" t="str">
            <v/>
          </cell>
        </row>
        <row r="706">
          <cell r="Q706" t="str">
            <v/>
          </cell>
        </row>
        <row r="707">
          <cell r="Q707" t="str">
            <v/>
          </cell>
        </row>
        <row r="708">
          <cell r="Q708" t="str">
            <v/>
          </cell>
        </row>
        <row r="709">
          <cell r="Q709" t="str">
            <v/>
          </cell>
        </row>
        <row r="710">
          <cell r="Q710" t="str">
            <v/>
          </cell>
        </row>
        <row r="711">
          <cell r="Q711" t="str">
            <v/>
          </cell>
        </row>
        <row r="712">
          <cell r="Q712" t="str">
            <v/>
          </cell>
        </row>
        <row r="713">
          <cell r="Q713" t="str">
            <v/>
          </cell>
        </row>
        <row r="714">
          <cell r="Q714" t="str">
            <v/>
          </cell>
        </row>
        <row r="715">
          <cell r="Q715" t="str">
            <v/>
          </cell>
        </row>
        <row r="716">
          <cell r="Q716" t="str">
            <v/>
          </cell>
        </row>
        <row r="717">
          <cell r="Q717" t="str">
            <v/>
          </cell>
        </row>
        <row r="718">
          <cell r="Q718" t="str">
            <v/>
          </cell>
        </row>
        <row r="719">
          <cell r="Q719" t="str">
            <v/>
          </cell>
        </row>
        <row r="720">
          <cell r="Q720" t="str">
            <v/>
          </cell>
        </row>
        <row r="721">
          <cell r="Q721" t="str">
            <v/>
          </cell>
        </row>
        <row r="722">
          <cell r="Q722" t="str">
            <v/>
          </cell>
        </row>
        <row r="723">
          <cell r="Q723" t="str">
            <v/>
          </cell>
        </row>
        <row r="724">
          <cell r="Q724" t="str">
            <v/>
          </cell>
        </row>
        <row r="725">
          <cell r="Q725" t="str">
            <v/>
          </cell>
        </row>
        <row r="726">
          <cell r="Q726" t="str">
            <v/>
          </cell>
        </row>
        <row r="727">
          <cell r="Q727" t="str">
            <v/>
          </cell>
        </row>
        <row r="728">
          <cell r="Q728" t="str">
            <v/>
          </cell>
        </row>
        <row r="729">
          <cell r="Q729" t="str">
            <v/>
          </cell>
        </row>
        <row r="730">
          <cell r="Q730" t="str">
            <v/>
          </cell>
        </row>
        <row r="731">
          <cell r="Q731" t="str">
            <v/>
          </cell>
        </row>
        <row r="732">
          <cell r="Q732" t="str">
            <v/>
          </cell>
        </row>
        <row r="733">
          <cell r="Q733" t="str">
            <v/>
          </cell>
        </row>
        <row r="734">
          <cell r="Q734" t="str">
            <v/>
          </cell>
        </row>
        <row r="735">
          <cell r="Q735" t="str">
            <v/>
          </cell>
        </row>
        <row r="736">
          <cell r="Q736" t="str">
            <v/>
          </cell>
        </row>
        <row r="737">
          <cell r="Q737" t="str">
            <v/>
          </cell>
        </row>
        <row r="738">
          <cell r="Q738" t="str">
            <v/>
          </cell>
        </row>
        <row r="739">
          <cell r="Q739" t="str">
            <v/>
          </cell>
        </row>
        <row r="740">
          <cell r="Q740" t="str">
            <v/>
          </cell>
        </row>
        <row r="741">
          <cell r="Q741" t="str">
            <v/>
          </cell>
        </row>
        <row r="742">
          <cell r="Q742" t="str">
            <v/>
          </cell>
        </row>
        <row r="743">
          <cell r="Q743" t="str">
            <v/>
          </cell>
        </row>
        <row r="744">
          <cell r="Q744" t="str">
            <v/>
          </cell>
        </row>
        <row r="745">
          <cell r="Q745" t="str">
            <v/>
          </cell>
        </row>
        <row r="746">
          <cell r="Q746" t="str">
            <v/>
          </cell>
        </row>
        <row r="747">
          <cell r="Q747" t="str">
            <v/>
          </cell>
        </row>
        <row r="748">
          <cell r="Q748" t="str">
            <v/>
          </cell>
        </row>
        <row r="749">
          <cell r="Q749" t="str">
            <v/>
          </cell>
        </row>
        <row r="750">
          <cell r="Q750" t="str">
            <v/>
          </cell>
        </row>
        <row r="751">
          <cell r="Q751" t="str">
            <v/>
          </cell>
        </row>
        <row r="752">
          <cell r="Q752" t="str">
            <v/>
          </cell>
        </row>
        <row r="753">
          <cell r="Q753" t="str">
            <v/>
          </cell>
        </row>
        <row r="754">
          <cell r="Q754" t="str">
            <v/>
          </cell>
        </row>
        <row r="755">
          <cell r="Q755" t="str">
            <v/>
          </cell>
        </row>
        <row r="756">
          <cell r="Q756" t="str">
            <v/>
          </cell>
        </row>
        <row r="757">
          <cell r="Q757" t="str">
            <v/>
          </cell>
        </row>
        <row r="758">
          <cell r="Q758" t="str">
            <v/>
          </cell>
        </row>
        <row r="759">
          <cell r="Q759" t="str">
            <v/>
          </cell>
        </row>
        <row r="760">
          <cell r="Q760" t="str">
            <v/>
          </cell>
        </row>
        <row r="761">
          <cell r="Q761" t="str">
            <v/>
          </cell>
        </row>
        <row r="762">
          <cell r="Q762" t="str">
            <v/>
          </cell>
        </row>
        <row r="763">
          <cell r="Q763" t="str">
            <v/>
          </cell>
        </row>
        <row r="764">
          <cell r="Q764" t="str">
            <v/>
          </cell>
        </row>
        <row r="765">
          <cell r="Q765" t="str">
            <v/>
          </cell>
        </row>
        <row r="766">
          <cell r="Q766" t="str">
            <v/>
          </cell>
        </row>
        <row r="767">
          <cell r="Q767" t="str">
            <v/>
          </cell>
        </row>
        <row r="768">
          <cell r="Q768" t="str">
            <v/>
          </cell>
        </row>
        <row r="769">
          <cell r="Q769" t="str">
            <v/>
          </cell>
        </row>
        <row r="770">
          <cell r="Q770" t="str">
            <v/>
          </cell>
        </row>
        <row r="771">
          <cell r="Q771" t="str">
            <v/>
          </cell>
        </row>
        <row r="772">
          <cell r="Q772" t="str">
            <v/>
          </cell>
        </row>
        <row r="773">
          <cell r="Q773" t="str">
            <v/>
          </cell>
        </row>
        <row r="774">
          <cell r="Q774" t="str">
            <v/>
          </cell>
        </row>
        <row r="775">
          <cell r="Q775" t="str">
            <v/>
          </cell>
        </row>
        <row r="776">
          <cell r="Q776" t="str">
            <v/>
          </cell>
        </row>
        <row r="777">
          <cell r="Q777" t="str">
            <v/>
          </cell>
        </row>
        <row r="778">
          <cell r="Q778" t="str">
            <v/>
          </cell>
        </row>
        <row r="779">
          <cell r="Q779" t="str">
            <v/>
          </cell>
        </row>
        <row r="780">
          <cell r="Q780" t="str">
            <v/>
          </cell>
        </row>
        <row r="781">
          <cell r="Q781" t="str">
            <v/>
          </cell>
        </row>
        <row r="782">
          <cell r="Q782" t="str">
            <v/>
          </cell>
        </row>
        <row r="783">
          <cell r="Q783" t="str">
            <v/>
          </cell>
        </row>
        <row r="784">
          <cell r="Q784" t="str">
            <v/>
          </cell>
        </row>
        <row r="785">
          <cell r="Q785" t="str">
            <v/>
          </cell>
        </row>
        <row r="786">
          <cell r="Q786" t="str">
            <v/>
          </cell>
        </row>
        <row r="787">
          <cell r="Q787" t="str">
            <v/>
          </cell>
        </row>
        <row r="788">
          <cell r="Q788" t="str">
            <v/>
          </cell>
        </row>
        <row r="789">
          <cell r="Q789" t="str">
            <v/>
          </cell>
        </row>
        <row r="790">
          <cell r="Q790" t="str">
            <v/>
          </cell>
        </row>
        <row r="791">
          <cell r="Q791" t="str">
            <v/>
          </cell>
        </row>
        <row r="792">
          <cell r="Q792" t="str">
            <v/>
          </cell>
        </row>
        <row r="793">
          <cell r="Q793" t="str">
            <v/>
          </cell>
        </row>
        <row r="794">
          <cell r="Q794" t="str">
            <v/>
          </cell>
        </row>
        <row r="795">
          <cell r="Q795" t="str">
            <v/>
          </cell>
        </row>
        <row r="796">
          <cell r="Q796" t="str">
            <v/>
          </cell>
        </row>
        <row r="797">
          <cell r="Q797" t="str">
            <v/>
          </cell>
        </row>
        <row r="798">
          <cell r="Q798" t="str">
            <v/>
          </cell>
        </row>
        <row r="799">
          <cell r="Q799" t="str">
            <v/>
          </cell>
        </row>
        <row r="800">
          <cell r="Q800" t="str">
            <v/>
          </cell>
        </row>
        <row r="801">
          <cell r="Q801" t="str">
            <v/>
          </cell>
        </row>
        <row r="802">
          <cell r="Q802" t="str">
            <v/>
          </cell>
        </row>
        <row r="803">
          <cell r="Q803" t="str">
            <v/>
          </cell>
        </row>
        <row r="804">
          <cell r="Q804" t="str">
            <v/>
          </cell>
        </row>
        <row r="805">
          <cell r="Q805" t="str">
            <v/>
          </cell>
        </row>
        <row r="806">
          <cell r="Q806" t="str">
            <v/>
          </cell>
        </row>
        <row r="807">
          <cell r="Q807" t="str">
            <v/>
          </cell>
        </row>
        <row r="808">
          <cell r="Q808" t="str">
            <v/>
          </cell>
        </row>
        <row r="809">
          <cell r="Q809" t="str">
            <v/>
          </cell>
        </row>
        <row r="810">
          <cell r="Q810" t="str">
            <v/>
          </cell>
        </row>
        <row r="811">
          <cell r="Q811" t="str">
            <v/>
          </cell>
        </row>
        <row r="812">
          <cell r="Q812" t="str">
            <v/>
          </cell>
        </row>
        <row r="813">
          <cell r="Q813" t="str">
            <v/>
          </cell>
        </row>
        <row r="814">
          <cell r="Q814" t="str">
            <v/>
          </cell>
        </row>
        <row r="815">
          <cell r="Q815" t="str">
            <v/>
          </cell>
        </row>
      </sheetData>
      <sheetData sheetId="1">
        <row r="2">
          <cell r="Q2" t="str">
            <v/>
          </cell>
        </row>
        <row r="3">
          <cell r="Q3" t="str">
            <v/>
          </cell>
        </row>
        <row r="4">
          <cell r="Q4" t="str">
            <v/>
          </cell>
        </row>
        <row r="5">
          <cell r="Q5" t="str">
            <v/>
          </cell>
        </row>
        <row r="6">
          <cell r="Q6" t="str">
            <v/>
          </cell>
        </row>
        <row r="7">
          <cell r="Q7" t="str">
            <v/>
          </cell>
        </row>
        <row r="8">
          <cell r="Q8" t="str">
            <v/>
          </cell>
        </row>
        <row r="9">
          <cell r="Q9" t="str">
            <v/>
          </cell>
        </row>
        <row r="10">
          <cell r="Q10" t="str">
            <v/>
          </cell>
        </row>
        <row r="11">
          <cell r="Q11" t="str">
            <v/>
          </cell>
        </row>
        <row r="12">
          <cell r="Q12" t="str">
            <v/>
          </cell>
        </row>
        <row r="13">
          <cell r="Q13" t="str">
            <v/>
          </cell>
        </row>
        <row r="14">
          <cell r="Q14" t="str">
            <v/>
          </cell>
        </row>
        <row r="15">
          <cell r="Q15" t="str">
            <v/>
          </cell>
        </row>
        <row r="16">
          <cell r="Q16" t="str">
            <v/>
          </cell>
        </row>
        <row r="17">
          <cell r="Q17" t="str">
            <v/>
          </cell>
        </row>
        <row r="18">
          <cell r="Q18" t="str">
            <v/>
          </cell>
        </row>
        <row r="19">
          <cell r="Q19" t="str">
            <v/>
          </cell>
        </row>
        <row r="20">
          <cell r="Q20" t="str">
            <v/>
          </cell>
        </row>
        <row r="21">
          <cell r="Q21" t="str">
            <v/>
          </cell>
        </row>
        <row r="22">
          <cell r="Q22" t="str">
            <v/>
          </cell>
        </row>
        <row r="23">
          <cell r="Q23" t="str">
            <v/>
          </cell>
        </row>
        <row r="24">
          <cell r="Q24" t="str">
            <v/>
          </cell>
        </row>
        <row r="25">
          <cell r="Q25" t="str">
            <v/>
          </cell>
        </row>
        <row r="26">
          <cell r="Q26" t="str">
            <v/>
          </cell>
        </row>
        <row r="27">
          <cell r="Q27" t="str">
            <v/>
          </cell>
        </row>
        <row r="28">
          <cell r="Q28" t="str">
            <v/>
          </cell>
        </row>
        <row r="29">
          <cell r="Q29" t="str">
            <v/>
          </cell>
        </row>
        <row r="30">
          <cell r="Q30" t="str">
            <v/>
          </cell>
        </row>
        <row r="31">
          <cell r="Q31" t="str">
            <v/>
          </cell>
        </row>
        <row r="32">
          <cell r="Q32" t="str">
            <v/>
          </cell>
        </row>
        <row r="33">
          <cell r="Q33" t="str">
            <v/>
          </cell>
        </row>
        <row r="34">
          <cell r="Q34" t="str">
            <v/>
          </cell>
        </row>
        <row r="35">
          <cell r="Q35" t="str">
            <v/>
          </cell>
        </row>
        <row r="36">
          <cell r="Q36" t="str">
            <v/>
          </cell>
        </row>
        <row r="37">
          <cell r="Q37" t="str">
            <v/>
          </cell>
        </row>
        <row r="38">
          <cell r="Q38" t="str">
            <v/>
          </cell>
        </row>
        <row r="39">
          <cell r="Q39" t="str">
            <v/>
          </cell>
        </row>
        <row r="40">
          <cell r="Q40" t="str">
            <v/>
          </cell>
        </row>
        <row r="41">
          <cell r="Q41" t="str">
            <v/>
          </cell>
        </row>
        <row r="42">
          <cell r="Q42" t="str">
            <v/>
          </cell>
        </row>
        <row r="43">
          <cell r="Q43" t="str">
            <v/>
          </cell>
        </row>
        <row r="44">
          <cell r="Q44" t="str">
            <v/>
          </cell>
        </row>
        <row r="45">
          <cell r="Q45" t="str">
            <v/>
          </cell>
        </row>
        <row r="46">
          <cell r="Q46" t="str">
            <v/>
          </cell>
        </row>
        <row r="47">
          <cell r="Q47" t="str">
            <v/>
          </cell>
        </row>
        <row r="48">
          <cell r="Q48" t="str">
            <v/>
          </cell>
        </row>
        <row r="49">
          <cell r="Q49" t="str">
            <v/>
          </cell>
        </row>
        <row r="50">
          <cell r="Q50" t="str">
            <v/>
          </cell>
        </row>
        <row r="51">
          <cell r="Q51" t="str">
            <v/>
          </cell>
        </row>
        <row r="52">
          <cell r="Q52" t="str">
            <v/>
          </cell>
        </row>
        <row r="53">
          <cell r="Q53" t="str">
            <v/>
          </cell>
        </row>
        <row r="54">
          <cell r="Q54" t="str">
            <v/>
          </cell>
        </row>
        <row r="55">
          <cell r="Q55" t="str">
            <v/>
          </cell>
        </row>
        <row r="56">
          <cell r="Q56" t="str">
            <v/>
          </cell>
        </row>
        <row r="57">
          <cell r="Q57" t="str">
            <v/>
          </cell>
        </row>
        <row r="58">
          <cell r="Q58" t="str">
            <v/>
          </cell>
        </row>
        <row r="59">
          <cell r="Q59" t="str">
            <v/>
          </cell>
        </row>
        <row r="60">
          <cell r="Q60" t="str">
            <v/>
          </cell>
        </row>
        <row r="61">
          <cell r="Q61" t="str">
            <v/>
          </cell>
        </row>
        <row r="62">
          <cell r="Q62" t="str">
            <v/>
          </cell>
        </row>
        <row r="63">
          <cell r="Q63" t="str">
            <v/>
          </cell>
        </row>
        <row r="64">
          <cell r="Q64" t="str">
            <v/>
          </cell>
        </row>
        <row r="65">
          <cell r="Q65" t="str">
            <v/>
          </cell>
        </row>
        <row r="66">
          <cell r="Q66" t="str">
            <v/>
          </cell>
        </row>
        <row r="67">
          <cell r="Q67" t="str">
            <v/>
          </cell>
        </row>
        <row r="68">
          <cell r="Q68" t="str">
            <v/>
          </cell>
        </row>
        <row r="69">
          <cell r="Q69" t="str">
            <v/>
          </cell>
        </row>
        <row r="70">
          <cell r="Q70" t="str">
            <v/>
          </cell>
        </row>
        <row r="71">
          <cell r="Q71" t="str">
            <v/>
          </cell>
        </row>
        <row r="72">
          <cell r="Q72" t="str">
            <v/>
          </cell>
        </row>
        <row r="73">
          <cell r="Q73" t="str">
            <v/>
          </cell>
        </row>
        <row r="74">
          <cell r="Q74" t="str">
            <v/>
          </cell>
        </row>
        <row r="75">
          <cell r="Q75" t="str">
            <v/>
          </cell>
        </row>
        <row r="76">
          <cell r="Q76" t="str">
            <v/>
          </cell>
        </row>
        <row r="77">
          <cell r="Q77" t="str">
            <v/>
          </cell>
        </row>
        <row r="78">
          <cell r="Q78" t="str">
            <v/>
          </cell>
        </row>
        <row r="79">
          <cell r="Q79" t="str">
            <v/>
          </cell>
        </row>
        <row r="80">
          <cell r="Q80" t="str">
            <v/>
          </cell>
        </row>
        <row r="81">
          <cell r="Q81" t="str">
            <v/>
          </cell>
        </row>
        <row r="82">
          <cell r="Q82" t="str">
            <v/>
          </cell>
        </row>
        <row r="83">
          <cell r="Q83" t="str">
            <v/>
          </cell>
        </row>
        <row r="84">
          <cell r="Q84" t="str">
            <v/>
          </cell>
        </row>
        <row r="85">
          <cell r="Q85" t="str">
            <v/>
          </cell>
        </row>
        <row r="86">
          <cell r="Q86" t="str">
            <v/>
          </cell>
        </row>
        <row r="87">
          <cell r="Q87" t="str">
            <v/>
          </cell>
        </row>
        <row r="88">
          <cell r="Q88" t="str">
            <v/>
          </cell>
        </row>
        <row r="89">
          <cell r="Q89" t="str">
            <v/>
          </cell>
        </row>
        <row r="90">
          <cell r="Q90" t="str">
            <v/>
          </cell>
        </row>
        <row r="91">
          <cell r="Q91" t="str">
            <v/>
          </cell>
        </row>
        <row r="92">
          <cell r="Q92" t="str">
            <v/>
          </cell>
        </row>
        <row r="93">
          <cell r="Q93" t="str">
            <v/>
          </cell>
        </row>
        <row r="94">
          <cell r="Q94" t="str">
            <v/>
          </cell>
        </row>
        <row r="95">
          <cell r="Q95" t="str">
            <v/>
          </cell>
        </row>
        <row r="96">
          <cell r="Q96" t="str">
            <v/>
          </cell>
        </row>
        <row r="97">
          <cell r="Q97" t="str">
            <v/>
          </cell>
        </row>
        <row r="98">
          <cell r="Q98" t="str">
            <v/>
          </cell>
        </row>
        <row r="99">
          <cell r="Q99" t="str">
            <v/>
          </cell>
        </row>
        <row r="100">
          <cell r="Q100" t="str">
            <v/>
          </cell>
        </row>
        <row r="101">
          <cell r="Q101" t="str">
            <v/>
          </cell>
        </row>
        <row r="102">
          <cell r="Q102" t="str">
            <v/>
          </cell>
        </row>
        <row r="103">
          <cell r="Q103" t="str">
            <v/>
          </cell>
        </row>
        <row r="104">
          <cell r="Q104" t="str">
            <v/>
          </cell>
        </row>
        <row r="105">
          <cell r="Q105" t="str">
            <v/>
          </cell>
        </row>
        <row r="106">
          <cell r="Q106" t="str">
            <v/>
          </cell>
        </row>
        <row r="107">
          <cell r="Q107" t="str">
            <v/>
          </cell>
        </row>
        <row r="108">
          <cell r="Q108" t="str">
            <v/>
          </cell>
        </row>
        <row r="109">
          <cell r="Q109" t="str">
            <v/>
          </cell>
        </row>
        <row r="110">
          <cell r="Q110" t="str">
            <v/>
          </cell>
        </row>
        <row r="111">
          <cell r="Q111" t="str">
            <v/>
          </cell>
        </row>
        <row r="112">
          <cell r="Q112" t="str">
            <v/>
          </cell>
        </row>
        <row r="113">
          <cell r="Q113" t="str">
            <v/>
          </cell>
        </row>
        <row r="114">
          <cell r="Q114" t="str">
            <v/>
          </cell>
        </row>
        <row r="115">
          <cell r="Q115" t="str">
            <v/>
          </cell>
        </row>
        <row r="116">
          <cell r="Q116" t="str">
            <v/>
          </cell>
        </row>
        <row r="117">
          <cell r="Q117" t="str">
            <v/>
          </cell>
        </row>
        <row r="118">
          <cell r="Q118" t="str">
            <v/>
          </cell>
        </row>
        <row r="119">
          <cell r="Q119" t="str">
            <v/>
          </cell>
        </row>
        <row r="120">
          <cell r="Q120" t="str">
            <v/>
          </cell>
        </row>
        <row r="121">
          <cell r="Q121" t="str">
            <v/>
          </cell>
        </row>
        <row r="122">
          <cell r="Q122" t="str">
            <v/>
          </cell>
        </row>
        <row r="123">
          <cell r="Q123" t="str">
            <v/>
          </cell>
        </row>
        <row r="124">
          <cell r="Q124" t="str">
            <v/>
          </cell>
        </row>
        <row r="125">
          <cell r="Q125" t="str">
            <v/>
          </cell>
        </row>
        <row r="126">
          <cell r="Q126" t="str">
            <v/>
          </cell>
        </row>
        <row r="127">
          <cell r="Q127" t="str">
            <v/>
          </cell>
        </row>
        <row r="128">
          <cell r="Q128" t="str">
            <v/>
          </cell>
        </row>
        <row r="129">
          <cell r="Q129" t="str">
            <v/>
          </cell>
        </row>
        <row r="130">
          <cell r="Q130" t="str">
            <v/>
          </cell>
        </row>
        <row r="131">
          <cell r="Q131" t="str">
            <v/>
          </cell>
        </row>
        <row r="132">
          <cell r="Q132" t="str">
            <v/>
          </cell>
        </row>
        <row r="133">
          <cell r="Q133" t="str">
            <v/>
          </cell>
        </row>
        <row r="134">
          <cell r="Q134" t="str">
            <v/>
          </cell>
        </row>
        <row r="135">
          <cell r="Q135" t="str">
            <v/>
          </cell>
        </row>
        <row r="136">
          <cell r="Q136" t="str">
            <v/>
          </cell>
        </row>
        <row r="137">
          <cell r="Q137" t="str">
            <v/>
          </cell>
        </row>
        <row r="138">
          <cell r="Q138" t="str">
            <v/>
          </cell>
        </row>
        <row r="139">
          <cell r="Q139" t="str">
            <v/>
          </cell>
        </row>
        <row r="140">
          <cell r="Q140" t="str">
            <v/>
          </cell>
        </row>
        <row r="141">
          <cell r="Q141" t="str">
            <v/>
          </cell>
        </row>
        <row r="142">
          <cell r="Q142" t="str">
            <v/>
          </cell>
        </row>
        <row r="143">
          <cell r="Q143" t="str">
            <v/>
          </cell>
        </row>
        <row r="144">
          <cell r="Q144" t="str">
            <v/>
          </cell>
        </row>
        <row r="145">
          <cell r="Q145" t="str">
            <v/>
          </cell>
        </row>
        <row r="146">
          <cell r="Q146" t="str">
            <v/>
          </cell>
        </row>
        <row r="147">
          <cell r="Q147" t="str">
            <v/>
          </cell>
        </row>
        <row r="148">
          <cell r="Q148" t="str">
            <v/>
          </cell>
        </row>
        <row r="149">
          <cell r="Q149" t="str">
            <v/>
          </cell>
        </row>
        <row r="150">
          <cell r="Q150" t="str">
            <v/>
          </cell>
        </row>
        <row r="151">
          <cell r="Q151" t="str">
            <v/>
          </cell>
        </row>
        <row r="152">
          <cell r="Q152" t="str">
            <v/>
          </cell>
        </row>
        <row r="153">
          <cell r="Q153" t="str">
            <v/>
          </cell>
        </row>
        <row r="154">
          <cell r="Q154" t="str">
            <v/>
          </cell>
        </row>
        <row r="155">
          <cell r="Q155" t="str">
            <v/>
          </cell>
        </row>
        <row r="156">
          <cell r="Q156" t="str">
            <v/>
          </cell>
        </row>
        <row r="157">
          <cell r="Q157" t="str">
            <v/>
          </cell>
        </row>
        <row r="158">
          <cell r="Q158" t="str">
            <v/>
          </cell>
        </row>
        <row r="159">
          <cell r="Q159" t="str">
            <v/>
          </cell>
        </row>
        <row r="160">
          <cell r="Q160" t="str">
            <v/>
          </cell>
        </row>
        <row r="161">
          <cell r="Q161" t="str">
            <v/>
          </cell>
        </row>
        <row r="162">
          <cell r="Q162" t="str">
            <v/>
          </cell>
        </row>
        <row r="163">
          <cell r="Q163" t="str">
            <v/>
          </cell>
        </row>
        <row r="164">
          <cell r="Q164" t="str">
            <v/>
          </cell>
        </row>
        <row r="165">
          <cell r="Q165" t="str">
            <v/>
          </cell>
        </row>
        <row r="166">
          <cell r="Q166" t="str">
            <v/>
          </cell>
        </row>
        <row r="167">
          <cell r="Q167" t="str">
            <v/>
          </cell>
        </row>
        <row r="168">
          <cell r="Q168" t="str">
            <v/>
          </cell>
        </row>
        <row r="169">
          <cell r="Q169" t="str">
            <v/>
          </cell>
        </row>
        <row r="170">
          <cell r="Q170" t="str">
            <v/>
          </cell>
        </row>
        <row r="171">
          <cell r="Q171" t="str">
            <v/>
          </cell>
        </row>
        <row r="172">
          <cell r="Q172" t="str">
            <v/>
          </cell>
        </row>
        <row r="173">
          <cell r="Q173" t="str">
            <v/>
          </cell>
        </row>
        <row r="174">
          <cell r="Q174" t="str">
            <v/>
          </cell>
        </row>
        <row r="175">
          <cell r="Q175" t="str">
            <v/>
          </cell>
        </row>
        <row r="176">
          <cell r="Q176" t="str">
            <v/>
          </cell>
        </row>
        <row r="177">
          <cell r="Q177" t="str">
            <v/>
          </cell>
        </row>
        <row r="178">
          <cell r="Q178" t="str">
            <v/>
          </cell>
        </row>
        <row r="179">
          <cell r="Q179" t="str">
            <v/>
          </cell>
        </row>
        <row r="180">
          <cell r="Q180" t="str">
            <v/>
          </cell>
        </row>
        <row r="181">
          <cell r="Q181" t="str">
            <v/>
          </cell>
        </row>
        <row r="182">
          <cell r="Q182" t="str">
            <v/>
          </cell>
        </row>
        <row r="183">
          <cell r="Q183" t="str">
            <v/>
          </cell>
        </row>
        <row r="184">
          <cell r="Q184" t="str">
            <v/>
          </cell>
        </row>
        <row r="185">
          <cell r="Q185" t="str">
            <v/>
          </cell>
        </row>
        <row r="186">
          <cell r="Q186" t="str">
            <v/>
          </cell>
        </row>
        <row r="187">
          <cell r="Q187" t="str">
            <v/>
          </cell>
        </row>
        <row r="188">
          <cell r="Q188" t="str">
            <v/>
          </cell>
        </row>
        <row r="189">
          <cell r="Q189" t="str">
            <v/>
          </cell>
        </row>
        <row r="190">
          <cell r="Q190" t="str">
            <v/>
          </cell>
        </row>
        <row r="191">
          <cell r="Q191" t="str">
            <v/>
          </cell>
        </row>
        <row r="192">
          <cell r="Q192" t="str">
            <v/>
          </cell>
        </row>
        <row r="193">
          <cell r="Q193" t="str">
            <v/>
          </cell>
        </row>
        <row r="194">
          <cell r="Q194" t="str">
            <v/>
          </cell>
        </row>
        <row r="195">
          <cell r="Q195" t="str">
            <v/>
          </cell>
        </row>
        <row r="196">
          <cell r="Q196" t="str">
            <v/>
          </cell>
        </row>
        <row r="197">
          <cell r="Q197" t="str">
            <v/>
          </cell>
        </row>
        <row r="198">
          <cell r="Q198" t="str">
            <v/>
          </cell>
        </row>
        <row r="199">
          <cell r="Q199" t="str">
            <v/>
          </cell>
        </row>
        <row r="200">
          <cell r="Q200" t="str">
            <v/>
          </cell>
        </row>
        <row r="201">
          <cell r="Q201" t="str">
            <v/>
          </cell>
        </row>
        <row r="202">
          <cell r="Q202" t="str">
            <v/>
          </cell>
        </row>
        <row r="203">
          <cell r="Q203" t="str">
            <v/>
          </cell>
        </row>
        <row r="204">
          <cell r="Q204" t="str">
            <v/>
          </cell>
        </row>
        <row r="205">
          <cell r="Q205" t="str">
            <v/>
          </cell>
        </row>
        <row r="206">
          <cell r="Q206" t="str">
            <v/>
          </cell>
        </row>
        <row r="207">
          <cell r="Q207" t="str">
            <v/>
          </cell>
        </row>
        <row r="208">
          <cell r="Q208" t="str">
            <v/>
          </cell>
        </row>
        <row r="209">
          <cell r="Q209" t="str">
            <v/>
          </cell>
        </row>
        <row r="210">
          <cell r="Q210" t="str">
            <v/>
          </cell>
        </row>
        <row r="211">
          <cell r="Q211" t="str">
            <v/>
          </cell>
        </row>
        <row r="212">
          <cell r="Q212" t="str">
            <v/>
          </cell>
        </row>
        <row r="213">
          <cell r="Q213" t="str">
            <v/>
          </cell>
        </row>
        <row r="214">
          <cell r="Q214" t="str">
            <v/>
          </cell>
        </row>
        <row r="215">
          <cell r="Q215" t="str">
            <v/>
          </cell>
        </row>
        <row r="216">
          <cell r="Q216" t="str">
            <v/>
          </cell>
        </row>
        <row r="217">
          <cell r="Q217" t="str">
            <v/>
          </cell>
        </row>
        <row r="218">
          <cell r="Q218" t="str">
            <v/>
          </cell>
        </row>
        <row r="219">
          <cell r="Q219" t="str">
            <v/>
          </cell>
        </row>
        <row r="220">
          <cell r="Q220" t="str">
            <v/>
          </cell>
        </row>
        <row r="221">
          <cell r="Q221" t="str">
            <v/>
          </cell>
        </row>
        <row r="222">
          <cell r="Q222" t="str">
            <v/>
          </cell>
        </row>
        <row r="223">
          <cell r="Q223" t="str">
            <v/>
          </cell>
        </row>
        <row r="224">
          <cell r="Q224" t="str">
            <v/>
          </cell>
        </row>
        <row r="225">
          <cell r="Q225" t="str">
            <v/>
          </cell>
        </row>
        <row r="226">
          <cell r="Q226" t="str">
            <v/>
          </cell>
        </row>
        <row r="227">
          <cell r="Q227" t="str">
            <v/>
          </cell>
        </row>
        <row r="228">
          <cell r="Q228" t="str">
            <v/>
          </cell>
        </row>
        <row r="229">
          <cell r="Q229" t="str">
            <v/>
          </cell>
        </row>
        <row r="230">
          <cell r="Q230" t="str">
            <v/>
          </cell>
        </row>
        <row r="231">
          <cell r="Q231" t="str">
            <v/>
          </cell>
        </row>
        <row r="232">
          <cell r="Q232" t="str">
            <v/>
          </cell>
        </row>
        <row r="233">
          <cell r="Q233" t="str">
            <v/>
          </cell>
        </row>
        <row r="234">
          <cell r="Q234" t="str">
            <v/>
          </cell>
        </row>
        <row r="235">
          <cell r="Q235" t="str">
            <v/>
          </cell>
        </row>
        <row r="236">
          <cell r="Q236" t="str">
            <v/>
          </cell>
        </row>
        <row r="237">
          <cell r="Q237" t="str">
            <v/>
          </cell>
        </row>
        <row r="238">
          <cell r="Q238" t="str">
            <v/>
          </cell>
        </row>
        <row r="239">
          <cell r="Q239" t="str">
            <v/>
          </cell>
        </row>
        <row r="240">
          <cell r="Q240" t="str">
            <v/>
          </cell>
        </row>
        <row r="241">
          <cell r="Q241" t="str">
            <v/>
          </cell>
        </row>
        <row r="242">
          <cell r="Q242" t="str">
            <v/>
          </cell>
        </row>
        <row r="243">
          <cell r="Q243" t="str">
            <v/>
          </cell>
        </row>
        <row r="244">
          <cell r="Q244" t="str">
            <v/>
          </cell>
        </row>
        <row r="245">
          <cell r="Q245" t="str">
            <v/>
          </cell>
        </row>
        <row r="246">
          <cell r="Q246" t="str">
            <v/>
          </cell>
        </row>
        <row r="247">
          <cell r="Q247" t="str">
            <v/>
          </cell>
        </row>
        <row r="248">
          <cell r="Q248" t="str">
            <v/>
          </cell>
        </row>
        <row r="249">
          <cell r="Q249" t="str">
            <v/>
          </cell>
        </row>
        <row r="250">
          <cell r="Q250" t="str">
            <v/>
          </cell>
        </row>
        <row r="251">
          <cell r="Q251" t="str">
            <v/>
          </cell>
        </row>
        <row r="252">
          <cell r="Q252" t="str">
            <v/>
          </cell>
        </row>
        <row r="253">
          <cell r="Q253" t="str">
            <v/>
          </cell>
        </row>
        <row r="254">
          <cell r="Q254" t="str">
            <v/>
          </cell>
        </row>
        <row r="255">
          <cell r="Q255" t="str">
            <v/>
          </cell>
        </row>
        <row r="256">
          <cell r="Q256" t="str">
            <v/>
          </cell>
        </row>
        <row r="257">
          <cell r="Q257" t="str">
            <v/>
          </cell>
        </row>
        <row r="258">
          <cell r="Q258" t="str">
            <v/>
          </cell>
        </row>
        <row r="259">
          <cell r="Q259" t="str">
            <v/>
          </cell>
        </row>
        <row r="260">
          <cell r="Q260" t="str">
            <v/>
          </cell>
        </row>
        <row r="261">
          <cell r="Q261" t="str">
            <v/>
          </cell>
        </row>
        <row r="262">
          <cell r="Q262" t="str">
            <v/>
          </cell>
        </row>
        <row r="263">
          <cell r="Q263" t="str">
            <v/>
          </cell>
        </row>
        <row r="264">
          <cell r="Q264" t="str">
            <v/>
          </cell>
        </row>
        <row r="265">
          <cell r="Q265" t="str">
            <v/>
          </cell>
        </row>
        <row r="266">
          <cell r="Q266" t="str">
            <v/>
          </cell>
        </row>
        <row r="267">
          <cell r="Q267" t="str">
            <v/>
          </cell>
        </row>
        <row r="268">
          <cell r="Q268" t="str">
            <v/>
          </cell>
        </row>
        <row r="269">
          <cell r="Q269" t="str">
            <v/>
          </cell>
        </row>
        <row r="270">
          <cell r="Q270" t="str">
            <v/>
          </cell>
        </row>
        <row r="271">
          <cell r="Q271" t="str">
            <v/>
          </cell>
        </row>
        <row r="272">
          <cell r="Q272" t="str">
            <v/>
          </cell>
        </row>
        <row r="273">
          <cell r="Q273" t="str">
            <v/>
          </cell>
        </row>
        <row r="274">
          <cell r="Q274" t="str">
            <v/>
          </cell>
        </row>
        <row r="275">
          <cell r="Q275" t="str">
            <v/>
          </cell>
        </row>
        <row r="276">
          <cell r="Q276" t="str">
            <v/>
          </cell>
        </row>
        <row r="277">
          <cell r="Q277" t="str">
            <v/>
          </cell>
        </row>
        <row r="278">
          <cell r="Q278" t="str">
            <v/>
          </cell>
        </row>
        <row r="279">
          <cell r="Q279" t="str">
            <v/>
          </cell>
        </row>
        <row r="280">
          <cell r="Q280" t="str">
            <v/>
          </cell>
        </row>
        <row r="281">
          <cell r="Q281" t="str">
            <v/>
          </cell>
        </row>
        <row r="282">
          <cell r="Q282" t="str">
            <v/>
          </cell>
        </row>
        <row r="283">
          <cell r="Q283" t="str">
            <v/>
          </cell>
        </row>
        <row r="284">
          <cell r="Q284" t="str">
            <v/>
          </cell>
        </row>
        <row r="285">
          <cell r="Q285" t="str">
            <v/>
          </cell>
        </row>
        <row r="286">
          <cell r="Q286" t="str">
            <v/>
          </cell>
        </row>
        <row r="287">
          <cell r="Q287" t="str">
            <v/>
          </cell>
        </row>
        <row r="288">
          <cell r="Q288" t="str">
            <v/>
          </cell>
        </row>
        <row r="289">
          <cell r="Q289" t="str">
            <v/>
          </cell>
        </row>
        <row r="290">
          <cell r="Q290" t="str">
            <v/>
          </cell>
        </row>
        <row r="291">
          <cell r="Q291" t="str">
            <v/>
          </cell>
        </row>
        <row r="292">
          <cell r="Q292" t="str">
            <v/>
          </cell>
        </row>
        <row r="293">
          <cell r="Q293" t="str">
            <v/>
          </cell>
        </row>
        <row r="294">
          <cell r="Q294" t="str">
            <v/>
          </cell>
        </row>
        <row r="295">
          <cell r="Q295" t="str">
            <v/>
          </cell>
        </row>
        <row r="296">
          <cell r="Q296" t="str">
            <v/>
          </cell>
        </row>
        <row r="297">
          <cell r="Q297" t="str">
            <v/>
          </cell>
        </row>
        <row r="298">
          <cell r="Q298" t="str">
            <v/>
          </cell>
        </row>
        <row r="299">
          <cell r="Q299" t="str">
            <v/>
          </cell>
        </row>
        <row r="300">
          <cell r="Q300" t="str">
            <v/>
          </cell>
        </row>
        <row r="301">
          <cell r="Q301" t="str">
            <v/>
          </cell>
        </row>
        <row r="302">
          <cell r="Q302" t="str">
            <v/>
          </cell>
        </row>
        <row r="303">
          <cell r="Q303" t="str">
            <v/>
          </cell>
        </row>
        <row r="304">
          <cell r="Q304" t="str">
            <v/>
          </cell>
        </row>
        <row r="305">
          <cell r="Q305" t="str">
            <v/>
          </cell>
        </row>
        <row r="306">
          <cell r="Q306" t="str">
            <v/>
          </cell>
        </row>
        <row r="307">
          <cell r="Q307" t="str">
            <v/>
          </cell>
        </row>
        <row r="308">
          <cell r="Q308" t="str">
            <v/>
          </cell>
        </row>
        <row r="309">
          <cell r="Q309" t="str">
            <v/>
          </cell>
        </row>
        <row r="310">
          <cell r="Q310" t="str">
            <v/>
          </cell>
        </row>
        <row r="311">
          <cell r="Q311" t="str">
            <v/>
          </cell>
        </row>
        <row r="312">
          <cell r="Q312" t="str">
            <v/>
          </cell>
        </row>
        <row r="313">
          <cell r="Q313" t="str">
            <v/>
          </cell>
        </row>
        <row r="314">
          <cell r="Q314" t="str">
            <v/>
          </cell>
        </row>
        <row r="315">
          <cell r="Q315" t="str">
            <v/>
          </cell>
        </row>
        <row r="316">
          <cell r="Q316" t="str">
            <v/>
          </cell>
        </row>
        <row r="317">
          <cell r="Q317" t="str">
            <v/>
          </cell>
        </row>
        <row r="318">
          <cell r="Q318" t="str">
            <v/>
          </cell>
        </row>
        <row r="319">
          <cell r="Q319" t="str">
            <v/>
          </cell>
        </row>
        <row r="320">
          <cell r="Q320" t="str">
            <v/>
          </cell>
        </row>
        <row r="321">
          <cell r="Q321" t="str">
            <v/>
          </cell>
        </row>
        <row r="322">
          <cell r="Q322" t="str">
            <v/>
          </cell>
        </row>
        <row r="323">
          <cell r="Q323" t="str">
            <v/>
          </cell>
        </row>
        <row r="324">
          <cell r="Q324" t="str">
            <v/>
          </cell>
        </row>
        <row r="325">
          <cell r="Q325" t="str">
            <v/>
          </cell>
        </row>
        <row r="326">
          <cell r="Q326" t="str">
            <v/>
          </cell>
        </row>
        <row r="327">
          <cell r="Q327" t="str">
            <v/>
          </cell>
        </row>
        <row r="328">
          <cell r="Q328" t="str">
            <v/>
          </cell>
        </row>
        <row r="329">
          <cell r="Q329" t="str">
            <v/>
          </cell>
        </row>
        <row r="330">
          <cell r="Q330" t="str">
            <v/>
          </cell>
        </row>
        <row r="331">
          <cell r="Q331" t="str">
            <v/>
          </cell>
        </row>
        <row r="332">
          <cell r="Q332" t="str">
            <v/>
          </cell>
        </row>
        <row r="333">
          <cell r="Q333" t="str">
            <v/>
          </cell>
        </row>
        <row r="334">
          <cell r="Q334" t="str">
            <v/>
          </cell>
        </row>
        <row r="335">
          <cell r="Q335" t="str">
            <v/>
          </cell>
        </row>
        <row r="336">
          <cell r="Q336" t="str">
            <v/>
          </cell>
        </row>
        <row r="337">
          <cell r="Q337" t="str">
            <v/>
          </cell>
        </row>
        <row r="338">
          <cell r="Q338" t="str">
            <v/>
          </cell>
        </row>
        <row r="339">
          <cell r="Q339" t="str">
            <v/>
          </cell>
        </row>
        <row r="340">
          <cell r="Q340" t="str">
            <v/>
          </cell>
        </row>
        <row r="341">
          <cell r="Q341" t="str">
            <v/>
          </cell>
        </row>
        <row r="342">
          <cell r="Q342" t="str">
            <v/>
          </cell>
        </row>
        <row r="343">
          <cell r="Q343" t="str">
            <v/>
          </cell>
        </row>
        <row r="344">
          <cell r="Q344" t="str">
            <v/>
          </cell>
        </row>
        <row r="345">
          <cell r="Q345" t="str">
            <v/>
          </cell>
        </row>
        <row r="346">
          <cell r="Q346" t="str">
            <v/>
          </cell>
        </row>
        <row r="347">
          <cell r="Q347" t="str">
            <v/>
          </cell>
        </row>
        <row r="348">
          <cell r="Q348" t="str">
            <v/>
          </cell>
        </row>
        <row r="349">
          <cell r="Q349" t="str">
            <v/>
          </cell>
        </row>
        <row r="350">
          <cell r="Q350" t="str">
            <v/>
          </cell>
        </row>
        <row r="351">
          <cell r="Q351" t="str">
            <v/>
          </cell>
        </row>
        <row r="352">
          <cell r="Q352" t="str">
            <v/>
          </cell>
        </row>
        <row r="353">
          <cell r="Q353" t="str">
            <v/>
          </cell>
        </row>
        <row r="354">
          <cell r="Q354" t="str">
            <v/>
          </cell>
        </row>
        <row r="355">
          <cell r="Q355" t="str">
            <v/>
          </cell>
        </row>
        <row r="356">
          <cell r="Q356" t="str">
            <v/>
          </cell>
        </row>
        <row r="357">
          <cell r="Q357" t="str">
            <v/>
          </cell>
        </row>
        <row r="358">
          <cell r="Q358" t="str">
            <v/>
          </cell>
        </row>
        <row r="359">
          <cell r="Q359" t="str">
            <v/>
          </cell>
        </row>
        <row r="360">
          <cell r="Q360" t="str">
            <v/>
          </cell>
        </row>
        <row r="361">
          <cell r="Q361" t="str">
            <v/>
          </cell>
        </row>
        <row r="362">
          <cell r="Q362" t="str">
            <v/>
          </cell>
        </row>
        <row r="363">
          <cell r="Q363" t="str">
            <v/>
          </cell>
        </row>
        <row r="364">
          <cell r="Q364" t="str">
            <v/>
          </cell>
        </row>
        <row r="365">
          <cell r="Q365" t="str">
            <v/>
          </cell>
        </row>
        <row r="366">
          <cell r="Q366" t="str">
            <v/>
          </cell>
        </row>
        <row r="367">
          <cell r="Q367" t="str">
            <v/>
          </cell>
        </row>
        <row r="368">
          <cell r="Q368" t="str">
            <v/>
          </cell>
        </row>
        <row r="369">
          <cell r="Q369" t="str">
            <v/>
          </cell>
        </row>
        <row r="370">
          <cell r="Q370" t="str">
            <v/>
          </cell>
        </row>
        <row r="371">
          <cell r="Q371" t="str">
            <v/>
          </cell>
        </row>
        <row r="372">
          <cell r="Q372" t="str">
            <v/>
          </cell>
        </row>
        <row r="373">
          <cell r="Q373" t="str">
            <v/>
          </cell>
        </row>
        <row r="374">
          <cell r="Q374" t="str">
            <v/>
          </cell>
        </row>
        <row r="375">
          <cell r="Q375" t="str">
            <v/>
          </cell>
        </row>
        <row r="376">
          <cell r="Q376" t="str">
            <v/>
          </cell>
        </row>
        <row r="377">
          <cell r="Q377" t="str">
            <v/>
          </cell>
        </row>
        <row r="378">
          <cell r="Q378" t="str">
            <v/>
          </cell>
        </row>
        <row r="379">
          <cell r="Q379" t="str">
            <v/>
          </cell>
        </row>
        <row r="380">
          <cell r="Q380" t="str">
            <v/>
          </cell>
        </row>
        <row r="381">
          <cell r="Q381" t="str">
            <v/>
          </cell>
        </row>
        <row r="382">
          <cell r="Q382" t="str">
            <v/>
          </cell>
        </row>
        <row r="383">
          <cell r="Q383" t="str">
            <v/>
          </cell>
        </row>
        <row r="384">
          <cell r="Q384" t="str">
            <v/>
          </cell>
        </row>
        <row r="385">
          <cell r="Q385" t="str">
            <v/>
          </cell>
        </row>
        <row r="386">
          <cell r="Q386" t="str">
            <v/>
          </cell>
        </row>
        <row r="387">
          <cell r="Q387" t="str">
            <v/>
          </cell>
        </row>
        <row r="388">
          <cell r="Q388" t="str">
            <v/>
          </cell>
        </row>
        <row r="389">
          <cell r="Q389" t="str">
            <v/>
          </cell>
        </row>
        <row r="390">
          <cell r="Q390" t="str">
            <v/>
          </cell>
        </row>
        <row r="391">
          <cell r="Q391" t="str">
            <v/>
          </cell>
        </row>
        <row r="392">
          <cell r="Q392" t="str">
            <v/>
          </cell>
        </row>
        <row r="393">
          <cell r="Q393" t="str">
            <v/>
          </cell>
        </row>
        <row r="394">
          <cell r="Q394" t="str">
            <v/>
          </cell>
        </row>
        <row r="395">
          <cell r="Q395" t="str">
            <v/>
          </cell>
        </row>
        <row r="396">
          <cell r="Q396" t="str">
            <v/>
          </cell>
        </row>
        <row r="397">
          <cell r="Q397" t="str">
            <v/>
          </cell>
        </row>
        <row r="398">
          <cell r="Q398" t="str">
            <v/>
          </cell>
        </row>
        <row r="399">
          <cell r="Q399" t="str">
            <v/>
          </cell>
        </row>
        <row r="400">
          <cell r="Q400" t="str">
            <v/>
          </cell>
        </row>
        <row r="401">
          <cell r="Q401" t="str">
            <v/>
          </cell>
        </row>
        <row r="402">
          <cell r="Q402" t="str">
            <v/>
          </cell>
        </row>
        <row r="403">
          <cell r="Q403" t="str">
            <v/>
          </cell>
        </row>
        <row r="404">
          <cell r="Q404" t="str">
            <v/>
          </cell>
        </row>
        <row r="405">
          <cell r="Q405" t="str">
            <v/>
          </cell>
        </row>
        <row r="406">
          <cell r="Q406" t="str">
            <v/>
          </cell>
        </row>
        <row r="407">
          <cell r="Q407" t="str">
            <v/>
          </cell>
        </row>
        <row r="408">
          <cell r="Q408" t="str">
            <v/>
          </cell>
        </row>
        <row r="409">
          <cell r="Q409" t="str">
            <v/>
          </cell>
        </row>
        <row r="410">
          <cell r="Q410" t="str">
            <v/>
          </cell>
        </row>
        <row r="411">
          <cell r="Q411" t="str">
            <v/>
          </cell>
        </row>
        <row r="412">
          <cell r="Q412" t="str">
            <v/>
          </cell>
        </row>
        <row r="413">
          <cell r="Q413" t="str">
            <v/>
          </cell>
        </row>
        <row r="414">
          <cell r="Q414" t="str">
            <v/>
          </cell>
        </row>
        <row r="415">
          <cell r="Q415" t="str">
            <v/>
          </cell>
        </row>
        <row r="416">
          <cell r="Q416" t="str">
            <v/>
          </cell>
        </row>
        <row r="417">
          <cell r="Q417" t="str">
            <v/>
          </cell>
        </row>
        <row r="418">
          <cell r="Q418" t="str">
            <v/>
          </cell>
        </row>
        <row r="419">
          <cell r="Q419" t="str">
            <v/>
          </cell>
        </row>
        <row r="420">
          <cell r="Q420" t="str">
            <v/>
          </cell>
        </row>
        <row r="421">
          <cell r="Q421" t="str">
            <v/>
          </cell>
        </row>
        <row r="422">
          <cell r="Q422" t="str">
            <v/>
          </cell>
        </row>
        <row r="423">
          <cell r="Q423" t="str">
            <v/>
          </cell>
        </row>
        <row r="424">
          <cell r="Q424" t="str">
            <v/>
          </cell>
        </row>
        <row r="425">
          <cell r="Q425" t="str">
            <v/>
          </cell>
        </row>
        <row r="426">
          <cell r="Q426" t="str">
            <v/>
          </cell>
        </row>
        <row r="427">
          <cell r="Q427" t="str">
            <v/>
          </cell>
        </row>
        <row r="428">
          <cell r="Q428" t="str">
            <v/>
          </cell>
        </row>
        <row r="429">
          <cell r="Q429" t="str">
            <v/>
          </cell>
        </row>
        <row r="430">
          <cell r="Q430" t="str">
            <v/>
          </cell>
        </row>
        <row r="431">
          <cell r="Q431" t="str">
            <v/>
          </cell>
        </row>
        <row r="432">
          <cell r="Q432" t="str">
            <v/>
          </cell>
        </row>
        <row r="433">
          <cell r="Q433" t="str">
            <v/>
          </cell>
        </row>
        <row r="434">
          <cell r="Q434" t="str">
            <v/>
          </cell>
        </row>
        <row r="435">
          <cell r="Q435" t="str">
            <v/>
          </cell>
        </row>
        <row r="436">
          <cell r="Q436" t="str">
            <v/>
          </cell>
        </row>
        <row r="437">
          <cell r="Q437" t="str">
            <v/>
          </cell>
        </row>
        <row r="438">
          <cell r="Q438" t="str">
            <v/>
          </cell>
        </row>
        <row r="439">
          <cell r="Q439" t="str">
            <v/>
          </cell>
        </row>
        <row r="440">
          <cell r="Q440" t="str">
            <v/>
          </cell>
        </row>
        <row r="441">
          <cell r="Q441" t="str">
            <v/>
          </cell>
        </row>
        <row r="442">
          <cell r="Q442" t="str">
            <v/>
          </cell>
        </row>
        <row r="443">
          <cell r="Q443" t="str">
            <v/>
          </cell>
        </row>
        <row r="444">
          <cell r="Q444" t="str">
            <v/>
          </cell>
        </row>
        <row r="445">
          <cell r="Q445" t="str">
            <v/>
          </cell>
        </row>
        <row r="446">
          <cell r="Q446" t="str">
            <v/>
          </cell>
        </row>
        <row r="447">
          <cell r="Q447" t="str">
            <v/>
          </cell>
        </row>
        <row r="448">
          <cell r="Q448" t="str">
            <v/>
          </cell>
        </row>
        <row r="449">
          <cell r="Q449" t="str">
            <v/>
          </cell>
        </row>
        <row r="450">
          <cell r="Q450" t="str">
            <v/>
          </cell>
        </row>
        <row r="451">
          <cell r="Q451" t="str">
            <v/>
          </cell>
        </row>
        <row r="452">
          <cell r="Q452" t="str">
            <v/>
          </cell>
        </row>
        <row r="453">
          <cell r="Q453" t="str">
            <v/>
          </cell>
        </row>
        <row r="454">
          <cell r="Q454" t="str">
            <v/>
          </cell>
        </row>
        <row r="455">
          <cell r="Q455" t="str">
            <v/>
          </cell>
        </row>
        <row r="456">
          <cell r="Q456" t="str">
            <v/>
          </cell>
        </row>
        <row r="457">
          <cell r="Q457" t="str">
            <v/>
          </cell>
        </row>
        <row r="458">
          <cell r="Q458" t="str">
            <v/>
          </cell>
        </row>
        <row r="459">
          <cell r="Q459" t="str">
            <v/>
          </cell>
        </row>
        <row r="460">
          <cell r="Q460" t="str">
            <v/>
          </cell>
        </row>
        <row r="461">
          <cell r="Q461" t="str">
            <v/>
          </cell>
        </row>
        <row r="462">
          <cell r="Q462" t="str">
            <v/>
          </cell>
        </row>
        <row r="463">
          <cell r="Q463" t="str">
            <v/>
          </cell>
        </row>
        <row r="464">
          <cell r="Q464" t="str">
            <v/>
          </cell>
        </row>
        <row r="465">
          <cell r="Q465" t="str">
            <v/>
          </cell>
        </row>
        <row r="466">
          <cell r="Q466" t="str">
            <v/>
          </cell>
        </row>
        <row r="467">
          <cell r="Q467" t="str">
            <v/>
          </cell>
        </row>
        <row r="468">
          <cell r="Q468" t="str">
            <v/>
          </cell>
        </row>
        <row r="469">
          <cell r="Q469" t="str">
            <v/>
          </cell>
        </row>
        <row r="470">
          <cell r="Q470" t="str">
            <v/>
          </cell>
        </row>
        <row r="471">
          <cell r="Q471" t="str">
            <v/>
          </cell>
        </row>
        <row r="472">
          <cell r="Q472" t="str">
            <v/>
          </cell>
        </row>
        <row r="473">
          <cell r="Q473" t="str">
            <v/>
          </cell>
        </row>
        <row r="474">
          <cell r="Q474" t="str">
            <v/>
          </cell>
        </row>
        <row r="475">
          <cell r="Q475" t="str">
            <v/>
          </cell>
        </row>
        <row r="476">
          <cell r="Q476" t="str">
            <v/>
          </cell>
        </row>
        <row r="477">
          <cell r="Q477" t="str">
            <v/>
          </cell>
        </row>
        <row r="478">
          <cell r="Q478" t="str">
            <v/>
          </cell>
        </row>
        <row r="479">
          <cell r="Q479" t="str">
            <v/>
          </cell>
        </row>
        <row r="480">
          <cell r="Q480" t="str">
            <v/>
          </cell>
        </row>
        <row r="481">
          <cell r="Q481" t="str">
            <v/>
          </cell>
        </row>
        <row r="482">
          <cell r="Q482" t="str">
            <v/>
          </cell>
        </row>
        <row r="483">
          <cell r="Q483" t="str">
            <v/>
          </cell>
        </row>
        <row r="484">
          <cell r="Q484" t="str">
            <v/>
          </cell>
        </row>
        <row r="485">
          <cell r="Q485" t="str">
            <v/>
          </cell>
        </row>
        <row r="486">
          <cell r="Q486" t="str">
            <v/>
          </cell>
        </row>
        <row r="487">
          <cell r="Q487" t="str">
            <v/>
          </cell>
        </row>
        <row r="488">
          <cell r="Q488" t="str">
            <v/>
          </cell>
        </row>
        <row r="489">
          <cell r="Q489" t="str">
            <v/>
          </cell>
        </row>
        <row r="490">
          <cell r="Q490" t="str">
            <v/>
          </cell>
        </row>
        <row r="491">
          <cell r="Q491" t="str">
            <v/>
          </cell>
        </row>
        <row r="492">
          <cell r="Q492" t="str">
            <v/>
          </cell>
        </row>
        <row r="493">
          <cell r="Q493" t="str">
            <v/>
          </cell>
        </row>
        <row r="494">
          <cell r="Q494" t="str">
            <v/>
          </cell>
        </row>
        <row r="495">
          <cell r="Q495" t="str">
            <v/>
          </cell>
        </row>
        <row r="496">
          <cell r="Q496" t="str">
            <v/>
          </cell>
        </row>
        <row r="497">
          <cell r="Q497" t="str">
            <v/>
          </cell>
        </row>
        <row r="498">
          <cell r="Q498" t="str">
            <v/>
          </cell>
        </row>
        <row r="499">
          <cell r="Q499" t="str">
            <v/>
          </cell>
        </row>
        <row r="500">
          <cell r="Q500" t="str">
            <v/>
          </cell>
        </row>
        <row r="501">
          <cell r="Q501" t="str">
            <v/>
          </cell>
        </row>
        <row r="502">
          <cell r="Q502" t="str">
            <v/>
          </cell>
        </row>
        <row r="503">
          <cell r="Q503" t="str">
            <v/>
          </cell>
        </row>
        <row r="504">
          <cell r="Q504" t="str">
            <v/>
          </cell>
        </row>
        <row r="505">
          <cell r="Q505" t="str">
            <v/>
          </cell>
        </row>
        <row r="506">
          <cell r="Q506" t="str">
            <v/>
          </cell>
        </row>
        <row r="507">
          <cell r="Q507" t="str">
            <v/>
          </cell>
        </row>
        <row r="508">
          <cell r="Q508" t="str">
            <v/>
          </cell>
        </row>
        <row r="509">
          <cell r="Q509" t="str">
            <v/>
          </cell>
        </row>
        <row r="510">
          <cell r="Q510" t="str">
            <v/>
          </cell>
        </row>
        <row r="511">
          <cell r="Q511" t="str">
            <v/>
          </cell>
        </row>
        <row r="512">
          <cell r="Q512" t="str">
            <v/>
          </cell>
        </row>
        <row r="513">
          <cell r="Q513" t="str">
            <v/>
          </cell>
        </row>
        <row r="514">
          <cell r="Q514" t="str">
            <v/>
          </cell>
        </row>
        <row r="515">
          <cell r="Q515" t="str">
            <v/>
          </cell>
        </row>
        <row r="516">
          <cell r="Q516" t="str">
            <v/>
          </cell>
        </row>
        <row r="517">
          <cell r="Q517" t="str">
            <v/>
          </cell>
        </row>
        <row r="518">
          <cell r="Q518" t="str">
            <v/>
          </cell>
        </row>
        <row r="519">
          <cell r="Q519" t="str">
            <v/>
          </cell>
        </row>
        <row r="520">
          <cell r="Q520" t="str">
            <v/>
          </cell>
        </row>
        <row r="521">
          <cell r="Q521" t="str">
            <v/>
          </cell>
        </row>
        <row r="522">
          <cell r="Q522" t="str">
            <v/>
          </cell>
        </row>
        <row r="523">
          <cell r="Q523" t="str">
            <v/>
          </cell>
        </row>
        <row r="524">
          <cell r="Q524" t="str">
            <v/>
          </cell>
        </row>
        <row r="525">
          <cell r="Q525" t="str">
            <v/>
          </cell>
        </row>
        <row r="526">
          <cell r="Q526" t="str">
            <v/>
          </cell>
        </row>
        <row r="527">
          <cell r="Q527" t="str">
            <v/>
          </cell>
        </row>
        <row r="528">
          <cell r="Q528" t="str">
            <v/>
          </cell>
        </row>
        <row r="529">
          <cell r="Q529" t="str">
            <v/>
          </cell>
        </row>
        <row r="530">
          <cell r="Q530" t="str">
            <v/>
          </cell>
        </row>
        <row r="531">
          <cell r="Q531" t="str">
            <v/>
          </cell>
        </row>
        <row r="532">
          <cell r="Q532" t="str">
            <v/>
          </cell>
        </row>
        <row r="533">
          <cell r="Q533" t="str">
            <v/>
          </cell>
        </row>
        <row r="534">
          <cell r="Q534" t="str">
            <v/>
          </cell>
        </row>
        <row r="535">
          <cell r="Q535" t="str">
            <v/>
          </cell>
        </row>
        <row r="536">
          <cell r="Q536" t="str">
            <v/>
          </cell>
        </row>
        <row r="537">
          <cell r="Q537" t="str">
            <v/>
          </cell>
        </row>
        <row r="538">
          <cell r="Q538" t="str">
            <v/>
          </cell>
        </row>
        <row r="539">
          <cell r="Q539" t="str">
            <v/>
          </cell>
        </row>
        <row r="540">
          <cell r="Q540" t="str">
            <v/>
          </cell>
        </row>
        <row r="541">
          <cell r="Q541" t="str">
            <v/>
          </cell>
        </row>
        <row r="542">
          <cell r="Q542" t="str">
            <v/>
          </cell>
        </row>
        <row r="543">
          <cell r="Q543" t="str">
            <v/>
          </cell>
        </row>
        <row r="544">
          <cell r="Q544" t="str">
            <v/>
          </cell>
        </row>
        <row r="545">
          <cell r="Q545" t="str">
            <v/>
          </cell>
        </row>
        <row r="546">
          <cell r="Q546" t="str">
            <v/>
          </cell>
        </row>
        <row r="547">
          <cell r="Q547" t="str">
            <v/>
          </cell>
        </row>
        <row r="548">
          <cell r="Q548" t="str">
            <v/>
          </cell>
        </row>
        <row r="549">
          <cell r="Q549" t="str">
            <v/>
          </cell>
        </row>
        <row r="550">
          <cell r="Q550" t="str">
            <v/>
          </cell>
        </row>
        <row r="551">
          <cell r="Q551" t="str">
            <v/>
          </cell>
        </row>
        <row r="552">
          <cell r="Q552" t="str">
            <v/>
          </cell>
        </row>
        <row r="553">
          <cell r="Q553" t="str">
            <v/>
          </cell>
        </row>
        <row r="554">
          <cell r="Q554" t="str">
            <v/>
          </cell>
        </row>
        <row r="555">
          <cell r="Q555" t="str">
            <v/>
          </cell>
        </row>
        <row r="556">
          <cell r="Q556" t="str">
            <v/>
          </cell>
        </row>
        <row r="557">
          <cell r="Q557" t="str">
            <v/>
          </cell>
        </row>
        <row r="558">
          <cell r="Q558" t="str">
            <v/>
          </cell>
        </row>
        <row r="559">
          <cell r="Q559" t="str">
            <v/>
          </cell>
        </row>
        <row r="560">
          <cell r="Q560" t="str">
            <v/>
          </cell>
        </row>
        <row r="561">
          <cell r="Q561" t="str">
            <v/>
          </cell>
        </row>
        <row r="562">
          <cell r="Q562" t="str">
            <v/>
          </cell>
        </row>
        <row r="563">
          <cell r="Q563" t="str">
            <v/>
          </cell>
        </row>
        <row r="564">
          <cell r="Q564" t="str">
            <v/>
          </cell>
        </row>
        <row r="565">
          <cell r="Q565" t="str">
            <v/>
          </cell>
        </row>
        <row r="566">
          <cell r="Q566" t="str">
            <v/>
          </cell>
        </row>
        <row r="567">
          <cell r="Q567" t="str">
            <v/>
          </cell>
        </row>
        <row r="568">
          <cell r="Q568" t="str">
            <v/>
          </cell>
        </row>
        <row r="569">
          <cell r="Q569" t="str">
            <v/>
          </cell>
        </row>
        <row r="570">
          <cell r="Q570" t="str">
            <v/>
          </cell>
        </row>
        <row r="571">
          <cell r="Q571" t="str">
            <v/>
          </cell>
        </row>
        <row r="572">
          <cell r="Q572" t="str">
            <v/>
          </cell>
        </row>
        <row r="573">
          <cell r="Q573" t="str">
            <v/>
          </cell>
        </row>
        <row r="574">
          <cell r="Q574" t="str">
            <v/>
          </cell>
        </row>
        <row r="575">
          <cell r="Q575" t="str">
            <v/>
          </cell>
        </row>
        <row r="576">
          <cell r="Q576" t="str">
            <v/>
          </cell>
        </row>
        <row r="577">
          <cell r="Q577" t="str">
            <v/>
          </cell>
        </row>
        <row r="578">
          <cell r="Q578" t="str">
            <v/>
          </cell>
        </row>
        <row r="579">
          <cell r="Q579" t="str">
            <v/>
          </cell>
        </row>
        <row r="580">
          <cell r="Q580" t="str">
            <v/>
          </cell>
        </row>
        <row r="581">
          <cell r="Q581" t="str">
            <v/>
          </cell>
        </row>
        <row r="582">
          <cell r="Q582" t="str">
            <v/>
          </cell>
        </row>
        <row r="583">
          <cell r="Q583" t="str">
            <v/>
          </cell>
        </row>
        <row r="584">
          <cell r="Q584" t="str">
            <v/>
          </cell>
        </row>
        <row r="585">
          <cell r="Q585" t="str">
            <v/>
          </cell>
        </row>
        <row r="586">
          <cell r="Q586" t="str">
            <v/>
          </cell>
        </row>
        <row r="587">
          <cell r="Q587" t="str">
            <v/>
          </cell>
        </row>
        <row r="588">
          <cell r="Q588" t="str">
            <v/>
          </cell>
        </row>
        <row r="589">
          <cell r="Q589" t="str">
            <v/>
          </cell>
        </row>
        <row r="590">
          <cell r="Q590" t="str">
            <v/>
          </cell>
        </row>
        <row r="591">
          <cell r="Q591" t="str">
            <v/>
          </cell>
        </row>
        <row r="592">
          <cell r="Q592" t="str">
            <v/>
          </cell>
        </row>
        <row r="593">
          <cell r="Q593" t="str">
            <v/>
          </cell>
        </row>
        <row r="594">
          <cell r="Q594" t="str">
            <v/>
          </cell>
        </row>
        <row r="595">
          <cell r="Q595" t="str">
            <v/>
          </cell>
        </row>
        <row r="596">
          <cell r="Q596" t="str">
            <v/>
          </cell>
        </row>
        <row r="597">
          <cell r="Q597" t="str">
            <v/>
          </cell>
        </row>
        <row r="598">
          <cell r="Q598" t="str">
            <v/>
          </cell>
        </row>
        <row r="599">
          <cell r="Q599" t="str">
            <v/>
          </cell>
        </row>
        <row r="600">
          <cell r="Q600" t="str">
            <v/>
          </cell>
        </row>
        <row r="601">
          <cell r="Q601" t="str">
            <v/>
          </cell>
        </row>
        <row r="602">
          <cell r="Q602" t="str">
            <v/>
          </cell>
        </row>
        <row r="603">
          <cell r="Q603" t="str">
            <v/>
          </cell>
        </row>
        <row r="604">
          <cell r="Q604" t="str">
            <v/>
          </cell>
        </row>
        <row r="605">
          <cell r="Q605" t="str">
            <v/>
          </cell>
        </row>
        <row r="606">
          <cell r="Q606" t="str">
            <v/>
          </cell>
        </row>
        <row r="607">
          <cell r="Q607" t="str">
            <v/>
          </cell>
        </row>
        <row r="608">
          <cell r="Q608" t="str">
            <v/>
          </cell>
        </row>
        <row r="609">
          <cell r="Q609" t="str">
            <v/>
          </cell>
        </row>
        <row r="610">
          <cell r="Q610" t="str">
            <v/>
          </cell>
        </row>
        <row r="611">
          <cell r="Q611" t="str">
            <v/>
          </cell>
        </row>
        <row r="612">
          <cell r="Q612" t="str">
            <v/>
          </cell>
        </row>
        <row r="613">
          <cell r="Q613" t="str">
            <v/>
          </cell>
        </row>
        <row r="614">
          <cell r="Q614" t="str">
            <v/>
          </cell>
        </row>
        <row r="615">
          <cell r="Q615" t="str">
            <v/>
          </cell>
        </row>
        <row r="616">
          <cell r="Q616" t="str">
            <v/>
          </cell>
        </row>
        <row r="617">
          <cell r="Q617" t="str">
            <v/>
          </cell>
        </row>
        <row r="618">
          <cell r="Q618" t="str">
            <v/>
          </cell>
        </row>
        <row r="619">
          <cell r="Q619" t="str">
            <v/>
          </cell>
        </row>
        <row r="620">
          <cell r="Q620" t="str">
            <v/>
          </cell>
        </row>
        <row r="621">
          <cell r="Q621" t="str">
            <v/>
          </cell>
        </row>
        <row r="622">
          <cell r="Q622" t="str">
            <v/>
          </cell>
        </row>
        <row r="623">
          <cell r="Q623" t="str">
            <v/>
          </cell>
        </row>
        <row r="624">
          <cell r="Q624" t="str">
            <v/>
          </cell>
        </row>
        <row r="625">
          <cell r="Q625" t="str">
            <v/>
          </cell>
        </row>
        <row r="626">
          <cell r="Q626" t="str">
            <v/>
          </cell>
        </row>
        <row r="627">
          <cell r="Q627" t="str">
            <v/>
          </cell>
        </row>
        <row r="628">
          <cell r="Q628" t="str">
            <v/>
          </cell>
        </row>
        <row r="629">
          <cell r="Q629" t="str">
            <v/>
          </cell>
        </row>
        <row r="630">
          <cell r="Q630" t="str">
            <v/>
          </cell>
        </row>
        <row r="631">
          <cell r="Q631" t="str">
            <v/>
          </cell>
        </row>
        <row r="632">
          <cell r="Q632" t="str">
            <v/>
          </cell>
        </row>
        <row r="633">
          <cell r="Q633" t="str">
            <v/>
          </cell>
        </row>
        <row r="634">
          <cell r="Q634" t="str">
            <v/>
          </cell>
        </row>
        <row r="635">
          <cell r="Q635" t="str">
            <v/>
          </cell>
        </row>
        <row r="636">
          <cell r="Q636" t="str">
            <v/>
          </cell>
        </row>
        <row r="637">
          <cell r="Q637" t="str">
            <v/>
          </cell>
        </row>
        <row r="638">
          <cell r="Q638" t="str">
            <v/>
          </cell>
        </row>
        <row r="639">
          <cell r="Q639" t="str">
            <v/>
          </cell>
        </row>
        <row r="640">
          <cell r="Q640" t="str">
            <v/>
          </cell>
        </row>
        <row r="641">
          <cell r="Q641" t="str">
            <v/>
          </cell>
        </row>
        <row r="642">
          <cell r="Q642" t="str">
            <v/>
          </cell>
        </row>
        <row r="643">
          <cell r="Q643" t="str">
            <v/>
          </cell>
        </row>
        <row r="644">
          <cell r="Q644" t="str">
            <v/>
          </cell>
        </row>
        <row r="645">
          <cell r="Q645" t="str">
            <v/>
          </cell>
        </row>
        <row r="646">
          <cell r="Q646" t="str">
            <v/>
          </cell>
        </row>
        <row r="647">
          <cell r="Q647" t="str">
            <v/>
          </cell>
        </row>
        <row r="648">
          <cell r="Q648" t="str">
            <v/>
          </cell>
        </row>
        <row r="649">
          <cell r="Q649" t="str">
            <v/>
          </cell>
        </row>
        <row r="650">
          <cell r="Q650" t="str">
            <v/>
          </cell>
        </row>
        <row r="651">
          <cell r="Q651" t="str">
            <v/>
          </cell>
        </row>
        <row r="652">
          <cell r="Q652" t="str">
            <v/>
          </cell>
        </row>
        <row r="653">
          <cell r="Q653" t="str">
            <v/>
          </cell>
        </row>
        <row r="654">
          <cell r="Q654" t="str">
            <v/>
          </cell>
        </row>
        <row r="655">
          <cell r="Q655" t="str">
            <v/>
          </cell>
        </row>
        <row r="656">
          <cell r="Q656" t="str">
            <v/>
          </cell>
        </row>
        <row r="657">
          <cell r="Q657" t="str">
            <v/>
          </cell>
        </row>
        <row r="658">
          <cell r="Q658" t="str">
            <v/>
          </cell>
        </row>
        <row r="659">
          <cell r="Q659" t="str">
            <v/>
          </cell>
        </row>
        <row r="660">
          <cell r="Q660" t="str">
            <v/>
          </cell>
        </row>
        <row r="661">
          <cell r="Q661" t="str">
            <v/>
          </cell>
        </row>
        <row r="662">
          <cell r="Q662" t="str">
            <v/>
          </cell>
        </row>
        <row r="663">
          <cell r="Q663" t="str">
            <v/>
          </cell>
        </row>
        <row r="664">
          <cell r="Q664" t="str">
            <v/>
          </cell>
        </row>
        <row r="665">
          <cell r="Q665" t="str">
            <v/>
          </cell>
        </row>
        <row r="666">
          <cell r="Q666" t="str">
            <v/>
          </cell>
        </row>
        <row r="667">
          <cell r="Q667" t="str">
            <v/>
          </cell>
        </row>
        <row r="668">
          <cell r="Q668" t="str">
            <v/>
          </cell>
        </row>
        <row r="669">
          <cell r="Q669" t="str">
            <v/>
          </cell>
        </row>
        <row r="670">
          <cell r="Q670" t="str">
            <v/>
          </cell>
        </row>
        <row r="671">
          <cell r="Q671" t="str">
            <v/>
          </cell>
        </row>
        <row r="672">
          <cell r="Q672" t="str">
            <v/>
          </cell>
        </row>
        <row r="673">
          <cell r="Q673" t="str">
            <v/>
          </cell>
        </row>
        <row r="674">
          <cell r="Q674" t="str">
            <v/>
          </cell>
        </row>
        <row r="675">
          <cell r="Q675" t="str">
            <v/>
          </cell>
        </row>
        <row r="676">
          <cell r="Q676" t="str">
            <v/>
          </cell>
        </row>
        <row r="677">
          <cell r="Q677" t="str">
            <v/>
          </cell>
        </row>
        <row r="678">
          <cell r="Q678" t="str">
            <v/>
          </cell>
        </row>
        <row r="679">
          <cell r="Q679" t="str">
            <v/>
          </cell>
        </row>
        <row r="680">
          <cell r="Q680" t="str">
            <v/>
          </cell>
        </row>
        <row r="681">
          <cell r="Q681" t="str">
            <v/>
          </cell>
        </row>
        <row r="682">
          <cell r="Q682" t="str">
            <v/>
          </cell>
        </row>
        <row r="683">
          <cell r="Q683" t="str">
            <v/>
          </cell>
        </row>
        <row r="684">
          <cell r="Q684" t="str">
            <v/>
          </cell>
        </row>
        <row r="685">
          <cell r="Q685" t="str">
            <v/>
          </cell>
        </row>
        <row r="686">
          <cell r="Q686" t="str">
            <v/>
          </cell>
        </row>
        <row r="687">
          <cell r="Q687" t="str">
            <v/>
          </cell>
        </row>
        <row r="688">
          <cell r="Q688" t="str">
            <v/>
          </cell>
        </row>
        <row r="689">
          <cell r="Q689" t="str">
            <v/>
          </cell>
        </row>
        <row r="690">
          <cell r="Q690" t="str">
            <v/>
          </cell>
        </row>
        <row r="691">
          <cell r="Q691" t="str">
            <v/>
          </cell>
        </row>
        <row r="692">
          <cell r="Q692" t="str">
            <v/>
          </cell>
        </row>
        <row r="693">
          <cell r="Q693" t="str">
            <v/>
          </cell>
        </row>
        <row r="694">
          <cell r="Q694" t="str">
            <v/>
          </cell>
        </row>
        <row r="695">
          <cell r="Q695" t="str">
            <v/>
          </cell>
        </row>
        <row r="696">
          <cell r="Q696" t="str">
            <v/>
          </cell>
        </row>
        <row r="697">
          <cell r="Q697" t="str">
            <v/>
          </cell>
        </row>
        <row r="698">
          <cell r="Q698" t="str">
            <v/>
          </cell>
        </row>
        <row r="699">
          <cell r="Q699" t="str">
            <v/>
          </cell>
        </row>
        <row r="700">
          <cell r="Q700" t="str">
            <v/>
          </cell>
        </row>
        <row r="701">
          <cell r="Q701" t="str">
            <v/>
          </cell>
        </row>
        <row r="702">
          <cell r="Q702" t="str">
            <v/>
          </cell>
        </row>
        <row r="703">
          <cell r="Q703" t="str">
            <v/>
          </cell>
        </row>
        <row r="704">
          <cell r="Q704" t="str">
            <v/>
          </cell>
        </row>
        <row r="705">
          <cell r="Q705" t="str">
            <v/>
          </cell>
        </row>
        <row r="706">
          <cell r="Q706" t="str">
            <v/>
          </cell>
        </row>
        <row r="707">
          <cell r="Q707" t="str">
            <v/>
          </cell>
        </row>
        <row r="708">
          <cell r="Q708" t="str">
            <v/>
          </cell>
        </row>
        <row r="709">
          <cell r="Q709" t="str">
            <v/>
          </cell>
        </row>
        <row r="710">
          <cell r="Q710" t="str">
            <v/>
          </cell>
        </row>
        <row r="711">
          <cell r="Q711" t="str">
            <v/>
          </cell>
        </row>
        <row r="712">
          <cell r="Q712" t="str">
            <v/>
          </cell>
        </row>
        <row r="713">
          <cell r="Q713" t="str">
            <v/>
          </cell>
        </row>
        <row r="714">
          <cell r="Q714" t="str">
            <v/>
          </cell>
        </row>
        <row r="715">
          <cell r="Q715" t="str">
            <v/>
          </cell>
        </row>
        <row r="716">
          <cell r="Q716" t="str">
            <v/>
          </cell>
        </row>
        <row r="717">
          <cell r="Q717" t="str">
            <v/>
          </cell>
        </row>
        <row r="718">
          <cell r="Q718" t="str">
            <v/>
          </cell>
        </row>
        <row r="719">
          <cell r="Q719" t="str">
            <v/>
          </cell>
        </row>
        <row r="720">
          <cell r="Q720" t="str">
            <v/>
          </cell>
        </row>
        <row r="721">
          <cell r="Q721" t="str">
            <v/>
          </cell>
        </row>
        <row r="722">
          <cell r="Q722" t="str">
            <v/>
          </cell>
        </row>
        <row r="723">
          <cell r="Q723" t="str">
            <v/>
          </cell>
        </row>
        <row r="724">
          <cell r="Q724" t="str">
            <v/>
          </cell>
        </row>
        <row r="725">
          <cell r="Q725" t="str">
            <v/>
          </cell>
        </row>
        <row r="726">
          <cell r="Q726" t="str">
            <v/>
          </cell>
        </row>
        <row r="727">
          <cell r="Q727" t="str">
            <v/>
          </cell>
        </row>
        <row r="728">
          <cell r="Q728" t="str">
            <v/>
          </cell>
        </row>
        <row r="729">
          <cell r="Q729" t="str">
            <v/>
          </cell>
        </row>
        <row r="730">
          <cell r="Q730" t="str">
            <v/>
          </cell>
        </row>
        <row r="731">
          <cell r="Q731" t="str">
            <v/>
          </cell>
        </row>
        <row r="732">
          <cell r="Q732" t="str">
            <v/>
          </cell>
        </row>
        <row r="733">
          <cell r="Q733" t="str">
            <v/>
          </cell>
        </row>
        <row r="734">
          <cell r="Q734" t="str">
            <v/>
          </cell>
        </row>
        <row r="735">
          <cell r="Q735" t="str">
            <v/>
          </cell>
        </row>
        <row r="736">
          <cell r="Q736" t="str">
            <v/>
          </cell>
        </row>
        <row r="737">
          <cell r="Q737" t="str">
            <v/>
          </cell>
        </row>
        <row r="738">
          <cell r="Q738" t="str">
            <v/>
          </cell>
        </row>
        <row r="739">
          <cell r="Q739" t="str">
            <v/>
          </cell>
        </row>
        <row r="740">
          <cell r="Q740" t="str">
            <v/>
          </cell>
        </row>
        <row r="741">
          <cell r="Q741" t="str">
            <v/>
          </cell>
        </row>
        <row r="742">
          <cell r="Q742" t="str">
            <v/>
          </cell>
        </row>
        <row r="743">
          <cell r="Q743" t="str">
            <v/>
          </cell>
        </row>
        <row r="744">
          <cell r="Q744" t="str">
            <v/>
          </cell>
        </row>
        <row r="745">
          <cell r="Q745" t="str">
            <v/>
          </cell>
        </row>
        <row r="746">
          <cell r="Q746" t="str">
            <v/>
          </cell>
        </row>
        <row r="747">
          <cell r="Q747" t="str">
            <v/>
          </cell>
        </row>
        <row r="748">
          <cell r="Q748" t="str">
            <v/>
          </cell>
        </row>
        <row r="749">
          <cell r="Q749" t="str">
            <v/>
          </cell>
        </row>
        <row r="750">
          <cell r="Q750" t="str">
            <v/>
          </cell>
        </row>
        <row r="751">
          <cell r="Q751" t="str">
            <v/>
          </cell>
        </row>
        <row r="752">
          <cell r="Q752" t="str">
            <v/>
          </cell>
        </row>
        <row r="753">
          <cell r="Q753" t="str">
            <v/>
          </cell>
        </row>
        <row r="754">
          <cell r="Q754" t="str">
            <v/>
          </cell>
        </row>
        <row r="755">
          <cell r="Q755" t="str">
            <v/>
          </cell>
        </row>
        <row r="756">
          <cell r="Q756" t="str">
            <v/>
          </cell>
        </row>
        <row r="757">
          <cell r="Q757" t="str">
            <v/>
          </cell>
        </row>
        <row r="758">
          <cell r="Q758" t="str">
            <v/>
          </cell>
        </row>
        <row r="759">
          <cell r="Q759" t="str">
            <v/>
          </cell>
        </row>
        <row r="760">
          <cell r="Q760" t="str">
            <v/>
          </cell>
        </row>
        <row r="761">
          <cell r="Q761" t="str">
            <v/>
          </cell>
        </row>
        <row r="762">
          <cell r="Q762" t="str">
            <v/>
          </cell>
        </row>
        <row r="763">
          <cell r="Q763" t="str">
            <v/>
          </cell>
        </row>
        <row r="764">
          <cell r="Q764" t="str">
            <v/>
          </cell>
        </row>
        <row r="765">
          <cell r="Q765" t="str">
            <v/>
          </cell>
        </row>
        <row r="766">
          <cell r="Q766" t="str">
            <v/>
          </cell>
        </row>
        <row r="767">
          <cell r="Q767" t="str">
            <v/>
          </cell>
        </row>
        <row r="768">
          <cell r="Q768" t="str">
            <v/>
          </cell>
        </row>
        <row r="769">
          <cell r="Q769" t="str">
            <v/>
          </cell>
        </row>
        <row r="770">
          <cell r="Q770" t="str">
            <v/>
          </cell>
        </row>
        <row r="771">
          <cell r="Q771" t="str">
            <v/>
          </cell>
        </row>
        <row r="772">
          <cell r="Q772" t="str">
            <v/>
          </cell>
        </row>
        <row r="773">
          <cell r="Q773" t="str">
            <v/>
          </cell>
        </row>
        <row r="774">
          <cell r="Q774" t="str">
            <v/>
          </cell>
        </row>
        <row r="775">
          <cell r="Q775" t="str">
            <v/>
          </cell>
        </row>
        <row r="776">
          <cell r="Q776" t="str">
            <v/>
          </cell>
        </row>
        <row r="777">
          <cell r="Q777" t="str">
            <v/>
          </cell>
        </row>
        <row r="778">
          <cell r="Q778" t="str">
            <v/>
          </cell>
        </row>
        <row r="779">
          <cell r="Q779" t="str">
            <v/>
          </cell>
        </row>
        <row r="780">
          <cell r="Q780" t="str">
            <v/>
          </cell>
        </row>
        <row r="781">
          <cell r="Q781" t="str">
            <v/>
          </cell>
        </row>
        <row r="782">
          <cell r="Q782" t="str">
            <v/>
          </cell>
        </row>
        <row r="783">
          <cell r="Q783" t="str">
            <v/>
          </cell>
        </row>
        <row r="784">
          <cell r="Q784" t="str">
            <v/>
          </cell>
        </row>
        <row r="785">
          <cell r="Q785" t="str">
            <v/>
          </cell>
        </row>
        <row r="786">
          <cell r="Q786" t="str">
            <v/>
          </cell>
        </row>
        <row r="787">
          <cell r="Q787" t="str">
            <v/>
          </cell>
        </row>
        <row r="788">
          <cell r="Q788" t="str">
            <v/>
          </cell>
        </row>
        <row r="789">
          <cell r="Q789" t="str">
            <v/>
          </cell>
        </row>
        <row r="790">
          <cell r="Q790" t="str">
            <v/>
          </cell>
        </row>
        <row r="791">
          <cell r="Q791" t="str">
            <v/>
          </cell>
        </row>
        <row r="792">
          <cell r="Q792" t="str">
            <v/>
          </cell>
        </row>
        <row r="793">
          <cell r="Q793" t="str">
            <v/>
          </cell>
        </row>
        <row r="794">
          <cell r="Q794" t="str">
            <v/>
          </cell>
        </row>
        <row r="795">
          <cell r="Q795" t="str">
            <v/>
          </cell>
        </row>
        <row r="796">
          <cell r="Q796" t="str">
            <v/>
          </cell>
        </row>
        <row r="797">
          <cell r="Q797" t="str">
            <v/>
          </cell>
        </row>
        <row r="798">
          <cell r="Q798" t="str">
            <v/>
          </cell>
        </row>
        <row r="799">
          <cell r="Q799" t="str">
            <v/>
          </cell>
        </row>
        <row r="800">
          <cell r="Q800" t="str">
            <v/>
          </cell>
        </row>
        <row r="801">
          <cell r="Q801" t="str">
            <v/>
          </cell>
        </row>
        <row r="802">
          <cell r="Q802" t="str">
            <v/>
          </cell>
        </row>
        <row r="803">
          <cell r="Q803" t="str">
            <v/>
          </cell>
        </row>
        <row r="804">
          <cell r="Q804" t="str">
            <v/>
          </cell>
        </row>
        <row r="805">
          <cell r="Q805" t="str">
            <v/>
          </cell>
        </row>
        <row r="806">
          <cell r="Q806" t="str">
            <v/>
          </cell>
        </row>
        <row r="807">
          <cell r="Q807" t="str">
            <v/>
          </cell>
        </row>
        <row r="808">
          <cell r="Q808" t="str">
            <v/>
          </cell>
        </row>
        <row r="809">
          <cell r="Q809" t="str">
            <v/>
          </cell>
        </row>
        <row r="810">
          <cell r="Q810" t="str">
            <v/>
          </cell>
        </row>
        <row r="811">
          <cell r="Q811" t="str">
            <v/>
          </cell>
        </row>
        <row r="812">
          <cell r="Q812" t="str">
            <v/>
          </cell>
        </row>
        <row r="813">
          <cell r="Q813" t="str">
            <v/>
          </cell>
        </row>
        <row r="814">
          <cell r="Q814" t="str">
            <v/>
          </cell>
        </row>
        <row r="815">
          <cell r="Q815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M2" t="str">
            <v/>
          </cell>
        </row>
        <row r="3">
          <cell r="M3" t="str">
            <v/>
          </cell>
        </row>
        <row r="4">
          <cell r="M4" t="str">
            <v/>
          </cell>
        </row>
        <row r="5">
          <cell r="M5" t="str">
            <v/>
          </cell>
        </row>
        <row r="6">
          <cell r="M6" t="str">
            <v/>
          </cell>
        </row>
        <row r="7">
          <cell r="M7" t="str">
            <v/>
          </cell>
        </row>
        <row r="8">
          <cell r="M8" t="str">
            <v/>
          </cell>
        </row>
        <row r="9">
          <cell r="M9" t="str">
            <v/>
          </cell>
        </row>
        <row r="10">
          <cell r="M10" t="str">
            <v/>
          </cell>
        </row>
        <row r="11">
          <cell r="M11" t="str">
            <v/>
          </cell>
        </row>
        <row r="12">
          <cell r="M12" t="str">
            <v/>
          </cell>
        </row>
        <row r="13">
          <cell r="M13" t="str">
            <v/>
          </cell>
        </row>
        <row r="14">
          <cell r="M14" t="str">
            <v/>
          </cell>
        </row>
        <row r="15">
          <cell r="M15" t="str">
            <v/>
          </cell>
        </row>
        <row r="16">
          <cell r="M16" t="str">
            <v/>
          </cell>
        </row>
        <row r="17">
          <cell r="M17" t="str">
            <v/>
          </cell>
        </row>
        <row r="18">
          <cell r="M18" t="str">
            <v/>
          </cell>
        </row>
        <row r="19">
          <cell r="M19" t="str">
            <v/>
          </cell>
        </row>
        <row r="20">
          <cell r="M20" t="str">
            <v/>
          </cell>
        </row>
        <row r="21">
          <cell r="M21" t="str">
            <v/>
          </cell>
        </row>
        <row r="22">
          <cell r="M22" t="str">
            <v/>
          </cell>
        </row>
        <row r="23">
          <cell r="M23" t="str">
            <v/>
          </cell>
        </row>
        <row r="24">
          <cell r="M24" t="str">
            <v/>
          </cell>
        </row>
        <row r="25">
          <cell r="M25" t="str">
            <v/>
          </cell>
        </row>
        <row r="34">
          <cell r="M34" t="str">
            <v/>
          </cell>
        </row>
        <row r="35">
          <cell r="M35" t="str">
            <v/>
          </cell>
        </row>
        <row r="36">
          <cell r="M36" t="str">
            <v/>
          </cell>
        </row>
        <row r="37">
          <cell r="M37" t="str">
            <v/>
          </cell>
        </row>
        <row r="38">
          <cell r="M38" t="str">
            <v/>
          </cell>
        </row>
        <row r="39">
          <cell r="M39" t="str">
            <v/>
          </cell>
        </row>
        <row r="40">
          <cell r="M40" t="str">
            <v/>
          </cell>
        </row>
        <row r="41">
          <cell r="M41" t="str">
            <v/>
          </cell>
        </row>
        <row r="42">
          <cell r="M42" t="str">
            <v/>
          </cell>
        </row>
        <row r="43">
          <cell r="M43" t="str">
            <v/>
          </cell>
        </row>
        <row r="44">
          <cell r="M44" t="str">
            <v/>
          </cell>
        </row>
        <row r="45">
          <cell r="M45" t="str">
            <v/>
          </cell>
        </row>
        <row r="46">
          <cell r="M46" t="str">
            <v/>
          </cell>
        </row>
        <row r="47">
          <cell r="M47" t="str">
            <v/>
          </cell>
        </row>
        <row r="48">
          <cell r="M48" t="str">
            <v/>
          </cell>
        </row>
        <row r="49">
          <cell r="M49" t="str">
            <v/>
          </cell>
        </row>
        <row r="50">
          <cell r="M50" t="str">
            <v/>
          </cell>
        </row>
        <row r="51">
          <cell r="M51" t="str">
            <v/>
          </cell>
        </row>
        <row r="52">
          <cell r="M52" t="str">
            <v/>
          </cell>
        </row>
        <row r="53">
          <cell r="M53" t="str">
            <v/>
          </cell>
        </row>
        <row r="54">
          <cell r="M54" t="str">
            <v/>
          </cell>
        </row>
        <row r="55">
          <cell r="M55" t="str">
            <v/>
          </cell>
        </row>
        <row r="56">
          <cell r="M56" t="str">
            <v/>
          </cell>
        </row>
        <row r="57">
          <cell r="M57" t="str">
            <v/>
          </cell>
        </row>
        <row r="58">
          <cell r="M58" t="str">
            <v/>
          </cell>
        </row>
        <row r="59">
          <cell r="M59" t="str">
            <v/>
          </cell>
        </row>
        <row r="60">
          <cell r="M60" t="str">
            <v/>
          </cell>
        </row>
        <row r="61">
          <cell r="M61" t="str">
            <v/>
          </cell>
        </row>
        <row r="62">
          <cell r="M62" t="str">
            <v/>
          </cell>
        </row>
        <row r="63">
          <cell r="M63" t="str">
            <v/>
          </cell>
        </row>
        <row r="64">
          <cell r="M64" t="str">
            <v/>
          </cell>
        </row>
        <row r="65">
          <cell r="M65" t="str">
            <v/>
          </cell>
        </row>
        <row r="66">
          <cell r="M66" t="str">
            <v/>
          </cell>
        </row>
        <row r="67">
          <cell r="M67" t="str">
            <v/>
          </cell>
        </row>
        <row r="68">
          <cell r="M68" t="str">
            <v/>
          </cell>
        </row>
        <row r="69">
          <cell r="M69" t="str">
            <v/>
          </cell>
        </row>
        <row r="70">
          <cell r="M70" t="str">
            <v/>
          </cell>
        </row>
        <row r="71">
          <cell r="M71" t="str">
            <v/>
          </cell>
        </row>
        <row r="72">
          <cell r="M72" t="str">
            <v/>
          </cell>
        </row>
        <row r="73">
          <cell r="M73" t="str">
            <v/>
          </cell>
        </row>
        <row r="74">
          <cell r="M74" t="str">
            <v/>
          </cell>
        </row>
        <row r="75">
          <cell r="M75" t="str">
            <v/>
          </cell>
        </row>
        <row r="76">
          <cell r="M76" t="str">
            <v/>
          </cell>
        </row>
        <row r="77">
          <cell r="M77" t="str">
            <v/>
          </cell>
        </row>
        <row r="78">
          <cell r="M78" t="str">
            <v/>
          </cell>
        </row>
        <row r="79">
          <cell r="M79" t="str">
            <v/>
          </cell>
        </row>
        <row r="80">
          <cell r="M80" t="str">
            <v/>
          </cell>
        </row>
        <row r="81">
          <cell r="M81" t="str">
            <v/>
          </cell>
        </row>
        <row r="82">
          <cell r="M82" t="str">
            <v/>
          </cell>
        </row>
        <row r="83">
          <cell r="M83" t="str">
            <v/>
          </cell>
        </row>
        <row r="84">
          <cell r="M84" t="str">
            <v/>
          </cell>
        </row>
        <row r="85">
          <cell r="M85" t="str">
            <v/>
          </cell>
        </row>
        <row r="86">
          <cell r="M86" t="str">
            <v/>
          </cell>
        </row>
        <row r="87">
          <cell r="M87" t="str">
            <v/>
          </cell>
        </row>
        <row r="88">
          <cell r="M88" t="str">
            <v/>
          </cell>
        </row>
        <row r="89">
          <cell r="M89" t="str">
            <v/>
          </cell>
        </row>
        <row r="90">
          <cell r="M90" t="str">
            <v/>
          </cell>
        </row>
        <row r="91">
          <cell r="M91" t="str">
            <v/>
          </cell>
        </row>
        <row r="92">
          <cell r="M92" t="str">
            <v/>
          </cell>
        </row>
        <row r="93">
          <cell r="M93" t="str">
            <v/>
          </cell>
        </row>
        <row r="94">
          <cell r="M94" t="str">
            <v/>
          </cell>
        </row>
        <row r="95">
          <cell r="M95" t="str">
            <v/>
          </cell>
        </row>
        <row r="96">
          <cell r="M96" t="str">
            <v/>
          </cell>
        </row>
        <row r="97">
          <cell r="M97" t="str">
            <v/>
          </cell>
        </row>
        <row r="98">
          <cell r="M98" t="str">
            <v/>
          </cell>
        </row>
        <row r="99">
          <cell r="M99" t="str">
            <v/>
          </cell>
        </row>
        <row r="100">
          <cell r="M100" t="str">
            <v/>
          </cell>
        </row>
        <row r="101">
          <cell r="M101" t="str">
            <v/>
          </cell>
        </row>
        <row r="102">
          <cell r="M102" t="str">
            <v/>
          </cell>
        </row>
        <row r="103">
          <cell r="M103" t="str">
            <v/>
          </cell>
        </row>
        <row r="104">
          <cell r="M104" t="str">
            <v/>
          </cell>
        </row>
        <row r="105">
          <cell r="M105" t="str">
            <v/>
          </cell>
        </row>
        <row r="106">
          <cell r="M106" t="str">
            <v/>
          </cell>
        </row>
        <row r="107">
          <cell r="M107" t="str">
            <v/>
          </cell>
        </row>
        <row r="108">
          <cell r="M108" t="str">
            <v/>
          </cell>
        </row>
        <row r="109">
          <cell r="M109" t="str">
            <v/>
          </cell>
        </row>
        <row r="110">
          <cell r="M110" t="str">
            <v/>
          </cell>
        </row>
        <row r="111">
          <cell r="M111" t="str">
            <v/>
          </cell>
        </row>
        <row r="112">
          <cell r="M112" t="str">
            <v/>
          </cell>
        </row>
        <row r="113">
          <cell r="M113" t="str">
            <v/>
          </cell>
        </row>
        <row r="114">
          <cell r="M114" t="str">
            <v/>
          </cell>
        </row>
        <row r="115">
          <cell r="M115" t="str">
            <v/>
          </cell>
        </row>
        <row r="116">
          <cell r="M116" t="str">
            <v/>
          </cell>
        </row>
        <row r="117">
          <cell r="M117" t="str">
            <v/>
          </cell>
        </row>
        <row r="118">
          <cell r="M118" t="str">
            <v/>
          </cell>
        </row>
        <row r="119">
          <cell r="M119" t="str">
            <v/>
          </cell>
        </row>
        <row r="120">
          <cell r="M120" t="str">
            <v/>
          </cell>
        </row>
        <row r="121">
          <cell r="M121" t="str">
            <v/>
          </cell>
        </row>
        <row r="122">
          <cell r="M122" t="str">
            <v/>
          </cell>
        </row>
        <row r="123">
          <cell r="M123" t="str">
            <v/>
          </cell>
        </row>
        <row r="124">
          <cell r="M124" t="str">
            <v/>
          </cell>
        </row>
        <row r="125">
          <cell r="M125" t="str">
            <v/>
          </cell>
        </row>
        <row r="126">
          <cell r="M126" t="str">
            <v/>
          </cell>
        </row>
        <row r="127">
          <cell r="M127" t="str">
            <v/>
          </cell>
        </row>
        <row r="128">
          <cell r="M128" t="str">
            <v/>
          </cell>
        </row>
        <row r="129">
          <cell r="M129" t="str">
            <v/>
          </cell>
        </row>
        <row r="130">
          <cell r="M130" t="str">
            <v/>
          </cell>
        </row>
        <row r="131">
          <cell r="M131" t="str">
            <v/>
          </cell>
        </row>
        <row r="132">
          <cell r="M132" t="str">
            <v/>
          </cell>
        </row>
        <row r="133">
          <cell r="M133" t="str">
            <v/>
          </cell>
        </row>
        <row r="134">
          <cell r="M134" t="str">
            <v/>
          </cell>
        </row>
        <row r="135">
          <cell r="M135" t="str">
            <v/>
          </cell>
        </row>
        <row r="136">
          <cell r="M136" t="str">
            <v/>
          </cell>
        </row>
        <row r="137">
          <cell r="M137" t="str">
            <v/>
          </cell>
        </row>
        <row r="138">
          <cell r="M138" t="str">
            <v/>
          </cell>
        </row>
        <row r="139">
          <cell r="M139" t="str">
            <v/>
          </cell>
        </row>
        <row r="140">
          <cell r="M140" t="str">
            <v/>
          </cell>
        </row>
        <row r="141">
          <cell r="M141" t="str">
            <v/>
          </cell>
        </row>
        <row r="142">
          <cell r="M142" t="str">
            <v/>
          </cell>
        </row>
        <row r="143">
          <cell r="M143" t="str">
            <v/>
          </cell>
        </row>
        <row r="144">
          <cell r="M144" t="str">
            <v/>
          </cell>
        </row>
        <row r="145">
          <cell r="M145" t="str">
            <v/>
          </cell>
        </row>
        <row r="146">
          <cell r="M146" t="str">
            <v/>
          </cell>
        </row>
        <row r="147">
          <cell r="M147" t="str">
            <v/>
          </cell>
        </row>
        <row r="148">
          <cell r="M148" t="str">
            <v/>
          </cell>
        </row>
        <row r="149">
          <cell r="M149" t="str">
            <v/>
          </cell>
        </row>
        <row r="150">
          <cell r="M150" t="str">
            <v/>
          </cell>
        </row>
        <row r="151">
          <cell r="M151" t="str">
            <v/>
          </cell>
        </row>
        <row r="152">
          <cell r="M152" t="str">
            <v/>
          </cell>
        </row>
        <row r="153">
          <cell r="M153" t="str">
            <v/>
          </cell>
        </row>
        <row r="154">
          <cell r="M154" t="str">
            <v/>
          </cell>
        </row>
        <row r="155">
          <cell r="M155" t="str">
            <v/>
          </cell>
        </row>
        <row r="156">
          <cell r="M156" t="str">
            <v/>
          </cell>
        </row>
        <row r="157">
          <cell r="M157" t="str">
            <v/>
          </cell>
        </row>
        <row r="158">
          <cell r="M158" t="str">
            <v/>
          </cell>
        </row>
        <row r="159">
          <cell r="M159" t="str">
            <v/>
          </cell>
        </row>
        <row r="160">
          <cell r="M160" t="str">
            <v/>
          </cell>
        </row>
        <row r="161">
          <cell r="M161" t="str">
            <v/>
          </cell>
        </row>
        <row r="162">
          <cell r="M162" t="str">
            <v/>
          </cell>
        </row>
        <row r="163">
          <cell r="M163" t="str">
            <v/>
          </cell>
        </row>
        <row r="164">
          <cell r="M164" t="str">
            <v/>
          </cell>
        </row>
        <row r="165">
          <cell r="M165" t="str">
            <v/>
          </cell>
        </row>
        <row r="166">
          <cell r="M166" t="str">
            <v/>
          </cell>
        </row>
        <row r="167">
          <cell r="M167" t="str">
            <v/>
          </cell>
        </row>
        <row r="168">
          <cell r="M168" t="str">
            <v/>
          </cell>
        </row>
        <row r="169">
          <cell r="M169" t="str">
            <v/>
          </cell>
        </row>
        <row r="170">
          <cell r="M170" t="str">
            <v/>
          </cell>
        </row>
        <row r="171">
          <cell r="M171" t="str">
            <v/>
          </cell>
        </row>
        <row r="172">
          <cell r="M172" t="str">
            <v/>
          </cell>
        </row>
        <row r="173">
          <cell r="M173" t="str">
            <v/>
          </cell>
        </row>
        <row r="174">
          <cell r="M174" t="str">
            <v/>
          </cell>
        </row>
        <row r="175">
          <cell r="M175" t="str">
            <v/>
          </cell>
        </row>
        <row r="176">
          <cell r="M176" t="str">
            <v/>
          </cell>
        </row>
        <row r="177">
          <cell r="M177" t="str">
            <v/>
          </cell>
        </row>
        <row r="178">
          <cell r="M178" t="str">
            <v/>
          </cell>
        </row>
        <row r="179">
          <cell r="M179" t="str">
            <v/>
          </cell>
        </row>
        <row r="180">
          <cell r="M180" t="str">
            <v/>
          </cell>
        </row>
        <row r="181">
          <cell r="M181" t="str">
            <v/>
          </cell>
        </row>
        <row r="182">
          <cell r="M182" t="str">
            <v/>
          </cell>
        </row>
        <row r="183">
          <cell r="M183" t="str">
            <v/>
          </cell>
        </row>
        <row r="184">
          <cell r="M184" t="str">
            <v/>
          </cell>
        </row>
        <row r="185">
          <cell r="M185" t="str">
            <v/>
          </cell>
        </row>
        <row r="186">
          <cell r="M186" t="str">
            <v/>
          </cell>
        </row>
        <row r="187">
          <cell r="M187" t="str">
            <v/>
          </cell>
        </row>
        <row r="188">
          <cell r="M188" t="str">
            <v/>
          </cell>
        </row>
        <row r="189">
          <cell r="M189" t="str">
            <v/>
          </cell>
        </row>
        <row r="190">
          <cell r="M190" t="str">
            <v/>
          </cell>
        </row>
        <row r="191">
          <cell r="M191" t="str">
            <v/>
          </cell>
        </row>
        <row r="192">
          <cell r="M192" t="str">
            <v/>
          </cell>
        </row>
        <row r="193">
          <cell r="M193" t="str">
            <v/>
          </cell>
        </row>
        <row r="194">
          <cell r="M194" t="str">
            <v/>
          </cell>
        </row>
        <row r="195">
          <cell r="M195" t="str">
            <v/>
          </cell>
        </row>
        <row r="196">
          <cell r="M196" t="str">
            <v/>
          </cell>
        </row>
        <row r="197">
          <cell r="M197" t="str">
            <v/>
          </cell>
        </row>
        <row r="198">
          <cell r="M198" t="str">
            <v/>
          </cell>
        </row>
        <row r="199">
          <cell r="M199" t="str">
            <v/>
          </cell>
        </row>
        <row r="200">
          <cell r="M200" t="str">
            <v/>
          </cell>
        </row>
        <row r="201">
          <cell r="M201" t="str">
            <v/>
          </cell>
        </row>
        <row r="202">
          <cell r="M202" t="str">
            <v/>
          </cell>
        </row>
        <row r="203">
          <cell r="M203" t="str">
            <v/>
          </cell>
        </row>
        <row r="204">
          <cell r="M204" t="str">
            <v/>
          </cell>
        </row>
        <row r="205">
          <cell r="M205" t="str">
            <v/>
          </cell>
        </row>
        <row r="206">
          <cell r="M206" t="str">
            <v/>
          </cell>
        </row>
        <row r="207">
          <cell r="M207" t="str">
            <v/>
          </cell>
        </row>
        <row r="208">
          <cell r="M208" t="str">
            <v/>
          </cell>
        </row>
        <row r="209">
          <cell r="M209" t="str">
            <v/>
          </cell>
        </row>
        <row r="210">
          <cell r="M210" t="str">
            <v/>
          </cell>
        </row>
        <row r="211">
          <cell r="M211" t="str">
            <v/>
          </cell>
        </row>
        <row r="212">
          <cell r="M212" t="str">
            <v/>
          </cell>
        </row>
        <row r="213">
          <cell r="M213" t="str">
            <v/>
          </cell>
        </row>
        <row r="214">
          <cell r="M214" t="str">
            <v/>
          </cell>
        </row>
        <row r="215">
          <cell r="M215" t="str">
            <v/>
          </cell>
        </row>
        <row r="216">
          <cell r="M216" t="str">
            <v/>
          </cell>
        </row>
        <row r="217">
          <cell r="M217" t="str">
            <v/>
          </cell>
        </row>
        <row r="218">
          <cell r="M218" t="str">
            <v/>
          </cell>
        </row>
        <row r="219">
          <cell r="M219" t="str">
            <v/>
          </cell>
        </row>
        <row r="220">
          <cell r="M220" t="str">
            <v/>
          </cell>
        </row>
        <row r="221">
          <cell r="M221" t="str">
            <v/>
          </cell>
        </row>
        <row r="222">
          <cell r="M222" t="str">
            <v/>
          </cell>
        </row>
        <row r="223">
          <cell r="M223" t="str">
            <v/>
          </cell>
        </row>
        <row r="224">
          <cell r="M224" t="str">
            <v/>
          </cell>
        </row>
        <row r="225">
          <cell r="M225" t="str">
            <v/>
          </cell>
        </row>
        <row r="226">
          <cell r="M226" t="str">
            <v/>
          </cell>
        </row>
        <row r="227">
          <cell r="M227" t="str">
            <v/>
          </cell>
        </row>
        <row r="228">
          <cell r="M228" t="str">
            <v/>
          </cell>
        </row>
        <row r="229">
          <cell r="M229" t="str">
            <v/>
          </cell>
        </row>
        <row r="230">
          <cell r="M230" t="str">
            <v/>
          </cell>
        </row>
        <row r="231">
          <cell r="M231" t="str">
            <v/>
          </cell>
        </row>
        <row r="232">
          <cell r="M232" t="str">
            <v/>
          </cell>
        </row>
        <row r="233">
          <cell r="M233" t="str">
            <v/>
          </cell>
        </row>
        <row r="234">
          <cell r="M234" t="str">
            <v/>
          </cell>
        </row>
        <row r="235">
          <cell r="M235" t="str">
            <v/>
          </cell>
        </row>
        <row r="236">
          <cell r="M236" t="str">
            <v/>
          </cell>
        </row>
        <row r="237">
          <cell r="M237" t="str">
            <v/>
          </cell>
        </row>
        <row r="238">
          <cell r="M238" t="str">
            <v/>
          </cell>
        </row>
        <row r="239">
          <cell r="M239" t="str">
            <v/>
          </cell>
        </row>
        <row r="240">
          <cell r="M240" t="str">
            <v/>
          </cell>
        </row>
        <row r="241">
          <cell r="M241" t="str">
            <v/>
          </cell>
        </row>
        <row r="242">
          <cell r="M242" t="str">
            <v/>
          </cell>
        </row>
        <row r="243">
          <cell r="M243" t="str">
            <v/>
          </cell>
        </row>
        <row r="244">
          <cell r="M244" t="str">
            <v/>
          </cell>
        </row>
        <row r="245">
          <cell r="M245" t="str">
            <v/>
          </cell>
        </row>
        <row r="246">
          <cell r="M246" t="str">
            <v/>
          </cell>
        </row>
        <row r="247">
          <cell r="M247" t="str">
            <v/>
          </cell>
        </row>
        <row r="248">
          <cell r="M248" t="str">
            <v/>
          </cell>
        </row>
        <row r="249">
          <cell r="M249" t="str">
            <v/>
          </cell>
        </row>
        <row r="250">
          <cell r="M250" t="str">
            <v/>
          </cell>
        </row>
        <row r="251">
          <cell r="M251" t="str">
            <v/>
          </cell>
        </row>
        <row r="252">
          <cell r="M252" t="str">
            <v/>
          </cell>
        </row>
        <row r="253">
          <cell r="M253" t="str">
            <v/>
          </cell>
        </row>
        <row r="254">
          <cell r="M254" t="str">
            <v/>
          </cell>
        </row>
        <row r="255">
          <cell r="M255" t="str">
            <v/>
          </cell>
        </row>
        <row r="256">
          <cell r="M256" t="str">
            <v/>
          </cell>
        </row>
        <row r="257">
          <cell r="M257" t="str">
            <v/>
          </cell>
        </row>
        <row r="258">
          <cell r="M258" t="str">
            <v/>
          </cell>
        </row>
        <row r="259">
          <cell r="M259" t="str">
            <v/>
          </cell>
        </row>
        <row r="260">
          <cell r="M260" t="str">
            <v/>
          </cell>
        </row>
        <row r="261">
          <cell r="M261" t="str">
            <v/>
          </cell>
        </row>
        <row r="262">
          <cell r="M262" t="str">
            <v/>
          </cell>
        </row>
        <row r="263">
          <cell r="M263" t="str">
            <v/>
          </cell>
        </row>
        <row r="264">
          <cell r="M264" t="str">
            <v/>
          </cell>
        </row>
        <row r="265">
          <cell r="M265" t="str">
            <v/>
          </cell>
        </row>
        <row r="266">
          <cell r="M266" t="str">
            <v/>
          </cell>
        </row>
        <row r="267">
          <cell r="M267" t="str">
            <v/>
          </cell>
        </row>
        <row r="268">
          <cell r="M268" t="str">
            <v/>
          </cell>
        </row>
        <row r="269">
          <cell r="M269" t="str">
            <v/>
          </cell>
        </row>
        <row r="270">
          <cell r="M270" t="str">
            <v/>
          </cell>
        </row>
        <row r="271">
          <cell r="M271" t="str">
            <v/>
          </cell>
        </row>
        <row r="272">
          <cell r="M272" t="str">
            <v/>
          </cell>
        </row>
        <row r="273">
          <cell r="M273" t="str">
            <v/>
          </cell>
        </row>
        <row r="274">
          <cell r="M274" t="str">
            <v/>
          </cell>
        </row>
        <row r="275">
          <cell r="M275" t="str">
            <v/>
          </cell>
        </row>
        <row r="276">
          <cell r="M276" t="str">
            <v/>
          </cell>
        </row>
        <row r="277">
          <cell r="M277" t="str">
            <v/>
          </cell>
        </row>
        <row r="278">
          <cell r="M278" t="str">
            <v/>
          </cell>
        </row>
        <row r="279">
          <cell r="M279" t="str">
            <v/>
          </cell>
        </row>
        <row r="280">
          <cell r="M280" t="str">
            <v/>
          </cell>
        </row>
        <row r="281">
          <cell r="M281" t="str">
            <v/>
          </cell>
        </row>
        <row r="282">
          <cell r="M282" t="str">
            <v/>
          </cell>
        </row>
        <row r="283">
          <cell r="M283" t="str">
            <v/>
          </cell>
        </row>
        <row r="284">
          <cell r="M284" t="str">
            <v/>
          </cell>
        </row>
        <row r="285">
          <cell r="M285" t="str">
            <v/>
          </cell>
        </row>
        <row r="286">
          <cell r="M286" t="str">
            <v/>
          </cell>
        </row>
        <row r="287">
          <cell r="M287" t="str">
            <v/>
          </cell>
        </row>
        <row r="288">
          <cell r="M288" t="str">
            <v/>
          </cell>
        </row>
        <row r="289">
          <cell r="M289" t="str">
            <v/>
          </cell>
        </row>
        <row r="290">
          <cell r="M290" t="str">
            <v/>
          </cell>
        </row>
        <row r="291">
          <cell r="M291" t="str">
            <v/>
          </cell>
        </row>
        <row r="292">
          <cell r="M292" t="str">
            <v/>
          </cell>
        </row>
        <row r="293">
          <cell r="M293" t="str">
            <v/>
          </cell>
        </row>
        <row r="294">
          <cell r="M294" t="str">
            <v/>
          </cell>
        </row>
        <row r="295">
          <cell r="M295" t="str">
            <v/>
          </cell>
        </row>
        <row r="296">
          <cell r="M296" t="str">
            <v/>
          </cell>
        </row>
        <row r="297">
          <cell r="M297" t="str">
            <v/>
          </cell>
        </row>
        <row r="298">
          <cell r="M298" t="str">
            <v/>
          </cell>
        </row>
        <row r="299">
          <cell r="M299" t="str">
            <v/>
          </cell>
        </row>
        <row r="300">
          <cell r="M300" t="str">
            <v/>
          </cell>
        </row>
        <row r="301">
          <cell r="M301" t="str">
            <v/>
          </cell>
        </row>
        <row r="302">
          <cell r="M302" t="str">
            <v/>
          </cell>
        </row>
        <row r="303">
          <cell r="M303" t="str">
            <v/>
          </cell>
        </row>
        <row r="304">
          <cell r="M304" t="str">
            <v/>
          </cell>
        </row>
        <row r="305">
          <cell r="M305" t="str">
            <v/>
          </cell>
        </row>
        <row r="306">
          <cell r="M306" t="str">
            <v/>
          </cell>
        </row>
        <row r="307">
          <cell r="M307" t="str">
            <v/>
          </cell>
        </row>
        <row r="308">
          <cell r="M308" t="str">
            <v/>
          </cell>
        </row>
        <row r="309">
          <cell r="M309" t="str">
            <v/>
          </cell>
        </row>
        <row r="310">
          <cell r="M310" t="str">
            <v/>
          </cell>
        </row>
        <row r="311">
          <cell r="M311" t="str">
            <v/>
          </cell>
        </row>
        <row r="312">
          <cell r="M312" t="str">
            <v/>
          </cell>
        </row>
        <row r="313">
          <cell r="M313" t="str">
            <v/>
          </cell>
        </row>
        <row r="314">
          <cell r="M314" t="str">
            <v/>
          </cell>
        </row>
        <row r="315">
          <cell r="M315" t="str">
            <v/>
          </cell>
        </row>
        <row r="316">
          <cell r="M316" t="str">
            <v/>
          </cell>
        </row>
        <row r="317">
          <cell r="M317" t="str">
            <v/>
          </cell>
        </row>
        <row r="318">
          <cell r="M318" t="str">
            <v/>
          </cell>
        </row>
        <row r="319">
          <cell r="M319" t="str">
            <v/>
          </cell>
        </row>
        <row r="320">
          <cell r="M320" t="str">
            <v/>
          </cell>
        </row>
        <row r="321">
          <cell r="M321" t="str">
            <v/>
          </cell>
        </row>
        <row r="322">
          <cell r="M322" t="str">
            <v/>
          </cell>
        </row>
        <row r="323">
          <cell r="M323" t="str">
            <v/>
          </cell>
        </row>
        <row r="324">
          <cell r="M324" t="str">
            <v/>
          </cell>
        </row>
        <row r="325">
          <cell r="M325" t="str">
            <v/>
          </cell>
        </row>
        <row r="326">
          <cell r="M326" t="str">
            <v/>
          </cell>
        </row>
        <row r="327">
          <cell r="M327" t="str">
            <v/>
          </cell>
        </row>
        <row r="328">
          <cell r="M328" t="str">
            <v/>
          </cell>
        </row>
        <row r="329">
          <cell r="M329" t="str">
            <v/>
          </cell>
        </row>
        <row r="330">
          <cell r="M330" t="str">
            <v/>
          </cell>
        </row>
        <row r="331">
          <cell r="M331" t="str">
            <v/>
          </cell>
        </row>
        <row r="332">
          <cell r="M332" t="str">
            <v/>
          </cell>
        </row>
        <row r="333">
          <cell r="M333" t="str">
            <v/>
          </cell>
        </row>
        <row r="334">
          <cell r="M334" t="str">
            <v/>
          </cell>
        </row>
        <row r="335">
          <cell r="M335" t="str">
            <v/>
          </cell>
        </row>
        <row r="336">
          <cell r="M336" t="str">
            <v/>
          </cell>
        </row>
        <row r="337">
          <cell r="M337" t="str">
            <v/>
          </cell>
        </row>
        <row r="338">
          <cell r="M338" t="str">
            <v/>
          </cell>
        </row>
        <row r="339">
          <cell r="M339" t="str">
            <v/>
          </cell>
        </row>
        <row r="340">
          <cell r="M340" t="str">
            <v/>
          </cell>
        </row>
        <row r="341">
          <cell r="M341" t="str">
            <v/>
          </cell>
        </row>
        <row r="342">
          <cell r="M342" t="str">
            <v/>
          </cell>
        </row>
        <row r="343">
          <cell r="M343" t="str">
            <v/>
          </cell>
        </row>
        <row r="344">
          <cell r="M344" t="str">
            <v/>
          </cell>
        </row>
        <row r="345">
          <cell r="M345" t="str">
            <v/>
          </cell>
        </row>
        <row r="346">
          <cell r="M346" t="str">
            <v/>
          </cell>
        </row>
        <row r="347">
          <cell r="M347" t="str">
            <v/>
          </cell>
        </row>
        <row r="348">
          <cell r="M348" t="str">
            <v/>
          </cell>
        </row>
        <row r="349">
          <cell r="M349" t="str">
            <v/>
          </cell>
        </row>
        <row r="350">
          <cell r="M350" t="str">
            <v/>
          </cell>
        </row>
        <row r="351">
          <cell r="M351" t="str">
            <v/>
          </cell>
        </row>
        <row r="352">
          <cell r="M352" t="str">
            <v/>
          </cell>
        </row>
        <row r="353">
          <cell r="M353" t="str">
            <v/>
          </cell>
        </row>
        <row r="354">
          <cell r="M354" t="str">
            <v/>
          </cell>
        </row>
        <row r="355">
          <cell r="M355" t="str">
            <v/>
          </cell>
        </row>
        <row r="356">
          <cell r="M356" t="str">
            <v/>
          </cell>
        </row>
        <row r="357">
          <cell r="M357" t="str">
            <v/>
          </cell>
        </row>
        <row r="358">
          <cell r="M358" t="str">
            <v/>
          </cell>
        </row>
        <row r="359">
          <cell r="M359" t="str">
            <v/>
          </cell>
        </row>
        <row r="360">
          <cell r="M360" t="str">
            <v/>
          </cell>
        </row>
        <row r="361">
          <cell r="M361" t="str">
            <v/>
          </cell>
        </row>
        <row r="362">
          <cell r="M362" t="str">
            <v/>
          </cell>
        </row>
        <row r="363">
          <cell r="M363" t="str">
            <v/>
          </cell>
        </row>
        <row r="364">
          <cell r="M364" t="str">
            <v/>
          </cell>
        </row>
        <row r="365">
          <cell r="M365" t="str">
            <v/>
          </cell>
        </row>
        <row r="366">
          <cell r="M366" t="str">
            <v/>
          </cell>
        </row>
        <row r="367">
          <cell r="M367" t="str">
            <v/>
          </cell>
        </row>
        <row r="368">
          <cell r="M368" t="str">
            <v/>
          </cell>
        </row>
        <row r="369">
          <cell r="M369" t="str">
            <v/>
          </cell>
        </row>
        <row r="370">
          <cell r="M370" t="str">
            <v/>
          </cell>
        </row>
        <row r="371">
          <cell r="M371" t="str">
            <v/>
          </cell>
        </row>
        <row r="372">
          <cell r="M372" t="str">
            <v/>
          </cell>
        </row>
        <row r="373">
          <cell r="M373" t="str">
            <v/>
          </cell>
        </row>
        <row r="374">
          <cell r="M374" t="str">
            <v/>
          </cell>
        </row>
        <row r="375">
          <cell r="M375" t="str">
            <v/>
          </cell>
        </row>
        <row r="376">
          <cell r="M376" t="str">
            <v/>
          </cell>
        </row>
        <row r="377">
          <cell r="M377" t="str">
            <v/>
          </cell>
        </row>
        <row r="378">
          <cell r="M378" t="str">
            <v/>
          </cell>
        </row>
        <row r="379">
          <cell r="M379" t="str">
            <v/>
          </cell>
        </row>
        <row r="380">
          <cell r="M380" t="str">
            <v/>
          </cell>
        </row>
        <row r="381">
          <cell r="M381" t="str">
            <v/>
          </cell>
        </row>
        <row r="382">
          <cell r="M382" t="str">
            <v/>
          </cell>
        </row>
        <row r="383">
          <cell r="M383" t="str">
            <v/>
          </cell>
        </row>
        <row r="384">
          <cell r="M384" t="str">
            <v/>
          </cell>
        </row>
        <row r="385">
          <cell r="M385" t="str">
            <v/>
          </cell>
        </row>
        <row r="386">
          <cell r="M386" t="str">
            <v/>
          </cell>
        </row>
        <row r="387">
          <cell r="M387" t="str">
            <v/>
          </cell>
        </row>
        <row r="388">
          <cell r="M388" t="str">
            <v/>
          </cell>
        </row>
        <row r="389">
          <cell r="M389" t="str">
            <v/>
          </cell>
        </row>
        <row r="390">
          <cell r="M390" t="str">
            <v/>
          </cell>
        </row>
        <row r="391">
          <cell r="M391" t="str">
            <v/>
          </cell>
        </row>
        <row r="392">
          <cell r="M392" t="str">
            <v/>
          </cell>
        </row>
        <row r="393">
          <cell r="M393" t="str">
            <v/>
          </cell>
        </row>
        <row r="394">
          <cell r="M394" t="str">
            <v/>
          </cell>
        </row>
        <row r="395">
          <cell r="M395" t="str">
            <v/>
          </cell>
        </row>
        <row r="396">
          <cell r="M396" t="str">
            <v/>
          </cell>
        </row>
        <row r="397">
          <cell r="M397" t="str">
            <v/>
          </cell>
        </row>
        <row r="398">
          <cell r="M398" t="str">
            <v/>
          </cell>
        </row>
        <row r="399">
          <cell r="M399" t="str">
            <v/>
          </cell>
        </row>
        <row r="400">
          <cell r="M400" t="str">
            <v/>
          </cell>
        </row>
        <row r="401">
          <cell r="M401" t="str">
            <v/>
          </cell>
        </row>
        <row r="402">
          <cell r="M402" t="str">
            <v/>
          </cell>
        </row>
        <row r="403">
          <cell r="M403" t="str">
            <v/>
          </cell>
        </row>
        <row r="404">
          <cell r="M404" t="str">
            <v/>
          </cell>
        </row>
        <row r="405">
          <cell r="M405" t="str">
            <v/>
          </cell>
        </row>
        <row r="406">
          <cell r="M406" t="str">
            <v/>
          </cell>
        </row>
        <row r="407">
          <cell r="M407" t="str">
            <v/>
          </cell>
        </row>
        <row r="408">
          <cell r="M408" t="str">
            <v/>
          </cell>
        </row>
        <row r="409">
          <cell r="M409" t="str">
            <v/>
          </cell>
        </row>
        <row r="410">
          <cell r="M410" t="str">
            <v/>
          </cell>
        </row>
        <row r="411">
          <cell r="M411" t="str">
            <v/>
          </cell>
        </row>
        <row r="412">
          <cell r="M412" t="str">
            <v/>
          </cell>
        </row>
        <row r="413">
          <cell r="M413" t="str">
            <v/>
          </cell>
        </row>
        <row r="414">
          <cell r="M414" t="str">
            <v/>
          </cell>
        </row>
        <row r="415">
          <cell r="M415" t="str">
            <v/>
          </cell>
        </row>
        <row r="416">
          <cell r="M416" t="str">
            <v/>
          </cell>
        </row>
        <row r="417">
          <cell r="M417" t="str">
            <v/>
          </cell>
        </row>
        <row r="418">
          <cell r="M418" t="str">
            <v/>
          </cell>
        </row>
        <row r="419">
          <cell r="M419" t="str">
            <v/>
          </cell>
        </row>
        <row r="420">
          <cell r="M420" t="str">
            <v/>
          </cell>
        </row>
        <row r="421">
          <cell r="M421" t="str">
            <v/>
          </cell>
        </row>
        <row r="422">
          <cell r="M422" t="str">
            <v/>
          </cell>
        </row>
        <row r="423">
          <cell r="M423" t="str">
            <v/>
          </cell>
        </row>
        <row r="424">
          <cell r="M424" t="str">
            <v/>
          </cell>
        </row>
        <row r="425">
          <cell r="M425" t="str">
            <v/>
          </cell>
        </row>
        <row r="426">
          <cell r="M426" t="str">
            <v/>
          </cell>
        </row>
        <row r="427">
          <cell r="M427" t="str">
            <v/>
          </cell>
        </row>
        <row r="428">
          <cell r="M428" t="str">
            <v/>
          </cell>
        </row>
        <row r="429">
          <cell r="M429" t="str">
            <v/>
          </cell>
        </row>
        <row r="430">
          <cell r="M430" t="str">
            <v/>
          </cell>
        </row>
        <row r="431">
          <cell r="M431" t="str">
            <v/>
          </cell>
        </row>
        <row r="432">
          <cell r="M432" t="str">
            <v/>
          </cell>
        </row>
        <row r="433">
          <cell r="M433" t="str">
            <v/>
          </cell>
        </row>
        <row r="434">
          <cell r="M434" t="str">
            <v/>
          </cell>
        </row>
        <row r="435">
          <cell r="M435" t="str">
            <v/>
          </cell>
        </row>
        <row r="436">
          <cell r="M436" t="str">
            <v/>
          </cell>
        </row>
        <row r="437">
          <cell r="M437" t="str">
            <v/>
          </cell>
        </row>
        <row r="438">
          <cell r="M438" t="str">
            <v/>
          </cell>
        </row>
        <row r="439">
          <cell r="M439" t="str">
            <v/>
          </cell>
        </row>
        <row r="440">
          <cell r="M440" t="str">
            <v/>
          </cell>
        </row>
        <row r="441">
          <cell r="M441" t="str">
            <v/>
          </cell>
        </row>
        <row r="442">
          <cell r="M442" t="str">
            <v/>
          </cell>
        </row>
        <row r="443">
          <cell r="M443" t="str">
            <v/>
          </cell>
        </row>
        <row r="444">
          <cell r="M444" t="str">
            <v/>
          </cell>
        </row>
        <row r="445">
          <cell r="M445" t="str">
            <v/>
          </cell>
        </row>
        <row r="446">
          <cell r="M446" t="str">
            <v/>
          </cell>
        </row>
        <row r="447">
          <cell r="M447" t="str">
            <v/>
          </cell>
        </row>
        <row r="448">
          <cell r="M448" t="str">
            <v/>
          </cell>
        </row>
        <row r="449">
          <cell r="M449" t="str">
            <v/>
          </cell>
        </row>
        <row r="450">
          <cell r="M450" t="str">
            <v/>
          </cell>
        </row>
        <row r="451">
          <cell r="M451" t="str">
            <v/>
          </cell>
        </row>
        <row r="452">
          <cell r="M452" t="str">
            <v/>
          </cell>
        </row>
        <row r="453">
          <cell r="M453" t="str">
            <v/>
          </cell>
        </row>
        <row r="454">
          <cell r="M454" t="str">
            <v/>
          </cell>
        </row>
        <row r="455">
          <cell r="M455" t="str">
            <v/>
          </cell>
        </row>
        <row r="456">
          <cell r="M456" t="str">
            <v/>
          </cell>
        </row>
        <row r="457">
          <cell r="M457" t="str">
            <v/>
          </cell>
        </row>
        <row r="458">
          <cell r="M458" t="str">
            <v/>
          </cell>
        </row>
        <row r="459">
          <cell r="M459" t="str">
            <v/>
          </cell>
        </row>
        <row r="460">
          <cell r="M460" t="str">
            <v/>
          </cell>
        </row>
        <row r="461">
          <cell r="M461" t="str">
            <v/>
          </cell>
        </row>
        <row r="462">
          <cell r="M462" t="str">
            <v/>
          </cell>
        </row>
        <row r="463">
          <cell r="M463" t="str">
            <v/>
          </cell>
        </row>
        <row r="464">
          <cell r="M464" t="str">
            <v/>
          </cell>
        </row>
        <row r="465">
          <cell r="M465" t="str">
            <v/>
          </cell>
        </row>
        <row r="466">
          <cell r="M466" t="str">
            <v/>
          </cell>
        </row>
        <row r="467">
          <cell r="M467" t="str">
            <v/>
          </cell>
        </row>
        <row r="468">
          <cell r="M468" t="str">
            <v/>
          </cell>
        </row>
        <row r="469">
          <cell r="M469" t="str">
            <v/>
          </cell>
        </row>
        <row r="470">
          <cell r="M470" t="str">
            <v/>
          </cell>
        </row>
        <row r="471">
          <cell r="M471" t="str">
            <v/>
          </cell>
        </row>
        <row r="472">
          <cell r="M472" t="str">
            <v/>
          </cell>
        </row>
        <row r="473">
          <cell r="M473" t="str">
            <v/>
          </cell>
        </row>
        <row r="474">
          <cell r="M474" t="str">
            <v/>
          </cell>
        </row>
        <row r="475">
          <cell r="M475" t="str">
            <v/>
          </cell>
        </row>
        <row r="476">
          <cell r="M476" t="str">
            <v/>
          </cell>
        </row>
        <row r="477">
          <cell r="M477" t="str">
            <v/>
          </cell>
        </row>
        <row r="478">
          <cell r="M478" t="str">
            <v/>
          </cell>
        </row>
        <row r="479">
          <cell r="M479" t="str">
            <v/>
          </cell>
        </row>
      </sheetData>
      <sheetData sheetId="9">
        <row r="2">
          <cell r="Q2" t="str">
            <v/>
          </cell>
        </row>
        <row r="3">
          <cell r="Q3" t="str">
            <v/>
          </cell>
        </row>
        <row r="4">
          <cell r="Q4" t="str">
            <v/>
          </cell>
        </row>
        <row r="5">
          <cell r="Q5" t="str">
            <v/>
          </cell>
        </row>
        <row r="6">
          <cell r="Q6" t="str">
            <v/>
          </cell>
        </row>
        <row r="7">
          <cell r="Q7" t="str">
            <v/>
          </cell>
        </row>
        <row r="8">
          <cell r="Q8" t="str">
            <v/>
          </cell>
        </row>
        <row r="9">
          <cell r="Q9" t="str">
            <v/>
          </cell>
        </row>
        <row r="10">
          <cell r="Q10" t="str">
            <v/>
          </cell>
        </row>
        <row r="11">
          <cell r="Q11" t="str">
            <v/>
          </cell>
        </row>
        <row r="12">
          <cell r="Q12" t="str">
            <v/>
          </cell>
        </row>
        <row r="13">
          <cell r="Q13" t="str">
            <v/>
          </cell>
        </row>
        <row r="14">
          <cell r="Q14" t="str">
            <v/>
          </cell>
        </row>
        <row r="15">
          <cell r="Q15" t="str">
            <v/>
          </cell>
        </row>
        <row r="16">
          <cell r="Q16" t="str">
            <v/>
          </cell>
        </row>
        <row r="17">
          <cell r="Q17" t="str">
            <v/>
          </cell>
        </row>
        <row r="18">
          <cell r="Q18" t="str">
            <v/>
          </cell>
        </row>
        <row r="19">
          <cell r="Q19" t="str">
            <v/>
          </cell>
        </row>
        <row r="20">
          <cell r="Q20" t="str">
            <v/>
          </cell>
        </row>
        <row r="21">
          <cell r="Q21" t="str">
            <v/>
          </cell>
        </row>
        <row r="22">
          <cell r="Q22" t="str">
            <v/>
          </cell>
        </row>
        <row r="23">
          <cell r="Q23" t="str">
            <v/>
          </cell>
        </row>
        <row r="24">
          <cell r="Q24" t="str">
            <v/>
          </cell>
        </row>
        <row r="25">
          <cell r="Q25" t="str">
            <v/>
          </cell>
        </row>
        <row r="26">
          <cell r="Q26" t="str">
            <v/>
          </cell>
        </row>
        <row r="27">
          <cell r="Q27" t="str">
            <v/>
          </cell>
        </row>
        <row r="28">
          <cell r="Q28" t="str">
            <v/>
          </cell>
        </row>
        <row r="29">
          <cell r="Q29" t="str">
            <v/>
          </cell>
        </row>
        <row r="30">
          <cell r="Q30" t="str">
            <v/>
          </cell>
        </row>
        <row r="31">
          <cell r="Q31" t="str">
            <v/>
          </cell>
        </row>
        <row r="32">
          <cell r="Q32" t="str">
            <v/>
          </cell>
        </row>
        <row r="33">
          <cell r="Q33" t="str">
            <v/>
          </cell>
        </row>
        <row r="34">
          <cell r="Q34" t="str">
            <v/>
          </cell>
        </row>
        <row r="35">
          <cell r="Q35" t="str">
            <v/>
          </cell>
        </row>
        <row r="36">
          <cell r="Q36" t="str">
            <v/>
          </cell>
        </row>
        <row r="37">
          <cell r="Q37" t="str">
            <v/>
          </cell>
        </row>
        <row r="38">
          <cell r="Q38" t="str">
            <v/>
          </cell>
        </row>
        <row r="39">
          <cell r="Q39" t="str">
            <v/>
          </cell>
        </row>
        <row r="40">
          <cell r="Q40" t="str">
            <v/>
          </cell>
        </row>
        <row r="41">
          <cell r="Q41" t="str">
            <v/>
          </cell>
        </row>
        <row r="42">
          <cell r="Q42" t="str">
            <v/>
          </cell>
        </row>
        <row r="43">
          <cell r="Q43" t="str">
            <v/>
          </cell>
        </row>
        <row r="44">
          <cell r="Q44" t="str">
            <v/>
          </cell>
        </row>
        <row r="45">
          <cell r="Q45" t="str">
            <v/>
          </cell>
        </row>
        <row r="46">
          <cell r="Q46" t="str">
            <v/>
          </cell>
        </row>
        <row r="47">
          <cell r="Q47" t="str">
            <v/>
          </cell>
        </row>
        <row r="48">
          <cell r="Q48" t="str">
            <v/>
          </cell>
        </row>
        <row r="49">
          <cell r="Q49" t="str">
            <v/>
          </cell>
        </row>
        <row r="50">
          <cell r="Q50" t="str">
            <v/>
          </cell>
        </row>
        <row r="51">
          <cell r="Q51" t="str">
            <v/>
          </cell>
        </row>
        <row r="52">
          <cell r="Q52" t="str">
            <v/>
          </cell>
        </row>
        <row r="53">
          <cell r="Q53" t="str">
            <v/>
          </cell>
        </row>
        <row r="54">
          <cell r="Q54" t="str">
            <v/>
          </cell>
        </row>
        <row r="55">
          <cell r="Q55" t="str">
            <v/>
          </cell>
        </row>
        <row r="56">
          <cell r="Q56" t="str">
            <v/>
          </cell>
        </row>
        <row r="57">
          <cell r="Q57" t="str">
            <v/>
          </cell>
        </row>
        <row r="58">
          <cell r="Q58" t="str">
            <v/>
          </cell>
        </row>
        <row r="59">
          <cell r="Q59" t="str">
            <v/>
          </cell>
        </row>
        <row r="60">
          <cell r="Q60" t="str">
            <v/>
          </cell>
        </row>
        <row r="61">
          <cell r="Q61" t="str">
            <v/>
          </cell>
        </row>
        <row r="62">
          <cell r="Q62" t="str">
            <v/>
          </cell>
        </row>
        <row r="63">
          <cell r="Q63" t="str">
            <v/>
          </cell>
        </row>
        <row r="64">
          <cell r="Q64" t="str">
            <v/>
          </cell>
        </row>
        <row r="65">
          <cell r="Q65" t="str">
            <v/>
          </cell>
        </row>
        <row r="66">
          <cell r="Q66" t="str">
            <v/>
          </cell>
        </row>
        <row r="67">
          <cell r="Q67" t="str">
            <v/>
          </cell>
        </row>
        <row r="68">
          <cell r="Q68" t="str">
            <v/>
          </cell>
        </row>
        <row r="69">
          <cell r="Q69" t="str">
            <v/>
          </cell>
        </row>
        <row r="70">
          <cell r="Q70" t="str">
            <v/>
          </cell>
        </row>
        <row r="71">
          <cell r="Q71" t="str">
            <v/>
          </cell>
        </row>
        <row r="72">
          <cell r="Q72" t="str">
            <v/>
          </cell>
        </row>
        <row r="73">
          <cell r="Q73" t="str">
            <v/>
          </cell>
        </row>
        <row r="74">
          <cell r="Q74" t="str">
            <v/>
          </cell>
        </row>
        <row r="75">
          <cell r="Q75" t="str">
            <v/>
          </cell>
        </row>
        <row r="76">
          <cell r="Q76" t="str">
            <v/>
          </cell>
        </row>
        <row r="77">
          <cell r="Q77" t="str">
            <v/>
          </cell>
        </row>
        <row r="78">
          <cell r="Q78" t="str">
            <v/>
          </cell>
        </row>
        <row r="79">
          <cell r="Q79" t="str">
            <v/>
          </cell>
        </row>
        <row r="80">
          <cell r="Q80" t="str">
            <v/>
          </cell>
        </row>
        <row r="81">
          <cell r="Q81" t="str">
            <v/>
          </cell>
        </row>
        <row r="82">
          <cell r="Q82" t="str">
            <v/>
          </cell>
        </row>
        <row r="83">
          <cell r="Q83" t="str">
            <v/>
          </cell>
        </row>
        <row r="84">
          <cell r="Q84" t="str">
            <v/>
          </cell>
        </row>
        <row r="85">
          <cell r="Q85" t="str">
            <v/>
          </cell>
        </row>
        <row r="86">
          <cell r="Q86" t="str">
            <v/>
          </cell>
        </row>
        <row r="87">
          <cell r="Q87" t="str">
            <v/>
          </cell>
        </row>
        <row r="88">
          <cell r="Q88" t="str">
            <v/>
          </cell>
        </row>
        <row r="89">
          <cell r="Q89" t="str">
            <v/>
          </cell>
        </row>
        <row r="90">
          <cell r="Q90" t="str">
            <v/>
          </cell>
        </row>
        <row r="91">
          <cell r="Q91" t="str">
            <v/>
          </cell>
        </row>
        <row r="92">
          <cell r="Q92" t="str">
            <v/>
          </cell>
        </row>
        <row r="93">
          <cell r="Q93" t="str">
            <v/>
          </cell>
        </row>
        <row r="94">
          <cell r="Q94" t="str">
            <v/>
          </cell>
        </row>
        <row r="95">
          <cell r="Q95" t="str">
            <v/>
          </cell>
        </row>
        <row r="96">
          <cell r="Q96" t="str">
            <v/>
          </cell>
        </row>
        <row r="97">
          <cell r="Q97" t="str">
            <v/>
          </cell>
        </row>
        <row r="98">
          <cell r="Q98" t="str">
            <v/>
          </cell>
        </row>
        <row r="99">
          <cell r="Q99" t="str">
            <v/>
          </cell>
        </row>
        <row r="100">
          <cell r="Q100" t="str">
            <v/>
          </cell>
        </row>
        <row r="101">
          <cell r="Q101" t="str">
            <v/>
          </cell>
        </row>
        <row r="102">
          <cell r="Q102" t="str">
            <v/>
          </cell>
        </row>
        <row r="103">
          <cell r="Q103" t="str">
            <v/>
          </cell>
        </row>
        <row r="104">
          <cell r="Q104" t="str">
            <v/>
          </cell>
        </row>
        <row r="105">
          <cell r="Q105" t="str">
            <v/>
          </cell>
        </row>
        <row r="106">
          <cell r="Q106" t="str">
            <v/>
          </cell>
        </row>
        <row r="107">
          <cell r="Q107" t="str">
            <v/>
          </cell>
        </row>
        <row r="108">
          <cell r="Q108" t="str">
            <v/>
          </cell>
        </row>
        <row r="109">
          <cell r="Q109" t="str">
            <v/>
          </cell>
        </row>
        <row r="110">
          <cell r="Q110" t="str">
            <v/>
          </cell>
        </row>
        <row r="111">
          <cell r="Q111" t="str">
            <v/>
          </cell>
        </row>
        <row r="112">
          <cell r="Q112" t="str">
            <v/>
          </cell>
        </row>
        <row r="113">
          <cell r="Q113" t="str">
            <v/>
          </cell>
        </row>
        <row r="114">
          <cell r="Q114" t="str">
            <v/>
          </cell>
        </row>
        <row r="115">
          <cell r="Q115" t="str">
            <v/>
          </cell>
        </row>
        <row r="116">
          <cell r="Q116" t="str">
            <v/>
          </cell>
        </row>
        <row r="117">
          <cell r="Q117" t="str">
            <v/>
          </cell>
        </row>
        <row r="118">
          <cell r="Q118" t="str">
            <v/>
          </cell>
        </row>
        <row r="119">
          <cell r="Q119" t="str">
            <v/>
          </cell>
        </row>
        <row r="120">
          <cell r="Q120" t="str">
            <v/>
          </cell>
        </row>
        <row r="121">
          <cell r="Q121" t="str">
            <v/>
          </cell>
        </row>
        <row r="122">
          <cell r="Q122" t="str">
            <v/>
          </cell>
        </row>
        <row r="123">
          <cell r="Q123" t="str">
            <v/>
          </cell>
        </row>
        <row r="124">
          <cell r="Q124" t="str">
            <v/>
          </cell>
        </row>
        <row r="125">
          <cell r="Q125" t="str">
            <v/>
          </cell>
        </row>
        <row r="126">
          <cell r="Q126" t="str">
            <v/>
          </cell>
        </row>
        <row r="127">
          <cell r="Q127" t="str">
            <v/>
          </cell>
        </row>
        <row r="128">
          <cell r="Q128" t="str">
            <v/>
          </cell>
        </row>
        <row r="129">
          <cell r="Q129" t="str">
            <v/>
          </cell>
        </row>
        <row r="130">
          <cell r="Q130" t="str">
            <v/>
          </cell>
        </row>
        <row r="131">
          <cell r="Q131" t="str">
            <v/>
          </cell>
        </row>
        <row r="132">
          <cell r="Q132" t="str">
            <v/>
          </cell>
        </row>
        <row r="133">
          <cell r="Q133" t="str">
            <v/>
          </cell>
        </row>
        <row r="134">
          <cell r="Q134" t="str">
            <v/>
          </cell>
        </row>
        <row r="135">
          <cell r="Q135" t="str">
            <v/>
          </cell>
        </row>
        <row r="136">
          <cell r="Q136" t="str">
            <v/>
          </cell>
        </row>
        <row r="137">
          <cell r="Q137" t="str">
            <v/>
          </cell>
        </row>
        <row r="138">
          <cell r="Q138" t="str">
            <v/>
          </cell>
        </row>
        <row r="139">
          <cell r="Q139" t="str">
            <v/>
          </cell>
        </row>
        <row r="140">
          <cell r="Q140" t="str">
            <v/>
          </cell>
        </row>
        <row r="141">
          <cell r="Q141" t="str">
            <v/>
          </cell>
        </row>
        <row r="142">
          <cell r="Q142" t="str">
            <v/>
          </cell>
        </row>
        <row r="143">
          <cell r="Q143" t="str">
            <v/>
          </cell>
        </row>
        <row r="144">
          <cell r="Q144" t="str">
            <v/>
          </cell>
        </row>
        <row r="145">
          <cell r="Q145" t="str">
            <v/>
          </cell>
        </row>
        <row r="146">
          <cell r="Q146" t="str">
            <v/>
          </cell>
        </row>
        <row r="147">
          <cell r="Q147" t="str">
            <v/>
          </cell>
        </row>
        <row r="148">
          <cell r="Q148" t="str">
            <v/>
          </cell>
        </row>
        <row r="149">
          <cell r="Q149" t="str">
            <v/>
          </cell>
        </row>
        <row r="150">
          <cell r="Q150" t="str">
            <v/>
          </cell>
        </row>
        <row r="151">
          <cell r="Q151" t="str">
            <v/>
          </cell>
        </row>
        <row r="152">
          <cell r="Q152" t="str">
            <v/>
          </cell>
        </row>
        <row r="153">
          <cell r="Q153" t="str">
            <v/>
          </cell>
        </row>
        <row r="154">
          <cell r="Q154" t="str">
            <v/>
          </cell>
        </row>
        <row r="155">
          <cell r="Q155" t="str">
            <v/>
          </cell>
        </row>
        <row r="156">
          <cell r="Q156" t="str">
            <v/>
          </cell>
        </row>
        <row r="157">
          <cell r="Q157" t="str">
            <v/>
          </cell>
        </row>
        <row r="158">
          <cell r="Q158" t="str">
            <v/>
          </cell>
        </row>
        <row r="159">
          <cell r="Q159" t="str">
            <v/>
          </cell>
        </row>
        <row r="160">
          <cell r="Q160" t="str">
            <v/>
          </cell>
        </row>
        <row r="161">
          <cell r="Q161" t="str">
            <v/>
          </cell>
        </row>
        <row r="162">
          <cell r="Q162" t="str">
            <v/>
          </cell>
        </row>
        <row r="163">
          <cell r="Q163" t="str">
            <v/>
          </cell>
        </row>
        <row r="164">
          <cell r="Q164" t="str">
            <v/>
          </cell>
        </row>
        <row r="165">
          <cell r="Q165" t="str">
            <v/>
          </cell>
        </row>
        <row r="166">
          <cell r="Q166" t="str">
            <v/>
          </cell>
        </row>
        <row r="167">
          <cell r="Q167" t="str">
            <v/>
          </cell>
        </row>
        <row r="168">
          <cell r="Q168" t="str">
            <v/>
          </cell>
        </row>
        <row r="169">
          <cell r="Q169" t="str">
            <v/>
          </cell>
        </row>
        <row r="170">
          <cell r="Q170" t="str">
            <v/>
          </cell>
        </row>
        <row r="171">
          <cell r="Q171" t="str">
            <v/>
          </cell>
        </row>
        <row r="172">
          <cell r="Q172" t="str">
            <v/>
          </cell>
        </row>
        <row r="173">
          <cell r="Q173" t="str">
            <v/>
          </cell>
        </row>
        <row r="174">
          <cell r="Q174" t="str">
            <v/>
          </cell>
        </row>
        <row r="175">
          <cell r="Q175" t="str">
            <v/>
          </cell>
        </row>
        <row r="176">
          <cell r="Q176" t="str">
            <v/>
          </cell>
        </row>
        <row r="177">
          <cell r="Q177" t="str">
            <v/>
          </cell>
        </row>
        <row r="178">
          <cell r="Q178" t="str">
            <v/>
          </cell>
        </row>
        <row r="179">
          <cell r="Q179" t="str">
            <v/>
          </cell>
        </row>
        <row r="180">
          <cell r="Q180" t="str">
            <v/>
          </cell>
        </row>
        <row r="181">
          <cell r="Q181" t="str">
            <v/>
          </cell>
        </row>
        <row r="182">
          <cell r="Q182" t="str">
            <v/>
          </cell>
        </row>
        <row r="183">
          <cell r="Q183" t="str">
            <v/>
          </cell>
        </row>
        <row r="184">
          <cell r="Q184" t="str">
            <v/>
          </cell>
        </row>
        <row r="185">
          <cell r="Q185" t="str">
            <v/>
          </cell>
        </row>
        <row r="186">
          <cell r="Q186" t="str">
            <v/>
          </cell>
        </row>
        <row r="187">
          <cell r="Q187" t="str">
            <v/>
          </cell>
        </row>
        <row r="188">
          <cell r="Q188" t="str">
            <v/>
          </cell>
        </row>
        <row r="189">
          <cell r="Q189" t="str">
            <v/>
          </cell>
        </row>
        <row r="190">
          <cell r="Q190" t="str">
            <v/>
          </cell>
        </row>
        <row r="191">
          <cell r="Q191" t="str">
            <v/>
          </cell>
        </row>
        <row r="192">
          <cell r="Q192" t="str">
            <v/>
          </cell>
        </row>
        <row r="193">
          <cell r="Q193" t="str">
            <v/>
          </cell>
        </row>
        <row r="194">
          <cell r="Q194" t="str">
            <v/>
          </cell>
        </row>
        <row r="195">
          <cell r="Q195" t="str">
            <v/>
          </cell>
        </row>
        <row r="196">
          <cell r="Q196" t="str">
            <v/>
          </cell>
        </row>
        <row r="197">
          <cell r="Q197" t="str">
            <v/>
          </cell>
        </row>
        <row r="198">
          <cell r="Q198" t="str">
            <v/>
          </cell>
        </row>
        <row r="199">
          <cell r="Q199" t="str">
            <v/>
          </cell>
        </row>
        <row r="200">
          <cell r="Q200" t="str">
            <v/>
          </cell>
        </row>
        <row r="201">
          <cell r="Q201" t="str">
            <v/>
          </cell>
        </row>
        <row r="202">
          <cell r="Q202" t="str">
            <v/>
          </cell>
        </row>
        <row r="203">
          <cell r="Q203" t="str">
            <v/>
          </cell>
        </row>
        <row r="204">
          <cell r="Q204" t="str">
            <v/>
          </cell>
        </row>
        <row r="205">
          <cell r="Q205" t="str">
            <v/>
          </cell>
        </row>
        <row r="206">
          <cell r="Q206" t="str">
            <v/>
          </cell>
        </row>
        <row r="207">
          <cell r="Q207" t="str">
            <v/>
          </cell>
        </row>
        <row r="208">
          <cell r="Q208" t="str">
            <v/>
          </cell>
        </row>
        <row r="209">
          <cell r="Q209" t="str">
            <v/>
          </cell>
        </row>
        <row r="210">
          <cell r="Q210" t="str">
            <v/>
          </cell>
        </row>
        <row r="211">
          <cell r="Q211" t="str">
            <v/>
          </cell>
        </row>
        <row r="212">
          <cell r="Q212" t="str">
            <v/>
          </cell>
        </row>
        <row r="213">
          <cell r="Q213" t="str">
            <v/>
          </cell>
        </row>
        <row r="214">
          <cell r="Q214" t="str">
            <v/>
          </cell>
        </row>
        <row r="215">
          <cell r="Q215" t="str">
            <v/>
          </cell>
        </row>
        <row r="216">
          <cell r="Q216" t="str">
            <v/>
          </cell>
        </row>
        <row r="217">
          <cell r="Q217" t="str">
            <v/>
          </cell>
        </row>
        <row r="218">
          <cell r="Q218" t="str">
            <v/>
          </cell>
        </row>
        <row r="219">
          <cell r="Q219" t="str">
            <v/>
          </cell>
        </row>
        <row r="220">
          <cell r="Q220" t="str">
            <v/>
          </cell>
        </row>
        <row r="221">
          <cell r="Q221" t="str">
            <v/>
          </cell>
        </row>
        <row r="222">
          <cell r="Q222" t="str">
            <v/>
          </cell>
        </row>
        <row r="223">
          <cell r="Q223" t="str">
            <v/>
          </cell>
        </row>
        <row r="224">
          <cell r="Q224" t="str">
            <v/>
          </cell>
        </row>
        <row r="225">
          <cell r="Q225" t="str">
            <v/>
          </cell>
        </row>
        <row r="226">
          <cell r="Q226" t="str">
            <v/>
          </cell>
        </row>
        <row r="227">
          <cell r="Q227" t="str">
            <v/>
          </cell>
        </row>
        <row r="228">
          <cell r="Q228" t="str">
            <v/>
          </cell>
        </row>
        <row r="229">
          <cell r="Q229" t="str">
            <v/>
          </cell>
        </row>
        <row r="230">
          <cell r="Q230" t="str">
            <v/>
          </cell>
        </row>
        <row r="231">
          <cell r="Q231" t="str">
            <v/>
          </cell>
        </row>
        <row r="232">
          <cell r="Q232" t="str">
            <v/>
          </cell>
        </row>
        <row r="233">
          <cell r="Q233" t="str">
            <v/>
          </cell>
        </row>
        <row r="234">
          <cell r="Q234" t="str">
            <v/>
          </cell>
        </row>
        <row r="235">
          <cell r="Q235" t="str">
            <v/>
          </cell>
        </row>
        <row r="236">
          <cell r="Q236" t="str">
            <v/>
          </cell>
        </row>
        <row r="237">
          <cell r="Q237" t="str">
            <v/>
          </cell>
        </row>
        <row r="238">
          <cell r="Q238" t="str">
            <v/>
          </cell>
        </row>
        <row r="239">
          <cell r="Q239" t="str">
            <v/>
          </cell>
        </row>
        <row r="240">
          <cell r="Q240" t="str">
            <v/>
          </cell>
        </row>
        <row r="241">
          <cell r="Q241" t="str">
            <v/>
          </cell>
        </row>
        <row r="242">
          <cell r="Q242" t="str">
            <v/>
          </cell>
        </row>
        <row r="243">
          <cell r="Q243" t="str">
            <v/>
          </cell>
        </row>
        <row r="244">
          <cell r="Q244" t="str">
            <v/>
          </cell>
        </row>
        <row r="245">
          <cell r="Q245" t="str">
            <v/>
          </cell>
        </row>
        <row r="246">
          <cell r="Q246" t="str">
            <v/>
          </cell>
        </row>
        <row r="247">
          <cell r="Q247" t="str">
            <v/>
          </cell>
        </row>
        <row r="248">
          <cell r="Q248" t="str">
            <v/>
          </cell>
        </row>
        <row r="249">
          <cell r="Q249" t="str">
            <v/>
          </cell>
        </row>
        <row r="250">
          <cell r="Q250" t="str">
            <v/>
          </cell>
        </row>
        <row r="251">
          <cell r="Q251" t="str">
            <v/>
          </cell>
        </row>
        <row r="252">
          <cell r="Q252" t="str">
            <v/>
          </cell>
        </row>
        <row r="253">
          <cell r="Q253" t="str">
            <v/>
          </cell>
        </row>
        <row r="254">
          <cell r="Q254" t="str">
            <v/>
          </cell>
        </row>
        <row r="255">
          <cell r="Q255" t="str">
            <v/>
          </cell>
        </row>
        <row r="256">
          <cell r="Q256" t="str">
            <v/>
          </cell>
        </row>
        <row r="257">
          <cell r="Q257" t="str">
            <v/>
          </cell>
        </row>
        <row r="258">
          <cell r="Q258" t="str">
            <v/>
          </cell>
        </row>
        <row r="259">
          <cell r="Q259" t="str">
            <v/>
          </cell>
        </row>
        <row r="260">
          <cell r="Q260" t="str">
            <v/>
          </cell>
        </row>
        <row r="261">
          <cell r="Q261" t="str">
            <v/>
          </cell>
        </row>
        <row r="262">
          <cell r="Q262" t="str">
            <v/>
          </cell>
        </row>
        <row r="263">
          <cell r="Q263" t="str">
            <v/>
          </cell>
        </row>
        <row r="264">
          <cell r="Q264" t="str">
            <v/>
          </cell>
        </row>
        <row r="265">
          <cell r="Q265" t="str">
            <v/>
          </cell>
        </row>
        <row r="266">
          <cell r="Q266" t="str">
            <v/>
          </cell>
        </row>
        <row r="267">
          <cell r="Q267" t="str">
            <v/>
          </cell>
        </row>
        <row r="268">
          <cell r="Q268" t="str">
            <v/>
          </cell>
        </row>
        <row r="269">
          <cell r="Q269" t="str">
            <v/>
          </cell>
        </row>
        <row r="270">
          <cell r="Q270" t="str">
            <v/>
          </cell>
        </row>
        <row r="271">
          <cell r="Q271" t="str">
            <v/>
          </cell>
        </row>
        <row r="272">
          <cell r="Q272" t="str">
            <v/>
          </cell>
        </row>
        <row r="273">
          <cell r="Q273" t="str">
            <v/>
          </cell>
        </row>
        <row r="274">
          <cell r="Q274" t="str">
            <v/>
          </cell>
        </row>
        <row r="275">
          <cell r="Q275" t="str">
            <v/>
          </cell>
        </row>
        <row r="276">
          <cell r="Q276" t="str">
            <v/>
          </cell>
        </row>
        <row r="277">
          <cell r="Q277" t="str">
            <v/>
          </cell>
        </row>
        <row r="278">
          <cell r="Q278" t="str">
            <v/>
          </cell>
        </row>
        <row r="279">
          <cell r="Q279" t="str">
            <v/>
          </cell>
        </row>
        <row r="280">
          <cell r="Q280" t="str">
            <v/>
          </cell>
        </row>
        <row r="281">
          <cell r="Q281" t="str">
            <v/>
          </cell>
        </row>
        <row r="282">
          <cell r="Q282" t="str">
            <v/>
          </cell>
        </row>
        <row r="283">
          <cell r="Q283" t="str">
            <v/>
          </cell>
        </row>
        <row r="284">
          <cell r="Q284" t="str">
            <v/>
          </cell>
        </row>
        <row r="285">
          <cell r="Q285" t="str">
            <v/>
          </cell>
        </row>
        <row r="286">
          <cell r="Q286" t="str">
            <v/>
          </cell>
        </row>
        <row r="287">
          <cell r="Q287" t="str">
            <v/>
          </cell>
        </row>
        <row r="288">
          <cell r="Q288" t="str">
            <v/>
          </cell>
        </row>
        <row r="289">
          <cell r="Q289" t="str">
            <v/>
          </cell>
        </row>
        <row r="290">
          <cell r="Q290" t="str">
            <v/>
          </cell>
        </row>
        <row r="291">
          <cell r="Q291" t="str">
            <v/>
          </cell>
        </row>
        <row r="292">
          <cell r="Q292" t="str">
            <v/>
          </cell>
        </row>
        <row r="293">
          <cell r="Q293" t="str">
            <v/>
          </cell>
        </row>
        <row r="294">
          <cell r="Q294" t="str">
            <v/>
          </cell>
        </row>
        <row r="295">
          <cell r="Q295" t="str">
            <v/>
          </cell>
        </row>
        <row r="296">
          <cell r="Q296" t="str">
            <v/>
          </cell>
        </row>
        <row r="297">
          <cell r="Q297" t="str">
            <v/>
          </cell>
        </row>
        <row r="298">
          <cell r="Q298" t="str">
            <v/>
          </cell>
        </row>
        <row r="299">
          <cell r="Q299" t="str">
            <v/>
          </cell>
        </row>
        <row r="300">
          <cell r="Q300" t="str">
            <v/>
          </cell>
        </row>
        <row r="301">
          <cell r="Q301" t="str">
            <v/>
          </cell>
        </row>
        <row r="302">
          <cell r="Q302" t="str">
            <v/>
          </cell>
        </row>
        <row r="303">
          <cell r="Q303" t="str">
            <v/>
          </cell>
        </row>
        <row r="304">
          <cell r="Q304" t="str">
            <v/>
          </cell>
        </row>
        <row r="305">
          <cell r="Q305" t="str">
            <v/>
          </cell>
        </row>
        <row r="306">
          <cell r="Q306" t="str">
            <v/>
          </cell>
        </row>
        <row r="307">
          <cell r="Q307" t="str">
            <v/>
          </cell>
        </row>
        <row r="308">
          <cell r="Q308" t="str">
            <v/>
          </cell>
        </row>
        <row r="309">
          <cell r="Q309" t="str">
            <v/>
          </cell>
        </row>
        <row r="310">
          <cell r="Q310" t="str">
            <v/>
          </cell>
        </row>
        <row r="311">
          <cell r="Q311" t="str">
            <v/>
          </cell>
        </row>
        <row r="312">
          <cell r="Q312" t="str">
            <v/>
          </cell>
        </row>
        <row r="313">
          <cell r="Q313" t="str">
            <v/>
          </cell>
        </row>
        <row r="314">
          <cell r="Q314" t="str">
            <v/>
          </cell>
        </row>
        <row r="315">
          <cell r="Q315" t="str">
            <v/>
          </cell>
        </row>
        <row r="316">
          <cell r="Q316" t="str">
            <v/>
          </cell>
        </row>
        <row r="317">
          <cell r="Q317" t="str">
            <v/>
          </cell>
        </row>
        <row r="318">
          <cell r="Q318" t="str">
            <v/>
          </cell>
        </row>
        <row r="319">
          <cell r="Q319" t="str">
            <v/>
          </cell>
        </row>
        <row r="320">
          <cell r="Q320" t="str">
            <v/>
          </cell>
        </row>
        <row r="321">
          <cell r="Q321" t="str">
            <v/>
          </cell>
        </row>
        <row r="322">
          <cell r="Q322" t="str">
            <v/>
          </cell>
        </row>
        <row r="323">
          <cell r="Q323" t="str">
            <v/>
          </cell>
        </row>
        <row r="324">
          <cell r="Q324" t="str">
            <v/>
          </cell>
        </row>
        <row r="325">
          <cell r="Q325" t="str">
            <v/>
          </cell>
        </row>
        <row r="326">
          <cell r="Q326" t="str">
            <v/>
          </cell>
        </row>
        <row r="327">
          <cell r="Q327" t="str">
            <v/>
          </cell>
        </row>
        <row r="328">
          <cell r="Q328" t="str">
            <v/>
          </cell>
        </row>
        <row r="329">
          <cell r="Q329" t="str">
            <v/>
          </cell>
        </row>
        <row r="330">
          <cell r="Q330" t="str">
            <v/>
          </cell>
        </row>
        <row r="331">
          <cell r="Q331" t="str">
            <v/>
          </cell>
        </row>
        <row r="332">
          <cell r="Q332" t="str">
            <v/>
          </cell>
        </row>
        <row r="333">
          <cell r="Q333" t="str">
            <v/>
          </cell>
        </row>
        <row r="334">
          <cell r="Q334" t="str">
            <v/>
          </cell>
        </row>
        <row r="335">
          <cell r="Q335" t="str">
            <v/>
          </cell>
        </row>
        <row r="336">
          <cell r="Q336" t="str">
            <v/>
          </cell>
        </row>
        <row r="337">
          <cell r="Q337" t="str">
            <v/>
          </cell>
        </row>
        <row r="338">
          <cell r="Q338" t="str">
            <v/>
          </cell>
        </row>
        <row r="339">
          <cell r="Q339" t="str">
            <v/>
          </cell>
        </row>
        <row r="340">
          <cell r="Q340" t="str">
            <v/>
          </cell>
        </row>
        <row r="341">
          <cell r="Q341" t="str">
            <v/>
          </cell>
        </row>
        <row r="342">
          <cell r="Q342" t="str">
            <v/>
          </cell>
        </row>
        <row r="343">
          <cell r="Q343" t="str">
            <v/>
          </cell>
        </row>
        <row r="344">
          <cell r="Q344" t="str">
            <v/>
          </cell>
        </row>
        <row r="345">
          <cell r="Q345" t="str">
            <v/>
          </cell>
        </row>
        <row r="346">
          <cell r="Q346" t="str">
            <v/>
          </cell>
        </row>
        <row r="347">
          <cell r="Q347" t="str">
            <v/>
          </cell>
        </row>
        <row r="348">
          <cell r="Q348" t="str">
            <v/>
          </cell>
        </row>
        <row r="349">
          <cell r="Q349" t="str">
            <v/>
          </cell>
        </row>
        <row r="350">
          <cell r="Q350" t="str">
            <v/>
          </cell>
        </row>
        <row r="351">
          <cell r="Q351" t="str">
            <v/>
          </cell>
        </row>
        <row r="352">
          <cell r="Q352" t="str">
            <v/>
          </cell>
        </row>
        <row r="353">
          <cell r="Q353" t="str">
            <v/>
          </cell>
        </row>
        <row r="354">
          <cell r="Q354" t="str">
            <v/>
          </cell>
        </row>
        <row r="355">
          <cell r="Q355" t="str">
            <v/>
          </cell>
        </row>
        <row r="356">
          <cell r="Q356" t="str">
            <v/>
          </cell>
        </row>
        <row r="357">
          <cell r="Q357" t="str">
            <v/>
          </cell>
        </row>
        <row r="358">
          <cell r="Q358" t="str">
            <v/>
          </cell>
        </row>
        <row r="359">
          <cell r="Q359" t="str">
            <v/>
          </cell>
        </row>
        <row r="360">
          <cell r="Q360" t="str">
            <v/>
          </cell>
        </row>
        <row r="361">
          <cell r="Q361" t="str">
            <v/>
          </cell>
        </row>
        <row r="362">
          <cell r="Q362" t="str">
            <v/>
          </cell>
        </row>
        <row r="363">
          <cell r="Q363" t="str">
            <v/>
          </cell>
        </row>
        <row r="364">
          <cell r="Q364" t="str">
            <v/>
          </cell>
        </row>
        <row r="365">
          <cell r="Q365" t="str">
            <v/>
          </cell>
        </row>
        <row r="366">
          <cell r="Q366" t="str">
            <v/>
          </cell>
        </row>
        <row r="367">
          <cell r="Q367" t="str">
            <v/>
          </cell>
        </row>
        <row r="368">
          <cell r="Q368" t="str">
            <v/>
          </cell>
        </row>
        <row r="369">
          <cell r="Q369" t="str">
            <v/>
          </cell>
        </row>
        <row r="370">
          <cell r="Q370" t="str">
            <v/>
          </cell>
        </row>
        <row r="371">
          <cell r="Q371" t="str">
            <v/>
          </cell>
        </row>
        <row r="372">
          <cell r="Q372" t="str">
            <v/>
          </cell>
        </row>
        <row r="373">
          <cell r="Q373" t="str">
            <v/>
          </cell>
        </row>
        <row r="374">
          <cell r="Q374" t="str">
            <v/>
          </cell>
        </row>
        <row r="375">
          <cell r="Q375" t="str">
            <v/>
          </cell>
        </row>
        <row r="376">
          <cell r="Q376" t="str">
            <v/>
          </cell>
        </row>
        <row r="377">
          <cell r="Q377" t="str">
            <v/>
          </cell>
        </row>
        <row r="378">
          <cell r="Q378" t="str">
            <v/>
          </cell>
        </row>
        <row r="379">
          <cell r="Q379" t="str">
            <v/>
          </cell>
        </row>
        <row r="380">
          <cell r="Q380" t="str">
            <v/>
          </cell>
        </row>
        <row r="381">
          <cell r="Q381" t="str">
            <v/>
          </cell>
        </row>
        <row r="382">
          <cell r="Q382" t="str">
            <v/>
          </cell>
        </row>
        <row r="383">
          <cell r="Q383" t="str">
            <v/>
          </cell>
        </row>
        <row r="384">
          <cell r="Q384" t="str">
            <v/>
          </cell>
        </row>
        <row r="385">
          <cell r="Q385" t="str">
            <v/>
          </cell>
        </row>
        <row r="386">
          <cell r="Q386" t="str">
            <v/>
          </cell>
        </row>
        <row r="387">
          <cell r="Q387" t="str">
            <v/>
          </cell>
        </row>
        <row r="388">
          <cell r="Q388" t="str">
            <v/>
          </cell>
        </row>
        <row r="389">
          <cell r="Q389" t="str">
            <v/>
          </cell>
        </row>
        <row r="390">
          <cell r="Q390" t="str">
            <v/>
          </cell>
        </row>
        <row r="391">
          <cell r="Q391" t="str">
            <v/>
          </cell>
        </row>
        <row r="392">
          <cell r="Q392" t="str">
            <v/>
          </cell>
        </row>
        <row r="393">
          <cell r="Q393" t="str">
            <v/>
          </cell>
        </row>
        <row r="394">
          <cell r="Q394" t="str">
            <v/>
          </cell>
        </row>
        <row r="395">
          <cell r="Q395" t="str">
            <v/>
          </cell>
        </row>
        <row r="396">
          <cell r="Q396" t="str">
            <v/>
          </cell>
        </row>
        <row r="397">
          <cell r="Q397" t="str">
            <v/>
          </cell>
        </row>
        <row r="398">
          <cell r="Q398" t="str">
            <v/>
          </cell>
        </row>
        <row r="399">
          <cell r="Q399" t="str">
            <v/>
          </cell>
        </row>
        <row r="400">
          <cell r="Q400" t="str">
            <v/>
          </cell>
        </row>
        <row r="401">
          <cell r="Q401" t="str">
            <v/>
          </cell>
        </row>
        <row r="402">
          <cell r="Q402" t="str">
            <v/>
          </cell>
        </row>
        <row r="403">
          <cell r="Q403" t="str">
            <v/>
          </cell>
        </row>
        <row r="404">
          <cell r="Q404" t="str">
            <v/>
          </cell>
        </row>
        <row r="405">
          <cell r="Q405" t="str">
            <v/>
          </cell>
        </row>
        <row r="406">
          <cell r="Q406" t="str">
            <v/>
          </cell>
        </row>
        <row r="407">
          <cell r="Q407" t="str">
            <v/>
          </cell>
        </row>
        <row r="408">
          <cell r="Q408" t="str">
            <v/>
          </cell>
        </row>
        <row r="409">
          <cell r="Q409" t="str">
            <v/>
          </cell>
        </row>
        <row r="410">
          <cell r="Q410" t="str">
            <v/>
          </cell>
        </row>
        <row r="411">
          <cell r="Q411" t="str">
            <v/>
          </cell>
        </row>
        <row r="412">
          <cell r="Q412" t="str">
            <v/>
          </cell>
        </row>
        <row r="413">
          <cell r="Q413" t="str">
            <v/>
          </cell>
        </row>
        <row r="414">
          <cell r="Q414" t="str">
            <v/>
          </cell>
        </row>
        <row r="415">
          <cell r="Q415" t="str">
            <v/>
          </cell>
        </row>
        <row r="416">
          <cell r="Q416" t="str">
            <v/>
          </cell>
        </row>
        <row r="417">
          <cell r="Q417" t="str">
            <v/>
          </cell>
        </row>
        <row r="418">
          <cell r="Q418" t="str">
            <v/>
          </cell>
        </row>
        <row r="419">
          <cell r="Q419" t="str">
            <v/>
          </cell>
        </row>
        <row r="420">
          <cell r="Q420" t="str">
            <v/>
          </cell>
        </row>
        <row r="421">
          <cell r="Q421" t="str">
            <v/>
          </cell>
        </row>
        <row r="422">
          <cell r="Q422" t="str">
            <v/>
          </cell>
        </row>
        <row r="423">
          <cell r="Q423" t="str">
            <v/>
          </cell>
        </row>
        <row r="424">
          <cell r="Q424" t="str">
            <v/>
          </cell>
        </row>
        <row r="425">
          <cell r="Q425" t="str">
            <v/>
          </cell>
        </row>
        <row r="426">
          <cell r="Q426" t="str">
            <v/>
          </cell>
        </row>
        <row r="427">
          <cell r="Q427" t="str">
            <v/>
          </cell>
        </row>
        <row r="428">
          <cell r="Q428" t="str">
            <v/>
          </cell>
        </row>
        <row r="429">
          <cell r="Q429" t="str">
            <v/>
          </cell>
        </row>
        <row r="430">
          <cell r="Q430" t="str">
            <v/>
          </cell>
        </row>
        <row r="431">
          <cell r="Q431" t="str">
            <v/>
          </cell>
        </row>
        <row r="432">
          <cell r="Q432" t="str">
            <v/>
          </cell>
        </row>
        <row r="433">
          <cell r="Q433" t="str">
            <v/>
          </cell>
        </row>
        <row r="434">
          <cell r="Q434" t="str">
            <v/>
          </cell>
        </row>
        <row r="435">
          <cell r="Q435" t="str">
            <v/>
          </cell>
        </row>
        <row r="436">
          <cell r="Q436" t="str">
            <v/>
          </cell>
        </row>
        <row r="437">
          <cell r="Q437" t="str">
            <v/>
          </cell>
        </row>
        <row r="438">
          <cell r="Q438" t="str">
            <v/>
          </cell>
        </row>
        <row r="439">
          <cell r="Q439" t="str">
            <v/>
          </cell>
        </row>
        <row r="440">
          <cell r="Q440" t="str">
            <v/>
          </cell>
        </row>
        <row r="441">
          <cell r="Q441" t="str">
            <v/>
          </cell>
        </row>
        <row r="442">
          <cell r="Q442" t="str">
            <v/>
          </cell>
        </row>
        <row r="443">
          <cell r="Q443" t="str">
            <v/>
          </cell>
        </row>
        <row r="444">
          <cell r="Q444" t="str">
            <v/>
          </cell>
        </row>
        <row r="445">
          <cell r="Q445" t="str">
            <v/>
          </cell>
        </row>
        <row r="446">
          <cell r="Q446" t="str">
            <v/>
          </cell>
        </row>
        <row r="447">
          <cell r="Q447" t="str">
            <v/>
          </cell>
        </row>
        <row r="448">
          <cell r="Q448" t="str">
            <v/>
          </cell>
        </row>
        <row r="449">
          <cell r="Q449" t="str">
            <v/>
          </cell>
        </row>
        <row r="450">
          <cell r="Q450" t="str">
            <v/>
          </cell>
        </row>
        <row r="451">
          <cell r="Q451" t="str">
            <v/>
          </cell>
        </row>
        <row r="452">
          <cell r="Q452" t="str">
            <v/>
          </cell>
        </row>
        <row r="453">
          <cell r="Q453" t="str">
            <v/>
          </cell>
        </row>
        <row r="454">
          <cell r="Q454" t="str">
            <v/>
          </cell>
        </row>
        <row r="455">
          <cell r="Q455" t="str">
            <v/>
          </cell>
        </row>
        <row r="456">
          <cell r="Q456" t="str">
            <v/>
          </cell>
        </row>
        <row r="457">
          <cell r="Q457" t="str">
            <v/>
          </cell>
        </row>
        <row r="458">
          <cell r="Q458" t="str">
            <v/>
          </cell>
        </row>
        <row r="459">
          <cell r="Q459" t="str">
            <v/>
          </cell>
        </row>
        <row r="460">
          <cell r="Q460" t="str">
            <v/>
          </cell>
        </row>
        <row r="461">
          <cell r="Q461" t="str">
            <v/>
          </cell>
        </row>
        <row r="462">
          <cell r="Q462" t="str">
            <v/>
          </cell>
        </row>
        <row r="463">
          <cell r="Q463" t="str">
            <v/>
          </cell>
        </row>
        <row r="464">
          <cell r="Q464" t="str">
            <v/>
          </cell>
        </row>
        <row r="465">
          <cell r="Q465" t="str">
            <v/>
          </cell>
        </row>
        <row r="466">
          <cell r="Q466" t="str">
            <v/>
          </cell>
        </row>
        <row r="467">
          <cell r="Q467" t="str">
            <v/>
          </cell>
        </row>
        <row r="468">
          <cell r="Q468" t="str">
            <v/>
          </cell>
        </row>
        <row r="469">
          <cell r="Q469" t="str">
            <v/>
          </cell>
        </row>
        <row r="470">
          <cell r="Q470" t="str">
            <v/>
          </cell>
        </row>
        <row r="471">
          <cell r="Q471" t="str">
            <v/>
          </cell>
        </row>
        <row r="472">
          <cell r="Q472" t="str">
            <v/>
          </cell>
        </row>
        <row r="473">
          <cell r="Q473" t="str">
            <v/>
          </cell>
        </row>
        <row r="474">
          <cell r="Q474" t="str">
            <v/>
          </cell>
        </row>
        <row r="475">
          <cell r="Q475" t="str">
            <v/>
          </cell>
        </row>
        <row r="476">
          <cell r="Q476" t="str">
            <v/>
          </cell>
        </row>
        <row r="477">
          <cell r="Q477" t="str">
            <v/>
          </cell>
        </row>
        <row r="478">
          <cell r="Q478" t="str">
            <v/>
          </cell>
        </row>
        <row r="479">
          <cell r="Q479" t="str">
            <v/>
          </cell>
        </row>
        <row r="480">
          <cell r="Q480" t="str">
            <v/>
          </cell>
        </row>
        <row r="481">
          <cell r="Q481" t="str">
            <v/>
          </cell>
        </row>
        <row r="482">
          <cell r="Q482" t="str">
            <v/>
          </cell>
        </row>
        <row r="483">
          <cell r="Q483" t="str">
            <v/>
          </cell>
        </row>
        <row r="484">
          <cell r="Q484" t="str">
            <v/>
          </cell>
        </row>
        <row r="485">
          <cell r="Q485" t="str">
            <v/>
          </cell>
        </row>
        <row r="486">
          <cell r="Q486" t="str">
            <v/>
          </cell>
        </row>
        <row r="487">
          <cell r="Q487" t="str">
            <v/>
          </cell>
        </row>
        <row r="488">
          <cell r="Q488" t="str">
            <v/>
          </cell>
        </row>
        <row r="489">
          <cell r="Q489" t="str">
            <v/>
          </cell>
        </row>
        <row r="490">
          <cell r="Q490" t="str">
            <v/>
          </cell>
        </row>
        <row r="491">
          <cell r="Q491" t="str">
            <v/>
          </cell>
        </row>
        <row r="492">
          <cell r="Q492" t="str">
            <v/>
          </cell>
        </row>
        <row r="493">
          <cell r="Q493" t="str">
            <v/>
          </cell>
        </row>
        <row r="494">
          <cell r="Q494" t="str">
            <v/>
          </cell>
        </row>
        <row r="495">
          <cell r="Q495" t="str">
            <v/>
          </cell>
        </row>
        <row r="496">
          <cell r="Q496" t="str">
            <v/>
          </cell>
        </row>
        <row r="497">
          <cell r="Q497" t="str">
            <v/>
          </cell>
        </row>
        <row r="498">
          <cell r="Q498" t="str">
            <v/>
          </cell>
        </row>
        <row r="499">
          <cell r="Q499" t="str">
            <v/>
          </cell>
        </row>
        <row r="500">
          <cell r="Q500" t="str">
            <v/>
          </cell>
        </row>
        <row r="501">
          <cell r="Q501" t="str">
            <v/>
          </cell>
        </row>
        <row r="502">
          <cell r="Q502" t="str">
            <v/>
          </cell>
        </row>
        <row r="503">
          <cell r="Q503" t="str">
            <v/>
          </cell>
        </row>
        <row r="504">
          <cell r="Q504" t="str">
            <v/>
          </cell>
        </row>
        <row r="505">
          <cell r="Q505" t="str">
            <v/>
          </cell>
        </row>
        <row r="506">
          <cell r="Q506" t="str">
            <v/>
          </cell>
        </row>
        <row r="507">
          <cell r="Q507" t="str">
            <v/>
          </cell>
        </row>
        <row r="508">
          <cell r="Q508" t="str">
            <v/>
          </cell>
        </row>
        <row r="509">
          <cell r="Q509" t="str">
            <v/>
          </cell>
        </row>
        <row r="510">
          <cell r="Q510" t="str">
            <v/>
          </cell>
        </row>
        <row r="511">
          <cell r="Q511" t="str">
            <v/>
          </cell>
        </row>
        <row r="512">
          <cell r="Q512" t="str">
            <v/>
          </cell>
        </row>
        <row r="513">
          <cell r="Q513" t="str">
            <v/>
          </cell>
        </row>
        <row r="514">
          <cell r="Q514" t="str">
            <v/>
          </cell>
        </row>
        <row r="515">
          <cell r="Q515" t="str">
            <v/>
          </cell>
        </row>
        <row r="516">
          <cell r="Q516" t="str">
            <v/>
          </cell>
        </row>
        <row r="517">
          <cell r="Q517" t="str">
            <v/>
          </cell>
        </row>
        <row r="518">
          <cell r="Q518" t="str">
            <v/>
          </cell>
        </row>
        <row r="519">
          <cell r="Q519" t="str">
            <v/>
          </cell>
        </row>
        <row r="520">
          <cell r="Q520" t="str">
            <v/>
          </cell>
        </row>
        <row r="521">
          <cell r="Q521" t="str">
            <v/>
          </cell>
        </row>
        <row r="522">
          <cell r="Q522" t="str">
            <v/>
          </cell>
        </row>
        <row r="523">
          <cell r="Q523" t="str">
            <v/>
          </cell>
        </row>
        <row r="524">
          <cell r="Q524" t="str">
            <v/>
          </cell>
        </row>
        <row r="525">
          <cell r="Q525" t="str">
            <v/>
          </cell>
        </row>
        <row r="526">
          <cell r="Q526" t="str">
            <v/>
          </cell>
        </row>
        <row r="527">
          <cell r="Q527" t="str">
            <v/>
          </cell>
        </row>
        <row r="528">
          <cell r="Q528" t="str">
            <v/>
          </cell>
        </row>
        <row r="529">
          <cell r="Q529" t="str">
            <v/>
          </cell>
        </row>
        <row r="530">
          <cell r="Q530" t="str">
            <v/>
          </cell>
        </row>
        <row r="531">
          <cell r="Q531" t="str">
            <v/>
          </cell>
        </row>
        <row r="532">
          <cell r="Q532" t="str">
            <v/>
          </cell>
        </row>
        <row r="533">
          <cell r="Q533" t="str">
            <v/>
          </cell>
        </row>
        <row r="534">
          <cell r="Q534" t="str">
            <v/>
          </cell>
        </row>
        <row r="535">
          <cell r="Q535" t="str">
            <v/>
          </cell>
        </row>
        <row r="536">
          <cell r="Q536" t="str">
            <v/>
          </cell>
        </row>
        <row r="537">
          <cell r="Q537" t="str">
            <v/>
          </cell>
        </row>
        <row r="538">
          <cell r="Q538" t="str">
            <v/>
          </cell>
        </row>
        <row r="539">
          <cell r="Q539" t="str">
            <v/>
          </cell>
        </row>
        <row r="540">
          <cell r="Q540" t="str">
            <v/>
          </cell>
        </row>
        <row r="541">
          <cell r="Q541" t="str">
            <v/>
          </cell>
        </row>
        <row r="542">
          <cell r="Q542" t="str">
            <v/>
          </cell>
        </row>
        <row r="543">
          <cell r="Q543" t="str">
            <v/>
          </cell>
        </row>
        <row r="544">
          <cell r="Q544" t="str">
            <v/>
          </cell>
        </row>
        <row r="545">
          <cell r="Q545" t="str">
            <v/>
          </cell>
        </row>
        <row r="546">
          <cell r="Q546" t="str">
            <v/>
          </cell>
        </row>
        <row r="547">
          <cell r="Q547" t="str">
            <v/>
          </cell>
        </row>
        <row r="548">
          <cell r="Q548" t="str">
            <v/>
          </cell>
        </row>
        <row r="549">
          <cell r="Q549" t="str">
            <v/>
          </cell>
        </row>
        <row r="550">
          <cell r="Q550" t="str">
            <v/>
          </cell>
        </row>
        <row r="551">
          <cell r="Q551" t="str">
            <v/>
          </cell>
        </row>
        <row r="552">
          <cell r="Q552" t="str">
            <v/>
          </cell>
        </row>
        <row r="553">
          <cell r="Q553" t="str">
            <v/>
          </cell>
        </row>
        <row r="554">
          <cell r="Q554" t="str">
            <v/>
          </cell>
        </row>
        <row r="555">
          <cell r="Q555" t="str">
            <v/>
          </cell>
        </row>
        <row r="556">
          <cell r="Q556" t="str">
            <v/>
          </cell>
        </row>
        <row r="557">
          <cell r="Q557" t="str">
            <v/>
          </cell>
        </row>
        <row r="558">
          <cell r="Q558" t="str">
            <v/>
          </cell>
        </row>
        <row r="559">
          <cell r="Q559" t="str">
            <v/>
          </cell>
        </row>
        <row r="560">
          <cell r="Q560" t="str">
            <v/>
          </cell>
        </row>
        <row r="561">
          <cell r="Q561" t="str">
            <v/>
          </cell>
        </row>
        <row r="562">
          <cell r="Q562" t="str">
            <v/>
          </cell>
        </row>
        <row r="563">
          <cell r="Q563" t="str">
            <v/>
          </cell>
        </row>
        <row r="564">
          <cell r="Q564" t="str">
            <v/>
          </cell>
        </row>
        <row r="565">
          <cell r="Q565" t="str">
            <v/>
          </cell>
        </row>
        <row r="566">
          <cell r="Q566" t="str">
            <v/>
          </cell>
        </row>
        <row r="567">
          <cell r="Q567" t="str">
            <v/>
          </cell>
        </row>
        <row r="568">
          <cell r="Q568" t="str">
            <v/>
          </cell>
        </row>
        <row r="569">
          <cell r="Q569" t="str">
            <v/>
          </cell>
        </row>
        <row r="570">
          <cell r="Q570" t="str">
            <v/>
          </cell>
        </row>
        <row r="571">
          <cell r="Q571" t="str">
            <v/>
          </cell>
        </row>
        <row r="572">
          <cell r="Q572" t="str">
            <v/>
          </cell>
        </row>
        <row r="573">
          <cell r="Q573" t="str">
            <v/>
          </cell>
        </row>
        <row r="574">
          <cell r="Q574" t="str">
            <v/>
          </cell>
        </row>
        <row r="575">
          <cell r="Q575" t="str">
            <v/>
          </cell>
        </row>
        <row r="576">
          <cell r="Q576" t="str">
            <v/>
          </cell>
        </row>
        <row r="577">
          <cell r="Q577" t="str">
            <v/>
          </cell>
        </row>
        <row r="578">
          <cell r="Q578" t="str">
            <v/>
          </cell>
        </row>
        <row r="579">
          <cell r="Q579" t="str">
            <v/>
          </cell>
        </row>
        <row r="580">
          <cell r="Q580" t="str">
            <v/>
          </cell>
        </row>
        <row r="581">
          <cell r="Q581" t="str">
            <v/>
          </cell>
        </row>
        <row r="582">
          <cell r="Q582" t="str">
            <v/>
          </cell>
        </row>
        <row r="583">
          <cell r="Q583" t="str">
            <v/>
          </cell>
        </row>
        <row r="584">
          <cell r="Q584" t="str">
            <v/>
          </cell>
        </row>
        <row r="585">
          <cell r="Q585" t="str">
            <v/>
          </cell>
        </row>
        <row r="586">
          <cell r="Q586" t="str">
            <v/>
          </cell>
        </row>
        <row r="587">
          <cell r="Q587" t="str">
            <v/>
          </cell>
        </row>
        <row r="588">
          <cell r="Q588" t="str">
            <v/>
          </cell>
        </row>
        <row r="589">
          <cell r="Q589" t="str">
            <v/>
          </cell>
        </row>
        <row r="590">
          <cell r="Q590" t="str">
            <v/>
          </cell>
        </row>
        <row r="591">
          <cell r="Q591" t="str">
            <v/>
          </cell>
        </row>
        <row r="592">
          <cell r="Q592" t="str">
            <v/>
          </cell>
        </row>
        <row r="593">
          <cell r="Q593" t="str">
            <v/>
          </cell>
        </row>
        <row r="594">
          <cell r="Q594" t="str">
            <v/>
          </cell>
        </row>
        <row r="595">
          <cell r="Q595" t="str">
            <v/>
          </cell>
        </row>
        <row r="596">
          <cell r="Q596" t="str">
            <v/>
          </cell>
        </row>
        <row r="597">
          <cell r="Q597" t="str">
            <v/>
          </cell>
        </row>
        <row r="598">
          <cell r="Q598" t="str">
            <v/>
          </cell>
        </row>
        <row r="599">
          <cell r="Q599" t="str">
            <v/>
          </cell>
        </row>
        <row r="600">
          <cell r="Q600" t="str">
            <v/>
          </cell>
        </row>
        <row r="601">
          <cell r="Q601" t="str">
            <v/>
          </cell>
        </row>
        <row r="602">
          <cell r="Q602" t="str">
            <v/>
          </cell>
        </row>
        <row r="603">
          <cell r="Q603" t="str">
            <v/>
          </cell>
        </row>
        <row r="604">
          <cell r="Q604" t="str">
            <v/>
          </cell>
        </row>
        <row r="605">
          <cell r="Q605" t="str">
            <v/>
          </cell>
        </row>
        <row r="606">
          <cell r="Q606" t="str">
            <v/>
          </cell>
        </row>
        <row r="607">
          <cell r="Q607" t="str">
            <v/>
          </cell>
        </row>
        <row r="608">
          <cell r="Q608" t="str">
            <v/>
          </cell>
        </row>
        <row r="609">
          <cell r="Q609" t="str">
            <v/>
          </cell>
        </row>
        <row r="610">
          <cell r="Q610" t="str">
            <v/>
          </cell>
        </row>
        <row r="611">
          <cell r="Q611" t="str">
            <v/>
          </cell>
        </row>
        <row r="612">
          <cell r="Q612" t="str">
            <v/>
          </cell>
        </row>
        <row r="613">
          <cell r="Q613" t="str">
            <v/>
          </cell>
        </row>
        <row r="614">
          <cell r="Q614" t="str">
            <v/>
          </cell>
        </row>
        <row r="615">
          <cell r="Q615" t="str">
            <v/>
          </cell>
        </row>
        <row r="616">
          <cell r="Q616" t="str">
            <v/>
          </cell>
        </row>
        <row r="617">
          <cell r="Q617" t="str">
            <v/>
          </cell>
        </row>
        <row r="618">
          <cell r="Q618" t="str">
            <v/>
          </cell>
        </row>
        <row r="619">
          <cell r="Q619" t="str">
            <v/>
          </cell>
        </row>
        <row r="620">
          <cell r="Q620" t="str">
            <v/>
          </cell>
        </row>
        <row r="621">
          <cell r="Q621" t="str">
            <v/>
          </cell>
        </row>
        <row r="622">
          <cell r="Q622" t="str">
            <v/>
          </cell>
        </row>
        <row r="623">
          <cell r="Q623" t="str">
            <v/>
          </cell>
        </row>
        <row r="624">
          <cell r="Q624" t="str">
            <v/>
          </cell>
        </row>
        <row r="625">
          <cell r="Q625" t="str">
            <v/>
          </cell>
        </row>
        <row r="626">
          <cell r="Q626" t="str">
            <v/>
          </cell>
        </row>
        <row r="627">
          <cell r="Q627" t="str">
            <v/>
          </cell>
        </row>
        <row r="628">
          <cell r="Q628" t="str">
            <v/>
          </cell>
        </row>
        <row r="629">
          <cell r="Q629" t="str">
            <v/>
          </cell>
        </row>
        <row r="630">
          <cell r="Q630" t="str">
            <v/>
          </cell>
        </row>
        <row r="631">
          <cell r="Q631" t="str">
            <v/>
          </cell>
        </row>
        <row r="632">
          <cell r="Q632" t="str">
            <v/>
          </cell>
        </row>
        <row r="633">
          <cell r="Q633" t="str">
            <v/>
          </cell>
        </row>
        <row r="634">
          <cell r="Q634" t="str">
            <v/>
          </cell>
        </row>
        <row r="635">
          <cell r="Q635" t="str">
            <v/>
          </cell>
        </row>
        <row r="636">
          <cell r="Q636" t="str">
            <v/>
          </cell>
        </row>
        <row r="637">
          <cell r="Q637" t="str">
            <v/>
          </cell>
        </row>
        <row r="638">
          <cell r="Q638" t="str">
            <v/>
          </cell>
        </row>
        <row r="639">
          <cell r="Q639" t="str">
            <v/>
          </cell>
        </row>
        <row r="640">
          <cell r="Q640" t="str">
            <v/>
          </cell>
        </row>
        <row r="641">
          <cell r="Q641" t="str">
            <v/>
          </cell>
        </row>
        <row r="642">
          <cell r="Q642" t="str">
            <v/>
          </cell>
        </row>
        <row r="643">
          <cell r="Q643" t="str">
            <v/>
          </cell>
        </row>
        <row r="644">
          <cell r="Q644" t="str">
            <v/>
          </cell>
        </row>
        <row r="645">
          <cell r="Q645" t="str">
            <v/>
          </cell>
        </row>
        <row r="646">
          <cell r="Q646" t="str">
            <v/>
          </cell>
        </row>
        <row r="647">
          <cell r="Q647" t="str">
            <v/>
          </cell>
        </row>
        <row r="648">
          <cell r="Q648" t="str">
            <v/>
          </cell>
        </row>
        <row r="649">
          <cell r="Q649" t="str">
            <v/>
          </cell>
        </row>
        <row r="650">
          <cell r="Q650" t="str">
            <v/>
          </cell>
        </row>
        <row r="651">
          <cell r="Q651" t="str">
            <v/>
          </cell>
        </row>
        <row r="652">
          <cell r="Q652" t="str">
            <v/>
          </cell>
        </row>
        <row r="653">
          <cell r="Q653" t="str">
            <v/>
          </cell>
        </row>
        <row r="654">
          <cell r="Q654" t="str">
            <v/>
          </cell>
        </row>
        <row r="655">
          <cell r="Q655" t="str">
            <v/>
          </cell>
        </row>
        <row r="656">
          <cell r="Q656" t="str">
            <v/>
          </cell>
        </row>
        <row r="657">
          <cell r="Q657" t="str">
            <v/>
          </cell>
        </row>
        <row r="658">
          <cell r="Q658" t="str">
            <v/>
          </cell>
        </row>
        <row r="659">
          <cell r="Q659" t="str">
            <v/>
          </cell>
        </row>
        <row r="660">
          <cell r="Q660" t="str">
            <v/>
          </cell>
        </row>
        <row r="661">
          <cell r="Q661" t="str">
            <v/>
          </cell>
        </row>
        <row r="662">
          <cell r="Q662" t="str">
            <v/>
          </cell>
        </row>
        <row r="663">
          <cell r="Q663" t="str">
            <v/>
          </cell>
        </row>
        <row r="664">
          <cell r="Q664" t="str">
            <v/>
          </cell>
        </row>
        <row r="665">
          <cell r="Q665" t="str">
            <v/>
          </cell>
        </row>
        <row r="666">
          <cell r="Q666" t="str">
            <v/>
          </cell>
        </row>
        <row r="667">
          <cell r="Q667" t="str">
            <v/>
          </cell>
        </row>
        <row r="668">
          <cell r="Q668" t="str">
            <v/>
          </cell>
        </row>
        <row r="669">
          <cell r="Q669" t="str">
            <v/>
          </cell>
        </row>
        <row r="670">
          <cell r="Q670" t="str">
            <v/>
          </cell>
        </row>
        <row r="671">
          <cell r="Q671" t="str">
            <v/>
          </cell>
        </row>
        <row r="672">
          <cell r="Q672" t="str">
            <v/>
          </cell>
        </row>
        <row r="673">
          <cell r="Q673" t="str">
            <v/>
          </cell>
        </row>
        <row r="674">
          <cell r="Q674" t="str">
            <v/>
          </cell>
        </row>
        <row r="675">
          <cell r="Q675" t="str">
            <v/>
          </cell>
        </row>
        <row r="676">
          <cell r="Q676" t="str">
            <v/>
          </cell>
        </row>
        <row r="677">
          <cell r="Q677" t="str">
            <v/>
          </cell>
        </row>
        <row r="678">
          <cell r="Q678" t="str">
            <v/>
          </cell>
        </row>
        <row r="679">
          <cell r="Q679" t="str">
            <v/>
          </cell>
        </row>
        <row r="680">
          <cell r="Q680" t="str">
            <v/>
          </cell>
        </row>
        <row r="681">
          <cell r="Q681" t="str">
            <v/>
          </cell>
        </row>
        <row r="682">
          <cell r="Q682" t="str">
            <v/>
          </cell>
        </row>
        <row r="683">
          <cell r="Q683" t="str">
            <v/>
          </cell>
        </row>
        <row r="684">
          <cell r="Q684" t="str">
            <v/>
          </cell>
        </row>
        <row r="685">
          <cell r="Q685" t="str">
            <v/>
          </cell>
        </row>
        <row r="686">
          <cell r="Q686" t="str">
            <v/>
          </cell>
        </row>
        <row r="687">
          <cell r="Q687" t="str">
            <v/>
          </cell>
        </row>
        <row r="688">
          <cell r="Q688" t="str">
            <v/>
          </cell>
        </row>
        <row r="689">
          <cell r="Q689" t="str">
            <v/>
          </cell>
        </row>
        <row r="690">
          <cell r="Q690" t="str">
            <v/>
          </cell>
        </row>
        <row r="691">
          <cell r="Q691" t="str">
            <v/>
          </cell>
        </row>
        <row r="692">
          <cell r="Q692" t="str">
            <v/>
          </cell>
        </row>
        <row r="693">
          <cell r="Q693" t="str">
            <v/>
          </cell>
        </row>
        <row r="694">
          <cell r="Q694" t="str">
            <v/>
          </cell>
        </row>
        <row r="695">
          <cell r="Q695" t="str">
            <v/>
          </cell>
        </row>
        <row r="696">
          <cell r="Q696" t="str">
            <v/>
          </cell>
        </row>
        <row r="697">
          <cell r="Q697" t="str">
            <v/>
          </cell>
        </row>
        <row r="698">
          <cell r="Q698" t="str">
            <v/>
          </cell>
        </row>
        <row r="699">
          <cell r="Q699" t="str">
            <v/>
          </cell>
        </row>
        <row r="700">
          <cell r="Q700" t="str">
            <v/>
          </cell>
        </row>
        <row r="701">
          <cell r="Q701" t="str">
            <v/>
          </cell>
        </row>
        <row r="702">
          <cell r="Q702" t="str">
            <v/>
          </cell>
        </row>
        <row r="703">
          <cell r="Q703" t="str">
            <v/>
          </cell>
        </row>
        <row r="704">
          <cell r="Q704" t="str">
            <v/>
          </cell>
        </row>
        <row r="705">
          <cell r="Q705" t="str">
            <v/>
          </cell>
        </row>
        <row r="706">
          <cell r="Q706" t="str">
            <v/>
          </cell>
        </row>
        <row r="707">
          <cell r="Q707" t="str">
            <v/>
          </cell>
        </row>
        <row r="708">
          <cell r="Q708" t="str">
            <v/>
          </cell>
        </row>
        <row r="709">
          <cell r="Q709" t="str">
            <v/>
          </cell>
        </row>
        <row r="710">
          <cell r="Q710" t="str">
            <v/>
          </cell>
        </row>
        <row r="711">
          <cell r="Q711" t="str">
            <v/>
          </cell>
        </row>
        <row r="712">
          <cell r="Q712" t="str">
            <v/>
          </cell>
        </row>
        <row r="713">
          <cell r="Q713" t="str">
            <v/>
          </cell>
        </row>
        <row r="714">
          <cell r="Q714" t="str">
            <v/>
          </cell>
        </row>
        <row r="715">
          <cell r="Q715" t="str">
            <v/>
          </cell>
        </row>
        <row r="716">
          <cell r="Q716" t="str">
            <v/>
          </cell>
        </row>
        <row r="717">
          <cell r="Q717" t="str">
            <v/>
          </cell>
        </row>
        <row r="718">
          <cell r="Q718" t="str">
            <v/>
          </cell>
        </row>
        <row r="719">
          <cell r="Q719" t="str">
            <v/>
          </cell>
        </row>
        <row r="720">
          <cell r="Q720" t="str">
            <v/>
          </cell>
        </row>
        <row r="721">
          <cell r="Q721" t="str">
            <v/>
          </cell>
        </row>
        <row r="722">
          <cell r="Q722" t="str">
            <v/>
          </cell>
        </row>
        <row r="723">
          <cell r="Q723" t="str">
            <v/>
          </cell>
        </row>
        <row r="724">
          <cell r="Q724" t="str">
            <v/>
          </cell>
        </row>
        <row r="725">
          <cell r="Q725" t="str">
            <v/>
          </cell>
        </row>
        <row r="726">
          <cell r="Q726" t="str">
            <v/>
          </cell>
        </row>
        <row r="727">
          <cell r="Q727" t="str">
            <v/>
          </cell>
        </row>
        <row r="728">
          <cell r="Q728" t="str">
            <v/>
          </cell>
        </row>
        <row r="729">
          <cell r="Q729" t="str">
            <v/>
          </cell>
        </row>
        <row r="730">
          <cell r="Q730" t="str">
            <v/>
          </cell>
        </row>
        <row r="731">
          <cell r="Q731" t="str">
            <v/>
          </cell>
        </row>
        <row r="732">
          <cell r="Q732" t="str">
            <v/>
          </cell>
        </row>
        <row r="733">
          <cell r="Q733" t="str">
            <v/>
          </cell>
        </row>
        <row r="734">
          <cell r="Q734" t="str">
            <v/>
          </cell>
        </row>
        <row r="735">
          <cell r="Q735" t="str">
            <v/>
          </cell>
        </row>
        <row r="736">
          <cell r="Q736" t="str">
            <v/>
          </cell>
        </row>
        <row r="737">
          <cell r="Q737" t="str">
            <v/>
          </cell>
        </row>
        <row r="738">
          <cell r="Q738" t="str">
            <v/>
          </cell>
        </row>
        <row r="739">
          <cell r="Q739" t="str">
            <v/>
          </cell>
        </row>
        <row r="740">
          <cell r="Q740" t="str">
            <v/>
          </cell>
        </row>
        <row r="741">
          <cell r="Q741" t="str">
            <v/>
          </cell>
        </row>
        <row r="742">
          <cell r="Q742" t="str">
            <v/>
          </cell>
        </row>
        <row r="743">
          <cell r="Q743" t="str">
            <v/>
          </cell>
        </row>
        <row r="744">
          <cell r="Q744" t="str">
            <v/>
          </cell>
        </row>
        <row r="745">
          <cell r="Q745" t="str">
            <v/>
          </cell>
        </row>
        <row r="746">
          <cell r="Q746" t="str">
            <v/>
          </cell>
        </row>
        <row r="747">
          <cell r="Q747" t="str">
            <v/>
          </cell>
        </row>
        <row r="748">
          <cell r="Q748" t="str">
            <v/>
          </cell>
        </row>
        <row r="749">
          <cell r="Q749" t="str">
            <v/>
          </cell>
        </row>
        <row r="750">
          <cell r="Q750" t="str">
            <v/>
          </cell>
        </row>
        <row r="751">
          <cell r="Q751" t="str">
            <v/>
          </cell>
        </row>
        <row r="752">
          <cell r="Q752" t="str">
            <v/>
          </cell>
        </row>
        <row r="753">
          <cell r="Q753" t="str">
            <v/>
          </cell>
        </row>
        <row r="754">
          <cell r="Q754" t="str">
            <v/>
          </cell>
        </row>
        <row r="755">
          <cell r="Q755" t="str">
            <v/>
          </cell>
        </row>
        <row r="756">
          <cell r="Q756" t="str">
            <v/>
          </cell>
        </row>
        <row r="757">
          <cell r="Q757" t="str">
            <v/>
          </cell>
        </row>
        <row r="758">
          <cell r="Q758" t="str">
            <v/>
          </cell>
        </row>
        <row r="759">
          <cell r="Q759" t="str">
            <v/>
          </cell>
        </row>
        <row r="760">
          <cell r="Q760" t="str">
            <v/>
          </cell>
        </row>
        <row r="761">
          <cell r="Q761" t="str">
            <v/>
          </cell>
        </row>
        <row r="762">
          <cell r="Q762" t="str">
            <v/>
          </cell>
        </row>
        <row r="763">
          <cell r="Q763" t="str">
            <v/>
          </cell>
        </row>
        <row r="764">
          <cell r="Q764" t="str">
            <v/>
          </cell>
        </row>
        <row r="765">
          <cell r="Q765" t="str">
            <v/>
          </cell>
        </row>
        <row r="766">
          <cell r="Q766" t="str">
            <v/>
          </cell>
        </row>
        <row r="767">
          <cell r="Q767" t="str">
            <v/>
          </cell>
        </row>
        <row r="768">
          <cell r="Q768" t="str">
            <v/>
          </cell>
        </row>
        <row r="769">
          <cell r="Q769" t="str">
            <v/>
          </cell>
        </row>
        <row r="770">
          <cell r="Q770" t="str">
            <v/>
          </cell>
        </row>
        <row r="771">
          <cell r="Q771" t="str">
            <v/>
          </cell>
        </row>
        <row r="772">
          <cell r="Q772" t="str">
            <v/>
          </cell>
        </row>
        <row r="773">
          <cell r="Q773" t="str">
            <v/>
          </cell>
        </row>
        <row r="774">
          <cell r="Q774" t="str">
            <v/>
          </cell>
        </row>
        <row r="775">
          <cell r="Q775" t="str">
            <v/>
          </cell>
        </row>
        <row r="776">
          <cell r="Q776" t="str">
            <v/>
          </cell>
        </row>
        <row r="777">
          <cell r="Q777" t="str">
            <v/>
          </cell>
        </row>
        <row r="778">
          <cell r="Q778" t="str">
            <v/>
          </cell>
        </row>
        <row r="779">
          <cell r="Q779" t="str">
            <v/>
          </cell>
        </row>
        <row r="780">
          <cell r="Q780" t="str">
            <v/>
          </cell>
        </row>
        <row r="781">
          <cell r="Q781" t="str">
            <v/>
          </cell>
        </row>
        <row r="782">
          <cell r="Q782" t="str">
            <v/>
          </cell>
        </row>
        <row r="783">
          <cell r="Q783" t="str">
            <v/>
          </cell>
        </row>
        <row r="784">
          <cell r="Q784" t="str">
            <v/>
          </cell>
        </row>
        <row r="785">
          <cell r="Q785" t="str">
            <v/>
          </cell>
        </row>
        <row r="786">
          <cell r="Q786" t="str">
            <v/>
          </cell>
        </row>
        <row r="787">
          <cell r="Q787" t="str">
            <v/>
          </cell>
        </row>
        <row r="788">
          <cell r="Q788" t="str">
            <v/>
          </cell>
        </row>
        <row r="789">
          <cell r="Q789" t="str">
            <v/>
          </cell>
        </row>
        <row r="790">
          <cell r="Q790" t="str">
            <v/>
          </cell>
        </row>
        <row r="791">
          <cell r="Q791" t="str">
            <v/>
          </cell>
        </row>
        <row r="792">
          <cell r="Q792" t="str">
            <v/>
          </cell>
        </row>
        <row r="793">
          <cell r="Q793" t="str">
            <v/>
          </cell>
        </row>
        <row r="794">
          <cell r="Q794" t="str">
            <v/>
          </cell>
        </row>
        <row r="795">
          <cell r="Q795" t="str">
            <v/>
          </cell>
        </row>
        <row r="796">
          <cell r="Q796" t="str">
            <v/>
          </cell>
        </row>
        <row r="797">
          <cell r="Q797" t="str">
            <v/>
          </cell>
        </row>
        <row r="798">
          <cell r="Q798" t="str">
            <v/>
          </cell>
        </row>
        <row r="799">
          <cell r="Q799" t="str">
            <v/>
          </cell>
        </row>
        <row r="800">
          <cell r="Q800" t="str">
            <v/>
          </cell>
        </row>
        <row r="801">
          <cell r="Q801" t="str">
            <v/>
          </cell>
        </row>
        <row r="802">
          <cell r="Q802" t="str">
            <v/>
          </cell>
        </row>
        <row r="803">
          <cell r="Q803" t="str">
            <v/>
          </cell>
        </row>
        <row r="804">
          <cell r="Q804" t="str">
            <v/>
          </cell>
        </row>
        <row r="805">
          <cell r="Q805" t="str">
            <v/>
          </cell>
        </row>
        <row r="806">
          <cell r="Q806" t="str">
            <v/>
          </cell>
        </row>
        <row r="807">
          <cell r="Q807" t="str">
            <v/>
          </cell>
        </row>
        <row r="808">
          <cell r="Q808" t="str">
            <v/>
          </cell>
        </row>
        <row r="809">
          <cell r="Q809" t="str">
            <v/>
          </cell>
        </row>
        <row r="810">
          <cell r="Q810" t="str">
            <v/>
          </cell>
        </row>
        <row r="811">
          <cell r="Q811" t="str">
            <v/>
          </cell>
        </row>
        <row r="812">
          <cell r="Q812" t="str">
            <v/>
          </cell>
        </row>
        <row r="813">
          <cell r="Q813" t="str">
            <v/>
          </cell>
        </row>
        <row r="814">
          <cell r="Q814" t="str">
            <v/>
          </cell>
        </row>
        <row r="815">
          <cell r="Q815" t="str">
            <v/>
          </cell>
        </row>
      </sheetData>
      <sheetData sheetId="10">
        <row r="2">
          <cell r="Q2" t="str">
            <v/>
          </cell>
        </row>
        <row r="3">
          <cell r="Q3" t="str">
            <v/>
          </cell>
        </row>
        <row r="4">
          <cell r="Q4" t="str">
            <v/>
          </cell>
        </row>
        <row r="5">
          <cell r="Q5" t="str">
            <v/>
          </cell>
        </row>
        <row r="6">
          <cell r="Q6" t="str">
            <v/>
          </cell>
        </row>
        <row r="7">
          <cell r="Q7" t="str">
            <v/>
          </cell>
        </row>
        <row r="8">
          <cell r="Q8" t="str">
            <v/>
          </cell>
        </row>
        <row r="9">
          <cell r="Q9" t="str">
            <v/>
          </cell>
        </row>
        <row r="10">
          <cell r="Q10" t="str">
            <v/>
          </cell>
        </row>
        <row r="11">
          <cell r="Q11" t="str">
            <v/>
          </cell>
        </row>
        <row r="12">
          <cell r="Q12" t="str">
            <v/>
          </cell>
        </row>
        <row r="13">
          <cell r="Q13" t="str">
            <v/>
          </cell>
        </row>
        <row r="14">
          <cell r="Q14" t="str">
            <v/>
          </cell>
        </row>
        <row r="15">
          <cell r="Q15" t="str">
            <v/>
          </cell>
        </row>
        <row r="16">
          <cell r="Q16" t="str">
            <v/>
          </cell>
        </row>
        <row r="17">
          <cell r="Q17" t="str">
            <v/>
          </cell>
        </row>
        <row r="18">
          <cell r="Q18" t="str">
            <v/>
          </cell>
        </row>
        <row r="19">
          <cell r="Q19" t="str">
            <v/>
          </cell>
        </row>
        <row r="20">
          <cell r="Q20" t="str">
            <v/>
          </cell>
        </row>
        <row r="21">
          <cell r="Q21" t="str">
            <v/>
          </cell>
        </row>
        <row r="22">
          <cell r="Q22" t="str">
            <v/>
          </cell>
        </row>
        <row r="23">
          <cell r="Q23" t="str">
            <v/>
          </cell>
        </row>
        <row r="24">
          <cell r="Q24" t="str">
            <v/>
          </cell>
        </row>
        <row r="25">
          <cell r="Q25" t="str">
            <v/>
          </cell>
        </row>
        <row r="26">
          <cell r="Q26" t="str">
            <v/>
          </cell>
        </row>
        <row r="27">
          <cell r="Q27" t="str">
            <v/>
          </cell>
        </row>
        <row r="28">
          <cell r="Q28" t="str">
            <v/>
          </cell>
        </row>
        <row r="29">
          <cell r="Q29" t="str">
            <v/>
          </cell>
        </row>
        <row r="30">
          <cell r="Q30" t="str">
            <v/>
          </cell>
        </row>
        <row r="31">
          <cell r="Q31" t="str">
            <v/>
          </cell>
        </row>
        <row r="32">
          <cell r="Q32" t="str">
            <v/>
          </cell>
        </row>
        <row r="33">
          <cell r="Q33" t="str">
            <v/>
          </cell>
        </row>
        <row r="34">
          <cell r="Q34" t="str">
            <v/>
          </cell>
        </row>
        <row r="35">
          <cell r="Q35" t="str">
            <v/>
          </cell>
        </row>
        <row r="36">
          <cell r="Q36" t="str">
            <v/>
          </cell>
        </row>
        <row r="37">
          <cell r="Q37" t="str">
            <v/>
          </cell>
        </row>
        <row r="38">
          <cell r="Q38" t="str">
            <v/>
          </cell>
        </row>
        <row r="39">
          <cell r="Q39" t="str">
            <v/>
          </cell>
        </row>
        <row r="40">
          <cell r="Q40" t="str">
            <v/>
          </cell>
        </row>
        <row r="41">
          <cell r="Q41" t="str">
            <v/>
          </cell>
        </row>
        <row r="42">
          <cell r="Q42" t="str">
            <v/>
          </cell>
        </row>
        <row r="43">
          <cell r="Q43" t="str">
            <v/>
          </cell>
        </row>
        <row r="44">
          <cell r="Q44" t="str">
            <v/>
          </cell>
        </row>
        <row r="45">
          <cell r="Q45" t="str">
            <v/>
          </cell>
        </row>
        <row r="46">
          <cell r="Q46" t="str">
            <v/>
          </cell>
        </row>
        <row r="47">
          <cell r="Q47" t="str">
            <v/>
          </cell>
        </row>
        <row r="48">
          <cell r="Q48" t="str">
            <v/>
          </cell>
        </row>
        <row r="49">
          <cell r="Q49" t="str">
            <v/>
          </cell>
        </row>
        <row r="50">
          <cell r="Q50" t="str">
            <v/>
          </cell>
        </row>
        <row r="51">
          <cell r="Q51" t="str">
            <v/>
          </cell>
        </row>
        <row r="52">
          <cell r="Q52" t="str">
            <v/>
          </cell>
        </row>
        <row r="53">
          <cell r="Q53" t="str">
            <v/>
          </cell>
        </row>
        <row r="54">
          <cell r="Q54" t="str">
            <v/>
          </cell>
        </row>
        <row r="55">
          <cell r="Q55" t="str">
            <v/>
          </cell>
        </row>
        <row r="56">
          <cell r="Q56" t="str">
            <v/>
          </cell>
        </row>
        <row r="57">
          <cell r="Q57" t="str">
            <v/>
          </cell>
        </row>
        <row r="58">
          <cell r="Q58" t="str">
            <v/>
          </cell>
        </row>
        <row r="59">
          <cell r="Q59" t="str">
            <v/>
          </cell>
        </row>
        <row r="60">
          <cell r="Q60" t="str">
            <v/>
          </cell>
        </row>
        <row r="61">
          <cell r="Q61" t="str">
            <v/>
          </cell>
        </row>
        <row r="62">
          <cell r="Q62" t="str">
            <v/>
          </cell>
        </row>
        <row r="63">
          <cell r="Q63" t="str">
            <v/>
          </cell>
        </row>
        <row r="64">
          <cell r="Q64" t="str">
            <v/>
          </cell>
        </row>
        <row r="65">
          <cell r="Q65" t="str">
            <v/>
          </cell>
        </row>
        <row r="66">
          <cell r="Q66" t="str">
            <v/>
          </cell>
        </row>
        <row r="67">
          <cell r="Q67" t="str">
            <v/>
          </cell>
        </row>
        <row r="68">
          <cell r="Q68" t="str">
            <v/>
          </cell>
        </row>
        <row r="69">
          <cell r="Q69" t="str">
            <v/>
          </cell>
        </row>
        <row r="70">
          <cell r="Q70" t="str">
            <v/>
          </cell>
        </row>
        <row r="71">
          <cell r="Q71" t="str">
            <v/>
          </cell>
        </row>
        <row r="72">
          <cell r="Q72" t="str">
            <v/>
          </cell>
        </row>
        <row r="73">
          <cell r="Q73" t="str">
            <v/>
          </cell>
        </row>
        <row r="74">
          <cell r="Q74" t="str">
            <v/>
          </cell>
        </row>
        <row r="75">
          <cell r="Q75" t="str">
            <v/>
          </cell>
        </row>
        <row r="76">
          <cell r="Q76" t="str">
            <v/>
          </cell>
        </row>
        <row r="77">
          <cell r="Q77" t="str">
            <v/>
          </cell>
        </row>
        <row r="78">
          <cell r="Q78" t="str">
            <v/>
          </cell>
        </row>
        <row r="79">
          <cell r="Q79" t="str">
            <v/>
          </cell>
        </row>
        <row r="80">
          <cell r="Q80" t="str">
            <v/>
          </cell>
        </row>
        <row r="81">
          <cell r="Q81" t="str">
            <v/>
          </cell>
        </row>
        <row r="82">
          <cell r="Q82" t="str">
            <v/>
          </cell>
        </row>
        <row r="83">
          <cell r="Q83" t="str">
            <v/>
          </cell>
        </row>
        <row r="84">
          <cell r="Q84" t="str">
            <v/>
          </cell>
        </row>
        <row r="85">
          <cell r="Q85" t="str">
            <v/>
          </cell>
        </row>
        <row r="86">
          <cell r="Q86" t="str">
            <v/>
          </cell>
        </row>
        <row r="87">
          <cell r="Q87" t="str">
            <v/>
          </cell>
        </row>
        <row r="88">
          <cell r="Q88" t="str">
            <v/>
          </cell>
        </row>
        <row r="89">
          <cell r="Q89" t="str">
            <v/>
          </cell>
        </row>
        <row r="90">
          <cell r="Q90" t="str">
            <v/>
          </cell>
        </row>
        <row r="91">
          <cell r="Q91" t="str">
            <v/>
          </cell>
        </row>
        <row r="92">
          <cell r="Q92" t="str">
            <v/>
          </cell>
        </row>
        <row r="93">
          <cell r="Q93" t="str">
            <v/>
          </cell>
        </row>
        <row r="94">
          <cell r="Q94" t="str">
            <v/>
          </cell>
        </row>
        <row r="95">
          <cell r="Q95" t="str">
            <v/>
          </cell>
        </row>
        <row r="96">
          <cell r="Q96" t="str">
            <v/>
          </cell>
        </row>
        <row r="97">
          <cell r="Q97" t="str">
            <v/>
          </cell>
        </row>
        <row r="98">
          <cell r="Q98" t="str">
            <v/>
          </cell>
        </row>
        <row r="99">
          <cell r="Q99" t="str">
            <v/>
          </cell>
        </row>
        <row r="100">
          <cell r="Q100" t="str">
            <v/>
          </cell>
        </row>
        <row r="101">
          <cell r="Q101" t="str">
            <v/>
          </cell>
        </row>
        <row r="102">
          <cell r="Q102" t="str">
            <v/>
          </cell>
        </row>
        <row r="103">
          <cell r="Q103" t="str">
            <v/>
          </cell>
        </row>
        <row r="104">
          <cell r="Q104" t="str">
            <v/>
          </cell>
        </row>
        <row r="105">
          <cell r="Q105" t="str">
            <v/>
          </cell>
        </row>
        <row r="106">
          <cell r="Q106" t="str">
            <v/>
          </cell>
        </row>
        <row r="107">
          <cell r="Q107" t="str">
            <v/>
          </cell>
        </row>
        <row r="108">
          <cell r="Q108" t="str">
            <v/>
          </cell>
        </row>
        <row r="109">
          <cell r="Q109" t="str">
            <v/>
          </cell>
        </row>
        <row r="110">
          <cell r="Q110" t="str">
            <v/>
          </cell>
        </row>
        <row r="111">
          <cell r="Q111" t="str">
            <v/>
          </cell>
        </row>
        <row r="112">
          <cell r="Q112" t="str">
            <v/>
          </cell>
        </row>
        <row r="113">
          <cell r="Q113" t="str">
            <v/>
          </cell>
        </row>
        <row r="114">
          <cell r="Q114" t="str">
            <v/>
          </cell>
        </row>
        <row r="115">
          <cell r="Q115" t="str">
            <v/>
          </cell>
        </row>
        <row r="116">
          <cell r="Q116" t="str">
            <v/>
          </cell>
        </row>
        <row r="117">
          <cell r="Q117" t="str">
            <v/>
          </cell>
        </row>
        <row r="118">
          <cell r="Q118" t="str">
            <v/>
          </cell>
        </row>
        <row r="119">
          <cell r="Q119" t="str">
            <v/>
          </cell>
        </row>
        <row r="120">
          <cell r="Q120" t="str">
            <v/>
          </cell>
        </row>
        <row r="121">
          <cell r="Q121" t="str">
            <v/>
          </cell>
        </row>
        <row r="122">
          <cell r="Q122" t="str">
            <v/>
          </cell>
        </row>
        <row r="123">
          <cell r="Q123" t="str">
            <v/>
          </cell>
        </row>
        <row r="124">
          <cell r="Q124" t="str">
            <v/>
          </cell>
        </row>
        <row r="125">
          <cell r="Q125" t="str">
            <v/>
          </cell>
        </row>
        <row r="126">
          <cell r="Q126" t="str">
            <v/>
          </cell>
        </row>
        <row r="127">
          <cell r="Q127" t="str">
            <v/>
          </cell>
        </row>
        <row r="128">
          <cell r="Q128" t="str">
            <v/>
          </cell>
        </row>
        <row r="129">
          <cell r="Q129" t="str">
            <v/>
          </cell>
        </row>
        <row r="130">
          <cell r="Q130" t="str">
            <v/>
          </cell>
        </row>
        <row r="131">
          <cell r="Q131" t="str">
            <v/>
          </cell>
        </row>
        <row r="132">
          <cell r="Q132" t="str">
            <v/>
          </cell>
        </row>
        <row r="133">
          <cell r="Q133" t="str">
            <v/>
          </cell>
        </row>
        <row r="134">
          <cell r="Q134" t="str">
            <v/>
          </cell>
        </row>
        <row r="135">
          <cell r="Q135" t="str">
            <v/>
          </cell>
        </row>
        <row r="136">
          <cell r="Q136" t="str">
            <v/>
          </cell>
        </row>
        <row r="137">
          <cell r="Q137" t="str">
            <v/>
          </cell>
        </row>
        <row r="138">
          <cell r="Q138" t="str">
            <v/>
          </cell>
        </row>
        <row r="139">
          <cell r="Q139" t="str">
            <v/>
          </cell>
        </row>
        <row r="140">
          <cell r="Q140" t="str">
            <v/>
          </cell>
        </row>
        <row r="141">
          <cell r="Q141" t="str">
            <v/>
          </cell>
        </row>
        <row r="142">
          <cell r="Q142" t="str">
            <v/>
          </cell>
        </row>
        <row r="143">
          <cell r="Q143" t="str">
            <v/>
          </cell>
        </row>
        <row r="144">
          <cell r="Q144" t="str">
            <v/>
          </cell>
        </row>
        <row r="145">
          <cell r="Q145" t="str">
            <v/>
          </cell>
        </row>
        <row r="146">
          <cell r="Q146" t="str">
            <v/>
          </cell>
        </row>
        <row r="147">
          <cell r="Q147" t="str">
            <v/>
          </cell>
        </row>
        <row r="148">
          <cell r="Q148" t="str">
            <v/>
          </cell>
        </row>
        <row r="149">
          <cell r="Q149" t="str">
            <v/>
          </cell>
        </row>
        <row r="150">
          <cell r="Q150" t="str">
            <v/>
          </cell>
        </row>
        <row r="151">
          <cell r="Q151" t="str">
            <v/>
          </cell>
        </row>
        <row r="152">
          <cell r="Q152" t="str">
            <v/>
          </cell>
        </row>
        <row r="153">
          <cell r="Q153" t="str">
            <v/>
          </cell>
        </row>
        <row r="154">
          <cell r="Q154" t="str">
            <v/>
          </cell>
        </row>
        <row r="155">
          <cell r="Q155" t="str">
            <v/>
          </cell>
        </row>
        <row r="156">
          <cell r="Q156" t="str">
            <v/>
          </cell>
        </row>
        <row r="157">
          <cell r="Q157" t="str">
            <v/>
          </cell>
        </row>
        <row r="158">
          <cell r="Q158" t="str">
            <v/>
          </cell>
        </row>
        <row r="159">
          <cell r="Q159" t="str">
            <v/>
          </cell>
        </row>
        <row r="160">
          <cell r="Q160" t="str">
            <v/>
          </cell>
        </row>
        <row r="161">
          <cell r="Q161" t="str">
            <v/>
          </cell>
        </row>
        <row r="162">
          <cell r="Q162" t="str">
            <v/>
          </cell>
        </row>
        <row r="163">
          <cell r="Q163" t="str">
            <v/>
          </cell>
        </row>
        <row r="164">
          <cell r="Q164" t="str">
            <v/>
          </cell>
        </row>
        <row r="165">
          <cell r="Q165" t="str">
            <v/>
          </cell>
        </row>
        <row r="166">
          <cell r="Q166" t="str">
            <v/>
          </cell>
        </row>
        <row r="167">
          <cell r="Q167" t="str">
            <v/>
          </cell>
        </row>
        <row r="168">
          <cell r="Q168" t="str">
            <v/>
          </cell>
        </row>
        <row r="169">
          <cell r="Q169" t="str">
            <v/>
          </cell>
        </row>
        <row r="170">
          <cell r="Q170" t="str">
            <v/>
          </cell>
        </row>
        <row r="171">
          <cell r="Q171" t="str">
            <v/>
          </cell>
        </row>
        <row r="172">
          <cell r="Q172" t="str">
            <v/>
          </cell>
        </row>
        <row r="173">
          <cell r="Q173" t="str">
            <v/>
          </cell>
        </row>
        <row r="174">
          <cell r="Q174" t="str">
            <v/>
          </cell>
        </row>
        <row r="175">
          <cell r="Q175" t="str">
            <v/>
          </cell>
        </row>
        <row r="176">
          <cell r="Q176" t="str">
            <v/>
          </cell>
        </row>
        <row r="177">
          <cell r="Q177" t="str">
            <v/>
          </cell>
        </row>
        <row r="178">
          <cell r="Q178" t="str">
            <v/>
          </cell>
        </row>
        <row r="179">
          <cell r="Q179" t="str">
            <v/>
          </cell>
        </row>
        <row r="180">
          <cell r="Q180" t="str">
            <v/>
          </cell>
        </row>
        <row r="181">
          <cell r="Q181" t="str">
            <v/>
          </cell>
        </row>
        <row r="182">
          <cell r="Q182" t="str">
            <v/>
          </cell>
        </row>
        <row r="183">
          <cell r="Q183" t="str">
            <v/>
          </cell>
        </row>
        <row r="184">
          <cell r="Q184" t="str">
            <v/>
          </cell>
        </row>
        <row r="185">
          <cell r="Q185" t="str">
            <v/>
          </cell>
        </row>
        <row r="186">
          <cell r="Q186" t="str">
            <v/>
          </cell>
        </row>
        <row r="187">
          <cell r="Q187" t="str">
            <v/>
          </cell>
        </row>
        <row r="188">
          <cell r="Q188" t="str">
            <v/>
          </cell>
        </row>
        <row r="189">
          <cell r="Q189" t="str">
            <v/>
          </cell>
        </row>
        <row r="190">
          <cell r="Q190" t="str">
            <v/>
          </cell>
        </row>
        <row r="191">
          <cell r="Q191" t="str">
            <v/>
          </cell>
        </row>
        <row r="192">
          <cell r="Q192" t="str">
            <v/>
          </cell>
        </row>
        <row r="193">
          <cell r="Q193" t="str">
            <v/>
          </cell>
        </row>
        <row r="194">
          <cell r="Q194" t="str">
            <v/>
          </cell>
        </row>
        <row r="195">
          <cell r="Q195" t="str">
            <v/>
          </cell>
        </row>
        <row r="196">
          <cell r="Q196" t="str">
            <v/>
          </cell>
        </row>
        <row r="197">
          <cell r="Q197" t="str">
            <v/>
          </cell>
        </row>
        <row r="198">
          <cell r="Q198" t="str">
            <v/>
          </cell>
        </row>
        <row r="199">
          <cell r="Q199" t="str">
            <v/>
          </cell>
        </row>
        <row r="200">
          <cell r="Q200" t="str">
            <v/>
          </cell>
        </row>
        <row r="201">
          <cell r="Q201" t="str">
            <v/>
          </cell>
        </row>
        <row r="202">
          <cell r="Q202" t="str">
            <v/>
          </cell>
        </row>
        <row r="203">
          <cell r="Q203" t="str">
            <v/>
          </cell>
        </row>
        <row r="204">
          <cell r="Q204" t="str">
            <v/>
          </cell>
        </row>
        <row r="205">
          <cell r="Q205" t="str">
            <v/>
          </cell>
        </row>
        <row r="206">
          <cell r="Q206" t="str">
            <v/>
          </cell>
        </row>
        <row r="207">
          <cell r="Q207" t="str">
            <v/>
          </cell>
        </row>
        <row r="208">
          <cell r="Q208" t="str">
            <v/>
          </cell>
        </row>
        <row r="209">
          <cell r="Q209" t="str">
            <v/>
          </cell>
        </row>
        <row r="210">
          <cell r="Q210" t="str">
            <v/>
          </cell>
        </row>
        <row r="211">
          <cell r="Q211" t="str">
            <v/>
          </cell>
        </row>
        <row r="212">
          <cell r="Q212" t="str">
            <v/>
          </cell>
        </row>
        <row r="213">
          <cell r="Q213" t="str">
            <v/>
          </cell>
        </row>
        <row r="214">
          <cell r="Q214" t="str">
            <v/>
          </cell>
        </row>
        <row r="215">
          <cell r="Q215" t="str">
            <v/>
          </cell>
        </row>
        <row r="216">
          <cell r="Q216" t="str">
            <v/>
          </cell>
        </row>
        <row r="217">
          <cell r="Q217" t="str">
            <v/>
          </cell>
        </row>
        <row r="218">
          <cell r="Q218" t="str">
            <v/>
          </cell>
        </row>
        <row r="219">
          <cell r="Q219" t="str">
            <v/>
          </cell>
        </row>
        <row r="220">
          <cell r="Q220" t="str">
            <v/>
          </cell>
        </row>
        <row r="221">
          <cell r="Q221" t="str">
            <v/>
          </cell>
        </row>
        <row r="222">
          <cell r="Q222" t="str">
            <v/>
          </cell>
        </row>
        <row r="223">
          <cell r="Q223" t="str">
            <v/>
          </cell>
        </row>
        <row r="224">
          <cell r="Q224" t="str">
            <v/>
          </cell>
        </row>
        <row r="225">
          <cell r="Q225" t="str">
            <v/>
          </cell>
        </row>
        <row r="226">
          <cell r="Q226" t="str">
            <v/>
          </cell>
        </row>
        <row r="227">
          <cell r="Q227" t="str">
            <v/>
          </cell>
        </row>
        <row r="228">
          <cell r="Q228" t="str">
            <v/>
          </cell>
        </row>
        <row r="229">
          <cell r="Q229" t="str">
            <v/>
          </cell>
        </row>
        <row r="230">
          <cell r="Q230" t="str">
            <v/>
          </cell>
        </row>
        <row r="231">
          <cell r="Q231" t="str">
            <v/>
          </cell>
        </row>
        <row r="232">
          <cell r="Q232" t="str">
            <v/>
          </cell>
        </row>
        <row r="233">
          <cell r="Q233" t="str">
            <v/>
          </cell>
        </row>
        <row r="234">
          <cell r="Q234" t="str">
            <v/>
          </cell>
        </row>
        <row r="235">
          <cell r="Q235" t="str">
            <v/>
          </cell>
        </row>
        <row r="236">
          <cell r="Q236" t="str">
            <v/>
          </cell>
        </row>
        <row r="237">
          <cell r="Q237" t="str">
            <v/>
          </cell>
        </row>
        <row r="238">
          <cell r="Q238" t="str">
            <v/>
          </cell>
        </row>
        <row r="239">
          <cell r="Q239" t="str">
            <v/>
          </cell>
        </row>
        <row r="240">
          <cell r="Q240" t="str">
            <v/>
          </cell>
        </row>
        <row r="241">
          <cell r="Q241" t="str">
            <v/>
          </cell>
        </row>
        <row r="242">
          <cell r="Q242" t="str">
            <v/>
          </cell>
        </row>
        <row r="243">
          <cell r="Q243" t="str">
            <v/>
          </cell>
        </row>
        <row r="244">
          <cell r="Q244" t="str">
            <v/>
          </cell>
        </row>
        <row r="245">
          <cell r="Q245" t="str">
            <v/>
          </cell>
        </row>
        <row r="246">
          <cell r="Q246" t="str">
            <v/>
          </cell>
        </row>
        <row r="247">
          <cell r="Q247" t="str">
            <v/>
          </cell>
        </row>
        <row r="248">
          <cell r="Q248" t="str">
            <v/>
          </cell>
        </row>
        <row r="249">
          <cell r="Q249" t="str">
            <v/>
          </cell>
        </row>
        <row r="250">
          <cell r="Q250" t="str">
            <v/>
          </cell>
        </row>
        <row r="251">
          <cell r="Q251" t="str">
            <v/>
          </cell>
        </row>
        <row r="252">
          <cell r="Q252" t="str">
            <v/>
          </cell>
        </row>
        <row r="253">
          <cell r="Q253" t="str">
            <v/>
          </cell>
        </row>
        <row r="254">
          <cell r="Q254" t="str">
            <v/>
          </cell>
        </row>
        <row r="255">
          <cell r="Q255" t="str">
            <v/>
          </cell>
        </row>
        <row r="256">
          <cell r="Q256" t="str">
            <v/>
          </cell>
        </row>
        <row r="257">
          <cell r="Q257" t="str">
            <v/>
          </cell>
        </row>
        <row r="258">
          <cell r="Q258" t="str">
            <v/>
          </cell>
        </row>
        <row r="259">
          <cell r="Q259" t="str">
            <v/>
          </cell>
        </row>
        <row r="260">
          <cell r="Q260" t="str">
            <v/>
          </cell>
        </row>
        <row r="261">
          <cell r="Q261" t="str">
            <v/>
          </cell>
        </row>
        <row r="262">
          <cell r="Q262" t="str">
            <v/>
          </cell>
        </row>
        <row r="263">
          <cell r="Q263" t="str">
            <v/>
          </cell>
        </row>
        <row r="264">
          <cell r="Q264" t="str">
            <v/>
          </cell>
        </row>
        <row r="265">
          <cell r="Q265" t="str">
            <v/>
          </cell>
        </row>
        <row r="266">
          <cell r="Q266" t="str">
            <v/>
          </cell>
        </row>
        <row r="267">
          <cell r="Q267" t="str">
            <v/>
          </cell>
        </row>
        <row r="268">
          <cell r="Q268" t="str">
            <v/>
          </cell>
        </row>
        <row r="269">
          <cell r="Q269" t="str">
            <v/>
          </cell>
        </row>
        <row r="270">
          <cell r="Q270" t="str">
            <v/>
          </cell>
        </row>
        <row r="271">
          <cell r="Q271" t="str">
            <v/>
          </cell>
        </row>
        <row r="272">
          <cell r="Q272" t="str">
            <v/>
          </cell>
        </row>
        <row r="273">
          <cell r="Q273" t="str">
            <v/>
          </cell>
        </row>
        <row r="274">
          <cell r="Q274" t="str">
            <v/>
          </cell>
        </row>
        <row r="275">
          <cell r="Q275" t="str">
            <v/>
          </cell>
        </row>
        <row r="276">
          <cell r="Q276" t="str">
            <v/>
          </cell>
        </row>
        <row r="277">
          <cell r="Q277" t="str">
            <v/>
          </cell>
        </row>
        <row r="278">
          <cell r="Q278" t="str">
            <v/>
          </cell>
        </row>
        <row r="279">
          <cell r="Q279" t="str">
            <v/>
          </cell>
        </row>
        <row r="280">
          <cell r="Q280" t="str">
            <v/>
          </cell>
        </row>
        <row r="281">
          <cell r="Q281" t="str">
            <v/>
          </cell>
        </row>
        <row r="282">
          <cell r="Q282" t="str">
            <v/>
          </cell>
        </row>
        <row r="283">
          <cell r="Q283" t="str">
            <v/>
          </cell>
        </row>
        <row r="284">
          <cell r="Q284" t="str">
            <v/>
          </cell>
        </row>
        <row r="285">
          <cell r="Q285" t="str">
            <v/>
          </cell>
        </row>
        <row r="286">
          <cell r="Q286" t="str">
            <v/>
          </cell>
        </row>
        <row r="287">
          <cell r="Q287" t="str">
            <v/>
          </cell>
        </row>
        <row r="288">
          <cell r="Q288" t="str">
            <v/>
          </cell>
        </row>
        <row r="289">
          <cell r="Q289" t="str">
            <v/>
          </cell>
        </row>
        <row r="290">
          <cell r="Q290" t="str">
            <v/>
          </cell>
        </row>
        <row r="291">
          <cell r="Q291" t="str">
            <v/>
          </cell>
        </row>
        <row r="292">
          <cell r="Q292" t="str">
            <v/>
          </cell>
        </row>
        <row r="293">
          <cell r="Q293" t="str">
            <v/>
          </cell>
        </row>
        <row r="294">
          <cell r="Q294" t="str">
            <v/>
          </cell>
        </row>
        <row r="295">
          <cell r="Q295" t="str">
            <v/>
          </cell>
        </row>
        <row r="296">
          <cell r="Q296" t="str">
            <v/>
          </cell>
        </row>
        <row r="297">
          <cell r="Q297" t="str">
            <v/>
          </cell>
        </row>
        <row r="298">
          <cell r="Q298" t="str">
            <v/>
          </cell>
        </row>
        <row r="299">
          <cell r="Q299" t="str">
            <v/>
          </cell>
        </row>
        <row r="300">
          <cell r="Q300" t="str">
            <v/>
          </cell>
        </row>
        <row r="301">
          <cell r="Q301" t="str">
            <v/>
          </cell>
        </row>
        <row r="302">
          <cell r="Q302" t="str">
            <v/>
          </cell>
        </row>
        <row r="303">
          <cell r="Q303" t="str">
            <v/>
          </cell>
        </row>
        <row r="304">
          <cell r="Q304" t="str">
            <v/>
          </cell>
        </row>
        <row r="305">
          <cell r="Q305" t="str">
            <v/>
          </cell>
        </row>
        <row r="306">
          <cell r="Q306" t="str">
            <v/>
          </cell>
        </row>
        <row r="307">
          <cell r="Q307" t="str">
            <v/>
          </cell>
        </row>
        <row r="308">
          <cell r="Q308" t="str">
            <v/>
          </cell>
        </row>
        <row r="309">
          <cell r="Q309" t="str">
            <v/>
          </cell>
        </row>
        <row r="310">
          <cell r="Q310" t="str">
            <v/>
          </cell>
        </row>
        <row r="311">
          <cell r="Q311" t="str">
            <v/>
          </cell>
        </row>
        <row r="312">
          <cell r="Q312" t="str">
            <v/>
          </cell>
        </row>
        <row r="313">
          <cell r="Q313" t="str">
            <v/>
          </cell>
        </row>
        <row r="314">
          <cell r="Q314" t="str">
            <v/>
          </cell>
        </row>
        <row r="315">
          <cell r="Q315" t="str">
            <v/>
          </cell>
        </row>
        <row r="316">
          <cell r="Q316" t="str">
            <v/>
          </cell>
        </row>
        <row r="317">
          <cell r="Q317" t="str">
            <v/>
          </cell>
        </row>
        <row r="318">
          <cell r="Q318" t="str">
            <v/>
          </cell>
        </row>
        <row r="319">
          <cell r="Q319" t="str">
            <v/>
          </cell>
        </row>
        <row r="320">
          <cell r="Q320" t="str">
            <v/>
          </cell>
        </row>
        <row r="321">
          <cell r="Q321" t="str">
            <v/>
          </cell>
        </row>
        <row r="322">
          <cell r="Q322" t="str">
            <v/>
          </cell>
        </row>
        <row r="323">
          <cell r="Q323" t="str">
            <v/>
          </cell>
        </row>
        <row r="324">
          <cell r="Q324" t="str">
            <v/>
          </cell>
        </row>
        <row r="325">
          <cell r="Q325" t="str">
            <v/>
          </cell>
        </row>
        <row r="326">
          <cell r="Q326" t="str">
            <v/>
          </cell>
        </row>
        <row r="327">
          <cell r="Q327" t="str">
            <v/>
          </cell>
        </row>
        <row r="328">
          <cell r="Q328" t="str">
            <v/>
          </cell>
        </row>
        <row r="329">
          <cell r="Q329" t="str">
            <v/>
          </cell>
        </row>
        <row r="330">
          <cell r="Q330" t="str">
            <v/>
          </cell>
        </row>
        <row r="331">
          <cell r="Q331" t="str">
            <v/>
          </cell>
        </row>
        <row r="332">
          <cell r="Q332" t="str">
            <v/>
          </cell>
        </row>
        <row r="333">
          <cell r="Q333" t="str">
            <v/>
          </cell>
        </row>
        <row r="334">
          <cell r="Q334" t="str">
            <v/>
          </cell>
        </row>
        <row r="335">
          <cell r="Q335" t="str">
            <v/>
          </cell>
        </row>
        <row r="336">
          <cell r="Q336" t="str">
            <v/>
          </cell>
        </row>
        <row r="337">
          <cell r="Q337" t="str">
            <v/>
          </cell>
        </row>
        <row r="338">
          <cell r="Q338" t="str">
            <v/>
          </cell>
        </row>
        <row r="339">
          <cell r="Q339" t="str">
            <v/>
          </cell>
        </row>
        <row r="340">
          <cell r="Q340" t="str">
            <v/>
          </cell>
        </row>
        <row r="341">
          <cell r="Q341" t="str">
            <v/>
          </cell>
        </row>
        <row r="342">
          <cell r="Q342" t="str">
            <v/>
          </cell>
        </row>
        <row r="343">
          <cell r="Q343" t="str">
            <v/>
          </cell>
        </row>
        <row r="344">
          <cell r="Q344" t="str">
            <v/>
          </cell>
        </row>
        <row r="345">
          <cell r="Q345" t="str">
            <v/>
          </cell>
        </row>
        <row r="346">
          <cell r="Q346" t="str">
            <v/>
          </cell>
        </row>
        <row r="347">
          <cell r="Q347" t="str">
            <v/>
          </cell>
        </row>
        <row r="348">
          <cell r="Q348" t="str">
            <v/>
          </cell>
        </row>
        <row r="349">
          <cell r="Q349" t="str">
            <v/>
          </cell>
        </row>
        <row r="350">
          <cell r="Q350" t="str">
            <v/>
          </cell>
        </row>
        <row r="351">
          <cell r="Q351" t="str">
            <v/>
          </cell>
        </row>
        <row r="352">
          <cell r="Q352" t="str">
            <v/>
          </cell>
        </row>
        <row r="353">
          <cell r="Q353" t="str">
            <v/>
          </cell>
        </row>
        <row r="354">
          <cell r="Q354" t="str">
            <v/>
          </cell>
        </row>
        <row r="355">
          <cell r="Q355" t="str">
            <v/>
          </cell>
        </row>
        <row r="356">
          <cell r="Q356" t="str">
            <v/>
          </cell>
        </row>
        <row r="357">
          <cell r="Q357" t="str">
            <v/>
          </cell>
        </row>
        <row r="358">
          <cell r="Q358" t="str">
            <v/>
          </cell>
        </row>
        <row r="359">
          <cell r="Q359" t="str">
            <v/>
          </cell>
        </row>
        <row r="360">
          <cell r="Q360" t="str">
            <v/>
          </cell>
        </row>
        <row r="361">
          <cell r="Q361" t="str">
            <v/>
          </cell>
        </row>
        <row r="362">
          <cell r="Q362" t="str">
            <v/>
          </cell>
        </row>
        <row r="363">
          <cell r="Q363" t="str">
            <v/>
          </cell>
        </row>
        <row r="364">
          <cell r="Q364" t="str">
            <v/>
          </cell>
        </row>
        <row r="365">
          <cell r="Q365" t="str">
            <v/>
          </cell>
        </row>
        <row r="366">
          <cell r="Q366" t="str">
            <v/>
          </cell>
        </row>
        <row r="367">
          <cell r="Q367" t="str">
            <v/>
          </cell>
        </row>
        <row r="368">
          <cell r="Q368" t="str">
            <v/>
          </cell>
        </row>
        <row r="369">
          <cell r="Q369" t="str">
            <v/>
          </cell>
        </row>
        <row r="370">
          <cell r="Q370" t="str">
            <v/>
          </cell>
        </row>
        <row r="371">
          <cell r="Q371" t="str">
            <v/>
          </cell>
        </row>
        <row r="372">
          <cell r="Q372" t="str">
            <v/>
          </cell>
        </row>
        <row r="373">
          <cell r="Q373" t="str">
            <v/>
          </cell>
        </row>
        <row r="374">
          <cell r="Q374" t="str">
            <v/>
          </cell>
        </row>
        <row r="375">
          <cell r="Q375" t="str">
            <v/>
          </cell>
        </row>
        <row r="376">
          <cell r="Q376" t="str">
            <v/>
          </cell>
        </row>
        <row r="377">
          <cell r="Q377" t="str">
            <v/>
          </cell>
        </row>
        <row r="378">
          <cell r="Q378" t="str">
            <v/>
          </cell>
        </row>
        <row r="379">
          <cell r="Q379" t="str">
            <v/>
          </cell>
        </row>
        <row r="380">
          <cell r="Q380" t="str">
            <v/>
          </cell>
        </row>
        <row r="381">
          <cell r="Q381" t="str">
            <v/>
          </cell>
        </row>
        <row r="382">
          <cell r="Q382" t="str">
            <v/>
          </cell>
        </row>
        <row r="383">
          <cell r="Q383" t="str">
            <v/>
          </cell>
        </row>
        <row r="384">
          <cell r="Q384" t="str">
            <v/>
          </cell>
        </row>
        <row r="385">
          <cell r="Q385" t="str">
            <v/>
          </cell>
        </row>
        <row r="386">
          <cell r="Q386" t="str">
            <v/>
          </cell>
        </row>
        <row r="387">
          <cell r="Q387" t="str">
            <v/>
          </cell>
        </row>
        <row r="388">
          <cell r="Q388" t="str">
            <v/>
          </cell>
        </row>
        <row r="389">
          <cell r="Q389" t="str">
            <v/>
          </cell>
        </row>
        <row r="390">
          <cell r="Q390" t="str">
            <v/>
          </cell>
        </row>
        <row r="391">
          <cell r="Q391" t="str">
            <v/>
          </cell>
        </row>
        <row r="392">
          <cell r="Q392" t="str">
            <v/>
          </cell>
        </row>
        <row r="393">
          <cell r="Q393" t="str">
            <v/>
          </cell>
        </row>
        <row r="394">
          <cell r="Q394" t="str">
            <v/>
          </cell>
        </row>
        <row r="395">
          <cell r="Q395" t="str">
            <v/>
          </cell>
        </row>
        <row r="396">
          <cell r="Q396" t="str">
            <v/>
          </cell>
        </row>
        <row r="397">
          <cell r="Q397" t="str">
            <v/>
          </cell>
        </row>
        <row r="398">
          <cell r="Q398" t="str">
            <v/>
          </cell>
        </row>
        <row r="399">
          <cell r="Q399" t="str">
            <v/>
          </cell>
        </row>
        <row r="400">
          <cell r="Q400" t="str">
            <v/>
          </cell>
        </row>
        <row r="401">
          <cell r="Q401" t="str">
            <v/>
          </cell>
        </row>
        <row r="402">
          <cell r="Q402" t="str">
            <v/>
          </cell>
        </row>
        <row r="403">
          <cell r="Q403" t="str">
            <v/>
          </cell>
        </row>
        <row r="404">
          <cell r="Q404" t="str">
            <v/>
          </cell>
        </row>
        <row r="405">
          <cell r="Q405" t="str">
            <v/>
          </cell>
        </row>
        <row r="406">
          <cell r="Q406" t="str">
            <v/>
          </cell>
        </row>
        <row r="407">
          <cell r="Q407" t="str">
            <v/>
          </cell>
        </row>
        <row r="408">
          <cell r="Q408" t="str">
            <v/>
          </cell>
        </row>
        <row r="409">
          <cell r="Q409" t="str">
            <v/>
          </cell>
        </row>
        <row r="410">
          <cell r="Q410" t="str">
            <v/>
          </cell>
        </row>
        <row r="411">
          <cell r="Q411" t="str">
            <v/>
          </cell>
        </row>
        <row r="412">
          <cell r="Q412" t="str">
            <v/>
          </cell>
        </row>
        <row r="413">
          <cell r="Q413" t="str">
            <v/>
          </cell>
        </row>
        <row r="414">
          <cell r="Q414" t="str">
            <v/>
          </cell>
        </row>
        <row r="415">
          <cell r="Q415" t="str">
            <v/>
          </cell>
        </row>
        <row r="416">
          <cell r="Q416" t="str">
            <v/>
          </cell>
        </row>
        <row r="417">
          <cell r="Q417" t="str">
            <v/>
          </cell>
        </row>
        <row r="418">
          <cell r="Q418" t="str">
            <v/>
          </cell>
        </row>
        <row r="419">
          <cell r="Q419" t="str">
            <v/>
          </cell>
        </row>
        <row r="420">
          <cell r="Q420" t="str">
            <v/>
          </cell>
        </row>
        <row r="421">
          <cell r="Q421" t="str">
            <v/>
          </cell>
        </row>
        <row r="422">
          <cell r="Q422" t="str">
            <v/>
          </cell>
        </row>
        <row r="423">
          <cell r="Q423" t="str">
            <v/>
          </cell>
        </row>
        <row r="424">
          <cell r="Q424" t="str">
            <v/>
          </cell>
        </row>
        <row r="425">
          <cell r="Q425" t="str">
            <v/>
          </cell>
        </row>
        <row r="426">
          <cell r="Q426" t="str">
            <v/>
          </cell>
        </row>
        <row r="427">
          <cell r="Q427" t="str">
            <v/>
          </cell>
        </row>
        <row r="428">
          <cell r="Q428" t="str">
            <v/>
          </cell>
        </row>
        <row r="429">
          <cell r="Q429" t="str">
            <v/>
          </cell>
        </row>
        <row r="430">
          <cell r="Q430" t="str">
            <v/>
          </cell>
        </row>
        <row r="431">
          <cell r="Q431" t="str">
            <v/>
          </cell>
        </row>
        <row r="432">
          <cell r="Q432" t="str">
            <v/>
          </cell>
        </row>
        <row r="433">
          <cell r="Q433" t="str">
            <v/>
          </cell>
        </row>
        <row r="434">
          <cell r="Q434" t="str">
            <v/>
          </cell>
        </row>
        <row r="435">
          <cell r="Q435" t="str">
            <v/>
          </cell>
        </row>
        <row r="436">
          <cell r="Q436" t="str">
            <v/>
          </cell>
        </row>
        <row r="437">
          <cell r="Q437" t="str">
            <v/>
          </cell>
        </row>
        <row r="438">
          <cell r="Q438" t="str">
            <v/>
          </cell>
        </row>
        <row r="439">
          <cell r="Q439" t="str">
            <v/>
          </cell>
        </row>
        <row r="440">
          <cell r="Q440" t="str">
            <v/>
          </cell>
        </row>
        <row r="441">
          <cell r="Q441" t="str">
            <v/>
          </cell>
        </row>
        <row r="442">
          <cell r="Q442" t="str">
            <v/>
          </cell>
        </row>
        <row r="443">
          <cell r="Q443" t="str">
            <v/>
          </cell>
        </row>
        <row r="444">
          <cell r="Q444" t="str">
            <v/>
          </cell>
        </row>
        <row r="445">
          <cell r="Q445" t="str">
            <v/>
          </cell>
        </row>
        <row r="446">
          <cell r="Q446" t="str">
            <v/>
          </cell>
        </row>
        <row r="447">
          <cell r="Q447" t="str">
            <v/>
          </cell>
        </row>
        <row r="448">
          <cell r="Q448" t="str">
            <v/>
          </cell>
        </row>
        <row r="449">
          <cell r="Q449" t="str">
            <v/>
          </cell>
        </row>
        <row r="450">
          <cell r="Q450" t="str">
            <v/>
          </cell>
        </row>
        <row r="451">
          <cell r="Q451" t="str">
            <v/>
          </cell>
        </row>
        <row r="452">
          <cell r="Q452" t="str">
            <v/>
          </cell>
        </row>
        <row r="453">
          <cell r="Q453" t="str">
            <v/>
          </cell>
        </row>
        <row r="454">
          <cell r="Q454" t="str">
            <v/>
          </cell>
        </row>
        <row r="455">
          <cell r="Q455" t="str">
            <v/>
          </cell>
        </row>
        <row r="456">
          <cell r="Q456" t="str">
            <v/>
          </cell>
        </row>
        <row r="457">
          <cell r="Q457" t="str">
            <v/>
          </cell>
        </row>
        <row r="458">
          <cell r="Q458" t="str">
            <v/>
          </cell>
        </row>
        <row r="459">
          <cell r="Q459" t="str">
            <v/>
          </cell>
        </row>
        <row r="460">
          <cell r="Q460" t="str">
            <v/>
          </cell>
        </row>
        <row r="461">
          <cell r="Q461" t="str">
            <v/>
          </cell>
        </row>
        <row r="462">
          <cell r="Q462" t="str">
            <v/>
          </cell>
        </row>
        <row r="463">
          <cell r="Q463" t="str">
            <v/>
          </cell>
        </row>
        <row r="464">
          <cell r="Q464" t="str">
            <v/>
          </cell>
        </row>
        <row r="465">
          <cell r="Q465" t="str">
            <v/>
          </cell>
        </row>
        <row r="466">
          <cell r="Q466" t="str">
            <v/>
          </cell>
        </row>
        <row r="467">
          <cell r="Q467" t="str">
            <v/>
          </cell>
        </row>
        <row r="468">
          <cell r="Q468" t="str">
            <v/>
          </cell>
        </row>
        <row r="469">
          <cell r="Q469" t="str">
            <v/>
          </cell>
        </row>
        <row r="470">
          <cell r="Q470" t="str">
            <v/>
          </cell>
        </row>
        <row r="471">
          <cell r="Q471" t="str">
            <v/>
          </cell>
        </row>
        <row r="472">
          <cell r="Q472" t="str">
            <v/>
          </cell>
        </row>
        <row r="473">
          <cell r="Q473" t="str">
            <v/>
          </cell>
        </row>
        <row r="474">
          <cell r="Q474" t="str">
            <v/>
          </cell>
        </row>
        <row r="475">
          <cell r="Q475" t="str">
            <v/>
          </cell>
        </row>
        <row r="476">
          <cell r="Q476" t="str">
            <v/>
          </cell>
        </row>
        <row r="477">
          <cell r="Q477" t="str">
            <v/>
          </cell>
        </row>
        <row r="478">
          <cell r="Q478" t="str">
            <v/>
          </cell>
        </row>
        <row r="479">
          <cell r="Q479" t="str">
            <v/>
          </cell>
        </row>
        <row r="480">
          <cell r="Q480" t="str">
            <v/>
          </cell>
        </row>
        <row r="481">
          <cell r="Q481" t="str">
            <v/>
          </cell>
        </row>
        <row r="482">
          <cell r="Q482" t="str">
            <v/>
          </cell>
        </row>
        <row r="483">
          <cell r="Q483" t="str">
            <v/>
          </cell>
        </row>
        <row r="484">
          <cell r="Q484" t="str">
            <v/>
          </cell>
        </row>
        <row r="485">
          <cell r="Q485" t="str">
            <v/>
          </cell>
        </row>
        <row r="486">
          <cell r="Q486" t="str">
            <v/>
          </cell>
        </row>
        <row r="487">
          <cell r="Q487" t="str">
            <v/>
          </cell>
        </row>
        <row r="488">
          <cell r="Q488" t="str">
            <v/>
          </cell>
        </row>
        <row r="489">
          <cell r="Q489" t="str">
            <v/>
          </cell>
        </row>
        <row r="490">
          <cell r="Q490" t="str">
            <v/>
          </cell>
        </row>
        <row r="491">
          <cell r="Q491" t="str">
            <v/>
          </cell>
        </row>
        <row r="492">
          <cell r="Q492" t="str">
            <v/>
          </cell>
        </row>
        <row r="493">
          <cell r="Q493" t="str">
            <v/>
          </cell>
        </row>
        <row r="494">
          <cell r="Q494" t="str">
            <v/>
          </cell>
        </row>
        <row r="495">
          <cell r="Q495" t="str">
            <v/>
          </cell>
        </row>
        <row r="496">
          <cell r="Q496" t="str">
            <v/>
          </cell>
        </row>
        <row r="497">
          <cell r="Q497" t="str">
            <v/>
          </cell>
        </row>
        <row r="498">
          <cell r="Q498" t="str">
            <v/>
          </cell>
        </row>
        <row r="499">
          <cell r="Q499" t="str">
            <v/>
          </cell>
        </row>
        <row r="500">
          <cell r="Q500" t="str">
            <v/>
          </cell>
        </row>
        <row r="501">
          <cell r="Q501" t="str">
            <v/>
          </cell>
        </row>
        <row r="502">
          <cell r="Q502" t="str">
            <v/>
          </cell>
        </row>
        <row r="503">
          <cell r="Q503" t="str">
            <v/>
          </cell>
        </row>
        <row r="504">
          <cell r="Q504" t="str">
            <v/>
          </cell>
        </row>
        <row r="505">
          <cell r="Q505" t="str">
            <v/>
          </cell>
        </row>
        <row r="506">
          <cell r="Q506" t="str">
            <v/>
          </cell>
        </row>
        <row r="507">
          <cell r="Q507" t="str">
            <v/>
          </cell>
        </row>
        <row r="508">
          <cell r="Q508" t="str">
            <v/>
          </cell>
        </row>
        <row r="509">
          <cell r="Q509" t="str">
            <v/>
          </cell>
        </row>
        <row r="510">
          <cell r="Q510" t="str">
            <v/>
          </cell>
        </row>
        <row r="511">
          <cell r="Q511" t="str">
            <v/>
          </cell>
        </row>
        <row r="512">
          <cell r="Q512" t="str">
            <v/>
          </cell>
        </row>
        <row r="513">
          <cell r="Q513" t="str">
            <v/>
          </cell>
        </row>
        <row r="514">
          <cell r="Q514" t="str">
            <v/>
          </cell>
        </row>
        <row r="515">
          <cell r="Q515" t="str">
            <v/>
          </cell>
        </row>
        <row r="516">
          <cell r="Q516" t="str">
            <v/>
          </cell>
        </row>
        <row r="517">
          <cell r="Q517" t="str">
            <v/>
          </cell>
        </row>
        <row r="518">
          <cell r="Q518" t="str">
            <v/>
          </cell>
        </row>
        <row r="519">
          <cell r="Q519" t="str">
            <v/>
          </cell>
        </row>
        <row r="520">
          <cell r="Q520" t="str">
            <v/>
          </cell>
        </row>
        <row r="521">
          <cell r="Q521" t="str">
            <v/>
          </cell>
        </row>
        <row r="522">
          <cell r="Q522" t="str">
            <v/>
          </cell>
        </row>
        <row r="523">
          <cell r="Q523" t="str">
            <v/>
          </cell>
        </row>
        <row r="524">
          <cell r="Q524" t="str">
            <v/>
          </cell>
        </row>
        <row r="525">
          <cell r="Q525" t="str">
            <v/>
          </cell>
        </row>
        <row r="526">
          <cell r="Q526" t="str">
            <v/>
          </cell>
        </row>
        <row r="527">
          <cell r="Q527" t="str">
            <v/>
          </cell>
        </row>
        <row r="528">
          <cell r="Q528" t="str">
            <v/>
          </cell>
        </row>
        <row r="529">
          <cell r="Q529" t="str">
            <v/>
          </cell>
        </row>
        <row r="530">
          <cell r="Q530" t="str">
            <v/>
          </cell>
        </row>
        <row r="531">
          <cell r="Q531" t="str">
            <v/>
          </cell>
        </row>
        <row r="532">
          <cell r="Q532" t="str">
            <v/>
          </cell>
        </row>
        <row r="533">
          <cell r="Q533" t="str">
            <v/>
          </cell>
        </row>
        <row r="534">
          <cell r="Q534" t="str">
            <v/>
          </cell>
        </row>
        <row r="535">
          <cell r="Q535" t="str">
            <v/>
          </cell>
        </row>
        <row r="536">
          <cell r="Q536" t="str">
            <v/>
          </cell>
        </row>
        <row r="537">
          <cell r="Q537" t="str">
            <v/>
          </cell>
        </row>
        <row r="538">
          <cell r="Q538" t="str">
            <v/>
          </cell>
        </row>
        <row r="539">
          <cell r="Q539" t="str">
            <v/>
          </cell>
        </row>
        <row r="540">
          <cell r="Q540" t="str">
            <v/>
          </cell>
        </row>
        <row r="541">
          <cell r="Q541" t="str">
            <v/>
          </cell>
        </row>
        <row r="542">
          <cell r="Q542" t="str">
            <v/>
          </cell>
        </row>
        <row r="543">
          <cell r="Q543" t="str">
            <v/>
          </cell>
        </row>
        <row r="544">
          <cell r="Q544" t="str">
            <v/>
          </cell>
        </row>
        <row r="545">
          <cell r="Q545" t="str">
            <v/>
          </cell>
        </row>
        <row r="546">
          <cell r="Q546" t="str">
            <v/>
          </cell>
        </row>
        <row r="547">
          <cell r="Q547" t="str">
            <v/>
          </cell>
        </row>
        <row r="548">
          <cell r="Q548" t="str">
            <v/>
          </cell>
        </row>
        <row r="549">
          <cell r="Q549" t="str">
            <v/>
          </cell>
        </row>
        <row r="550">
          <cell r="Q550" t="str">
            <v/>
          </cell>
        </row>
        <row r="551">
          <cell r="Q551" t="str">
            <v/>
          </cell>
        </row>
        <row r="552">
          <cell r="Q552" t="str">
            <v/>
          </cell>
        </row>
        <row r="553">
          <cell r="Q553" t="str">
            <v/>
          </cell>
        </row>
        <row r="554">
          <cell r="Q554" t="str">
            <v/>
          </cell>
        </row>
        <row r="555">
          <cell r="Q555" t="str">
            <v/>
          </cell>
        </row>
        <row r="556">
          <cell r="Q556" t="str">
            <v/>
          </cell>
        </row>
        <row r="557">
          <cell r="Q557" t="str">
            <v/>
          </cell>
        </row>
        <row r="558">
          <cell r="Q558" t="str">
            <v/>
          </cell>
        </row>
        <row r="559">
          <cell r="Q559" t="str">
            <v/>
          </cell>
        </row>
        <row r="560">
          <cell r="Q560" t="str">
            <v/>
          </cell>
        </row>
        <row r="561">
          <cell r="Q561" t="str">
            <v/>
          </cell>
        </row>
        <row r="562">
          <cell r="Q562" t="str">
            <v/>
          </cell>
        </row>
        <row r="563">
          <cell r="Q563" t="str">
            <v/>
          </cell>
        </row>
        <row r="564">
          <cell r="Q564" t="str">
            <v/>
          </cell>
        </row>
        <row r="565">
          <cell r="Q565" t="str">
            <v/>
          </cell>
        </row>
        <row r="566">
          <cell r="Q566" t="str">
            <v/>
          </cell>
        </row>
        <row r="567">
          <cell r="Q567" t="str">
            <v/>
          </cell>
        </row>
        <row r="568">
          <cell r="Q568" t="str">
            <v/>
          </cell>
        </row>
        <row r="569">
          <cell r="Q569" t="str">
            <v/>
          </cell>
        </row>
        <row r="570">
          <cell r="Q570" t="str">
            <v/>
          </cell>
        </row>
        <row r="571">
          <cell r="Q571" t="str">
            <v/>
          </cell>
        </row>
        <row r="572">
          <cell r="Q572" t="str">
            <v/>
          </cell>
        </row>
        <row r="573">
          <cell r="Q573" t="str">
            <v/>
          </cell>
        </row>
        <row r="574">
          <cell r="Q574" t="str">
            <v/>
          </cell>
        </row>
        <row r="575">
          <cell r="Q575" t="str">
            <v/>
          </cell>
        </row>
        <row r="576">
          <cell r="Q576" t="str">
            <v/>
          </cell>
        </row>
        <row r="577">
          <cell r="Q577" t="str">
            <v/>
          </cell>
        </row>
        <row r="578">
          <cell r="Q578" t="str">
            <v/>
          </cell>
        </row>
        <row r="579">
          <cell r="Q579" t="str">
            <v/>
          </cell>
        </row>
        <row r="580">
          <cell r="Q580" t="str">
            <v/>
          </cell>
        </row>
        <row r="581">
          <cell r="Q581" t="str">
            <v/>
          </cell>
        </row>
        <row r="582">
          <cell r="Q582" t="str">
            <v/>
          </cell>
        </row>
        <row r="583">
          <cell r="Q583" t="str">
            <v/>
          </cell>
        </row>
        <row r="584">
          <cell r="Q584" t="str">
            <v/>
          </cell>
        </row>
        <row r="585">
          <cell r="Q585" t="str">
            <v/>
          </cell>
        </row>
        <row r="586">
          <cell r="Q586" t="str">
            <v/>
          </cell>
        </row>
        <row r="587">
          <cell r="Q587" t="str">
            <v/>
          </cell>
        </row>
        <row r="588">
          <cell r="Q588" t="str">
            <v/>
          </cell>
        </row>
        <row r="589">
          <cell r="Q589" t="str">
            <v/>
          </cell>
        </row>
        <row r="590">
          <cell r="Q590" t="str">
            <v/>
          </cell>
        </row>
        <row r="591">
          <cell r="Q591" t="str">
            <v/>
          </cell>
        </row>
        <row r="592">
          <cell r="Q592" t="str">
            <v/>
          </cell>
        </row>
        <row r="593">
          <cell r="Q593" t="str">
            <v/>
          </cell>
        </row>
        <row r="594">
          <cell r="Q594" t="str">
            <v/>
          </cell>
        </row>
        <row r="595">
          <cell r="Q595" t="str">
            <v/>
          </cell>
        </row>
        <row r="596">
          <cell r="Q596" t="str">
            <v/>
          </cell>
        </row>
        <row r="597">
          <cell r="Q597" t="str">
            <v/>
          </cell>
        </row>
        <row r="598">
          <cell r="Q598" t="str">
            <v/>
          </cell>
        </row>
        <row r="599">
          <cell r="Q599" t="str">
            <v/>
          </cell>
        </row>
        <row r="600">
          <cell r="Q600" t="str">
            <v/>
          </cell>
        </row>
        <row r="601">
          <cell r="Q601" t="str">
            <v/>
          </cell>
        </row>
        <row r="602">
          <cell r="Q602" t="str">
            <v/>
          </cell>
        </row>
        <row r="603">
          <cell r="Q603" t="str">
            <v/>
          </cell>
        </row>
        <row r="604">
          <cell r="Q604" t="str">
            <v/>
          </cell>
        </row>
        <row r="605">
          <cell r="Q605" t="str">
            <v/>
          </cell>
        </row>
        <row r="606">
          <cell r="Q606" t="str">
            <v/>
          </cell>
        </row>
        <row r="607">
          <cell r="Q607" t="str">
            <v/>
          </cell>
        </row>
        <row r="608">
          <cell r="Q608" t="str">
            <v/>
          </cell>
        </row>
        <row r="609">
          <cell r="Q609" t="str">
            <v/>
          </cell>
        </row>
        <row r="610">
          <cell r="Q610" t="str">
            <v/>
          </cell>
        </row>
        <row r="611">
          <cell r="Q611" t="str">
            <v/>
          </cell>
        </row>
        <row r="612">
          <cell r="Q612" t="str">
            <v/>
          </cell>
        </row>
        <row r="613">
          <cell r="Q613" t="str">
            <v/>
          </cell>
        </row>
        <row r="614">
          <cell r="Q614" t="str">
            <v/>
          </cell>
        </row>
        <row r="615">
          <cell r="Q615" t="str">
            <v/>
          </cell>
        </row>
        <row r="616">
          <cell r="Q616" t="str">
            <v/>
          </cell>
        </row>
        <row r="617">
          <cell r="Q617" t="str">
            <v/>
          </cell>
        </row>
        <row r="618">
          <cell r="Q618" t="str">
            <v/>
          </cell>
        </row>
        <row r="619">
          <cell r="Q619" t="str">
            <v/>
          </cell>
        </row>
        <row r="620">
          <cell r="Q620" t="str">
            <v/>
          </cell>
        </row>
        <row r="621">
          <cell r="Q621" t="str">
            <v/>
          </cell>
        </row>
        <row r="622">
          <cell r="Q622" t="str">
            <v/>
          </cell>
        </row>
        <row r="623">
          <cell r="Q623" t="str">
            <v/>
          </cell>
        </row>
        <row r="624">
          <cell r="Q624" t="str">
            <v/>
          </cell>
        </row>
        <row r="625">
          <cell r="Q625" t="str">
            <v/>
          </cell>
        </row>
        <row r="626">
          <cell r="Q626" t="str">
            <v/>
          </cell>
        </row>
        <row r="627">
          <cell r="Q627" t="str">
            <v/>
          </cell>
        </row>
        <row r="628">
          <cell r="Q628" t="str">
            <v/>
          </cell>
        </row>
        <row r="629">
          <cell r="Q629" t="str">
            <v/>
          </cell>
        </row>
        <row r="630">
          <cell r="Q630" t="str">
            <v/>
          </cell>
        </row>
        <row r="631">
          <cell r="Q631" t="str">
            <v/>
          </cell>
        </row>
        <row r="632">
          <cell r="Q632" t="str">
            <v/>
          </cell>
        </row>
        <row r="633">
          <cell r="Q633" t="str">
            <v/>
          </cell>
        </row>
        <row r="634">
          <cell r="Q634" t="str">
            <v/>
          </cell>
        </row>
        <row r="635">
          <cell r="Q635" t="str">
            <v/>
          </cell>
        </row>
        <row r="636">
          <cell r="Q636" t="str">
            <v/>
          </cell>
        </row>
        <row r="637">
          <cell r="Q637" t="str">
            <v/>
          </cell>
        </row>
        <row r="638">
          <cell r="Q638" t="str">
            <v/>
          </cell>
        </row>
        <row r="639">
          <cell r="Q639" t="str">
            <v/>
          </cell>
        </row>
        <row r="640">
          <cell r="Q640" t="str">
            <v/>
          </cell>
        </row>
        <row r="641">
          <cell r="Q641" t="str">
            <v/>
          </cell>
        </row>
        <row r="642">
          <cell r="Q642" t="str">
            <v/>
          </cell>
        </row>
        <row r="643">
          <cell r="Q643" t="str">
            <v/>
          </cell>
        </row>
        <row r="644">
          <cell r="Q644" t="str">
            <v/>
          </cell>
        </row>
        <row r="645">
          <cell r="Q645" t="str">
            <v/>
          </cell>
        </row>
        <row r="646">
          <cell r="Q646" t="str">
            <v/>
          </cell>
        </row>
        <row r="647">
          <cell r="Q647" t="str">
            <v/>
          </cell>
        </row>
        <row r="648">
          <cell r="Q648" t="str">
            <v/>
          </cell>
        </row>
        <row r="649">
          <cell r="Q649" t="str">
            <v/>
          </cell>
        </row>
        <row r="650">
          <cell r="Q650" t="str">
            <v/>
          </cell>
        </row>
        <row r="651">
          <cell r="Q651" t="str">
            <v/>
          </cell>
        </row>
        <row r="652">
          <cell r="Q652" t="str">
            <v/>
          </cell>
        </row>
        <row r="653">
          <cell r="Q653" t="str">
            <v/>
          </cell>
        </row>
        <row r="654">
          <cell r="Q654" t="str">
            <v/>
          </cell>
        </row>
        <row r="655">
          <cell r="Q655" t="str">
            <v/>
          </cell>
        </row>
        <row r="656">
          <cell r="Q656" t="str">
            <v/>
          </cell>
        </row>
        <row r="657">
          <cell r="Q657" t="str">
            <v/>
          </cell>
        </row>
        <row r="658">
          <cell r="Q658" t="str">
            <v/>
          </cell>
        </row>
        <row r="659">
          <cell r="Q659" t="str">
            <v/>
          </cell>
        </row>
        <row r="660">
          <cell r="Q660" t="str">
            <v/>
          </cell>
        </row>
        <row r="661">
          <cell r="Q661" t="str">
            <v/>
          </cell>
        </row>
        <row r="662">
          <cell r="Q662" t="str">
            <v/>
          </cell>
        </row>
        <row r="663">
          <cell r="Q663" t="str">
            <v/>
          </cell>
        </row>
        <row r="664">
          <cell r="Q664" t="str">
            <v/>
          </cell>
        </row>
        <row r="665">
          <cell r="Q665" t="str">
            <v/>
          </cell>
        </row>
        <row r="666">
          <cell r="Q666" t="str">
            <v/>
          </cell>
        </row>
        <row r="667">
          <cell r="Q667" t="str">
            <v/>
          </cell>
        </row>
        <row r="668">
          <cell r="Q668" t="str">
            <v/>
          </cell>
        </row>
        <row r="669">
          <cell r="Q669" t="str">
            <v/>
          </cell>
        </row>
        <row r="670">
          <cell r="Q670" t="str">
            <v/>
          </cell>
        </row>
        <row r="671">
          <cell r="Q671" t="str">
            <v/>
          </cell>
        </row>
        <row r="672">
          <cell r="Q672" t="str">
            <v/>
          </cell>
        </row>
        <row r="673">
          <cell r="Q673" t="str">
            <v/>
          </cell>
        </row>
        <row r="674">
          <cell r="Q674" t="str">
            <v/>
          </cell>
        </row>
        <row r="675">
          <cell r="Q675" t="str">
            <v/>
          </cell>
        </row>
        <row r="676">
          <cell r="Q676" t="str">
            <v/>
          </cell>
        </row>
        <row r="677">
          <cell r="Q677" t="str">
            <v/>
          </cell>
        </row>
        <row r="678">
          <cell r="Q678" t="str">
            <v/>
          </cell>
        </row>
        <row r="679">
          <cell r="Q679" t="str">
            <v/>
          </cell>
        </row>
        <row r="680">
          <cell r="Q680" t="str">
            <v/>
          </cell>
        </row>
        <row r="681">
          <cell r="Q681" t="str">
            <v/>
          </cell>
        </row>
        <row r="682">
          <cell r="Q682" t="str">
            <v/>
          </cell>
        </row>
        <row r="683">
          <cell r="Q683" t="str">
            <v/>
          </cell>
        </row>
        <row r="684">
          <cell r="Q684" t="str">
            <v/>
          </cell>
        </row>
        <row r="685">
          <cell r="Q685" t="str">
            <v/>
          </cell>
        </row>
        <row r="686">
          <cell r="Q686" t="str">
            <v/>
          </cell>
        </row>
        <row r="687">
          <cell r="Q687" t="str">
            <v/>
          </cell>
        </row>
        <row r="688">
          <cell r="Q688" t="str">
            <v/>
          </cell>
        </row>
        <row r="689">
          <cell r="Q689" t="str">
            <v/>
          </cell>
        </row>
        <row r="690">
          <cell r="Q690" t="str">
            <v/>
          </cell>
        </row>
        <row r="691">
          <cell r="Q691" t="str">
            <v/>
          </cell>
        </row>
        <row r="692">
          <cell r="Q692" t="str">
            <v/>
          </cell>
        </row>
        <row r="693">
          <cell r="Q693" t="str">
            <v/>
          </cell>
        </row>
        <row r="694">
          <cell r="Q694" t="str">
            <v/>
          </cell>
        </row>
        <row r="695">
          <cell r="Q695" t="str">
            <v/>
          </cell>
        </row>
        <row r="696">
          <cell r="Q696" t="str">
            <v/>
          </cell>
        </row>
        <row r="697">
          <cell r="Q697" t="str">
            <v/>
          </cell>
        </row>
        <row r="698">
          <cell r="Q698" t="str">
            <v/>
          </cell>
        </row>
        <row r="699">
          <cell r="Q699" t="str">
            <v/>
          </cell>
        </row>
        <row r="700">
          <cell r="Q700" t="str">
            <v/>
          </cell>
        </row>
        <row r="701">
          <cell r="Q701" t="str">
            <v/>
          </cell>
        </row>
        <row r="702">
          <cell r="Q702" t="str">
            <v/>
          </cell>
        </row>
        <row r="703">
          <cell r="Q703" t="str">
            <v/>
          </cell>
        </row>
        <row r="704">
          <cell r="Q704" t="str">
            <v/>
          </cell>
        </row>
        <row r="705">
          <cell r="Q705" t="str">
            <v/>
          </cell>
        </row>
        <row r="706">
          <cell r="Q706" t="str">
            <v/>
          </cell>
        </row>
        <row r="707">
          <cell r="Q707" t="str">
            <v/>
          </cell>
        </row>
        <row r="708">
          <cell r="Q708" t="str">
            <v/>
          </cell>
        </row>
        <row r="709">
          <cell r="Q709" t="str">
            <v/>
          </cell>
        </row>
        <row r="710">
          <cell r="Q710" t="str">
            <v/>
          </cell>
        </row>
        <row r="711">
          <cell r="Q711" t="str">
            <v/>
          </cell>
        </row>
        <row r="712">
          <cell r="Q712" t="str">
            <v/>
          </cell>
        </row>
        <row r="713">
          <cell r="Q713" t="str">
            <v/>
          </cell>
        </row>
        <row r="714">
          <cell r="Q714" t="str">
            <v/>
          </cell>
        </row>
        <row r="715">
          <cell r="Q715" t="str">
            <v/>
          </cell>
        </row>
        <row r="716">
          <cell r="Q716" t="str">
            <v/>
          </cell>
        </row>
        <row r="717">
          <cell r="Q717" t="str">
            <v/>
          </cell>
        </row>
        <row r="718">
          <cell r="Q718" t="str">
            <v/>
          </cell>
        </row>
        <row r="719">
          <cell r="Q719" t="str">
            <v/>
          </cell>
        </row>
        <row r="720">
          <cell r="Q720" t="str">
            <v/>
          </cell>
        </row>
        <row r="721">
          <cell r="Q721" t="str">
            <v/>
          </cell>
        </row>
        <row r="722">
          <cell r="Q722" t="str">
            <v/>
          </cell>
        </row>
        <row r="723">
          <cell r="Q723" t="str">
            <v/>
          </cell>
        </row>
        <row r="724">
          <cell r="Q724" t="str">
            <v/>
          </cell>
        </row>
        <row r="725">
          <cell r="Q725" t="str">
            <v/>
          </cell>
        </row>
        <row r="726">
          <cell r="Q726" t="str">
            <v/>
          </cell>
        </row>
        <row r="727">
          <cell r="Q727" t="str">
            <v/>
          </cell>
        </row>
        <row r="728">
          <cell r="Q728" t="str">
            <v/>
          </cell>
        </row>
        <row r="729">
          <cell r="Q729" t="str">
            <v/>
          </cell>
        </row>
        <row r="730">
          <cell r="Q730" t="str">
            <v/>
          </cell>
        </row>
        <row r="731">
          <cell r="Q731" t="str">
            <v/>
          </cell>
        </row>
        <row r="732">
          <cell r="Q732" t="str">
            <v/>
          </cell>
        </row>
        <row r="733">
          <cell r="Q733" t="str">
            <v/>
          </cell>
        </row>
        <row r="734">
          <cell r="Q734" t="str">
            <v/>
          </cell>
        </row>
        <row r="735">
          <cell r="Q735" t="str">
            <v/>
          </cell>
        </row>
        <row r="736">
          <cell r="Q736" t="str">
            <v/>
          </cell>
        </row>
        <row r="737">
          <cell r="Q737" t="str">
            <v/>
          </cell>
        </row>
        <row r="738">
          <cell r="Q738" t="str">
            <v/>
          </cell>
        </row>
        <row r="739">
          <cell r="Q739" t="str">
            <v/>
          </cell>
        </row>
        <row r="740">
          <cell r="Q740" t="str">
            <v/>
          </cell>
        </row>
        <row r="741">
          <cell r="Q741" t="str">
            <v/>
          </cell>
        </row>
        <row r="742">
          <cell r="Q742" t="str">
            <v/>
          </cell>
        </row>
        <row r="743">
          <cell r="Q743" t="str">
            <v/>
          </cell>
        </row>
        <row r="744">
          <cell r="Q744" t="str">
            <v/>
          </cell>
        </row>
        <row r="745">
          <cell r="Q745" t="str">
            <v/>
          </cell>
        </row>
        <row r="746">
          <cell r="Q746" t="str">
            <v/>
          </cell>
        </row>
        <row r="747">
          <cell r="Q747" t="str">
            <v/>
          </cell>
        </row>
        <row r="748">
          <cell r="Q748" t="str">
            <v/>
          </cell>
        </row>
        <row r="749">
          <cell r="Q749" t="str">
            <v/>
          </cell>
        </row>
        <row r="750">
          <cell r="Q750" t="str">
            <v/>
          </cell>
        </row>
        <row r="751">
          <cell r="Q751" t="str">
            <v/>
          </cell>
        </row>
        <row r="752">
          <cell r="Q752" t="str">
            <v/>
          </cell>
        </row>
        <row r="753">
          <cell r="Q753" t="str">
            <v/>
          </cell>
        </row>
        <row r="754">
          <cell r="Q754" t="str">
            <v/>
          </cell>
        </row>
        <row r="755">
          <cell r="Q755" t="str">
            <v/>
          </cell>
        </row>
        <row r="756">
          <cell r="Q756" t="str">
            <v/>
          </cell>
        </row>
        <row r="757">
          <cell r="Q757" t="str">
            <v/>
          </cell>
        </row>
        <row r="758">
          <cell r="Q758" t="str">
            <v/>
          </cell>
        </row>
        <row r="759">
          <cell r="Q759" t="str">
            <v/>
          </cell>
        </row>
        <row r="760">
          <cell r="Q760" t="str">
            <v/>
          </cell>
        </row>
        <row r="761">
          <cell r="Q761" t="str">
            <v/>
          </cell>
        </row>
        <row r="762">
          <cell r="Q762" t="str">
            <v/>
          </cell>
        </row>
        <row r="763">
          <cell r="Q763" t="str">
            <v/>
          </cell>
        </row>
        <row r="764">
          <cell r="Q764" t="str">
            <v/>
          </cell>
        </row>
        <row r="765">
          <cell r="Q765" t="str">
            <v/>
          </cell>
        </row>
        <row r="766">
          <cell r="Q766" t="str">
            <v/>
          </cell>
        </row>
        <row r="767">
          <cell r="Q767" t="str">
            <v/>
          </cell>
        </row>
        <row r="768">
          <cell r="Q768" t="str">
            <v/>
          </cell>
        </row>
        <row r="769">
          <cell r="Q769" t="str">
            <v/>
          </cell>
        </row>
        <row r="770">
          <cell r="Q770" t="str">
            <v/>
          </cell>
        </row>
        <row r="771">
          <cell r="Q771" t="str">
            <v/>
          </cell>
        </row>
        <row r="772">
          <cell r="Q772" t="str">
            <v/>
          </cell>
        </row>
        <row r="773">
          <cell r="Q773" t="str">
            <v/>
          </cell>
        </row>
        <row r="774">
          <cell r="Q774" t="str">
            <v/>
          </cell>
        </row>
        <row r="775">
          <cell r="Q775" t="str">
            <v/>
          </cell>
        </row>
        <row r="776">
          <cell r="Q776" t="str">
            <v/>
          </cell>
        </row>
        <row r="777">
          <cell r="Q777" t="str">
            <v/>
          </cell>
        </row>
        <row r="778">
          <cell r="Q778" t="str">
            <v/>
          </cell>
        </row>
        <row r="779">
          <cell r="Q779" t="str">
            <v/>
          </cell>
        </row>
        <row r="780">
          <cell r="Q780" t="str">
            <v/>
          </cell>
        </row>
        <row r="781">
          <cell r="Q781" t="str">
            <v/>
          </cell>
        </row>
        <row r="782">
          <cell r="Q782" t="str">
            <v/>
          </cell>
        </row>
        <row r="783">
          <cell r="Q783" t="str">
            <v/>
          </cell>
        </row>
        <row r="784">
          <cell r="Q784" t="str">
            <v/>
          </cell>
        </row>
        <row r="785">
          <cell r="Q785" t="str">
            <v/>
          </cell>
        </row>
        <row r="786">
          <cell r="Q786" t="str">
            <v/>
          </cell>
        </row>
        <row r="787">
          <cell r="Q787" t="str">
            <v/>
          </cell>
        </row>
        <row r="788">
          <cell r="Q788" t="str">
            <v/>
          </cell>
        </row>
        <row r="789">
          <cell r="Q789" t="str">
            <v/>
          </cell>
        </row>
        <row r="790">
          <cell r="Q790" t="str">
            <v/>
          </cell>
        </row>
        <row r="791">
          <cell r="Q791" t="str">
            <v/>
          </cell>
        </row>
        <row r="792">
          <cell r="Q792" t="str">
            <v/>
          </cell>
        </row>
        <row r="793">
          <cell r="Q793" t="str">
            <v/>
          </cell>
        </row>
        <row r="794">
          <cell r="Q794" t="str">
            <v/>
          </cell>
        </row>
        <row r="795">
          <cell r="Q795" t="str">
            <v/>
          </cell>
        </row>
        <row r="796">
          <cell r="Q796" t="str">
            <v/>
          </cell>
        </row>
        <row r="797">
          <cell r="Q797" t="str">
            <v/>
          </cell>
        </row>
        <row r="798">
          <cell r="Q798" t="str">
            <v/>
          </cell>
        </row>
        <row r="799">
          <cell r="Q799" t="str">
            <v/>
          </cell>
        </row>
        <row r="800">
          <cell r="Q800" t="str">
            <v/>
          </cell>
        </row>
        <row r="801">
          <cell r="Q801" t="str">
            <v/>
          </cell>
        </row>
        <row r="802">
          <cell r="Q802" t="str">
            <v/>
          </cell>
        </row>
        <row r="803">
          <cell r="Q803" t="str">
            <v/>
          </cell>
        </row>
        <row r="804">
          <cell r="Q804" t="str">
            <v/>
          </cell>
        </row>
        <row r="805">
          <cell r="Q805" t="str">
            <v/>
          </cell>
        </row>
        <row r="806">
          <cell r="Q806" t="str">
            <v/>
          </cell>
        </row>
        <row r="807">
          <cell r="Q807" t="str">
            <v/>
          </cell>
        </row>
        <row r="808">
          <cell r="Q808" t="str">
            <v/>
          </cell>
        </row>
        <row r="809">
          <cell r="Q809" t="str">
            <v/>
          </cell>
        </row>
        <row r="810">
          <cell r="Q810" t="str">
            <v/>
          </cell>
        </row>
        <row r="811">
          <cell r="Q811" t="str">
            <v/>
          </cell>
        </row>
        <row r="812">
          <cell r="Q812" t="str">
            <v/>
          </cell>
        </row>
        <row r="813">
          <cell r="Q813" t="str">
            <v/>
          </cell>
        </row>
        <row r="814">
          <cell r="Q814" t="str">
            <v/>
          </cell>
        </row>
        <row r="815">
          <cell r="Q815" t="str">
            <v/>
          </cell>
        </row>
      </sheetData>
      <sheetData sheetId="11">
        <row r="2">
          <cell r="N2" t="str">
            <v/>
          </cell>
        </row>
        <row r="3">
          <cell r="N3" t="str">
            <v/>
          </cell>
        </row>
        <row r="4">
          <cell r="N4" t="str">
            <v/>
          </cell>
        </row>
        <row r="5">
          <cell r="N5" t="str">
            <v/>
          </cell>
        </row>
        <row r="6">
          <cell r="N6" t="str">
            <v/>
          </cell>
        </row>
        <row r="7">
          <cell r="N7" t="str">
            <v/>
          </cell>
        </row>
        <row r="8">
          <cell r="N8" t="str">
            <v/>
          </cell>
        </row>
        <row r="9">
          <cell r="N9" t="str">
            <v/>
          </cell>
        </row>
        <row r="10">
          <cell r="N10" t="str">
            <v/>
          </cell>
        </row>
        <row r="11">
          <cell r="N11" t="str">
            <v/>
          </cell>
        </row>
        <row r="12">
          <cell r="N12" t="str">
            <v/>
          </cell>
        </row>
        <row r="13">
          <cell r="N13" t="str">
            <v/>
          </cell>
        </row>
        <row r="14">
          <cell r="N14" t="str">
            <v/>
          </cell>
        </row>
        <row r="15">
          <cell r="N15" t="str">
            <v/>
          </cell>
        </row>
        <row r="16">
          <cell r="N16" t="str">
            <v/>
          </cell>
        </row>
        <row r="17">
          <cell r="N17" t="str">
            <v/>
          </cell>
        </row>
        <row r="18">
          <cell r="N18" t="str">
            <v/>
          </cell>
        </row>
        <row r="19">
          <cell r="N19" t="str">
            <v/>
          </cell>
        </row>
        <row r="20">
          <cell r="N20" t="str">
            <v/>
          </cell>
        </row>
        <row r="21">
          <cell r="N21" t="str">
            <v/>
          </cell>
        </row>
        <row r="22">
          <cell r="N22" t="str">
            <v/>
          </cell>
        </row>
        <row r="23">
          <cell r="N23" t="str">
            <v/>
          </cell>
        </row>
        <row r="24">
          <cell r="N24" t="str">
            <v/>
          </cell>
        </row>
        <row r="25">
          <cell r="N25" t="str">
            <v/>
          </cell>
        </row>
        <row r="26">
          <cell r="N26" t="str">
            <v/>
          </cell>
        </row>
        <row r="27">
          <cell r="N27" t="str">
            <v/>
          </cell>
        </row>
        <row r="28">
          <cell r="N28" t="str">
            <v/>
          </cell>
        </row>
        <row r="29">
          <cell r="N29" t="str">
            <v/>
          </cell>
        </row>
        <row r="30">
          <cell r="N30" t="str">
            <v/>
          </cell>
        </row>
        <row r="31">
          <cell r="N31" t="str">
            <v/>
          </cell>
        </row>
        <row r="32">
          <cell r="N32" t="str">
            <v/>
          </cell>
        </row>
        <row r="33">
          <cell r="N33" t="str">
            <v/>
          </cell>
        </row>
        <row r="34">
          <cell r="N34" t="str">
            <v/>
          </cell>
        </row>
        <row r="35">
          <cell r="N35" t="str">
            <v/>
          </cell>
        </row>
        <row r="36">
          <cell r="N36" t="str">
            <v/>
          </cell>
        </row>
        <row r="37">
          <cell r="N37" t="str">
            <v/>
          </cell>
        </row>
        <row r="38">
          <cell r="N38" t="str">
            <v/>
          </cell>
        </row>
        <row r="39">
          <cell r="N39" t="str">
            <v/>
          </cell>
        </row>
        <row r="40">
          <cell r="N40" t="str">
            <v/>
          </cell>
        </row>
        <row r="41">
          <cell r="N41" t="str">
            <v/>
          </cell>
        </row>
        <row r="42">
          <cell r="N42" t="str">
            <v/>
          </cell>
        </row>
        <row r="43">
          <cell r="N43" t="str">
            <v/>
          </cell>
        </row>
        <row r="44">
          <cell r="N44" t="str">
            <v/>
          </cell>
        </row>
        <row r="45">
          <cell r="N45" t="str">
            <v/>
          </cell>
        </row>
        <row r="46">
          <cell r="N46" t="str">
            <v/>
          </cell>
        </row>
        <row r="47">
          <cell r="N47" t="str">
            <v/>
          </cell>
        </row>
        <row r="48">
          <cell r="N48" t="str">
            <v/>
          </cell>
        </row>
        <row r="49">
          <cell r="N49" t="str">
            <v/>
          </cell>
        </row>
        <row r="50">
          <cell r="N50" t="str">
            <v/>
          </cell>
        </row>
        <row r="51">
          <cell r="N51" t="str">
            <v/>
          </cell>
        </row>
        <row r="52">
          <cell r="N52" t="str">
            <v/>
          </cell>
        </row>
        <row r="53">
          <cell r="N53" t="str">
            <v/>
          </cell>
        </row>
        <row r="54">
          <cell r="N54" t="str">
            <v/>
          </cell>
        </row>
        <row r="55">
          <cell r="N55" t="str">
            <v/>
          </cell>
        </row>
        <row r="56">
          <cell r="N56" t="str">
            <v/>
          </cell>
        </row>
        <row r="57">
          <cell r="N57" t="str">
            <v/>
          </cell>
        </row>
        <row r="58">
          <cell r="N58" t="str">
            <v/>
          </cell>
        </row>
        <row r="59">
          <cell r="N59" t="str">
            <v/>
          </cell>
        </row>
        <row r="60">
          <cell r="N60" t="str">
            <v/>
          </cell>
        </row>
        <row r="61">
          <cell r="N61" t="str">
            <v/>
          </cell>
        </row>
        <row r="62">
          <cell r="N62" t="str">
            <v/>
          </cell>
        </row>
        <row r="63">
          <cell r="N63" t="str">
            <v/>
          </cell>
        </row>
        <row r="64">
          <cell r="N64" t="str">
            <v/>
          </cell>
        </row>
        <row r="65">
          <cell r="N65" t="str">
            <v/>
          </cell>
        </row>
        <row r="66">
          <cell r="N66" t="str">
            <v/>
          </cell>
        </row>
        <row r="67">
          <cell r="N67" t="str">
            <v/>
          </cell>
        </row>
        <row r="68">
          <cell r="N68" t="str">
            <v/>
          </cell>
        </row>
        <row r="69">
          <cell r="N69" t="str">
            <v/>
          </cell>
        </row>
        <row r="70">
          <cell r="N70" t="str">
            <v/>
          </cell>
        </row>
        <row r="71">
          <cell r="N71" t="str">
            <v/>
          </cell>
        </row>
        <row r="72">
          <cell r="N72" t="str">
            <v/>
          </cell>
        </row>
        <row r="73">
          <cell r="N73" t="str">
            <v/>
          </cell>
        </row>
        <row r="74">
          <cell r="N74" t="str">
            <v/>
          </cell>
        </row>
        <row r="75">
          <cell r="N75" t="str">
            <v/>
          </cell>
        </row>
        <row r="76">
          <cell r="N76" t="str">
            <v/>
          </cell>
        </row>
        <row r="77">
          <cell r="N77" t="str">
            <v/>
          </cell>
        </row>
        <row r="78">
          <cell r="N78" t="str">
            <v/>
          </cell>
        </row>
        <row r="79">
          <cell r="N79" t="str">
            <v/>
          </cell>
        </row>
        <row r="80">
          <cell r="N80" t="str">
            <v/>
          </cell>
        </row>
        <row r="81">
          <cell r="N81" t="str">
            <v/>
          </cell>
        </row>
        <row r="82">
          <cell r="N82" t="str">
            <v/>
          </cell>
        </row>
        <row r="83">
          <cell r="N83" t="str">
            <v/>
          </cell>
        </row>
        <row r="84">
          <cell r="N84" t="str">
            <v/>
          </cell>
        </row>
        <row r="85">
          <cell r="N85" t="str">
            <v/>
          </cell>
        </row>
        <row r="86">
          <cell r="N86" t="str">
            <v/>
          </cell>
        </row>
        <row r="87">
          <cell r="N87" t="str">
            <v/>
          </cell>
        </row>
        <row r="88">
          <cell r="N88" t="str">
            <v/>
          </cell>
        </row>
        <row r="89">
          <cell r="N89" t="str">
            <v/>
          </cell>
        </row>
        <row r="90">
          <cell r="N90" t="str">
            <v/>
          </cell>
        </row>
        <row r="91">
          <cell r="N91" t="str">
            <v/>
          </cell>
        </row>
        <row r="92">
          <cell r="N92" t="str">
            <v/>
          </cell>
        </row>
        <row r="93">
          <cell r="N93" t="str">
            <v/>
          </cell>
        </row>
        <row r="94">
          <cell r="N94" t="str">
            <v/>
          </cell>
        </row>
        <row r="95">
          <cell r="N95" t="str">
            <v/>
          </cell>
        </row>
        <row r="96">
          <cell r="N96" t="str">
            <v/>
          </cell>
        </row>
        <row r="97">
          <cell r="N97" t="str">
            <v/>
          </cell>
        </row>
        <row r="98">
          <cell r="N98" t="str">
            <v/>
          </cell>
        </row>
        <row r="99">
          <cell r="N99" t="str">
            <v/>
          </cell>
        </row>
        <row r="100">
          <cell r="N100" t="str">
            <v/>
          </cell>
        </row>
        <row r="101">
          <cell r="N101" t="str">
            <v/>
          </cell>
        </row>
        <row r="102">
          <cell r="N102" t="str">
            <v/>
          </cell>
        </row>
        <row r="103">
          <cell r="N103" t="str">
            <v/>
          </cell>
        </row>
        <row r="104">
          <cell r="N104" t="str">
            <v/>
          </cell>
        </row>
        <row r="105">
          <cell r="N105" t="str">
            <v/>
          </cell>
        </row>
        <row r="106">
          <cell r="N106" t="str">
            <v/>
          </cell>
        </row>
        <row r="107">
          <cell r="N107" t="str">
            <v/>
          </cell>
        </row>
        <row r="108">
          <cell r="N108" t="str">
            <v/>
          </cell>
        </row>
        <row r="109">
          <cell r="N109" t="str">
            <v/>
          </cell>
        </row>
        <row r="110">
          <cell r="N110" t="str">
            <v/>
          </cell>
        </row>
        <row r="111">
          <cell r="N111" t="str">
            <v/>
          </cell>
        </row>
        <row r="112">
          <cell r="N112" t="str">
            <v/>
          </cell>
        </row>
        <row r="113">
          <cell r="N113" t="str">
            <v/>
          </cell>
        </row>
        <row r="114">
          <cell r="N114" t="str">
            <v/>
          </cell>
        </row>
        <row r="115">
          <cell r="N115" t="str">
            <v/>
          </cell>
        </row>
        <row r="116">
          <cell r="N116" t="str">
            <v/>
          </cell>
        </row>
        <row r="117">
          <cell r="N117" t="str">
            <v/>
          </cell>
        </row>
        <row r="118">
          <cell r="N118" t="str">
            <v/>
          </cell>
        </row>
        <row r="119">
          <cell r="N119" t="str">
            <v/>
          </cell>
        </row>
        <row r="120">
          <cell r="N120" t="str">
            <v/>
          </cell>
        </row>
        <row r="121">
          <cell r="N121" t="str">
            <v/>
          </cell>
        </row>
        <row r="122">
          <cell r="N122" t="str">
            <v/>
          </cell>
        </row>
        <row r="123">
          <cell r="N123" t="str">
            <v/>
          </cell>
        </row>
        <row r="124">
          <cell r="N124" t="str">
            <v/>
          </cell>
        </row>
        <row r="125">
          <cell r="N125" t="str">
            <v/>
          </cell>
        </row>
        <row r="126">
          <cell r="N126" t="str">
            <v/>
          </cell>
        </row>
        <row r="127">
          <cell r="N127" t="str">
            <v/>
          </cell>
        </row>
        <row r="128">
          <cell r="N128" t="str">
            <v/>
          </cell>
        </row>
        <row r="129">
          <cell r="N129" t="str">
            <v/>
          </cell>
        </row>
        <row r="130">
          <cell r="N130" t="str">
            <v/>
          </cell>
        </row>
        <row r="131">
          <cell r="N131" t="str">
            <v/>
          </cell>
        </row>
        <row r="132">
          <cell r="N132" t="str">
            <v/>
          </cell>
        </row>
        <row r="133">
          <cell r="N133" t="str">
            <v/>
          </cell>
        </row>
        <row r="134">
          <cell r="N134" t="str">
            <v/>
          </cell>
        </row>
        <row r="135">
          <cell r="N135" t="str">
            <v/>
          </cell>
        </row>
        <row r="136">
          <cell r="N136" t="str">
            <v/>
          </cell>
        </row>
        <row r="137">
          <cell r="N137" t="str">
            <v/>
          </cell>
        </row>
        <row r="138">
          <cell r="N138" t="str">
            <v/>
          </cell>
        </row>
        <row r="139">
          <cell r="N139" t="str">
            <v/>
          </cell>
        </row>
        <row r="140">
          <cell r="N140" t="str">
            <v/>
          </cell>
        </row>
        <row r="141">
          <cell r="N141" t="str">
            <v/>
          </cell>
        </row>
        <row r="142">
          <cell r="N142" t="str">
            <v/>
          </cell>
        </row>
        <row r="143">
          <cell r="N143" t="str">
            <v/>
          </cell>
        </row>
        <row r="144">
          <cell r="N144" t="str">
            <v/>
          </cell>
        </row>
        <row r="145">
          <cell r="N145" t="str">
            <v/>
          </cell>
        </row>
        <row r="146">
          <cell r="N146" t="str">
            <v/>
          </cell>
        </row>
        <row r="147">
          <cell r="N147" t="str">
            <v/>
          </cell>
        </row>
        <row r="148">
          <cell r="N148" t="str">
            <v/>
          </cell>
        </row>
        <row r="149">
          <cell r="N149" t="str">
            <v/>
          </cell>
        </row>
        <row r="150">
          <cell r="N150" t="str">
            <v/>
          </cell>
        </row>
        <row r="151">
          <cell r="N151" t="str">
            <v/>
          </cell>
        </row>
        <row r="152">
          <cell r="N152" t="str">
            <v/>
          </cell>
        </row>
        <row r="153">
          <cell r="N153" t="str">
            <v/>
          </cell>
        </row>
        <row r="154">
          <cell r="N154" t="str">
            <v/>
          </cell>
        </row>
        <row r="155">
          <cell r="N155" t="str">
            <v/>
          </cell>
        </row>
        <row r="156">
          <cell r="N156" t="str">
            <v/>
          </cell>
        </row>
        <row r="157">
          <cell r="N157" t="str">
            <v/>
          </cell>
        </row>
        <row r="158">
          <cell r="N158" t="str">
            <v/>
          </cell>
        </row>
        <row r="159">
          <cell r="N159" t="str">
            <v/>
          </cell>
        </row>
        <row r="160">
          <cell r="N160" t="str">
            <v/>
          </cell>
        </row>
        <row r="161">
          <cell r="N161" t="str">
            <v/>
          </cell>
        </row>
        <row r="162">
          <cell r="N162" t="str">
            <v/>
          </cell>
        </row>
        <row r="163">
          <cell r="N163" t="str">
            <v/>
          </cell>
        </row>
        <row r="164">
          <cell r="N164" t="str">
            <v/>
          </cell>
        </row>
        <row r="165">
          <cell r="N165" t="str">
            <v/>
          </cell>
        </row>
        <row r="166">
          <cell r="N166" t="str">
            <v/>
          </cell>
        </row>
        <row r="167">
          <cell r="N167" t="str">
            <v/>
          </cell>
        </row>
        <row r="168">
          <cell r="N168" t="str">
            <v/>
          </cell>
        </row>
        <row r="169">
          <cell r="N169" t="str">
            <v/>
          </cell>
        </row>
        <row r="170">
          <cell r="N170" t="str">
            <v/>
          </cell>
        </row>
        <row r="171">
          <cell r="N171" t="str">
            <v/>
          </cell>
        </row>
        <row r="172">
          <cell r="N172" t="str">
            <v/>
          </cell>
        </row>
        <row r="173">
          <cell r="N173" t="str">
            <v/>
          </cell>
        </row>
        <row r="174">
          <cell r="N174" t="str">
            <v/>
          </cell>
        </row>
        <row r="175">
          <cell r="N175" t="str">
            <v/>
          </cell>
        </row>
        <row r="176">
          <cell r="N176" t="str">
            <v/>
          </cell>
        </row>
        <row r="177">
          <cell r="N177" t="str">
            <v/>
          </cell>
        </row>
        <row r="178">
          <cell r="N178" t="str">
            <v/>
          </cell>
        </row>
        <row r="179">
          <cell r="N179" t="str">
            <v/>
          </cell>
        </row>
        <row r="180">
          <cell r="N180" t="str">
            <v/>
          </cell>
        </row>
        <row r="181">
          <cell r="N181" t="str">
            <v/>
          </cell>
        </row>
        <row r="182">
          <cell r="N182" t="str">
            <v/>
          </cell>
        </row>
        <row r="183">
          <cell r="N183" t="str">
            <v/>
          </cell>
        </row>
        <row r="184">
          <cell r="N184" t="str">
            <v/>
          </cell>
        </row>
        <row r="185">
          <cell r="N185" t="str">
            <v/>
          </cell>
        </row>
        <row r="186">
          <cell r="N186" t="str">
            <v/>
          </cell>
        </row>
        <row r="187">
          <cell r="N187" t="str">
            <v/>
          </cell>
        </row>
        <row r="188">
          <cell r="N188" t="str">
            <v/>
          </cell>
        </row>
        <row r="189">
          <cell r="N189" t="str">
            <v/>
          </cell>
        </row>
        <row r="190">
          <cell r="N190" t="str">
            <v/>
          </cell>
        </row>
        <row r="191">
          <cell r="N191" t="str">
            <v/>
          </cell>
        </row>
        <row r="192">
          <cell r="N192" t="str">
            <v/>
          </cell>
        </row>
        <row r="193">
          <cell r="N193" t="str">
            <v/>
          </cell>
        </row>
        <row r="194">
          <cell r="N194" t="str">
            <v/>
          </cell>
        </row>
        <row r="195">
          <cell r="N195" t="str">
            <v/>
          </cell>
        </row>
        <row r="196">
          <cell r="N196" t="str">
            <v/>
          </cell>
        </row>
        <row r="197">
          <cell r="N197" t="str">
            <v/>
          </cell>
        </row>
        <row r="198">
          <cell r="N198" t="str">
            <v/>
          </cell>
        </row>
        <row r="199">
          <cell r="N199" t="str">
            <v/>
          </cell>
        </row>
        <row r="200">
          <cell r="N200" t="str">
            <v/>
          </cell>
        </row>
        <row r="201">
          <cell r="N201" t="str">
            <v/>
          </cell>
        </row>
        <row r="202">
          <cell r="N202" t="str">
            <v/>
          </cell>
        </row>
        <row r="203">
          <cell r="N203" t="str">
            <v/>
          </cell>
        </row>
        <row r="204">
          <cell r="N204" t="str">
            <v/>
          </cell>
        </row>
        <row r="205">
          <cell r="N205" t="str">
            <v/>
          </cell>
        </row>
        <row r="206">
          <cell r="N206" t="str">
            <v/>
          </cell>
        </row>
        <row r="207">
          <cell r="N207" t="str">
            <v/>
          </cell>
        </row>
        <row r="208">
          <cell r="N208" t="str">
            <v/>
          </cell>
        </row>
        <row r="209">
          <cell r="N209" t="str">
            <v/>
          </cell>
        </row>
        <row r="210">
          <cell r="N210" t="str">
            <v/>
          </cell>
        </row>
        <row r="211">
          <cell r="N211" t="str">
            <v/>
          </cell>
        </row>
        <row r="212">
          <cell r="N212" t="str">
            <v/>
          </cell>
        </row>
        <row r="213">
          <cell r="N213" t="str">
            <v/>
          </cell>
        </row>
        <row r="214">
          <cell r="N214" t="str">
            <v/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ffice 4149" id="{E702E62B-926A-4020-B7E6-AED8DC31E409}" userId="S::office4149@copi.vip::bed48f4a-50b2-4a49-9b28-61918e5836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5-11-01T02:34:09.17" personId="{E702E62B-926A-4020-B7E6-AED8DC31E409}" id="{1DA4D91D-E957-455E-9B4E-0D3759DFEC45}">
    <text>Duct wrap</text>
  </threadedComment>
  <threadedComment ref="P5" dT="2025-11-01T02:33:48.99" personId="{E702E62B-926A-4020-B7E6-AED8DC31E409}" id="{98AD1582-EFFB-4851-81B2-635A1ED15955}">
    <text>liner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5"/>
  <sheetViews>
    <sheetView tabSelected="1" zoomScale="85" zoomScaleNormal="85" workbookViewId="0">
      <selection activeCell="H10" sqref="H10"/>
    </sheetView>
  </sheetViews>
  <sheetFormatPr defaultColWidth="9.140625" defaultRowHeight="15"/>
  <cols>
    <col min="1" max="1" width="3.140625" customWidth="1"/>
    <col min="2" max="2" width="34.85546875" customWidth="1"/>
    <col min="3" max="3" width="93.85546875" customWidth="1"/>
    <col min="4" max="5" width="8.85546875" customWidth="1"/>
    <col min="6" max="6" width="16" style="553" customWidth="1"/>
    <col min="7" max="7" width="23.140625" customWidth="1"/>
    <col min="8" max="8" width="32.140625" customWidth="1"/>
    <col min="9" max="9" width="18.42578125" customWidth="1"/>
    <col min="10" max="10" width="16.140625" customWidth="1"/>
    <col min="11" max="11" width="14.42578125" customWidth="1"/>
    <col min="12" max="12" width="13.5703125" customWidth="1"/>
  </cols>
  <sheetData>
    <row r="1" spans="2:10" ht="11.25" customHeight="1" thickBot="1"/>
    <row r="2" spans="2:10" ht="15.75" thickBot="1">
      <c r="B2" s="11" t="s">
        <v>0</v>
      </c>
      <c r="C2" s="151" t="s">
        <v>401</v>
      </c>
      <c r="G2" s="2" t="s">
        <v>1</v>
      </c>
      <c r="H2" s="150">
        <v>2808</v>
      </c>
    </row>
    <row r="3" spans="2:10" ht="15.75" thickBot="1">
      <c r="B3" s="12" t="s">
        <v>2</v>
      </c>
      <c r="C3" s="151" t="s">
        <v>402</v>
      </c>
      <c r="G3" s="2" t="s">
        <v>3</v>
      </c>
      <c r="H3" s="40">
        <v>1</v>
      </c>
    </row>
    <row r="4" spans="2:10" ht="15.75" thickBot="1">
      <c r="B4" s="13" t="s">
        <v>4</v>
      </c>
      <c r="C4" s="164">
        <v>45962</v>
      </c>
      <c r="G4" s="2" t="s">
        <v>5</v>
      </c>
      <c r="H4" s="2"/>
    </row>
    <row r="5" spans="2:10">
      <c r="B5" s="1"/>
      <c r="C5" s="38"/>
      <c r="G5" s="2" t="s">
        <v>34</v>
      </c>
      <c r="H5" s="2"/>
    </row>
    <row r="6" spans="2:10" ht="15.75" thickBot="1">
      <c r="B6" s="8"/>
      <c r="C6" s="8"/>
    </row>
    <row r="7" spans="2:10" s="10" customFormat="1" ht="20.25" customHeight="1">
      <c r="B7" s="14" t="s">
        <v>6</v>
      </c>
      <c r="C7" s="15" t="s">
        <v>7</v>
      </c>
      <c r="D7" s="15" t="s">
        <v>8</v>
      </c>
      <c r="E7" s="15" t="s">
        <v>9</v>
      </c>
      <c r="F7" s="554" t="s">
        <v>560</v>
      </c>
      <c r="G7" s="15" t="s">
        <v>11</v>
      </c>
      <c r="H7" s="16" t="s">
        <v>12</v>
      </c>
    </row>
    <row r="8" spans="2:10">
      <c r="B8" s="17" t="s">
        <v>33</v>
      </c>
      <c r="C8" s="2"/>
      <c r="D8" s="4">
        <f>DEMOLITION!F10</f>
        <v>4</v>
      </c>
      <c r="E8" s="7"/>
      <c r="F8" s="18">
        <f>DEMOLITION!I10</f>
        <v>2.5</v>
      </c>
      <c r="G8" s="6">
        <f>DEMOLITION!L10</f>
        <v>0</v>
      </c>
      <c r="H8" s="19">
        <f>G8+(F8*$H$4)</f>
        <v>0</v>
      </c>
      <c r="I8" s="44">
        <f>DEMOLITION!O10</f>
        <v>0</v>
      </c>
    </row>
    <row r="9" spans="2:10">
      <c r="B9" s="17" t="s">
        <v>451</v>
      </c>
      <c r="C9" s="368"/>
      <c r="D9" s="4"/>
      <c r="E9" s="7"/>
      <c r="F9" s="18"/>
      <c r="G9" s="6"/>
      <c r="H9" s="19"/>
      <c r="J9" s="3"/>
    </row>
    <row r="10" spans="2:10">
      <c r="B10" s="17"/>
      <c r="C10" s="368" t="s">
        <v>13</v>
      </c>
      <c r="D10" s="4">
        <f>'HVAC COST'!F33</f>
        <v>4</v>
      </c>
      <c r="E10" s="7"/>
      <c r="F10" s="18">
        <f>'HVAC COST'!I33</f>
        <v>70.438866666666669</v>
      </c>
      <c r="G10" s="6">
        <f>'HVAC COST'!L33</f>
        <v>0</v>
      </c>
      <c r="H10" s="19">
        <f>G10+(F10*$H$4)</f>
        <v>0</v>
      </c>
      <c r="I10" s="44">
        <f>'HVAC COST'!N33</f>
        <v>0</v>
      </c>
      <c r="J10" s="3"/>
    </row>
    <row r="11" spans="2:10">
      <c r="B11" s="17"/>
      <c r="C11" s="368" t="s">
        <v>452</v>
      </c>
      <c r="D11" s="4"/>
      <c r="E11" s="7">
        <f>'HVAC COST'!G153</f>
        <v>346.94</v>
      </c>
      <c r="F11" s="18">
        <f>'HVAC COST'!I75+'HVAC COST'!I153</f>
        <v>123.18981999999997</v>
      </c>
      <c r="G11" s="6">
        <f>'HVAC COST'!L75+'HVAC COST'!L153+'HVAC COST'!L154</f>
        <v>0</v>
      </c>
      <c r="H11" s="19">
        <f>G11+(F11*$H$4)</f>
        <v>0</v>
      </c>
      <c r="I11" s="44">
        <f>'HVAC COST'!N75+'HVAC COST'!N153+'HVAC COST'!N154</f>
        <v>0</v>
      </c>
      <c r="J11" s="3"/>
    </row>
    <row r="12" spans="2:10">
      <c r="B12" s="17"/>
      <c r="C12" s="368" t="s">
        <v>453</v>
      </c>
      <c r="D12" s="4">
        <f>'HVAC COST'!F82</f>
        <v>4.1650166666666664</v>
      </c>
      <c r="E12" s="7"/>
      <c r="F12" s="18">
        <f>'HVAC COST'!I82</f>
        <v>16.328053333333337</v>
      </c>
      <c r="G12" s="6">
        <f>'HVAC COST'!L82</f>
        <v>0</v>
      </c>
      <c r="H12" s="19">
        <f>G12+(F12*$H$4)</f>
        <v>0</v>
      </c>
      <c r="I12" s="44">
        <f>'HVAC COST'!N82</f>
        <v>0</v>
      </c>
      <c r="J12" s="3"/>
    </row>
    <row r="13" spans="2:10">
      <c r="B13" s="460" t="s">
        <v>61</v>
      </c>
      <c r="C13" s="461"/>
      <c r="D13" s="4"/>
      <c r="E13" s="7"/>
      <c r="F13" s="18"/>
      <c r="G13" s="6"/>
      <c r="H13" s="19">
        <f t="shared" ref="H13:H15" si="0">G13+(F13*$H$4)</f>
        <v>0</v>
      </c>
      <c r="I13" s="44"/>
      <c r="J13" s="3"/>
    </row>
    <row r="14" spans="2:10">
      <c r="B14" s="460"/>
      <c r="C14" s="462" t="s">
        <v>13</v>
      </c>
      <c r="D14" s="4">
        <f>'HVAC COST'!F51</f>
        <v>2</v>
      </c>
      <c r="E14" s="7"/>
      <c r="F14" s="18">
        <f>'HVAC COST'!I51</f>
        <v>15.202033333333334</v>
      </c>
      <c r="G14" s="6">
        <f>'HVAC COST'!L51</f>
        <v>0</v>
      </c>
      <c r="H14" s="19">
        <f t="shared" si="0"/>
        <v>0</v>
      </c>
      <c r="I14" s="44">
        <f>'HVAC COST'!N51</f>
        <v>0</v>
      </c>
      <c r="J14" s="3"/>
    </row>
    <row r="15" spans="2:10">
      <c r="B15" s="460"/>
      <c r="C15" s="309" t="s">
        <v>39</v>
      </c>
      <c r="D15" s="4"/>
      <c r="E15" s="7">
        <f>'HVAC COST'!G165</f>
        <v>59.53</v>
      </c>
      <c r="F15" s="18">
        <f>'HVAC COST'!I165</f>
        <v>9.0149100000000004</v>
      </c>
      <c r="G15" s="6">
        <f>'HVAC COST'!L165+'HVAC COST'!L166</f>
        <v>0</v>
      </c>
      <c r="H15" s="19">
        <f t="shared" si="0"/>
        <v>0</v>
      </c>
      <c r="I15" s="44">
        <f>'HVAC COST'!N165+'HVAC COST'!N166</f>
        <v>0</v>
      </c>
      <c r="J15" s="3"/>
    </row>
    <row r="16" spans="2:10">
      <c r="B16" s="17"/>
      <c r="C16" s="368"/>
      <c r="D16" s="4"/>
      <c r="E16" s="7"/>
      <c r="F16" s="18"/>
      <c r="G16" s="6"/>
      <c r="H16" s="19"/>
      <c r="I16" s="42"/>
      <c r="J16" s="3"/>
    </row>
    <row r="17" spans="2:12">
      <c r="B17" s="17" t="s">
        <v>454</v>
      </c>
      <c r="C17" s="368"/>
      <c r="D17" s="4" t="s">
        <v>14</v>
      </c>
      <c r="E17" s="7"/>
      <c r="F17" s="18">
        <f>'HVAC COST'!I175</f>
        <v>33.75</v>
      </c>
      <c r="G17" s="6">
        <f>'HVAC COST'!L175</f>
        <v>0</v>
      </c>
      <c r="H17" s="19">
        <f>G17+(F17*$H$4)</f>
        <v>0</v>
      </c>
      <c r="I17" s="44">
        <f>'HVAC COST'!N175</f>
        <v>0</v>
      </c>
      <c r="J17" s="3"/>
    </row>
    <row r="18" spans="2:12">
      <c r="B18" s="17" t="s">
        <v>47</v>
      </c>
      <c r="C18" s="536"/>
      <c r="D18" s="4" t="s">
        <v>14</v>
      </c>
      <c r="E18" s="7"/>
      <c r="F18" s="18">
        <f>'HVAC COST'!I216+DEMOLITION!I13</f>
        <v>276.24248312499992</v>
      </c>
      <c r="G18" s="6">
        <f>'HVAC COST'!L216+DEMOLITION!L13</f>
        <v>0</v>
      </c>
      <c r="H18" s="19">
        <f>G18+(F18*$H$4)</f>
        <v>0</v>
      </c>
      <c r="I18" s="44">
        <f>'HVAC COST'!N216+DEMOLITION!O13</f>
        <v>0</v>
      </c>
      <c r="K18" s="42">
        <f>SUM(H8:H18)</f>
        <v>0</v>
      </c>
      <c r="L18" s="41">
        <f>K19-K18</f>
        <v>0</v>
      </c>
    </row>
    <row r="19" spans="2:12">
      <c r="B19" s="17"/>
      <c r="C19" s="368"/>
      <c r="D19" s="4"/>
      <c r="E19" s="7"/>
      <c r="F19" s="18"/>
      <c r="G19" s="6"/>
      <c r="H19" s="19"/>
      <c r="I19" s="44">
        <f>SUM(I8:I18)</f>
        <v>0</v>
      </c>
      <c r="K19" s="41">
        <f>'HVAC COST'!N217+DEMOLITION!O14</f>
        <v>0</v>
      </c>
    </row>
    <row r="20" spans="2:12">
      <c r="B20" s="17" t="s">
        <v>585</v>
      </c>
      <c r="C20" s="368"/>
      <c r="D20" s="20"/>
      <c r="E20" s="7"/>
      <c r="F20" s="18"/>
      <c r="G20" s="537"/>
      <c r="H20" s="19"/>
    </row>
    <row r="21" spans="2:12">
      <c r="B21" s="17"/>
      <c r="C21" s="5" t="s">
        <v>455</v>
      </c>
      <c r="D21" s="20"/>
      <c r="E21" s="7"/>
      <c r="F21" s="18"/>
      <c r="G21" s="6"/>
      <c r="H21" s="19">
        <f>SUM(H8:H18)*0.005</f>
        <v>0</v>
      </c>
    </row>
    <row r="22" spans="2:12">
      <c r="B22" s="17"/>
      <c r="C22" s="5" t="s">
        <v>15</v>
      </c>
      <c r="D22" s="20"/>
      <c r="E22" s="7"/>
      <c r="F22" s="18">
        <f>SUM(F8:F18)/4</f>
        <v>136.66654161458331</v>
      </c>
      <c r="G22" s="6"/>
      <c r="H22" s="19">
        <f>F22*H4</f>
        <v>0</v>
      </c>
      <c r="I22" s="44">
        <f>SUM(I8:I18)*0.1</f>
        <v>0</v>
      </c>
    </row>
    <row r="23" spans="2:12">
      <c r="B23" s="17"/>
      <c r="C23" s="5" t="s">
        <v>586</v>
      </c>
      <c r="D23" s="20"/>
      <c r="E23" s="7"/>
      <c r="F23" s="18"/>
      <c r="G23" s="537">
        <v>0.02</v>
      </c>
      <c r="H23" s="19">
        <f>G23*(SUM(H8:H18)+H22)</f>
        <v>0</v>
      </c>
      <c r="I23" s="44"/>
    </row>
    <row r="24" spans="2:12">
      <c r="B24" s="17"/>
      <c r="C24" s="5" t="s">
        <v>587</v>
      </c>
      <c r="D24" s="20"/>
      <c r="E24" s="7"/>
      <c r="F24" s="18"/>
      <c r="G24" s="537"/>
      <c r="H24" s="19">
        <f>G24*(SUM(H8:H18)+H22+H23)</f>
        <v>0</v>
      </c>
      <c r="I24" s="44"/>
    </row>
    <row r="25" spans="2:12" ht="15.75" thickBot="1">
      <c r="B25" s="21"/>
      <c r="C25" s="22"/>
      <c r="D25" s="23"/>
      <c r="E25" s="24"/>
      <c r="F25" s="555"/>
      <c r="G25" s="25"/>
      <c r="H25" s="26"/>
    </row>
    <row r="26" spans="2:12" ht="27" thickBot="1">
      <c r="B26" s="27" t="s">
        <v>16</v>
      </c>
      <c r="C26" s="28"/>
      <c r="D26" s="29"/>
      <c r="E26" s="30"/>
      <c r="F26" s="31"/>
      <c r="G26" s="32"/>
      <c r="H26" s="33">
        <f>SUM(H8:H25)</f>
        <v>0</v>
      </c>
      <c r="J26" t="s">
        <v>17</v>
      </c>
      <c r="K26" s="89">
        <f>H26/H2</f>
        <v>0</v>
      </c>
    </row>
    <row r="27" spans="2:12" ht="15.75" thickBot="1">
      <c r="C27" s="34"/>
      <c r="J27" t="s">
        <v>18</v>
      </c>
      <c r="K27" s="89">
        <f>H26/H3</f>
        <v>0</v>
      </c>
    </row>
    <row r="28" spans="2:12" s="39" customFormat="1" ht="21" customHeight="1" thickBot="1">
      <c r="B28" s="35" t="s">
        <v>19</v>
      </c>
      <c r="C28" s="192" t="s">
        <v>460</v>
      </c>
      <c r="F28" s="556"/>
      <c r="J28" s="88"/>
      <c r="K28" s="90"/>
    </row>
    <row r="29" spans="2:12" s="39" customFormat="1" ht="15.75" thickBot="1">
      <c r="F29" s="556"/>
      <c r="J29" s="44">
        <f>H16+H15</f>
        <v>0</v>
      </c>
      <c r="K29"/>
      <c r="L29"/>
    </row>
    <row r="30" spans="2:12" s="77" customFormat="1" ht="21.75" thickBot="1">
      <c r="B30" s="35" t="s">
        <v>20</v>
      </c>
      <c r="F30" s="78"/>
      <c r="H30" s="36"/>
      <c r="J30" s="165" t="e">
        <f>J29/I13</f>
        <v>#DIV/0!</v>
      </c>
      <c r="K30"/>
      <c r="L30" s="44">
        <f>H26-L29</f>
        <v>0</v>
      </c>
    </row>
    <row r="31" spans="2:12" s="77" customFormat="1" ht="21">
      <c r="B31" s="80"/>
      <c r="C31" s="162"/>
      <c r="F31" s="78"/>
      <c r="H31" s="36"/>
      <c r="J31" s="79"/>
    </row>
    <row r="32" spans="2:12" s="231" customFormat="1" ht="21">
      <c r="B32" s="228" t="s">
        <v>21</v>
      </c>
      <c r="C32" s="229" t="s">
        <v>525</v>
      </c>
      <c r="F32" s="557"/>
      <c r="H32" s="36"/>
      <c r="J32" s="232"/>
    </row>
    <row r="33" spans="2:10" s="231" customFormat="1" ht="21">
      <c r="B33" s="230"/>
      <c r="C33" s="306" t="s">
        <v>461</v>
      </c>
      <c r="F33" s="557"/>
      <c r="H33" s="36"/>
      <c r="J33" s="232"/>
    </row>
    <row r="34" spans="2:10" s="231" customFormat="1" ht="21">
      <c r="B34" s="230"/>
      <c r="C34" s="306" t="s">
        <v>462</v>
      </c>
      <c r="F34" s="557"/>
      <c r="H34" s="36"/>
      <c r="J34" s="232"/>
    </row>
    <row r="35" spans="2:10" s="231" customFormat="1" ht="21">
      <c r="B35" s="230"/>
      <c r="C35" s="306" t="s">
        <v>463</v>
      </c>
      <c r="F35" s="557"/>
      <c r="H35" s="36"/>
      <c r="J35" s="232"/>
    </row>
    <row r="36" spans="2:10" s="231" customFormat="1" ht="21">
      <c r="B36" s="230"/>
      <c r="C36" s="306" t="s">
        <v>464</v>
      </c>
      <c r="F36" s="557"/>
      <c r="H36" s="36"/>
      <c r="J36" s="232"/>
    </row>
    <row r="37" spans="2:10" s="231" customFormat="1" ht="21">
      <c r="B37" s="230"/>
      <c r="C37" s="306" t="s">
        <v>465</v>
      </c>
      <c r="F37" s="557"/>
      <c r="H37" s="36"/>
      <c r="J37" s="232"/>
    </row>
    <row r="38" spans="2:10" s="231" customFormat="1" ht="21">
      <c r="B38" s="230"/>
      <c r="C38" s="470" t="s">
        <v>467</v>
      </c>
      <c r="F38" s="557"/>
      <c r="H38" s="36"/>
      <c r="J38" s="232"/>
    </row>
    <row r="39" spans="2:10" s="231" customFormat="1" ht="21">
      <c r="B39" s="230"/>
      <c r="C39" s="470" t="s">
        <v>466</v>
      </c>
      <c r="F39" s="557"/>
      <c r="H39" s="36"/>
      <c r="J39" s="232"/>
    </row>
    <row r="40" spans="2:10" s="77" customFormat="1" ht="21">
      <c r="B40" s="81"/>
      <c r="C40" s="82" t="s">
        <v>468</v>
      </c>
      <c r="F40" s="78"/>
      <c r="H40" s="36"/>
      <c r="J40" s="79"/>
    </row>
    <row r="41" spans="2:10" s="472" customFormat="1" ht="21">
      <c r="B41" s="81" t="s">
        <v>21</v>
      </c>
      <c r="C41" s="471" t="s">
        <v>61</v>
      </c>
      <c r="F41" s="558"/>
      <c r="H41" s="36"/>
      <c r="J41" s="473"/>
    </row>
    <row r="42" spans="2:10" s="472" customFormat="1" ht="21">
      <c r="B42" s="306"/>
      <c r="C42" s="306" t="s">
        <v>469</v>
      </c>
      <c r="F42" s="558"/>
      <c r="H42" s="36"/>
      <c r="J42" s="473"/>
    </row>
    <row r="43" spans="2:10" s="472" customFormat="1" ht="21">
      <c r="B43" s="306"/>
      <c r="C43" s="306" t="s">
        <v>465</v>
      </c>
      <c r="F43" s="558"/>
      <c r="H43" s="36"/>
      <c r="J43" s="473"/>
    </row>
    <row r="44" spans="2:10" s="472" customFormat="1" ht="21">
      <c r="B44" s="81"/>
      <c r="C44" s="474" t="s">
        <v>470</v>
      </c>
      <c r="F44" s="558"/>
      <c r="H44" s="36"/>
      <c r="J44" s="473"/>
    </row>
    <row r="45" spans="2:10" s="472" customFormat="1" ht="21">
      <c r="B45" s="81"/>
      <c r="C45" s="82" t="s">
        <v>468</v>
      </c>
      <c r="F45" s="558"/>
      <c r="H45" s="36"/>
      <c r="J45" s="473"/>
    </row>
    <row r="46" spans="2:10" s="472" customFormat="1" ht="21">
      <c r="B46" s="80"/>
      <c r="C46" s="471" t="s">
        <v>471</v>
      </c>
      <c r="F46" s="558"/>
      <c r="H46" s="36"/>
      <c r="J46" s="473"/>
    </row>
    <row r="47" spans="2:10" s="472" customFormat="1" ht="21">
      <c r="B47" s="81" t="s">
        <v>21</v>
      </c>
      <c r="F47" s="558"/>
      <c r="H47" s="36"/>
      <c r="J47" s="473"/>
    </row>
    <row r="48" spans="2:10" s="472" customFormat="1" ht="21">
      <c r="B48" s="80"/>
      <c r="C48" s="306" t="s">
        <v>472</v>
      </c>
      <c r="F48" s="558"/>
      <c r="H48" s="36"/>
      <c r="J48" s="473"/>
    </row>
    <row r="49" spans="2:12" s="472" customFormat="1" ht="21">
      <c r="B49" s="81" t="s">
        <v>21</v>
      </c>
      <c r="C49" s="471" t="s">
        <v>473</v>
      </c>
      <c r="F49" s="558"/>
      <c r="H49" s="36"/>
      <c r="J49" s="473"/>
    </row>
    <row r="50" spans="2:12" s="472" customFormat="1" ht="21">
      <c r="B50" s="80"/>
      <c r="C50" s="306" t="s">
        <v>474</v>
      </c>
      <c r="F50" s="558"/>
      <c r="H50" s="36"/>
      <c r="J50" s="473"/>
    </row>
    <row r="51" spans="2:12" s="472" customFormat="1" ht="21">
      <c r="B51" s="80"/>
      <c r="C51" s="471" t="s">
        <v>475</v>
      </c>
      <c r="F51" s="558"/>
      <c r="H51" s="36"/>
      <c r="J51" s="473"/>
    </row>
    <row r="52" spans="2:12" s="472" customFormat="1" ht="21">
      <c r="B52" s="80"/>
      <c r="C52" s="306" t="s">
        <v>476</v>
      </c>
      <c r="F52" s="558"/>
      <c r="H52" s="36"/>
      <c r="J52" s="473"/>
    </row>
    <row r="53" spans="2:12" s="472" customFormat="1" ht="21">
      <c r="B53" s="80"/>
      <c r="C53" s="306"/>
      <c r="F53" s="558"/>
      <c r="H53" s="36"/>
      <c r="J53" s="473"/>
    </row>
    <row r="54" spans="2:12" s="77" customFormat="1" ht="21">
      <c r="B54" s="94" t="s">
        <v>22</v>
      </c>
      <c r="C54" s="472"/>
      <c r="F54" s="78"/>
      <c r="H54" s="36"/>
      <c r="J54" s="79"/>
    </row>
    <row r="55" spans="2:12" s="307" customFormat="1" ht="21">
      <c r="B55" s="475" t="s">
        <v>477</v>
      </c>
      <c r="C55" s="472" t="s">
        <v>478</v>
      </c>
      <c r="F55" s="559"/>
      <c r="H55" s="36"/>
      <c r="J55" s="308"/>
    </row>
    <row r="56" spans="2:12" s="307" customFormat="1" ht="21">
      <c r="B56" s="475" t="s">
        <v>479</v>
      </c>
      <c r="C56" s="472" t="s">
        <v>480</v>
      </c>
      <c r="F56" s="559"/>
      <c r="H56" s="36"/>
      <c r="J56" s="308"/>
    </row>
    <row r="57" spans="2:12" s="307" customFormat="1" ht="21">
      <c r="B57" s="476" t="s">
        <v>336</v>
      </c>
      <c r="C57" s="477" t="s">
        <v>483</v>
      </c>
      <c r="F57" s="559"/>
      <c r="H57" s="36"/>
      <c r="J57" s="308"/>
    </row>
    <row r="58" spans="2:12" s="307" customFormat="1" ht="21">
      <c r="B58" s="475" t="s">
        <v>481</v>
      </c>
      <c r="C58" s="472" t="s">
        <v>482</v>
      </c>
      <c r="F58" s="559"/>
      <c r="H58" s="36"/>
      <c r="J58" s="308"/>
    </row>
    <row r="59" spans="2:12" s="77" customFormat="1" ht="15.75" thickBot="1">
      <c r="F59" s="78"/>
    </row>
    <row r="60" spans="2:12" s="77" customFormat="1" ht="30.75" thickBot="1">
      <c r="B60" s="35" t="s">
        <v>23</v>
      </c>
      <c r="C60" s="37" t="s">
        <v>24</v>
      </c>
      <c r="D60" s="34"/>
      <c r="E60" s="34"/>
      <c r="F60" s="78"/>
    </row>
    <row r="61" spans="2:12" s="77" customFormat="1">
      <c r="F61" s="78"/>
    </row>
    <row r="62" spans="2:12" s="77" customFormat="1">
      <c r="F62" s="78"/>
    </row>
    <row r="63" spans="2:12" s="152" customFormat="1">
      <c r="B63" s="83"/>
      <c r="C63" s="83"/>
      <c r="D63" s="83"/>
      <c r="E63" s="83"/>
      <c r="F63" s="560"/>
      <c r="G63" s="83"/>
      <c r="H63" s="83"/>
      <c r="I63" s="96"/>
      <c r="J63" s="97"/>
      <c r="K63" s="96"/>
      <c r="L63" s="96"/>
    </row>
    <row r="64" spans="2:12" s="152" customFormat="1">
      <c r="B64" s="83"/>
      <c r="C64" s="538" t="s">
        <v>524</v>
      </c>
      <c r="D64" s="83"/>
      <c r="E64" s="83"/>
      <c r="F64" s="560"/>
      <c r="G64" s="83"/>
      <c r="H64" s="83"/>
      <c r="I64" s="96"/>
      <c r="J64" s="97"/>
      <c r="K64" s="96"/>
      <c r="L64" s="96"/>
    </row>
    <row r="65" spans="2:12" s="152" customFormat="1">
      <c r="B65" s="83"/>
      <c r="C65" s="493" t="s">
        <v>49</v>
      </c>
      <c r="F65" s="561"/>
      <c r="I65" s="96"/>
      <c r="J65" s="97"/>
      <c r="K65" s="96"/>
      <c r="L65" s="96"/>
    </row>
    <row r="66" spans="2:12" s="152" customFormat="1">
      <c r="B66" s="83"/>
      <c r="C66" s="310" t="s">
        <v>62</v>
      </c>
      <c r="F66" s="561"/>
      <c r="I66" s="96"/>
      <c r="J66" s="96"/>
      <c r="K66" s="96"/>
      <c r="L66" s="96"/>
    </row>
    <row r="67" spans="2:12" s="152" customFormat="1">
      <c r="B67" s="83"/>
      <c r="C67" s="478" t="s">
        <v>484</v>
      </c>
      <c r="F67" s="561"/>
      <c r="I67" s="472"/>
      <c r="J67" s="472"/>
      <c r="K67" s="472"/>
      <c r="L67" s="472"/>
    </row>
    <row r="68" spans="2:12" s="152" customFormat="1">
      <c r="B68" s="83"/>
      <c r="C68" s="478"/>
      <c r="F68" s="561"/>
      <c r="I68" s="83"/>
      <c r="J68" s="83"/>
      <c r="K68" s="472"/>
      <c r="L68" s="472"/>
    </row>
    <row r="69" spans="2:12" s="152" customFormat="1">
      <c r="B69" s="83"/>
      <c r="C69" s="83"/>
      <c r="F69" s="561"/>
      <c r="I69" s="83"/>
      <c r="J69" s="83"/>
      <c r="K69" s="472"/>
      <c r="L69" s="472"/>
    </row>
    <row r="70" spans="2:12" s="152" customFormat="1">
      <c r="B70" s="83"/>
      <c r="F70" s="561"/>
      <c r="I70" s="83"/>
      <c r="J70" s="83"/>
      <c r="K70" s="472"/>
      <c r="L70" s="472"/>
    </row>
    <row r="71" spans="2:12" s="96" customFormat="1">
      <c r="B71" s="83"/>
      <c r="C71" s="153"/>
      <c r="F71" s="562"/>
    </row>
    <row r="72" spans="2:12" s="77" customFormat="1" ht="30">
      <c r="B72" s="84" t="s">
        <v>25</v>
      </c>
      <c r="C72" s="85" t="s">
        <v>26</v>
      </c>
      <c r="F72" s="78"/>
    </row>
    <row r="73" spans="2:12" s="77" customFormat="1">
      <c r="B73" s="86"/>
      <c r="C73" s="85"/>
      <c r="F73" s="78"/>
    </row>
    <row r="74" spans="2:12" s="77" customFormat="1">
      <c r="B74" s="83"/>
      <c r="C74" s="87" t="s">
        <v>38</v>
      </c>
      <c r="F74" s="78"/>
    </row>
    <row r="75" spans="2:12" s="77" customFormat="1">
      <c r="B75" s="83"/>
      <c r="C75" s="87" t="s">
        <v>493</v>
      </c>
      <c r="F75" s="78"/>
    </row>
    <row r="76" spans="2:12" s="77" customFormat="1">
      <c r="B76" s="83"/>
      <c r="C76" s="87" t="s">
        <v>494</v>
      </c>
      <c r="F76" s="78"/>
    </row>
    <row r="77" spans="2:12" s="77" customFormat="1">
      <c r="B77" s="83"/>
      <c r="C77" s="87" t="s">
        <v>495</v>
      </c>
      <c r="F77" s="78"/>
    </row>
    <row r="78" spans="2:12">
      <c r="C78" s="567" t="s">
        <v>578</v>
      </c>
    </row>
    <row r="79" spans="2:12">
      <c r="C79" s="492" t="s">
        <v>428</v>
      </c>
    </row>
    <row r="80" spans="2:12">
      <c r="C80" s="492" t="s">
        <v>496</v>
      </c>
    </row>
    <row r="81" spans="3:3">
      <c r="C81" s="492" t="s">
        <v>497</v>
      </c>
    </row>
    <row r="82" spans="3:3">
      <c r="C82" s="492" t="s">
        <v>429</v>
      </c>
    </row>
    <row r="83" spans="3:3">
      <c r="C83" s="569" t="s">
        <v>430</v>
      </c>
    </row>
    <row r="84" spans="3:3">
      <c r="C84" s="492" t="s">
        <v>431</v>
      </c>
    </row>
    <row r="85" spans="3:3">
      <c r="C85" s="492" t="s">
        <v>486</v>
      </c>
    </row>
  </sheetData>
  <pageMargins left="0.7" right="0.7" top="0.75" bottom="0.75" header="0.3" footer="0.3"/>
  <pageSetup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/>
  </sheetPr>
  <dimension ref="A1:V254"/>
  <sheetViews>
    <sheetView topLeftCell="B127" zoomScale="63" zoomScaleNormal="63" workbookViewId="0">
      <selection activeCell="G168" sqref="G168"/>
    </sheetView>
  </sheetViews>
  <sheetFormatPr defaultColWidth="9" defaultRowHeight="14.25"/>
  <cols>
    <col min="1" max="1" width="1.85546875" style="98" customWidth="1"/>
    <col min="2" max="2" width="60.7109375" style="98" customWidth="1"/>
    <col min="3" max="3" width="61.140625" style="100" customWidth="1"/>
    <col min="4" max="4" width="12.140625" style="98" customWidth="1"/>
    <col min="5" max="5" width="10.140625" style="98" customWidth="1"/>
    <col min="6" max="6" width="13.85546875" style="100" customWidth="1"/>
    <col min="7" max="7" width="13.140625" style="100" customWidth="1"/>
    <col min="8" max="8" width="12" style="223" customWidth="1"/>
    <col min="9" max="9" width="17.85546875" style="223" customWidth="1"/>
    <col min="10" max="10" width="19.85546875" style="98" customWidth="1"/>
    <col min="11" max="11" width="15.42578125" style="101" customWidth="1"/>
    <col min="12" max="12" width="22" style="98" customWidth="1"/>
    <col min="13" max="13" width="25.85546875" style="98" customWidth="1"/>
    <col min="14" max="14" width="19" style="98" customWidth="1"/>
    <col min="15" max="15" width="17.42578125" style="98" customWidth="1"/>
    <col min="16" max="16" width="16.42578125" style="98" customWidth="1"/>
    <col min="17" max="17" width="9" style="98"/>
    <col min="18" max="18" width="10.42578125" style="98" customWidth="1"/>
    <col min="19" max="19" width="9" style="98"/>
    <col min="20" max="20" width="11.42578125" style="98" customWidth="1"/>
    <col min="21" max="21" width="10.42578125" style="98" customWidth="1"/>
    <col min="22" max="16384" width="9" style="98"/>
  </cols>
  <sheetData>
    <row r="1" spans="1:17" ht="15" thickBot="1">
      <c r="B1" s="99"/>
    </row>
    <row r="2" spans="1:17" s="100" customFormat="1" ht="45.75" customHeight="1">
      <c r="B2" s="402"/>
      <c r="C2" s="403" t="s">
        <v>7</v>
      </c>
      <c r="D2" s="404" t="s">
        <v>40</v>
      </c>
      <c r="E2" s="404" t="s">
        <v>41</v>
      </c>
      <c r="F2" s="403" t="s">
        <v>8</v>
      </c>
      <c r="G2" s="403" t="s">
        <v>9</v>
      </c>
      <c r="H2" s="405" t="s">
        <v>44</v>
      </c>
      <c r="I2" s="405" t="s">
        <v>560</v>
      </c>
      <c r="J2" s="407" t="s">
        <v>42</v>
      </c>
      <c r="K2" s="408" t="s">
        <v>46</v>
      </c>
      <c r="L2" s="406" t="s">
        <v>45</v>
      </c>
      <c r="M2" s="409" t="s">
        <v>12</v>
      </c>
    </row>
    <row r="3" spans="1:17" ht="24" customHeight="1">
      <c r="A3" s="98" t="s">
        <v>43</v>
      </c>
      <c r="B3" s="410" t="s">
        <v>28</v>
      </c>
      <c r="C3" s="102" t="str">
        <f>Summary!C2</f>
        <v>University Park Village</v>
      </c>
      <c r="M3" s="411"/>
    </row>
    <row r="4" spans="1:17" ht="24" customHeight="1">
      <c r="B4" s="410" t="s">
        <v>29</v>
      </c>
      <c r="C4" s="412" t="str">
        <f>Summary!C3</f>
        <v>1620 S University DR, Fort Worth, TX 76107</v>
      </c>
      <c r="I4" s="543"/>
      <c r="J4" s="413"/>
      <c r="M4" s="411"/>
    </row>
    <row r="5" spans="1:17" ht="24" customHeight="1">
      <c r="B5" s="410" t="s">
        <v>30</v>
      </c>
      <c r="C5" s="99">
        <f>Summary!C4</f>
        <v>45962</v>
      </c>
      <c r="M5" s="411"/>
    </row>
    <row r="6" spans="1:17" ht="24" customHeight="1">
      <c r="B6" s="315"/>
      <c r="C6" s="414"/>
      <c r="D6" s="415"/>
      <c r="E6" s="415"/>
      <c r="F6" s="416"/>
      <c r="G6" s="103"/>
      <c r="H6" s="104"/>
      <c r="I6" s="104"/>
      <c r="J6" s="104"/>
      <c r="K6" s="105"/>
      <c r="L6" s="106"/>
      <c r="M6" s="417"/>
    </row>
    <row r="7" spans="1:17" s="100" customFormat="1" ht="30.75" customHeight="1">
      <c r="B7" s="418" t="s">
        <v>527</v>
      </c>
      <c r="C7" s="107"/>
      <c r="D7" s="107"/>
      <c r="E7" s="107"/>
      <c r="F7" s="108"/>
      <c r="G7" s="109"/>
      <c r="H7" s="224"/>
      <c r="I7" s="110"/>
      <c r="J7" s="110"/>
      <c r="K7" s="111"/>
      <c r="L7" s="112"/>
      <c r="M7" s="419"/>
    </row>
    <row r="8" spans="1:17" ht="30.75" customHeight="1">
      <c r="B8" s="420" t="s">
        <v>420</v>
      </c>
      <c r="C8" s="414"/>
      <c r="D8" s="421"/>
      <c r="E8" s="421"/>
      <c r="F8" s="416"/>
      <c r="G8" s="103"/>
      <c r="H8" s="104"/>
      <c r="I8" s="113"/>
      <c r="J8" s="113"/>
      <c r="K8" s="105"/>
      <c r="L8" s="114"/>
      <c r="M8" s="422"/>
    </row>
    <row r="9" spans="1:17" ht="14.45" customHeight="1">
      <c r="B9" s="423"/>
      <c r="C9" s="167"/>
      <c r="D9" s="168"/>
      <c r="E9" s="168"/>
      <c r="F9" s="169"/>
      <c r="G9" s="170"/>
      <c r="H9" s="225"/>
      <c r="I9" s="171"/>
      <c r="J9" s="171"/>
      <c r="K9" s="172"/>
      <c r="L9" s="173"/>
      <c r="M9" s="424"/>
    </row>
    <row r="10" spans="1:17" ht="14.45" customHeight="1">
      <c r="B10" s="420"/>
      <c r="C10" s="414"/>
      <c r="D10" s="421"/>
      <c r="E10" s="421"/>
      <c r="F10" s="416"/>
      <c r="G10" s="103"/>
      <c r="H10" s="297"/>
      <c r="I10" s="113"/>
      <c r="J10" s="113"/>
      <c r="K10" s="298"/>
      <c r="L10" s="114"/>
      <c r="M10" s="422"/>
      <c r="P10" s="126">
        <f t="shared" ref="P10" si="0">IF(E10="X",IF(F10&lt;&gt;"",IF(OR(H10&lt;&gt;"",M10&lt;&gt;""),"✔","ERROR"), "ERROR"), 0)</f>
        <v>0</v>
      </c>
      <c r="Q10" s="126">
        <f t="shared" ref="Q10" si="1">IF(D10="X", IF(F10&lt;&gt;"", IF(AND(L10&lt;&gt;"",M10&lt;&gt;""), "✔", "ERROR"), "ERROR"),0)</f>
        <v>0</v>
      </c>
    </row>
    <row r="11" spans="1:17" ht="14.45" customHeight="1">
      <c r="B11" s="311" t="s">
        <v>403</v>
      </c>
      <c r="C11" s="414"/>
      <c r="D11" s="421"/>
      <c r="E11" s="421"/>
      <c r="F11" s="416"/>
      <c r="G11" s="103"/>
      <c r="H11" s="535"/>
      <c r="I11" s="113"/>
      <c r="J11" s="113"/>
      <c r="K11" s="312"/>
      <c r="L11" s="313"/>
      <c r="M11" s="314"/>
      <c r="P11" s="126">
        <f t="shared" ref="P11:P29" si="2">IF(E11="X",IF(F11&lt;&gt;"",IF(OR(H11&lt;&gt;"",M11&lt;&gt;""),"✔","ERROR"), "ERROR"), 0)</f>
        <v>0</v>
      </c>
      <c r="Q11" s="126">
        <f t="shared" ref="Q11:Q29" si="3">IF(D11="X", IF(F11&lt;&gt;"", IF(AND(L11&lt;&gt;"",M11&lt;&gt;""), "✔", "ERROR"), "ERROR"),0)</f>
        <v>0</v>
      </c>
    </row>
    <row r="12" spans="1:17" ht="14.45" customHeight="1">
      <c r="B12" s="315" t="str">
        <f>'MAT - TAKEOFF'!H63</f>
        <v>ROOFTOP UNIT; RTU-1_TRANE YHK120_10 TONS</v>
      </c>
      <c r="C12" s="425" t="str">
        <f>IFERROR(MID(B12, FIND("_", B12) + 1, FIND("_", B12, FIND("_", B12) + 1) - FIND("_", B12) - 1), "")</f>
        <v>TRANE YHK120</v>
      </c>
      <c r="D12" s="115" t="s">
        <v>31</v>
      </c>
      <c r="E12" s="115" t="s">
        <v>31</v>
      </c>
      <c r="F12" s="46">
        <f>'MAT - TAKEOFF'!I63</f>
        <v>1</v>
      </c>
      <c r="G12" s="163"/>
      <c r="H12" s="121">
        <v>14.6</v>
      </c>
      <c r="I12" s="122">
        <f>((G12+F12)*H12)</f>
        <v>14.6</v>
      </c>
      <c r="J12" s="123">
        <f>(I12)*Summary!$H$4</f>
        <v>0</v>
      </c>
      <c r="K12" s="215"/>
      <c r="L12" s="125">
        <f t="shared" ref="L12:L14" si="4">((F12+G12)*K12)</f>
        <v>0</v>
      </c>
      <c r="M12" s="316">
        <f t="shared" ref="M12:M14" si="5">L12+J12</f>
        <v>0</v>
      </c>
      <c r="P12" s="126" t="str">
        <f t="shared" si="2"/>
        <v>✔</v>
      </c>
      <c r="Q12" s="126" t="str">
        <f t="shared" si="3"/>
        <v>✔</v>
      </c>
    </row>
    <row r="13" spans="1:17" ht="14.45" customHeight="1">
      <c r="B13" s="315" t="str">
        <f>'MAT - TAKEOFF'!H64</f>
        <v>ROOFTOP UNIT; RTU-2_TRANE YHK090*_7.5 TONS</v>
      </c>
      <c r="C13" s="425" t="str">
        <f t="shared" ref="C13:C14" si="6">IFERROR(MID(B13, FIND("_", B13) + 1, FIND("_", B13, FIND("_", B13) + 1) - FIND("_", B13) - 1), "")</f>
        <v>TRANE YHK090*</v>
      </c>
      <c r="D13" s="115" t="s">
        <v>31</v>
      </c>
      <c r="E13" s="115" t="s">
        <v>31</v>
      </c>
      <c r="F13" s="46">
        <f>'MAT - TAKEOFF'!I64</f>
        <v>1</v>
      </c>
      <c r="G13" s="163"/>
      <c r="H13" s="121">
        <v>12.6</v>
      </c>
      <c r="I13" s="122">
        <f t="shared" ref="I13:I32" si="7">((G13+F13)*H13)</f>
        <v>12.6</v>
      </c>
      <c r="J13" s="123">
        <f>(I13)*Summary!$H$4</f>
        <v>0</v>
      </c>
      <c r="K13" s="215"/>
      <c r="L13" s="125">
        <f t="shared" si="4"/>
        <v>0</v>
      </c>
      <c r="M13" s="316">
        <f t="shared" si="5"/>
        <v>0</v>
      </c>
      <c r="P13" s="126" t="str">
        <f t="shared" si="2"/>
        <v>✔</v>
      </c>
      <c r="Q13" s="126" t="str">
        <f t="shared" si="3"/>
        <v>✔</v>
      </c>
    </row>
    <row r="14" spans="1:17" ht="14.45" customHeight="1">
      <c r="B14" s="315" t="str">
        <f>'MAT - TAKEOFF'!H65</f>
        <v>ROOFTOP UNIT; RTU-3_TRANE YHK036*_3 TONS</v>
      </c>
      <c r="C14" s="425" t="str">
        <f t="shared" si="6"/>
        <v>TRANE YHK036*</v>
      </c>
      <c r="D14" s="115" t="s">
        <v>31</v>
      </c>
      <c r="E14" s="115" t="s">
        <v>31</v>
      </c>
      <c r="F14" s="46">
        <f>'MAT - TAKEOFF'!I65</f>
        <v>1</v>
      </c>
      <c r="G14" s="163"/>
      <c r="H14" s="121">
        <v>9.6</v>
      </c>
      <c r="I14" s="122">
        <f t="shared" si="7"/>
        <v>9.6</v>
      </c>
      <c r="J14" s="123">
        <f>(I14)*Summary!$H$4</f>
        <v>0</v>
      </c>
      <c r="K14" s="215"/>
      <c r="L14" s="125">
        <f t="shared" si="4"/>
        <v>0</v>
      </c>
      <c r="M14" s="316">
        <f t="shared" si="5"/>
        <v>0</v>
      </c>
      <c r="P14" s="126" t="str">
        <f t="shared" si="2"/>
        <v>✔</v>
      </c>
      <c r="Q14" s="126" t="str">
        <f t="shared" si="3"/>
        <v>✔</v>
      </c>
    </row>
    <row r="15" spans="1:17" ht="14.45" customHeight="1">
      <c r="B15" s="315"/>
      <c r="C15" s="425"/>
      <c r="D15" s="115"/>
      <c r="E15" s="115"/>
      <c r="F15" s="46"/>
      <c r="G15" s="163"/>
      <c r="H15" s="121"/>
      <c r="I15" s="122"/>
      <c r="J15" s="123">
        <f>(I15)*Summary!$H$4</f>
        <v>0</v>
      </c>
      <c r="K15" s="215"/>
      <c r="L15" s="125"/>
      <c r="M15" s="316"/>
      <c r="P15" s="126">
        <f t="shared" si="2"/>
        <v>0</v>
      </c>
      <c r="Q15" s="126">
        <f t="shared" si="3"/>
        <v>0</v>
      </c>
    </row>
    <row r="16" spans="1:17" ht="14.45" customHeight="1">
      <c r="B16" s="315" t="s">
        <v>404</v>
      </c>
      <c r="C16" s="425"/>
      <c r="D16" s="115"/>
      <c r="E16" s="115"/>
      <c r="F16" s="46"/>
      <c r="G16" s="163"/>
      <c r="H16" s="121"/>
      <c r="I16" s="122"/>
      <c r="J16" s="123">
        <f>(I16)*Summary!$H$4</f>
        <v>0</v>
      </c>
      <c r="K16" s="215"/>
      <c r="L16" s="125">
        <f t="shared" ref="L16:L23" si="8">((F16+G16)*K16)</f>
        <v>0</v>
      </c>
      <c r="M16" s="316">
        <f t="shared" ref="M16:M23" si="9">L16+J16</f>
        <v>0</v>
      </c>
      <c r="P16" s="126">
        <f t="shared" si="2"/>
        <v>0</v>
      </c>
      <c r="Q16" s="126">
        <f t="shared" si="3"/>
        <v>0</v>
      </c>
    </row>
    <row r="17" spans="2:21" ht="14.45" customHeight="1">
      <c r="B17" s="315" t="s">
        <v>366</v>
      </c>
      <c r="C17" s="425"/>
      <c r="D17" s="115" t="s">
        <v>31</v>
      </c>
      <c r="E17" s="115" t="s">
        <v>31</v>
      </c>
      <c r="F17" s="46">
        <f>SUM(F12:F14)</f>
        <v>3</v>
      </c>
      <c r="G17" s="163"/>
      <c r="H17" s="121">
        <v>0.75</v>
      </c>
      <c r="I17" s="122">
        <f t="shared" si="7"/>
        <v>2.25</v>
      </c>
      <c r="J17" s="123">
        <f>(I17)*Summary!$H$4</f>
        <v>0</v>
      </c>
      <c r="K17" s="215"/>
      <c r="L17" s="125">
        <f t="shared" si="8"/>
        <v>0</v>
      </c>
      <c r="M17" s="316">
        <f t="shared" si="9"/>
        <v>0</v>
      </c>
      <c r="P17" s="126" t="str">
        <f t="shared" si="2"/>
        <v>✔</v>
      </c>
      <c r="Q17" s="126" t="str">
        <f t="shared" si="3"/>
        <v>✔</v>
      </c>
    </row>
    <row r="18" spans="2:21" ht="14.45" customHeight="1">
      <c r="B18" s="315" t="s">
        <v>386</v>
      </c>
      <c r="C18" s="425"/>
      <c r="D18" s="115" t="s">
        <v>31</v>
      </c>
      <c r="E18" s="115" t="s">
        <v>31</v>
      </c>
      <c r="F18" s="46">
        <f>'MAT - TAKEOFF'!I68</f>
        <v>3</v>
      </c>
      <c r="G18" s="163"/>
      <c r="H18" s="121">
        <v>0.45</v>
      </c>
      <c r="I18" s="122">
        <f t="shared" ref="I18:I19" si="10">((G18+F18)*H18)</f>
        <v>1.35</v>
      </c>
      <c r="J18" s="123">
        <f>(I18)*Summary!$H$4</f>
        <v>0</v>
      </c>
      <c r="K18" s="215"/>
      <c r="L18" s="125">
        <f t="shared" ref="L18:L19" si="11">((F18+G18)*K18)</f>
        <v>0</v>
      </c>
      <c r="M18" s="316">
        <f t="shared" ref="M18:M19" si="12">L18+J18</f>
        <v>0</v>
      </c>
      <c r="P18" s="126"/>
      <c r="Q18" s="126"/>
    </row>
    <row r="19" spans="2:21" ht="14.45" customHeight="1">
      <c r="B19" s="315" t="s">
        <v>579</v>
      </c>
      <c r="C19" s="425" t="s">
        <v>577</v>
      </c>
      <c r="D19" s="115" t="s">
        <v>31</v>
      </c>
      <c r="E19" s="115" t="s">
        <v>31</v>
      </c>
      <c r="F19" s="46"/>
      <c r="G19" s="163">
        <f>F18*15</f>
        <v>45</v>
      </c>
      <c r="H19" s="121">
        <v>0.03</v>
      </c>
      <c r="I19" s="122">
        <f t="shared" si="10"/>
        <v>1.3499999999999999</v>
      </c>
      <c r="J19" s="123">
        <f>(I19)*Summary!$H$4</f>
        <v>0</v>
      </c>
      <c r="K19" s="215"/>
      <c r="L19" s="125">
        <f t="shared" si="11"/>
        <v>0</v>
      </c>
      <c r="M19" s="316">
        <f t="shared" si="12"/>
        <v>0</v>
      </c>
      <c r="P19" s="126"/>
      <c r="Q19" s="126"/>
    </row>
    <row r="20" spans="2:21" ht="14.45" customHeight="1">
      <c r="B20" s="315" t="s">
        <v>559</v>
      </c>
      <c r="C20" s="414"/>
      <c r="D20" s="115" t="s">
        <v>31</v>
      </c>
      <c r="E20" s="115" t="s">
        <v>31</v>
      </c>
      <c r="F20" s="46">
        <f>F17</f>
        <v>3</v>
      </c>
      <c r="G20" s="163"/>
      <c r="H20" s="121">
        <f>COMPUTATION!F558</f>
        <v>0.5</v>
      </c>
      <c r="I20" s="122">
        <f t="shared" si="7"/>
        <v>1.5</v>
      </c>
      <c r="J20" s="123">
        <f>(I20)*Summary!$H$4</f>
        <v>0</v>
      </c>
      <c r="K20" s="215"/>
      <c r="L20" s="125">
        <f t="shared" si="8"/>
        <v>0</v>
      </c>
      <c r="M20" s="316">
        <f t="shared" si="9"/>
        <v>0</v>
      </c>
      <c r="P20" s="126" t="str">
        <f t="shared" si="2"/>
        <v>✔</v>
      </c>
      <c r="Q20" s="126" t="str">
        <f t="shared" si="3"/>
        <v>✔</v>
      </c>
    </row>
    <row r="21" spans="2:21" ht="14.45" customHeight="1">
      <c r="B21" s="315" t="s">
        <v>364</v>
      </c>
      <c r="C21" s="425"/>
      <c r="D21" s="115" t="s">
        <v>31</v>
      </c>
      <c r="E21" s="115" t="s">
        <v>31</v>
      </c>
      <c r="F21" s="46">
        <f>F17</f>
        <v>3</v>
      </c>
      <c r="G21" s="163"/>
      <c r="H21" s="121">
        <v>4</v>
      </c>
      <c r="I21" s="122">
        <f t="shared" si="7"/>
        <v>12</v>
      </c>
      <c r="J21" s="123">
        <f>(I21)*Summary!$H$4</f>
        <v>0</v>
      </c>
      <c r="K21" s="215"/>
      <c r="L21" s="125">
        <f t="shared" si="8"/>
        <v>0</v>
      </c>
      <c r="M21" s="316">
        <f t="shared" si="9"/>
        <v>0</v>
      </c>
      <c r="P21" s="126" t="str">
        <f t="shared" si="2"/>
        <v>✔</v>
      </c>
      <c r="Q21" s="126" t="str">
        <f t="shared" si="3"/>
        <v>✔</v>
      </c>
    </row>
    <row r="22" spans="2:21" ht="14.45" customHeight="1">
      <c r="B22" s="315" t="str">
        <f>'MAT - TAKEOFF'!H66</f>
        <v>SMOKE DETECTOR</v>
      </c>
      <c r="C22" s="425"/>
      <c r="D22" s="115" t="s">
        <v>31</v>
      </c>
      <c r="E22" s="115" t="s">
        <v>31</v>
      </c>
      <c r="F22" s="46">
        <f>'MAT - TAKEOFF'!I66</f>
        <v>2</v>
      </c>
      <c r="G22" s="163"/>
      <c r="H22" s="121">
        <v>0.45</v>
      </c>
      <c r="I22" s="122">
        <f t="shared" si="7"/>
        <v>0.9</v>
      </c>
      <c r="J22" s="123">
        <f>(I22)*Summary!$H$4</f>
        <v>0</v>
      </c>
      <c r="K22" s="215"/>
      <c r="L22" s="125">
        <f t="shared" ref="L22" si="13">((F22+G22)*K22)</f>
        <v>0</v>
      </c>
      <c r="M22" s="316">
        <f t="shared" ref="M22" si="14">L22+J22</f>
        <v>0</v>
      </c>
      <c r="P22" s="126" t="str">
        <f t="shared" si="2"/>
        <v>✔</v>
      </c>
      <c r="Q22" s="126" t="str">
        <f t="shared" si="3"/>
        <v>✔</v>
      </c>
    </row>
    <row r="23" spans="2:21" ht="14.45" customHeight="1">
      <c r="B23" s="315" t="s">
        <v>406</v>
      </c>
      <c r="C23" s="425"/>
      <c r="D23" s="115" t="s">
        <v>31</v>
      </c>
      <c r="E23" s="115" t="s">
        <v>31</v>
      </c>
      <c r="F23" s="46">
        <f>SUM(F12:F14)*2</f>
        <v>6</v>
      </c>
      <c r="G23" s="163"/>
      <c r="H23" s="121">
        <v>0.65</v>
      </c>
      <c r="I23" s="122">
        <f t="shared" si="7"/>
        <v>3.9000000000000004</v>
      </c>
      <c r="J23" s="123">
        <f>(I23)*Summary!$H$4</f>
        <v>0</v>
      </c>
      <c r="K23" s="215"/>
      <c r="L23" s="125">
        <f t="shared" si="8"/>
        <v>0</v>
      </c>
      <c r="M23" s="316">
        <f t="shared" si="9"/>
        <v>0</v>
      </c>
      <c r="P23" s="126" t="str">
        <f t="shared" si="2"/>
        <v>✔</v>
      </c>
      <c r="Q23" s="126" t="str">
        <f t="shared" si="3"/>
        <v>✔</v>
      </c>
    </row>
    <row r="24" spans="2:21" ht="14.45" customHeight="1">
      <c r="B24" s="315" t="s">
        <v>576</v>
      </c>
      <c r="C24" s="425"/>
      <c r="D24" s="115" t="s">
        <v>31</v>
      </c>
      <c r="E24" s="115" t="s">
        <v>31</v>
      </c>
      <c r="F24" s="46">
        <f>'MAT - TAKEOFF'!I5</f>
        <v>2</v>
      </c>
      <c r="G24" s="163"/>
      <c r="H24" s="121">
        <v>0.45</v>
      </c>
      <c r="I24" s="122">
        <f t="shared" ref="I24:I25" si="15">((G24+F24)*H24)</f>
        <v>0.9</v>
      </c>
      <c r="J24" s="123">
        <f>(I24)*Summary!$H$4</f>
        <v>0</v>
      </c>
      <c r="K24" s="215"/>
      <c r="L24" s="125">
        <f t="shared" ref="L24:L25" si="16">((F24+G24)*K24)</f>
        <v>0</v>
      </c>
      <c r="M24" s="316">
        <f t="shared" ref="M24:M25" si="17">L24+J24</f>
        <v>0</v>
      </c>
      <c r="P24" s="126"/>
      <c r="Q24" s="126"/>
    </row>
    <row r="25" spans="2:21" ht="14.45" customHeight="1">
      <c r="B25" s="315" t="s">
        <v>580</v>
      </c>
      <c r="C25" s="425" t="s">
        <v>577</v>
      </c>
      <c r="D25" s="115" t="s">
        <v>31</v>
      </c>
      <c r="E25" s="115" t="s">
        <v>31</v>
      </c>
      <c r="F25" s="46"/>
      <c r="G25" s="163">
        <f>F24*15</f>
        <v>30</v>
      </c>
      <c r="H25" s="121">
        <v>0.03</v>
      </c>
      <c r="I25" s="122">
        <f t="shared" si="15"/>
        <v>0.89999999999999991</v>
      </c>
      <c r="J25" s="123">
        <f>(I25)*Summary!$H$4</f>
        <v>0</v>
      </c>
      <c r="K25" s="215"/>
      <c r="L25" s="125">
        <f t="shared" si="16"/>
        <v>0</v>
      </c>
      <c r="M25" s="316">
        <f t="shared" si="17"/>
        <v>0</v>
      </c>
      <c r="P25" s="126"/>
      <c r="Q25" s="126"/>
    </row>
    <row r="26" spans="2:21" ht="14.45" customHeight="1">
      <c r="B26" s="315"/>
      <c r="C26" s="425"/>
      <c r="D26" s="115"/>
      <c r="E26" s="115"/>
      <c r="F26" s="46"/>
      <c r="G26" s="163"/>
      <c r="H26" s="121"/>
      <c r="I26" s="122"/>
      <c r="J26" s="123">
        <f>(I26)*Summary!$H$4</f>
        <v>0</v>
      </c>
      <c r="K26" s="215"/>
      <c r="L26" s="125"/>
      <c r="M26" s="316"/>
      <c r="P26" s="126">
        <f t="shared" si="2"/>
        <v>0</v>
      </c>
      <c r="Q26" s="126">
        <f t="shared" si="3"/>
        <v>0</v>
      </c>
    </row>
    <row r="27" spans="2:21" ht="14.45" customHeight="1">
      <c r="B27" s="311" t="s">
        <v>419</v>
      </c>
      <c r="C27" s="425"/>
      <c r="D27" s="115"/>
      <c r="E27" s="115"/>
      <c r="F27" s="46"/>
      <c r="G27" s="163"/>
      <c r="H27" s="121"/>
      <c r="I27" s="122"/>
      <c r="J27" s="123">
        <f>(I27)*Summary!$H$4</f>
        <v>0</v>
      </c>
      <c r="K27" s="215"/>
      <c r="L27" s="125"/>
      <c r="M27" s="316"/>
      <c r="P27" s="126">
        <f t="shared" si="2"/>
        <v>0</v>
      </c>
      <c r="Q27" s="126">
        <f t="shared" si="3"/>
        <v>0</v>
      </c>
    </row>
    <row r="28" spans="2:21" ht="14.45" customHeight="1">
      <c r="B28" s="315" t="str">
        <f>'MAT - TAKEOFF'!H2</f>
        <v>AIR CURTAIN; X0702_ MARS STD242</v>
      </c>
      <c r="C28" s="425"/>
      <c r="D28" s="115" t="s">
        <v>31</v>
      </c>
      <c r="E28" s="115" t="s">
        <v>31</v>
      </c>
      <c r="F28" s="46">
        <f>'MAT - TAKEOFF'!I2</f>
        <v>1</v>
      </c>
      <c r="G28" s="163"/>
      <c r="H28" s="121">
        <v>3</v>
      </c>
      <c r="I28" s="122">
        <f t="shared" si="7"/>
        <v>3</v>
      </c>
      <c r="J28" s="123">
        <f>(I28)*Summary!$H$4</f>
        <v>0</v>
      </c>
      <c r="K28" s="215"/>
      <c r="L28" s="125">
        <f t="shared" ref="L28" si="18">((F28+G28)*K28)</f>
        <v>0</v>
      </c>
      <c r="M28" s="316">
        <f t="shared" ref="M28" si="19">L28+J28</f>
        <v>0</v>
      </c>
      <c r="P28" s="126" t="str">
        <f t="shared" si="2"/>
        <v>✔</v>
      </c>
      <c r="Q28" s="126" t="str">
        <f t="shared" si="3"/>
        <v>✔</v>
      </c>
    </row>
    <row r="29" spans="2:21" ht="14.45" customHeight="1">
      <c r="B29" s="315"/>
      <c r="C29" s="425"/>
      <c r="D29" s="115"/>
      <c r="E29" s="115"/>
      <c r="F29" s="46"/>
      <c r="G29" s="163"/>
      <c r="H29" s="121"/>
      <c r="I29" s="122"/>
      <c r="J29" s="123">
        <f>(I29)*Summary!$H$4</f>
        <v>0</v>
      </c>
      <c r="K29" s="215"/>
      <c r="L29" s="125"/>
      <c r="M29" s="316"/>
      <c r="P29" s="126">
        <f t="shared" si="2"/>
        <v>0</v>
      </c>
      <c r="Q29" s="126">
        <f t="shared" si="3"/>
        <v>0</v>
      </c>
    </row>
    <row r="30" spans="2:21" s="45" customFormat="1" ht="14.25" customHeight="1">
      <c r="B30" s="317" t="s">
        <v>407</v>
      </c>
      <c r="C30" s="426"/>
      <c r="D30" s="427" t="s">
        <v>31</v>
      </c>
      <c r="E30" s="427" t="s">
        <v>31</v>
      </c>
      <c r="F30" s="428">
        <v>1</v>
      </c>
      <c r="G30" s="318"/>
      <c r="H30" s="319">
        <f>SUM(F12:F14,F28)*(10/60)</f>
        <v>0.66666666666666663</v>
      </c>
      <c r="I30" s="122">
        <f t="shared" si="7"/>
        <v>0.66666666666666663</v>
      </c>
      <c r="J30" s="123">
        <f>(I30)*Summary!$H$4</f>
        <v>0</v>
      </c>
      <c r="K30" s="135"/>
      <c r="L30" s="320">
        <f>((F30+G30)*K30)</f>
        <v>0</v>
      </c>
      <c r="M30" s="321">
        <f>L30+J30</f>
        <v>0</v>
      </c>
      <c r="P30" s="126" t="str">
        <f t="shared" ref="P30:P32" si="20">IF(E30="X",IF(F30&lt;&gt;"",IF(OR(H30&lt;&gt;"",M30&lt;&gt;""),"✔","ERROR"), "ERROR"), 0)</f>
        <v>✔</v>
      </c>
      <c r="Q30" s="126" t="str">
        <f t="shared" ref="Q30:Q32" si="21">IF(D30="X", IF(F30&lt;&gt;"", IF(AND(L30&lt;&gt;"",M30&lt;&gt;""), "✔", "ERROR"), "ERROR"),0)</f>
        <v>✔</v>
      </c>
      <c r="R30" s="322"/>
      <c r="T30" s="323"/>
      <c r="U30" s="322"/>
    </row>
    <row r="31" spans="2:21" s="45" customFormat="1" ht="14.25" customHeight="1">
      <c r="B31" s="317" t="s">
        <v>408</v>
      </c>
      <c r="C31" s="426"/>
      <c r="D31" s="427" t="s">
        <v>31</v>
      </c>
      <c r="E31" s="427" t="s">
        <v>31</v>
      </c>
      <c r="F31" s="428">
        <v>1</v>
      </c>
      <c r="G31" s="318"/>
      <c r="H31" s="319">
        <f>SUM(H12:H14,H28)*0.1</f>
        <v>3.98</v>
      </c>
      <c r="I31" s="122">
        <f t="shared" si="7"/>
        <v>3.98</v>
      </c>
      <c r="J31" s="123">
        <f>(I31)*Summary!$H$4</f>
        <v>0</v>
      </c>
      <c r="K31" s="135"/>
      <c r="L31" s="320">
        <f>((F31+G31)*K31)</f>
        <v>0</v>
      </c>
      <c r="M31" s="321">
        <f>L31+J31</f>
        <v>0</v>
      </c>
      <c r="P31" s="126" t="str">
        <f t="shared" si="20"/>
        <v>✔</v>
      </c>
      <c r="Q31" s="126" t="str">
        <f t="shared" si="21"/>
        <v>✔</v>
      </c>
      <c r="R31" s="322"/>
      <c r="T31" s="323"/>
      <c r="U31" s="322"/>
    </row>
    <row r="32" spans="2:21" s="45" customFormat="1" ht="14.25" customHeight="1">
      <c r="B32" s="317" t="s">
        <v>409</v>
      </c>
      <c r="C32" s="426"/>
      <c r="D32" s="427" t="s">
        <v>31</v>
      </c>
      <c r="E32" s="427" t="s">
        <v>31</v>
      </c>
      <c r="F32" s="428">
        <v>1</v>
      </c>
      <c r="G32" s="318"/>
      <c r="H32" s="319">
        <f>SUM(H10:H29)*0.02</f>
        <v>0.94220000000000015</v>
      </c>
      <c r="I32" s="122">
        <f t="shared" si="7"/>
        <v>0.94220000000000015</v>
      </c>
      <c r="J32" s="123">
        <f>(I32)*Summary!$H$4</f>
        <v>0</v>
      </c>
      <c r="K32" s="135"/>
      <c r="L32" s="320">
        <f>((F32+G32)*K32)</f>
        <v>0</v>
      </c>
      <c r="M32" s="321">
        <f>L32+J32</f>
        <v>0</v>
      </c>
      <c r="P32" s="324" t="str">
        <f t="shared" si="20"/>
        <v>✔</v>
      </c>
      <c r="Q32" s="324" t="str">
        <f t="shared" si="21"/>
        <v>✔</v>
      </c>
      <c r="R32" s="322"/>
      <c r="T32" s="323"/>
      <c r="U32" s="322"/>
    </row>
    <row r="33" spans="1:21" s="128" customFormat="1" ht="18" customHeight="1">
      <c r="B33" s="325"/>
      <c r="C33" s="129"/>
      <c r="D33" s="130"/>
      <c r="E33" s="130"/>
      <c r="F33" s="141">
        <f>SUM(F12:F14,F28)</f>
        <v>4</v>
      </c>
      <c r="G33" s="326"/>
      <c r="H33" s="130"/>
      <c r="I33" s="142">
        <f>SUM(I10:I32)</f>
        <v>70.438866666666669</v>
      </c>
      <c r="J33" s="130"/>
      <c r="K33" s="131"/>
      <c r="L33" s="143">
        <f>SUM(L10:L32)</f>
        <v>0</v>
      </c>
      <c r="M33" s="327"/>
      <c r="N33" s="155">
        <f>SUM(M10:M32)</f>
        <v>0</v>
      </c>
      <c r="P33" s="126"/>
      <c r="Q33" s="126"/>
    </row>
    <row r="34" spans="1:21" ht="14.45" customHeight="1">
      <c r="B34" s="420"/>
      <c r="C34" s="414"/>
      <c r="D34" s="421"/>
      <c r="E34" s="421"/>
      <c r="F34" s="416"/>
      <c r="G34" s="103"/>
      <c r="H34" s="297"/>
      <c r="I34" s="113"/>
      <c r="J34" s="113"/>
      <c r="K34" s="298"/>
      <c r="L34" s="114"/>
      <c r="M34" s="422"/>
      <c r="P34" s="126"/>
      <c r="Q34" s="126"/>
    </row>
    <row r="35" spans="1:21" s="45" customFormat="1" ht="15">
      <c r="A35" s="216"/>
      <c r="B35" s="339" t="s">
        <v>421</v>
      </c>
      <c r="C35" s="429"/>
      <c r="D35" s="430"/>
      <c r="E35" s="430"/>
      <c r="F35" s="431"/>
      <c r="G35" s="340"/>
      <c r="H35" s="341"/>
      <c r="I35" s="342"/>
      <c r="J35" s="342"/>
      <c r="K35" s="343"/>
      <c r="L35" s="344"/>
      <c r="M35" s="345"/>
      <c r="N35" s="216"/>
      <c r="P35" s="126"/>
      <c r="Q35" s="126"/>
      <c r="T35" s="323"/>
      <c r="U35" s="322"/>
    </row>
    <row r="36" spans="1:21" s="45" customFormat="1" ht="15">
      <c r="B36" s="339"/>
      <c r="C36" s="429"/>
      <c r="D36" s="430"/>
      <c r="E36" s="430"/>
      <c r="F36" s="431"/>
      <c r="G36" s="340"/>
      <c r="H36" s="341"/>
      <c r="I36" s="342"/>
      <c r="J36" s="342"/>
      <c r="K36" s="343"/>
      <c r="L36" s="344"/>
      <c r="M36" s="345"/>
      <c r="N36" s="216"/>
      <c r="P36" s="126"/>
      <c r="Q36" s="126"/>
      <c r="T36" s="323"/>
      <c r="U36" s="322"/>
    </row>
    <row r="37" spans="1:21" s="45" customFormat="1" ht="15">
      <c r="B37" s="339" t="s">
        <v>420</v>
      </c>
      <c r="C37" s="427"/>
      <c r="D37" s="432"/>
      <c r="E37" s="432"/>
      <c r="F37" s="431"/>
      <c r="G37" s="132"/>
      <c r="H37" s="346"/>
      <c r="I37" s="342"/>
      <c r="J37" s="342"/>
      <c r="K37" s="135"/>
      <c r="L37" s="344"/>
      <c r="M37" s="345"/>
      <c r="N37" s="347"/>
      <c r="P37" s="126"/>
      <c r="Q37" s="126"/>
      <c r="T37" s="323"/>
      <c r="U37" s="322"/>
    </row>
    <row r="38" spans="1:21" s="45" customFormat="1" ht="15.6" customHeight="1">
      <c r="B38" s="348" t="s">
        <v>422</v>
      </c>
      <c r="C38" s="427"/>
      <c r="D38" s="427"/>
      <c r="E38" s="427"/>
      <c r="F38" s="431"/>
      <c r="G38" s="116"/>
      <c r="H38" s="213"/>
      <c r="I38" s="117"/>
      <c r="J38" s="117"/>
      <c r="K38" s="343"/>
      <c r="L38" s="185"/>
      <c r="M38" s="349"/>
      <c r="P38" s="126"/>
      <c r="Q38" s="126"/>
      <c r="T38" s="323"/>
      <c r="U38" s="322"/>
    </row>
    <row r="39" spans="1:21" s="45" customFormat="1" ht="15.6" customHeight="1">
      <c r="A39" s="350"/>
      <c r="B39" s="351" t="str">
        <f>'MAT - TAKEOFF'!H16</f>
        <v>EXHAUST FAN; X0632_GREENHECK G-090-VG_300 CFM</v>
      </c>
      <c r="C39" s="425" t="str">
        <f t="shared" ref="C39:C47" si="22">IFERROR(MID(B39, FIND("_", B39) + 1, FIND("_", B39, FIND("_", B39) + 1) - FIND("_", B39) - 1), "")</f>
        <v>GREENHECK G-090-VG</v>
      </c>
      <c r="D39" s="115" t="s">
        <v>31</v>
      </c>
      <c r="E39" s="115" t="s">
        <v>31</v>
      </c>
      <c r="F39" s="46">
        <f>'MAT - TAKEOFF'!I16</f>
        <v>1</v>
      </c>
      <c r="G39" s="163"/>
      <c r="H39" s="121">
        <v>4</v>
      </c>
      <c r="I39" s="122">
        <f>((G39+F39)*H39)</f>
        <v>4</v>
      </c>
      <c r="J39" s="123">
        <f>(I39)*Summary!$H$4</f>
        <v>0</v>
      </c>
      <c r="K39" s="215"/>
      <c r="L39" s="125">
        <f t="shared" ref="L39:L40" si="23">((F39+G39)*K39)</f>
        <v>0</v>
      </c>
      <c r="M39" s="316">
        <f t="shared" ref="M39:M40" si="24">L39+J39</f>
        <v>0</v>
      </c>
      <c r="N39" s="98"/>
      <c r="O39" s="98"/>
      <c r="P39" s="126" t="str">
        <f t="shared" ref="P39" si="25">IF(E39="X",IF(F39&lt;&gt;"",IF(OR(H39&lt;&gt;"",M39&lt;&gt;""),"✔","ERROR"), "ERROR"), 0)</f>
        <v>✔</v>
      </c>
      <c r="Q39" s="126" t="str">
        <f t="shared" ref="Q39" si="26">IF(D39="X", IF(F39&lt;&gt;"", IF(AND(L39&lt;&gt;"",M39&lt;&gt;""), "✔", "ERROR"), "ERROR"),0)</f>
        <v>✔</v>
      </c>
      <c r="T39" s="323"/>
      <c r="U39" s="322"/>
    </row>
    <row r="40" spans="1:21" s="45" customFormat="1" ht="15.6" customHeight="1">
      <c r="A40" s="350"/>
      <c r="B40" s="351" t="str">
        <f>'MAT - TAKEOFF'!H17</f>
        <v xml:space="preserve">EXHAUST FAN; X0633_ GREENHECK G-080-VG_150 CFM </v>
      </c>
      <c r="C40" s="425" t="str">
        <f t="shared" si="22"/>
        <v xml:space="preserve"> GREENHECK G-080-VG</v>
      </c>
      <c r="D40" s="115" t="s">
        <v>31</v>
      </c>
      <c r="E40" s="115" t="s">
        <v>31</v>
      </c>
      <c r="F40" s="46">
        <f>'MAT - TAKEOFF'!I17</f>
        <v>1</v>
      </c>
      <c r="G40" s="163"/>
      <c r="H40" s="121">
        <v>3.5</v>
      </c>
      <c r="I40" s="122">
        <f t="shared" ref="I40:I50" si="27">((G40+F40)*H40)</f>
        <v>3.5</v>
      </c>
      <c r="J40" s="123">
        <f>(I40)*Summary!$H$4</f>
        <v>0</v>
      </c>
      <c r="K40" s="215"/>
      <c r="L40" s="125">
        <f t="shared" si="23"/>
        <v>0</v>
      </c>
      <c r="M40" s="316">
        <f t="shared" si="24"/>
        <v>0</v>
      </c>
      <c r="N40" s="98"/>
      <c r="O40" s="98"/>
      <c r="P40" s="126" t="str">
        <f t="shared" ref="P40:P48" si="28">IF(E40="X",IF(F40&lt;&gt;"",IF(OR(H40&lt;&gt;"",M40&lt;&gt;""),"✔","ERROR"), "ERROR"), 0)</f>
        <v>✔</v>
      </c>
      <c r="Q40" s="126" t="str">
        <f t="shared" ref="Q40:Q48" si="29">IF(D40="X", IF(F40&lt;&gt;"", IF(AND(L40&lt;&gt;"",M40&lt;&gt;""), "✔", "ERROR"), "ERROR"),0)</f>
        <v>✔</v>
      </c>
      <c r="T40" s="323"/>
      <c r="U40" s="322"/>
    </row>
    <row r="41" spans="1:21" s="45" customFormat="1" ht="15.6" customHeight="1">
      <c r="A41" s="350"/>
      <c r="B41" s="351"/>
      <c r="C41" s="425" t="str">
        <f t="shared" si="22"/>
        <v/>
      </c>
      <c r="D41" s="115"/>
      <c r="E41" s="115"/>
      <c r="F41" s="46"/>
      <c r="G41" s="163"/>
      <c r="H41" s="121"/>
      <c r="I41" s="122"/>
      <c r="J41" s="123">
        <f>(I41)*Summary!$H$4</f>
        <v>0</v>
      </c>
      <c r="K41" s="215"/>
      <c r="L41" s="125"/>
      <c r="M41" s="316"/>
      <c r="N41" s="98"/>
      <c r="O41" s="98"/>
      <c r="P41" s="126">
        <f t="shared" si="28"/>
        <v>0</v>
      </c>
      <c r="Q41" s="126">
        <f t="shared" si="29"/>
        <v>0</v>
      </c>
      <c r="T41" s="323"/>
      <c r="U41" s="322"/>
    </row>
    <row r="42" spans="1:21" s="45" customFormat="1" ht="15.6" customHeight="1">
      <c r="A42" s="350"/>
      <c r="B42" s="351" t="s">
        <v>404</v>
      </c>
      <c r="C42" s="425" t="str">
        <f t="shared" si="22"/>
        <v/>
      </c>
      <c r="D42" s="115"/>
      <c r="E42" s="115"/>
      <c r="F42" s="46"/>
      <c r="G42" s="163"/>
      <c r="H42" s="352"/>
      <c r="I42" s="122"/>
      <c r="J42" s="123">
        <f>(I42)*Summary!$H$4</f>
        <v>0</v>
      </c>
      <c r="K42" s="135"/>
      <c r="L42" s="125"/>
      <c r="M42" s="316"/>
      <c r="N42" s="353"/>
      <c r="P42" s="126">
        <f t="shared" si="28"/>
        <v>0</v>
      </c>
      <c r="Q42" s="126">
        <f t="shared" si="29"/>
        <v>0</v>
      </c>
      <c r="T42" s="323"/>
      <c r="U42" s="322"/>
    </row>
    <row r="43" spans="1:21" s="45" customFormat="1" ht="15.6" customHeight="1">
      <c r="A43" s="350"/>
      <c r="B43" s="351" t="str">
        <f>'MAT - TAKEOFF'!H67</f>
        <v>SPEED CONTROLLER</v>
      </c>
      <c r="C43" s="425" t="str">
        <f t="shared" si="22"/>
        <v/>
      </c>
      <c r="D43" s="115" t="s">
        <v>31</v>
      </c>
      <c r="E43" s="115" t="s">
        <v>31</v>
      </c>
      <c r="F43" s="46">
        <f>SUM(F39:F40)</f>
        <v>2</v>
      </c>
      <c r="G43" s="163"/>
      <c r="H43" s="121">
        <v>0.155</v>
      </c>
      <c r="I43" s="122">
        <f t="shared" si="27"/>
        <v>0.31</v>
      </c>
      <c r="J43" s="123">
        <f>(I43)*Summary!$H$4</f>
        <v>0</v>
      </c>
      <c r="K43" s="215"/>
      <c r="L43" s="125">
        <f t="shared" ref="L43:L46" si="30">((F43+G43)*K43)</f>
        <v>0</v>
      </c>
      <c r="M43" s="316">
        <f t="shared" ref="M43:M46" si="31">L43+J43</f>
        <v>0</v>
      </c>
      <c r="N43" s="353"/>
      <c r="P43" s="126" t="str">
        <f t="shared" si="28"/>
        <v>✔</v>
      </c>
      <c r="Q43" s="126" t="str">
        <f t="shared" si="29"/>
        <v>✔</v>
      </c>
      <c r="T43" s="323"/>
      <c r="U43" s="322"/>
    </row>
    <row r="44" spans="1:21" s="45" customFormat="1" ht="15.75" customHeight="1">
      <c r="A44" s="350"/>
      <c r="B44" s="351" t="s">
        <v>405</v>
      </c>
      <c r="C44" s="425" t="s">
        <v>581</v>
      </c>
      <c r="D44" s="115" t="s">
        <v>31</v>
      </c>
      <c r="E44" s="115" t="s">
        <v>31</v>
      </c>
      <c r="F44" s="46"/>
      <c r="G44" s="163">
        <f>F43*10</f>
        <v>20</v>
      </c>
      <c r="H44" s="121">
        <v>0.03</v>
      </c>
      <c r="I44" s="122">
        <f t="shared" si="27"/>
        <v>0.6</v>
      </c>
      <c r="J44" s="123">
        <f>(I44)*Summary!$H$4</f>
        <v>0</v>
      </c>
      <c r="K44" s="215"/>
      <c r="L44" s="125">
        <f t="shared" si="30"/>
        <v>0</v>
      </c>
      <c r="M44" s="316">
        <f t="shared" si="31"/>
        <v>0</v>
      </c>
      <c r="N44" s="353"/>
      <c r="P44" s="126" t="str">
        <f>IF(E44="X",IF(G44&lt;&gt;"",IF(OR(H44&lt;&gt;"",M44&lt;&gt;""),"✔","ERROR"), "ERROR"), 0)</f>
        <v>✔</v>
      </c>
      <c r="Q44" s="126" t="str">
        <f>IF(D44="X", IF(G44&lt;&gt;"", IF(AND(L44&lt;&gt;"",M44&lt;&gt;""), "✔", "ERROR"), "ERROR"),0)</f>
        <v>✔</v>
      </c>
      <c r="T44" s="323"/>
      <c r="U44" s="322"/>
    </row>
    <row r="45" spans="1:21" s="45" customFormat="1" ht="15.75" customHeight="1">
      <c r="A45" s="350"/>
      <c r="B45" s="351" t="str">
        <f>'MAT - TAKEOFF'!H18</f>
        <v>EXHAUST ROOF CURB</v>
      </c>
      <c r="C45" s="425" t="str">
        <f t="shared" si="22"/>
        <v/>
      </c>
      <c r="D45" s="115" t="s">
        <v>31</v>
      </c>
      <c r="E45" s="115" t="s">
        <v>31</v>
      </c>
      <c r="F45" s="46">
        <f>F43</f>
        <v>2</v>
      </c>
      <c r="G45" s="163"/>
      <c r="H45" s="121">
        <v>2</v>
      </c>
      <c r="I45" s="122">
        <f t="shared" si="27"/>
        <v>4</v>
      </c>
      <c r="J45" s="123">
        <f>(I45)*Summary!$H$4</f>
        <v>0</v>
      </c>
      <c r="K45" s="215"/>
      <c r="L45" s="125">
        <f t="shared" si="30"/>
        <v>0</v>
      </c>
      <c r="M45" s="316">
        <f t="shared" si="31"/>
        <v>0</v>
      </c>
      <c r="N45" s="353"/>
      <c r="P45" s="126" t="str">
        <f t="shared" si="28"/>
        <v>✔</v>
      </c>
      <c r="Q45" s="126" t="str">
        <f t="shared" si="29"/>
        <v>✔</v>
      </c>
      <c r="T45" s="323"/>
      <c r="U45" s="322"/>
    </row>
    <row r="46" spans="1:21" s="45" customFormat="1" ht="15.75" customHeight="1">
      <c r="A46" s="350"/>
      <c r="B46" s="351" t="str">
        <f>'MAT - TAKEOFF'!H24</f>
        <v>GRAVITY BACKDRAFT DAMPER; 8X8</v>
      </c>
      <c r="C46" s="425" t="str">
        <f t="shared" si="22"/>
        <v/>
      </c>
      <c r="D46" s="115" t="s">
        <v>31</v>
      </c>
      <c r="E46" s="115" t="s">
        <v>31</v>
      </c>
      <c r="F46" s="46">
        <f>F43</f>
        <v>2</v>
      </c>
      <c r="G46" s="163"/>
      <c r="H46" s="121">
        <v>0.75</v>
      </c>
      <c r="I46" s="122">
        <f t="shared" si="27"/>
        <v>1.5</v>
      </c>
      <c r="J46" s="123">
        <f>(I46)*Summary!$H$4</f>
        <v>0</v>
      </c>
      <c r="K46" s="215"/>
      <c r="L46" s="125">
        <f t="shared" si="30"/>
        <v>0</v>
      </c>
      <c r="M46" s="316">
        <f t="shared" si="31"/>
        <v>0</v>
      </c>
      <c r="N46" s="353"/>
      <c r="P46" s="126" t="str">
        <f t="shared" si="28"/>
        <v>✔</v>
      </c>
      <c r="Q46" s="126" t="str">
        <f t="shared" si="29"/>
        <v>✔</v>
      </c>
      <c r="T46" s="323"/>
      <c r="U46" s="322"/>
    </row>
    <row r="47" spans="1:21" s="45" customFormat="1" ht="15.75" customHeight="1">
      <c r="A47" s="350"/>
      <c r="B47" s="351"/>
      <c r="C47" s="425" t="str">
        <f t="shared" si="22"/>
        <v/>
      </c>
      <c r="D47" s="115"/>
      <c r="E47" s="115"/>
      <c r="F47" s="46"/>
      <c r="G47" s="163"/>
      <c r="H47" s="121"/>
      <c r="I47" s="122"/>
      <c r="J47" s="123">
        <f>(I47)*Summary!$H$4</f>
        <v>0</v>
      </c>
      <c r="K47" s="215"/>
      <c r="L47" s="125"/>
      <c r="M47" s="316"/>
      <c r="N47" s="353"/>
      <c r="P47" s="126">
        <f t="shared" si="28"/>
        <v>0</v>
      </c>
      <c r="Q47" s="126">
        <f t="shared" si="29"/>
        <v>0</v>
      </c>
      <c r="T47" s="323"/>
      <c r="U47" s="322"/>
    </row>
    <row r="48" spans="1:21" s="45" customFormat="1" ht="14.25" customHeight="1">
      <c r="B48" s="317" t="s">
        <v>407</v>
      </c>
      <c r="C48" s="426"/>
      <c r="D48" s="427" t="s">
        <v>31</v>
      </c>
      <c r="E48" s="427" t="s">
        <v>31</v>
      </c>
      <c r="F48" s="428">
        <v>1</v>
      </c>
      <c r="G48" s="318"/>
      <c r="H48" s="319">
        <f>SUM(F39:F40)*(10/60)</f>
        <v>0.33333333333333331</v>
      </c>
      <c r="I48" s="122">
        <f t="shared" si="27"/>
        <v>0.33333333333333331</v>
      </c>
      <c r="J48" s="123">
        <f>(I48)*Summary!$H$4</f>
        <v>0</v>
      </c>
      <c r="K48" s="135"/>
      <c r="L48" s="320">
        <f>((F48+G48)*K48)</f>
        <v>0</v>
      </c>
      <c r="M48" s="321">
        <f>L48+J48</f>
        <v>0</v>
      </c>
      <c r="P48" s="126" t="str">
        <f t="shared" si="28"/>
        <v>✔</v>
      </c>
      <c r="Q48" s="126" t="str">
        <f t="shared" si="29"/>
        <v>✔</v>
      </c>
      <c r="R48" s="322"/>
      <c r="T48" s="323"/>
      <c r="U48" s="322"/>
    </row>
    <row r="49" spans="2:21" s="45" customFormat="1" ht="14.25" customHeight="1">
      <c r="B49" s="317" t="s">
        <v>408</v>
      </c>
      <c r="C49" s="426"/>
      <c r="D49" s="427" t="s">
        <v>31</v>
      </c>
      <c r="E49" s="427" t="s">
        <v>31</v>
      </c>
      <c r="F49" s="428">
        <v>1</v>
      </c>
      <c r="G49" s="318"/>
      <c r="H49" s="319">
        <f>SUM(H39:H40)*0.1</f>
        <v>0.75</v>
      </c>
      <c r="I49" s="122">
        <f t="shared" si="27"/>
        <v>0.75</v>
      </c>
      <c r="J49" s="123">
        <f>(I49)*Summary!$H$4</f>
        <v>0</v>
      </c>
      <c r="K49" s="135"/>
      <c r="L49" s="320">
        <f>((F49+G49)*K49)</f>
        <v>0</v>
      </c>
      <c r="M49" s="321">
        <f>L49+J49</f>
        <v>0</v>
      </c>
      <c r="P49" s="126" t="str">
        <f t="shared" ref="P49:P50" si="32">IF(E49="X",IF(F49&lt;&gt;"",IF(OR(H49&lt;&gt;"",M49&lt;&gt;""),"✔","ERROR"), "ERROR"), 0)</f>
        <v>✔</v>
      </c>
      <c r="Q49" s="126" t="str">
        <f t="shared" ref="Q49:Q50" si="33">IF(D49="X", IF(F49&lt;&gt;"", IF(AND(L49&lt;&gt;"",M49&lt;&gt;""), "✔", "ERROR"), "ERROR"),0)</f>
        <v>✔</v>
      </c>
      <c r="R49" s="322"/>
      <c r="T49" s="323"/>
      <c r="U49" s="322"/>
    </row>
    <row r="50" spans="2:21" s="45" customFormat="1" ht="14.25" customHeight="1">
      <c r="B50" s="317" t="s">
        <v>409</v>
      </c>
      <c r="C50" s="426"/>
      <c r="D50" s="427" t="s">
        <v>31</v>
      </c>
      <c r="E50" s="427" t="s">
        <v>31</v>
      </c>
      <c r="F50" s="428">
        <v>1</v>
      </c>
      <c r="G50" s="318"/>
      <c r="H50" s="319">
        <f>SUM(H35:H47)*0.02</f>
        <v>0.20870000000000002</v>
      </c>
      <c r="I50" s="122">
        <f t="shared" si="27"/>
        <v>0.20870000000000002</v>
      </c>
      <c r="J50" s="123">
        <f>(I50)*Summary!$H$4</f>
        <v>0</v>
      </c>
      <c r="K50" s="135"/>
      <c r="L50" s="320">
        <f>((F50+G50)*K50)</f>
        <v>0</v>
      </c>
      <c r="M50" s="321">
        <f>L50+J50</f>
        <v>0</v>
      </c>
      <c r="P50" s="126" t="str">
        <f t="shared" si="32"/>
        <v>✔</v>
      </c>
      <c r="Q50" s="126" t="str">
        <f t="shared" si="33"/>
        <v>✔</v>
      </c>
      <c r="R50" s="322"/>
      <c r="T50" s="323"/>
      <c r="U50" s="322"/>
    </row>
    <row r="51" spans="2:21" s="128" customFormat="1" ht="18" customHeight="1">
      <c r="B51" s="325"/>
      <c r="C51" s="129"/>
      <c r="D51" s="130"/>
      <c r="E51" s="130"/>
      <c r="F51" s="141">
        <f>SUM(F39:F40)</f>
        <v>2</v>
      </c>
      <c r="G51" s="326"/>
      <c r="H51" s="130"/>
      <c r="I51" s="142">
        <f>SUM(I36:I50)</f>
        <v>15.202033333333334</v>
      </c>
      <c r="J51" s="130"/>
      <c r="K51" s="131"/>
      <c r="L51" s="143">
        <f>SUM(L37:L50)</f>
        <v>0</v>
      </c>
      <c r="M51" s="327"/>
      <c r="N51" s="155">
        <f>SUM(M37:M50)</f>
        <v>0</v>
      </c>
      <c r="P51" s="126"/>
      <c r="Q51" s="126"/>
    </row>
    <row r="52" spans="2:21" ht="14.45" customHeight="1">
      <c r="B52" s="420"/>
      <c r="C52" s="414"/>
      <c r="D52" s="421"/>
      <c r="E52" s="421"/>
      <c r="F52" s="416"/>
      <c r="G52" s="103"/>
      <c r="H52" s="297"/>
      <c r="I52" s="113"/>
      <c r="J52" s="113"/>
      <c r="K52" s="298"/>
      <c r="L52" s="114"/>
      <c r="M52" s="422"/>
    </row>
    <row r="53" spans="2:21" ht="14.45" customHeight="1">
      <c r="B53" s="433" t="s">
        <v>298</v>
      </c>
      <c r="C53" s="414"/>
      <c r="D53" s="421"/>
      <c r="E53" s="421"/>
      <c r="F53" s="416"/>
      <c r="G53" s="103"/>
      <c r="H53" s="297"/>
      <c r="I53" s="113"/>
      <c r="J53" s="113"/>
      <c r="K53" s="298"/>
      <c r="L53" s="114"/>
      <c r="M53" s="422"/>
      <c r="P53" s="126">
        <f>IF(E53="X",IF(F53&lt;&gt;"",IF(OR(H53&lt;&gt;"",M53&lt;&gt;""),"✔","ERROR"), "ERROR"), 0)</f>
        <v>0</v>
      </c>
      <c r="Q53" s="126">
        <f>IF(D53="X", IF(F53&lt;&gt;"", IF(AND(L53&lt;&gt;"",M53&lt;&gt;""), "✔", "ERROR"), "ERROR"),0)</f>
        <v>0</v>
      </c>
    </row>
    <row r="54" spans="2:21" ht="14.45" customHeight="1">
      <c r="B54" s="420"/>
      <c r="C54" s="414"/>
      <c r="D54" s="421"/>
      <c r="E54" s="421"/>
      <c r="F54" s="416"/>
      <c r="G54" s="103"/>
      <c r="H54" s="297"/>
      <c r="I54" s="113"/>
      <c r="J54" s="113"/>
      <c r="K54" s="298"/>
      <c r="L54" s="114"/>
      <c r="M54" s="422"/>
      <c r="P54" s="126">
        <f>IF(E54="X",IF(F54&lt;&gt;"",IF(OR(H54&lt;&gt;"",M54&lt;&gt;""),"✔","ERROR"), "ERROR"), 0)</f>
        <v>0</v>
      </c>
      <c r="Q54" s="126">
        <f>IF(D54="X", IF(F54&lt;&gt;"", IF(AND(L54&lt;&gt;"",M54&lt;&gt;""), "✔", "ERROR"), "ERROR"),0)</f>
        <v>0</v>
      </c>
    </row>
    <row r="55" spans="2:21" ht="14.45" customHeight="1">
      <c r="B55" s="311" t="s">
        <v>317</v>
      </c>
      <c r="C55" s="414"/>
      <c r="D55" s="421"/>
      <c r="E55" s="421"/>
      <c r="F55" s="416"/>
      <c r="G55" s="103"/>
      <c r="H55" s="297"/>
      <c r="I55" s="113"/>
      <c r="J55" s="113"/>
      <c r="K55" s="298"/>
      <c r="L55" s="114"/>
      <c r="M55" s="422"/>
      <c r="P55" s="126">
        <f>IF(E55="X",IF(F55&lt;&gt;"",IF(OR(H55&lt;&gt;"",M55&lt;&gt;""),"✔","ERROR"), "ERROR"), 0)</f>
        <v>0</v>
      </c>
      <c r="Q55" s="126">
        <f>IF(D55="X", IF(F55&lt;&gt;"", IF(AND(L55&lt;&gt;"",M55&lt;&gt;""), "✔", "ERROR"), "ERROR"),0)</f>
        <v>0</v>
      </c>
    </row>
    <row r="56" spans="2:21" ht="14.45" customHeight="1">
      <c r="B56" s="315" t="s">
        <v>322</v>
      </c>
      <c r="C56" s="414"/>
      <c r="D56" s="115"/>
      <c r="E56" s="115"/>
      <c r="F56" s="46"/>
      <c r="G56" s="163"/>
      <c r="H56" s="121"/>
      <c r="I56" s="122"/>
      <c r="J56" s="123"/>
      <c r="K56" s="215"/>
      <c r="L56" s="125"/>
      <c r="M56" s="316"/>
      <c r="P56" s="126">
        <f>IF(E56="X",IF(F56&lt;&gt;"",IF(OR(H56&lt;&gt;"",M56&lt;&gt;""),"✔","ERROR"), "ERROR"), 0)</f>
        <v>0</v>
      </c>
      <c r="Q56" s="126">
        <f>IF(D56="X", IF(F56&lt;&gt;"", IF(AND(L56&lt;&gt;"",M56&lt;&gt;""), "✔", "ERROR"), "ERROR"),0)</f>
        <v>0</v>
      </c>
    </row>
    <row r="57" spans="2:21" ht="14.45" customHeight="1">
      <c r="B57" s="315" t="str">
        <f>'MAT - TAKEOFF'!H9</f>
        <v>DEFLECTION GRILLES(SA); X2010_TITUS 300RS_18X6</v>
      </c>
      <c r="C57" s="434" t="str">
        <f>IFERROR(MID(B57, FIND("_", B57) + 1, FIND("_", B57, FIND("_", B57) + 1) - FIND("_", B57) - 1), "")</f>
        <v>TITUS 300RS</v>
      </c>
      <c r="D57" s="115" t="s">
        <v>31</v>
      </c>
      <c r="E57" s="115" t="s">
        <v>31</v>
      </c>
      <c r="F57" s="46">
        <f>'MAT - TAKEOFF'!I9</f>
        <v>5</v>
      </c>
      <c r="G57" s="163"/>
      <c r="H57" s="121">
        <v>0.35</v>
      </c>
      <c r="I57" s="122">
        <f>((G57+F57)*H57)</f>
        <v>1.75</v>
      </c>
      <c r="J57" s="123">
        <f>(I57)*Summary!$H$4</f>
        <v>0</v>
      </c>
      <c r="K57" s="215"/>
      <c r="L57" s="125">
        <f t="shared" ref="L57" si="34">((F57+G57)*K57)</f>
        <v>0</v>
      </c>
      <c r="M57" s="316">
        <f t="shared" ref="M57" si="35">L57+J57</f>
        <v>0</v>
      </c>
      <c r="P57" s="126" t="str">
        <f>IF(E57="X",IF(F57&lt;&gt;"",IF(OR(H57&lt;&gt;"",M57&lt;&gt;""),"✔","ERROR"), "ERROR"), 0)</f>
        <v>✔</v>
      </c>
      <c r="Q57" s="126" t="str">
        <f>IF(D57="X", IF(F57&lt;&gt;"", IF(AND(L57&lt;&gt;"",M57&lt;&gt;""), "✔", "ERROR"), "ERROR"),0)</f>
        <v>✔</v>
      </c>
    </row>
    <row r="58" spans="2:21" ht="14.45" customHeight="1">
      <c r="B58" s="315" t="str">
        <f>'MAT - TAKEOFF'!H10</f>
        <v>DIFFUSER(SA); X2020_ TITUS TDC_24X24</v>
      </c>
      <c r="C58" s="434" t="str">
        <f t="shared" ref="C58:C67" si="36">IFERROR(MID(B58, FIND("_", B58) + 1, FIND("_", B58, FIND("_", B58) + 1) - FIND("_", B58) - 1), "")</f>
        <v xml:space="preserve"> TITUS TDC</v>
      </c>
      <c r="D58" s="115" t="s">
        <v>31</v>
      </c>
      <c r="E58" s="115" t="s">
        <v>31</v>
      </c>
      <c r="F58" s="46">
        <f>'MAT - TAKEOFF'!I10</f>
        <v>4</v>
      </c>
      <c r="G58" s="163"/>
      <c r="H58" s="121">
        <v>0.35</v>
      </c>
      <c r="I58" s="122">
        <f t="shared" ref="I58:I73" si="37">((G58+F58)*H58)</f>
        <v>1.4</v>
      </c>
      <c r="J58" s="123">
        <f>(I58)*Summary!$H$4</f>
        <v>0</v>
      </c>
      <c r="K58" s="215"/>
      <c r="L58" s="125">
        <f t="shared" ref="L58:L59" si="38">((F58+G58)*K58)</f>
        <v>0</v>
      </c>
      <c r="M58" s="316">
        <f t="shared" ref="M58:M59" si="39">L58+J58</f>
        <v>0</v>
      </c>
      <c r="P58" s="126" t="str">
        <f t="shared" ref="P58:P73" si="40">IF(E58="X",IF(F58&lt;&gt;"",IF(OR(H58&lt;&gt;"",M58&lt;&gt;""),"✔","ERROR"), "ERROR"), 0)</f>
        <v>✔</v>
      </c>
      <c r="Q58" s="126" t="str">
        <f t="shared" ref="Q58:Q73" si="41">IF(D58="X", IF(F58&lt;&gt;"", IF(AND(L58&lt;&gt;"",M58&lt;&gt;""), "✔", "ERROR"), "ERROR"),0)</f>
        <v>✔</v>
      </c>
    </row>
    <row r="59" spans="2:21" ht="14.45" customHeight="1">
      <c r="B59" s="315" t="str">
        <f>'MAT - TAKEOFF'!H11</f>
        <v>DIFFUSER(SA); X2030_TITUS OMN_24X24</v>
      </c>
      <c r="C59" s="434" t="str">
        <f t="shared" si="36"/>
        <v>TITUS OMN</v>
      </c>
      <c r="D59" s="115" t="s">
        <v>31</v>
      </c>
      <c r="E59" s="115" t="s">
        <v>31</v>
      </c>
      <c r="F59" s="46">
        <f>'MAT - TAKEOFF'!I11</f>
        <v>11</v>
      </c>
      <c r="G59" s="163"/>
      <c r="H59" s="121">
        <v>0.35</v>
      </c>
      <c r="I59" s="122">
        <f t="shared" si="37"/>
        <v>3.8499999999999996</v>
      </c>
      <c r="J59" s="123">
        <f>(I59)*Summary!$H$4</f>
        <v>0</v>
      </c>
      <c r="K59" s="215"/>
      <c r="L59" s="125">
        <f t="shared" si="38"/>
        <v>0</v>
      </c>
      <c r="M59" s="316">
        <f t="shared" si="39"/>
        <v>0</v>
      </c>
      <c r="P59" s="126" t="str">
        <f t="shared" si="40"/>
        <v>✔</v>
      </c>
      <c r="Q59" s="126" t="str">
        <f t="shared" si="41"/>
        <v>✔</v>
      </c>
    </row>
    <row r="60" spans="2:21" ht="14.45" customHeight="1">
      <c r="B60" s="315" t="str">
        <f>'MAT - TAKEOFF'!H12</f>
        <v>DIFFUSER(SA); X2070_ TITUS OMNI_12X12</v>
      </c>
      <c r="C60" s="434" t="str">
        <f t="shared" si="36"/>
        <v xml:space="preserve"> TITUS OMNI</v>
      </c>
      <c r="D60" s="115" t="s">
        <v>31</v>
      </c>
      <c r="E60" s="115" t="s">
        <v>31</v>
      </c>
      <c r="F60" s="46">
        <f>'MAT - TAKEOFF'!I12</f>
        <v>3</v>
      </c>
      <c r="G60" s="163"/>
      <c r="H60" s="121">
        <v>0.35</v>
      </c>
      <c r="I60" s="122">
        <f t="shared" si="37"/>
        <v>1.0499999999999998</v>
      </c>
      <c r="J60" s="123">
        <f>(I60)*Summary!$H$4</f>
        <v>0</v>
      </c>
      <c r="K60" s="215"/>
      <c r="L60" s="125">
        <f t="shared" ref="L60" si="42">((F60+G60)*K60)</f>
        <v>0</v>
      </c>
      <c r="M60" s="316">
        <f t="shared" ref="M60" si="43">L60+J60</f>
        <v>0</v>
      </c>
      <c r="P60" s="126" t="str">
        <f t="shared" si="40"/>
        <v>✔</v>
      </c>
      <c r="Q60" s="126" t="str">
        <f t="shared" si="41"/>
        <v>✔</v>
      </c>
    </row>
    <row r="61" spans="2:21" ht="14.45" customHeight="1">
      <c r="B61" s="315"/>
      <c r="C61" s="434" t="str">
        <f t="shared" si="36"/>
        <v/>
      </c>
      <c r="D61" s="115"/>
      <c r="E61" s="115"/>
      <c r="F61" s="46"/>
      <c r="G61" s="163"/>
      <c r="H61" s="121"/>
      <c r="I61" s="122"/>
      <c r="J61" s="123">
        <f>(I61)*Summary!$H$4</f>
        <v>0</v>
      </c>
      <c r="K61" s="215"/>
      <c r="L61" s="125"/>
      <c r="M61" s="316"/>
      <c r="P61" s="126">
        <f t="shared" si="40"/>
        <v>0</v>
      </c>
      <c r="Q61" s="126">
        <f t="shared" si="41"/>
        <v>0</v>
      </c>
    </row>
    <row r="62" spans="2:21" ht="14.45" customHeight="1">
      <c r="B62" s="311" t="s">
        <v>323</v>
      </c>
      <c r="C62" s="434" t="str">
        <f t="shared" si="36"/>
        <v/>
      </c>
      <c r="D62" s="115"/>
      <c r="E62" s="115"/>
      <c r="F62" s="46"/>
      <c r="G62" s="163"/>
      <c r="H62" s="121"/>
      <c r="I62" s="122"/>
      <c r="J62" s="123">
        <f>(I62)*Summary!$H$4</f>
        <v>0</v>
      </c>
      <c r="K62" s="215"/>
      <c r="L62" s="125"/>
      <c r="M62" s="316"/>
      <c r="P62" s="126">
        <f t="shared" si="40"/>
        <v>0</v>
      </c>
      <c r="Q62" s="126">
        <f t="shared" si="41"/>
        <v>0</v>
      </c>
    </row>
    <row r="63" spans="2:21" ht="14.45" customHeight="1">
      <c r="B63" s="315" t="str">
        <f>'MAT - TAKEOFF'!H26</f>
        <v>GRILLES(RA); X1010_ TITUS 50F_24X24</v>
      </c>
      <c r="C63" s="434" t="str">
        <f t="shared" si="36"/>
        <v xml:space="preserve"> TITUS 50F</v>
      </c>
      <c r="D63" s="115" t="s">
        <v>31</v>
      </c>
      <c r="E63" s="115" t="s">
        <v>31</v>
      </c>
      <c r="F63" s="46">
        <f>'MAT - TAKEOFF'!I26</f>
        <v>1</v>
      </c>
      <c r="G63" s="163"/>
      <c r="H63" s="121">
        <v>0.3</v>
      </c>
      <c r="I63" s="122">
        <f t="shared" si="37"/>
        <v>0.3</v>
      </c>
      <c r="J63" s="123">
        <f>(I63)*Summary!$H$4</f>
        <v>0</v>
      </c>
      <c r="K63" s="215"/>
      <c r="L63" s="125">
        <f t="shared" ref="L63" si="44">((F63+G63)*K63)</f>
        <v>0</v>
      </c>
      <c r="M63" s="316">
        <f t="shared" ref="M63" si="45">L63+J63</f>
        <v>0</v>
      </c>
      <c r="P63" s="126" t="str">
        <f t="shared" si="40"/>
        <v>✔</v>
      </c>
      <c r="Q63" s="126" t="str">
        <f t="shared" si="41"/>
        <v>✔</v>
      </c>
    </row>
    <row r="64" spans="2:21" ht="14.45" customHeight="1">
      <c r="B64" s="315" t="str">
        <f>'MAT - TAKEOFF'!H27</f>
        <v>GRILLES(RA); X1020_ TITUS 50F_18X22</v>
      </c>
      <c r="C64" s="434" t="str">
        <f t="shared" si="36"/>
        <v xml:space="preserve"> TITUS 50F</v>
      </c>
      <c r="D64" s="115" t="s">
        <v>31</v>
      </c>
      <c r="E64" s="115" t="s">
        <v>31</v>
      </c>
      <c r="F64" s="46">
        <f>'MAT - TAKEOFF'!I27</f>
        <v>2</v>
      </c>
      <c r="G64" s="163"/>
      <c r="H64" s="121">
        <v>0.25</v>
      </c>
      <c r="I64" s="122">
        <f t="shared" si="37"/>
        <v>0.5</v>
      </c>
      <c r="J64" s="123">
        <f>(I64)*Summary!$H$4</f>
        <v>0</v>
      </c>
      <c r="K64" s="215"/>
      <c r="L64" s="125">
        <f t="shared" ref="L64" si="46">((F64+G64)*K64)</f>
        <v>0</v>
      </c>
      <c r="M64" s="316">
        <f t="shared" ref="M64" si="47">L64+J64</f>
        <v>0</v>
      </c>
      <c r="P64" s="126" t="str">
        <f t="shared" si="40"/>
        <v>✔</v>
      </c>
      <c r="Q64" s="126" t="str">
        <f t="shared" si="41"/>
        <v>✔</v>
      </c>
    </row>
    <row r="65" spans="1:21" ht="14.45" customHeight="1">
      <c r="B65" s="315"/>
      <c r="C65" s="434" t="str">
        <f t="shared" si="36"/>
        <v/>
      </c>
      <c r="D65" s="115"/>
      <c r="E65" s="115"/>
      <c r="F65" s="46"/>
      <c r="G65" s="163"/>
      <c r="H65" s="121"/>
      <c r="I65" s="122"/>
      <c r="J65" s="123">
        <f>(I65)*Summary!$H$4</f>
        <v>0</v>
      </c>
      <c r="K65" s="215"/>
      <c r="L65" s="125"/>
      <c r="M65" s="316"/>
      <c r="P65" s="126">
        <f t="shared" si="40"/>
        <v>0</v>
      </c>
      <c r="Q65" s="126">
        <f t="shared" si="41"/>
        <v>0</v>
      </c>
    </row>
    <row r="66" spans="1:21" ht="14.45" customHeight="1">
      <c r="B66" s="311" t="s">
        <v>319</v>
      </c>
      <c r="C66" s="434" t="str">
        <f t="shared" si="36"/>
        <v/>
      </c>
      <c r="D66" s="115"/>
      <c r="E66" s="115"/>
      <c r="F66" s="46"/>
      <c r="G66" s="163"/>
      <c r="H66" s="121"/>
      <c r="I66" s="122"/>
      <c r="J66" s="123">
        <f>(I66)*Summary!$H$4</f>
        <v>0</v>
      </c>
      <c r="K66" s="215"/>
      <c r="L66" s="125"/>
      <c r="M66" s="316"/>
      <c r="P66" s="126">
        <f t="shared" si="40"/>
        <v>0</v>
      </c>
      <c r="Q66" s="126">
        <f t="shared" si="41"/>
        <v>0</v>
      </c>
    </row>
    <row r="67" spans="1:21" ht="14.45" customHeight="1">
      <c r="B67" s="315" t="str">
        <f>'MAT - TAKEOFF'!H25</f>
        <v>GRILLES(EA); X1001_TITUS 350_12X12</v>
      </c>
      <c r="C67" s="434" t="str">
        <f t="shared" si="36"/>
        <v>TITUS 350</v>
      </c>
      <c r="D67" s="115" t="s">
        <v>31</v>
      </c>
      <c r="E67" s="115" t="s">
        <v>31</v>
      </c>
      <c r="F67" s="46">
        <f>'MAT - TAKEOFF'!I25</f>
        <v>3</v>
      </c>
      <c r="G67" s="163"/>
      <c r="H67" s="121">
        <v>0.25</v>
      </c>
      <c r="I67" s="122">
        <f t="shared" si="37"/>
        <v>0.75</v>
      </c>
      <c r="J67" s="123">
        <f>(I67)*Summary!$H$4</f>
        <v>0</v>
      </c>
      <c r="K67" s="215"/>
      <c r="L67" s="125">
        <f t="shared" ref="L67" si="48">((F67+G67)*K67)</f>
        <v>0</v>
      </c>
      <c r="M67" s="316">
        <f t="shared" ref="M67" si="49">L67+J67</f>
        <v>0</v>
      </c>
      <c r="P67" s="126" t="str">
        <f t="shared" si="40"/>
        <v>✔</v>
      </c>
      <c r="Q67" s="126" t="str">
        <f t="shared" si="41"/>
        <v>✔</v>
      </c>
    </row>
    <row r="68" spans="1:21" ht="14.45" customHeight="1">
      <c r="B68" s="315"/>
      <c r="C68" s="414"/>
      <c r="D68" s="115"/>
      <c r="E68" s="115"/>
      <c r="F68" s="46"/>
      <c r="G68" s="163"/>
      <c r="H68" s="121"/>
      <c r="I68" s="122"/>
      <c r="J68" s="123">
        <f>(I68)*Summary!$H$4</f>
        <v>0</v>
      </c>
      <c r="K68" s="215"/>
      <c r="L68" s="125"/>
      <c r="M68" s="316"/>
      <c r="P68" s="126">
        <f t="shared" si="40"/>
        <v>0</v>
      </c>
      <c r="Q68" s="126">
        <f t="shared" si="41"/>
        <v>0</v>
      </c>
    </row>
    <row r="69" spans="1:21" ht="14.45" customHeight="1">
      <c r="B69" s="311" t="s">
        <v>293</v>
      </c>
      <c r="C69" s="414"/>
      <c r="D69" s="115"/>
      <c r="E69" s="115"/>
      <c r="F69" s="46"/>
      <c r="G69" s="163"/>
      <c r="H69" s="121"/>
      <c r="I69" s="122"/>
      <c r="J69" s="123">
        <f>(I69)*Summary!$H$4</f>
        <v>0</v>
      </c>
      <c r="K69" s="215"/>
      <c r="L69" s="125"/>
      <c r="M69" s="316"/>
      <c r="P69" s="126">
        <f t="shared" si="40"/>
        <v>0</v>
      </c>
      <c r="Q69" s="126">
        <f t="shared" si="41"/>
        <v>0</v>
      </c>
    </row>
    <row r="70" spans="1:21" ht="14.45" customHeight="1">
      <c r="B70" s="315" t="s">
        <v>411</v>
      </c>
      <c r="C70" s="414"/>
      <c r="D70" s="115"/>
      <c r="E70" s="115"/>
      <c r="F70" s="46"/>
      <c r="G70" s="163"/>
      <c r="H70" s="121"/>
      <c r="I70" s="122"/>
      <c r="J70" s="123">
        <f>(I70)*Summary!$H$4</f>
        <v>0</v>
      </c>
      <c r="K70" s="215"/>
      <c r="L70" s="125"/>
      <c r="M70" s="316"/>
      <c r="P70" s="126">
        <f t="shared" si="40"/>
        <v>0</v>
      </c>
      <c r="Q70" s="126">
        <f t="shared" si="41"/>
        <v>0</v>
      </c>
    </row>
    <row r="71" spans="1:21" ht="14.45" customHeight="1">
      <c r="B71" s="315" t="str">
        <f>'MAT - TAKEOFF'!H6</f>
        <v>DAMPER_MANUAL VOLUME(SA); 10" DIA</v>
      </c>
      <c r="C71" s="414"/>
      <c r="D71" s="115" t="s">
        <v>31</v>
      </c>
      <c r="E71" s="115" t="s">
        <v>31</v>
      </c>
      <c r="F71" s="46">
        <f>'MAT - TAKEOFF'!I6</f>
        <v>10</v>
      </c>
      <c r="G71" s="163"/>
      <c r="H71" s="121">
        <v>0.6</v>
      </c>
      <c r="I71" s="122">
        <f t="shared" si="37"/>
        <v>6</v>
      </c>
      <c r="J71" s="123">
        <f>(I71)*Summary!$H$4</f>
        <v>0</v>
      </c>
      <c r="K71" s="215"/>
      <c r="L71" s="125">
        <f t="shared" ref="L71" si="50">((F71+G71)*K71)</f>
        <v>0</v>
      </c>
      <c r="M71" s="316">
        <f t="shared" ref="M71" si="51">L71+J71</f>
        <v>0</v>
      </c>
      <c r="P71" s="126" t="str">
        <f t="shared" si="40"/>
        <v>✔</v>
      </c>
      <c r="Q71" s="126" t="str">
        <f t="shared" si="41"/>
        <v>✔</v>
      </c>
    </row>
    <row r="72" spans="1:21" ht="14.45" customHeight="1">
      <c r="B72" s="315" t="str">
        <f>'MAT - TAKEOFF'!H7</f>
        <v>DAMPER_MANUAL VOLUME(SA); 12" DIA</v>
      </c>
      <c r="C72" s="414"/>
      <c r="D72" s="115" t="s">
        <v>31</v>
      </c>
      <c r="E72" s="115" t="s">
        <v>31</v>
      </c>
      <c r="F72" s="46">
        <f>'MAT - TAKEOFF'!I7</f>
        <v>5</v>
      </c>
      <c r="G72" s="163"/>
      <c r="H72" s="121">
        <v>0.65</v>
      </c>
      <c r="I72" s="122">
        <f t="shared" si="37"/>
        <v>3.25</v>
      </c>
      <c r="J72" s="123">
        <f>(I72)*Summary!$H$4</f>
        <v>0</v>
      </c>
      <c r="K72" s="215"/>
      <c r="L72" s="125">
        <f t="shared" ref="L72" si="52">((F72+G72)*K72)</f>
        <v>0</v>
      </c>
      <c r="M72" s="316">
        <f t="shared" ref="M72" si="53">L72+J72</f>
        <v>0</v>
      </c>
      <c r="P72" s="126" t="str">
        <f t="shared" si="40"/>
        <v>✔</v>
      </c>
      <c r="Q72" s="126" t="str">
        <f t="shared" si="41"/>
        <v>✔</v>
      </c>
    </row>
    <row r="73" spans="1:21" ht="14.45" customHeight="1">
      <c r="B73" s="315" t="str">
        <f>'MAT - TAKEOFF'!H8</f>
        <v>DAMPER_MANUAL VOLUME(SA); 6" DIA</v>
      </c>
      <c r="C73" s="414"/>
      <c r="D73" s="115" t="s">
        <v>31</v>
      </c>
      <c r="E73" s="115" t="s">
        <v>31</v>
      </c>
      <c r="F73" s="46">
        <f>'MAT - TAKEOFF'!I8</f>
        <v>3</v>
      </c>
      <c r="G73" s="163"/>
      <c r="H73" s="121">
        <v>0.6</v>
      </c>
      <c r="I73" s="122">
        <f t="shared" si="37"/>
        <v>1.7999999999999998</v>
      </c>
      <c r="J73" s="123">
        <f>(I73)*Summary!$H$4</f>
        <v>0</v>
      </c>
      <c r="K73" s="215"/>
      <c r="L73" s="125">
        <f t="shared" ref="L73" si="54">((F73+G73)*K73)</f>
        <v>0</v>
      </c>
      <c r="M73" s="316">
        <f t="shared" ref="M73" si="55">L73+J73</f>
        <v>0</v>
      </c>
      <c r="P73" s="126" t="str">
        <f t="shared" si="40"/>
        <v>✔</v>
      </c>
      <c r="Q73" s="126" t="str">
        <f t="shared" si="41"/>
        <v>✔</v>
      </c>
    </row>
    <row r="74" spans="1:21" ht="14.45" customHeight="1">
      <c r="B74" s="315"/>
      <c r="C74" s="414"/>
      <c r="D74" s="115"/>
      <c r="E74" s="115"/>
      <c r="F74" s="46"/>
      <c r="G74" s="163"/>
      <c r="H74" s="121"/>
      <c r="I74" s="122"/>
      <c r="J74" s="123">
        <f>(I74)*Summary!$H$4</f>
        <v>0</v>
      </c>
      <c r="K74" s="215"/>
      <c r="L74" s="125"/>
      <c r="M74" s="316"/>
      <c r="P74" s="126">
        <f>IF(E74="X",IF(F74&lt;&gt;"",IF(OR(H74&lt;&gt;"",M74&lt;&gt;""),"✔","ERROR"), "ERROR"), 0)</f>
        <v>0</v>
      </c>
      <c r="Q74" s="126">
        <f>IF(D74="X", IF(F74&lt;&gt;"", IF(AND(L74&lt;&gt;"",M74&lt;&gt;""), "✔", "ERROR"), "ERROR"),0)</f>
        <v>0</v>
      </c>
    </row>
    <row r="75" spans="1:21" ht="15.75" customHeight="1">
      <c r="A75" s="156"/>
      <c r="B75" s="435"/>
      <c r="C75" s="157"/>
      <c r="D75" s="140"/>
      <c r="E75" s="140"/>
      <c r="F75" s="141">
        <f>SUM(F56:F74)</f>
        <v>47</v>
      </c>
      <c r="G75" s="141"/>
      <c r="H75" s="226"/>
      <c r="I75" s="142">
        <f>SUM(I54:I74)</f>
        <v>20.650000000000002</v>
      </c>
      <c r="J75" s="140"/>
      <c r="K75" s="140"/>
      <c r="L75" s="143">
        <f>SUM(L56:L74)</f>
        <v>0</v>
      </c>
      <c r="M75" s="436"/>
      <c r="N75" s="158">
        <f>SUM(M56:M74)</f>
        <v>0</v>
      </c>
      <c r="P75" s="126">
        <f>IF(E75="X",IF(F75&lt;&gt;"",IF(OR(H75&lt;&gt;"",M75&lt;&gt;""),"✔","ERROR"), "ERROR"), 0)</f>
        <v>0</v>
      </c>
      <c r="Q75" s="126">
        <f>IF(D75="X", IF(F75&lt;&gt;"", IF(AND(L75&lt;&gt;"",M75&lt;&gt;""), "✔", "ERROR"), "ERROR"),0)</f>
        <v>0</v>
      </c>
      <c r="T75" s="120"/>
      <c r="U75" s="119"/>
    </row>
    <row r="76" spans="1:21" ht="14.45" customHeight="1">
      <c r="B76" s="420"/>
      <c r="C76" s="414"/>
      <c r="D76" s="421"/>
      <c r="E76" s="421"/>
      <c r="F76" s="416"/>
      <c r="G76" s="103"/>
      <c r="H76" s="297"/>
      <c r="I76" s="113"/>
      <c r="J76" s="113"/>
      <c r="K76" s="298"/>
      <c r="L76" s="114"/>
      <c r="M76" s="422"/>
    </row>
    <row r="77" spans="1:21" ht="15.75" customHeight="1">
      <c r="B77" s="463" t="s">
        <v>456</v>
      </c>
      <c r="C77" s="115"/>
      <c r="D77" s="115"/>
      <c r="E77" s="115"/>
      <c r="F77" s="464"/>
      <c r="G77" s="132"/>
      <c r="H77" s="356"/>
      <c r="I77" s="117"/>
      <c r="J77" s="118"/>
      <c r="K77" s="174"/>
      <c r="L77" s="127"/>
      <c r="M77" s="360"/>
      <c r="P77" s="126"/>
      <c r="Q77" s="126"/>
      <c r="T77" s="120"/>
      <c r="U77" s="119"/>
    </row>
    <row r="78" spans="1:21" ht="15.75" customHeight="1">
      <c r="B78" s="465"/>
      <c r="C78" s="115"/>
      <c r="D78" s="115"/>
      <c r="E78" s="115"/>
      <c r="F78" s="464"/>
      <c r="G78" s="132"/>
      <c r="H78" s="356"/>
      <c r="I78" s="117"/>
      <c r="J78" s="118"/>
      <c r="K78" s="174"/>
      <c r="L78" s="127"/>
      <c r="M78" s="360"/>
      <c r="P78" s="126"/>
      <c r="Q78" s="126"/>
      <c r="T78" s="120"/>
      <c r="U78" s="119"/>
    </row>
    <row r="79" spans="1:21" ht="15">
      <c r="B79" s="466" t="s">
        <v>456</v>
      </c>
      <c r="C79" s="115"/>
      <c r="D79" s="115"/>
      <c r="E79" s="115"/>
      <c r="F79" s="46"/>
      <c r="G79" s="132"/>
      <c r="H79" s="356"/>
      <c r="I79" s="117"/>
      <c r="J79" s="118"/>
      <c r="K79" s="135"/>
      <c r="L79" s="127"/>
      <c r="M79" s="360"/>
      <c r="O79" s="117"/>
      <c r="P79" s="126"/>
      <c r="Q79" s="126"/>
      <c r="T79" s="120"/>
      <c r="U79" s="119"/>
    </row>
    <row r="80" spans="1:21" ht="14.45" customHeight="1">
      <c r="B80" s="465" t="s">
        <v>459</v>
      </c>
      <c r="C80" s="115" t="s">
        <v>457</v>
      </c>
      <c r="D80" s="115" t="s">
        <v>31</v>
      </c>
      <c r="E80" s="115" t="s">
        <v>31</v>
      </c>
      <c r="F80" s="467">
        <f>COMPUTATION!Q8</f>
        <v>3.6650166666666668</v>
      </c>
      <c r="G80" s="468"/>
      <c r="H80" s="121">
        <v>3.2</v>
      </c>
      <c r="I80" s="122">
        <f>((G80+F80)*H80)</f>
        <v>11.728053333333335</v>
      </c>
      <c r="J80" s="123">
        <f>(I80)*Summary!$H$4</f>
        <v>0</v>
      </c>
      <c r="K80" s="135"/>
      <c r="L80" s="125">
        <f t="shared" ref="L80:L81" si="56">((F80+G80)*K80)</f>
        <v>0</v>
      </c>
      <c r="M80" s="316">
        <f t="shared" ref="M80:M81" si="57">L80+J80</f>
        <v>0</v>
      </c>
      <c r="O80" s="117"/>
      <c r="P80" s="126" t="str">
        <f>IF(E80="X",IF(F80&lt;&gt;"",IF(OR(H80&lt;&gt;"",M80&lt;&gt;""),"✔","ERROR"), "ERROR"), 0)</f>
        <v>✔</v>
      </c>
      <c r="Q80" s="126" t="str">
        <f t="shared" ref="Q80:Q81" si="58">IF(D80="X", IF(F80&lt;&gt;"", IF(AND(L80&lt;&gt;"",M80&lt;&gt;""), "✔", "ERROR"), "ERROR"),0)</f>
        <v>✔</v>
      </c>
      <c r="T80" s="120"/>
      <c r="U80" s="119"/>
    </row>
    <row r="81" spans="1:21" ht="14.45" customHeight="1">
      <c r="B81" s="465" t="s">
        <v>458</v>
      </c>
      <c r="C81" s="115" t="s">
        <v>485</v>
      </c>
      <c r="D81" s="115" t="s">
        <v>31</v>
      </c>
      <c r="E81" s="115" t="s">
        <v>31</v>
      </c>
      <c r="F81" s="469">
        <v>0.5</v>
      </c>
      <c r="G81" s="468"/>
      <c r="H81" s="121">
        <v>9.1999999999999993</v>
      </c>
      <c r="I81" s="122">
        <f>((G81+F81)*H81)</f>
        <v>4.5999999999999996</v>
      </c>
      <c r="J81" s="123">
        <f>(I81)*Summary!$H$4</f>
        <v>0</v>
      </c>
      <c r="K81" s="135"/>
      <c r="L81" s="125">
        <f t="shared" si="56"/>
        <v>0</v>
      </c>
      <c r="M81" s="316">
        <f t="shared" si="57"/>
        <v>0</v>
      </c>
      <c r="O81" s="117"/>
      <c r="P81" s="126" t="str">
        <f>IF(E81="X",IF(F81&lt;&gt;"",IF(OR(H81&lt;&gt;"",M81&lt;&gt;""),"✔","ERROR"), "ERROR"), 0)</f>
        <v>✔</v>
      </c>
      <c r="Q81" s="126" t="str">
        <f t="shared" si="58"/>
        <v>✔</v>
      </c>
      <c r="T81" s="120"/>
      <c r="U81" s="119"/>
    </row>
    <row r="82" spans="1:21" ht="15.75" customHeight="1">
      <c r="A82" s="156"/>
      <c r="B82" s="435"/>
      <c r="C82" s="157"/>
      <c r="D82" s="140"/>
      <c r="E82" s="140"/>
      <c r="F82" s="141">
        <f>SUM(F79:F81)</f>
        <v>4.1650166666666664</v>
      </c>
      <c r="G82" s="141"/>
      <c r="H82" s="226"/>
      <c r="I82" s="142">
        <f>SUM(I78:I81)</f>
        <v>16.328053333333337</v>
      </c>
      <c r="J82" s="140"/>
      <c r="K82" s="140"/>
      <c r="L82" s="143">
        <f>SUM(L79:L81)</f>
        <v>0</v>
      </c>
      <c r="M82" s="436"/>
      <c r="N82" s="158">
        <f>SUM(M79:M81)</f>
        <v>0</v>
      </c>
      <c r="P82" s="126"/>
      <c r="Q82" s="126"/>
      <c r="T82" s="120"/>
      <c r="U82" s="119"/>
    </row>
    <row r="83" spans="1:21" ht="14.45" customHeight="1">
      <c r="B83" s="420"/>
      <c r="C83" s="414"/>
      <c r="D83" s="421"/>
      <c r="E83" s="421"/>
      <c r="F83" s="416"/>
      <c r="G83" s="103"/>
      <c r="H83" s="297"/>
      <c r="I83" s="113"/>
      <c r="J83" s="113"/>
      <c r="K83" s="298"/>
      <c r="L83" s="114"/>
      <c r="M83" s="422"/>
    </row>
    <row r="84" spans="1:21" ht="15">
      <c r="B84" s="355" t="s">
        <v>292</v>
      </c>
      <c r="C84" s="115"/>
      <c r="D84" s="437"/>
      <c r="E84" s="437"/>
      <c r="F84" s="46"/>
      <c r="G84" s="132"/>
      <c r="H84" s="356"/>
      <c r="I84" s="133"/>
      <c r="J84" s="133"/>
      <c r="K84" s="174"/>
      <c r="L84" s="134"/>
      <c r="M84" s="357"/>
      <c r="P84" s="126">
        <f t="shared" ref="P84:P87" si="59">IF(E84="X",IF(F84&lt;&gt;"",IF(OR(H84&lt;&gt;"",M84&lt;&gt;""),"✔","ERROR"), "ERROR"), 0)</f>
        <v>0</v>
      </c>
      <c r="Q84" s="126">
        <f t="shared" ref="Q84:Q87" si="60">IF(D84="X", IF(F84&lt;&gt;"", IF(AND(L84&lt;&gt;"",M84&lt;&gt;""), "✔", "ERROR"), "ERROR"),0)</f>
        <v>0</v>
      </c>
      <c r="T84" s="120"/>
      <c r="U84" s="119"/>
    </row>
    <row r="85" spans="1:21" ht="15">
      <c r="B85" s="358" t="s">
        <v>64</v>
      </c>
      <c r="C85" s="100" t="s">
        <v>334</v>
      </c>
      <c r="D85" s="437"/>
      <c r="E85" s="437"/>
      <c r="F85" s="46"/>
      <c r="G85" s="132"/>
      <c r="H85" s="356"/>
      <c r="I85" s="133"/>
      <c r="J85" s="133"/>
      <c r="K85" s="174"/>
      <c r="L85" s="134"/>
      <c r="M85" s="357"/>
      <c r="P85" s="126">
        <f t="shared" si="59"/>
        <v>0</v>
      </c>
      <c r="Q85" s="126">
        <f t="shared" si="60"/>
        <v>0</v>
      </c>
      <c r="T85" s="120"/>
      <c r="U85" s="119"/>
    </row>
    <row r="86" spans="1:21" ht="15">
      <c r="B86" s="358" t="str">
        <f>COMPUTATION!B6</f>
        <v xml:space="preserve">RECTANGULAR DUCT </v>
      </c>
      <c r="C86" s="115"/>
      <c r="D86" s="437"/>
      <c r="E86" s="437"/>
      <c r="F86" s="46"/>
      <c r="G86" s="132"/>
      <c r="H86" s="356"/>
      <c r="I86" s="133"/>
      <c r="J86" s="133"/>
      <c r="K86" s="174"/>
      <c r="L86" s="134"/>
      <c r="M86" s="357"/>
      <c r="P86" s="126">
        <f t="shared" si="59"/>
        <v>0</v>
      </c>
      <c r="Q86" s="126">
        <f t="shared" si="60"/>
        <v>0</v>
      </c>
      <c r="T86" s="120"/>
      <c r="U86" s="119"/>
    </row>
    <row r="87" spans="1:21" ht="15">
      <c r="B87" s="358" t="str">
        <f>COMPUTATION!B7</f>
        <v>SUPPLY - LINER</v>
      </c>
      <c r="D87" s="115"/>
      <c r="E87" s="115"/>
      <c r="F87" s="46"/>
      <c r="G87" s="163"/>
      <c r="H87" s="438"/>
      <c r="I87" s="122"/>
      <c r="J87" s="123"/>
      <c r="K87" s="135"/>
      <c r="L87" s="125"/>
      <c r="M87" s="316"/>
      <c r="P87" s="126">
        <f t="shared" si="59"/>
        <v>0</v>
      </c>
      <c r="Q87" s="126">
        <f t="shared" si="60"/>
        <v>0</v>
      </c>
      <c r="T87" s="120"/>
      <c r="U87" s="119"/>
    </row>
    <row r="88" spans="1:21">
      <c r="B88" s="372" t="str">
        <f>COMPUTATION!B8</f>
        <v>34X20</v>
      </c>
      <c r="D88" s="115" t="s">
        <v>31</v>
      </c>
      <c r="E88" s="115" t="s">
        <v>31</v>
      </c>
      <c r="F88" s="46"/>
      <c r="G88" s="163">
        <f>COMPUTATION!C8</f>
        <v>18.8</v>
      </c>
      <c r="H88" s="442">
        <f>COMPUTATION!K8</f>
        <v>0.497</v>
      </c>
      <c r="I88" s="122">
        <f>((G88+F88)*H88)</f>
        <v>9.3436000000000003</v>
      </c>
      <c r="J88" s="123">
        <f>(I88)*Summary!$H$4</f>
        <v>0</v>
      </c>
      <c r="K88" s="135"/>
      <c r="L88" s="125">
        <f t="shared" ref="L88" si="61">((F88+G88)*K88)</f>
        <v>0</v>
      </c>
      <c r="M88" s="316">
        <f t="shared" ref="M88" si="62">L88+J88</f>
        <v>0</v>
      </c>
      <c r="P88" s="126" t="str">
        <f>IF(E88="X",IF(G88&lt;&gt;"",IF(OR(H88&lt;&gt;"",M88&lt;&gt;""),"✔","ERROR"), "ERROR"), 0)</f>
        <v>✔</v>
      </c>
      <c r="Q88" s="126" t="str">
        <f>IF(D88="X", IF(G88&lt;&gt;"", IF(AND(L88&lt;&gt;"",M88&lt;&gt;""), "✔", "ERROR"), "ERROR"),0)</f>
        <v>✔</v>
      </c>
      <c r="T88" s="120"/>
      <c r="U88" s="119"/>
    </row>
    <row r="89" spans="1:21">
      <c r="B89" s="372" t="str">
        <f>COMPUTATION!B9</f>
        <v>35X20</v>
      </c>
      <c r="C89" s="115"/>
      <c r="D89" s="115" t="s">
        <v>31</v>
      </c>
      <c r="E89" s="115" t="s">
        <v>31</v>
      </c>
      <c r="F89" s="46"/>
      <c r="G89" s="163">
        <f>COMPUTATION!C9</f>
        <v>8.5</v>
      </c>
      <c r="H89" s="442">
        <f>COMPUTATION!K9</f>
        <v>0.51700000000000002</v>
      </c>
      <c r="I89" s="122">
        <f t="shared" ref="I89:I152" si="63">((G89+F89)*H89)</f>
        <v>4.3944999999999999</v>
      </c>
      <c r="J89" s="123">
        <f>(I89)*Summary!$H$4</f>
        <v>0</v>
      </c>
      <c r="K89" s="135"/>
      <c r="L89" s="125">
        <f t="shared" ref="L89:L120" si="64">((F89+G89)*K89)</f>
        <v>0</v>
      </c>
      <c r="M89" s="316">
        <f t="shared" ref="M89:M120" si="65">L89+J89</f>
        <v>0</v>
      </c>
      <c r="P89" s="126" t="str">
        <f>IF(E89="X",IF(G89&lt;&gt;"",IF(OR(H89&lt;&gt;"",M89&lt;&gt;""),"✔","ERROR"), "ERROR"), 0)</f>
        <v>✔</v>
      </c>
      <c r="Q89" s="126" t="str">
        <f>IF(D89="X", IF(G89&lt;&gt;"", IF(AND(L89&lt;&gt;"",M89&lt;&gt;""), "✔", "ERROR"), "ERROR"),0)</f>
        <v>✔</v>
      </c>
      <c r="T89" s="120"/>
      <c r="U89" s="119"/>
    </row>
    <row r="90" spans="1:21" ht="15">
      <c r="B90" s="358"/>
      <c r="C90" s="115"/>
      <c r="D90" s="115"/>
      <c r="E90" s="115"/>
      <c r="F90" s="46"/>
      <c r="G90" s="163"/>
      <c r="H90" s="442"/>
      <c r="I90" s="122"/>
      <c r="J90" s="123">
        <f>(I90)*Summary!$H$4</f>
        <v>0</v>
      </c>
      <c r="K90" s="135"/>
      <c r="L90" s="125"/>
      <c r="M90" s="316"/>
      <c r="P90" s="126">
        <f t="shared" ref="P90:P112" si="66">IF(E90="X",IF(G90&lt;&gt;"",IF(OR(H90&lt;&gt;"",M90&lt;&gt;""),"✔","ERROR"), "ERROR"), 0)</f>
        <v>0</v>
      </c>
      <c r="Q90" s="126">
        <f t="shared" ref="Q90:Q112" si="67">IF(D90="X", IF(G90&lt;&gt;"", IF(AND(L90&lt;&gt;"",M90&lt;&gt;""), "✔", "ERROR"), "ERROR"),0)</f>
        <v>0</v>
      </c>
      <c r="T90" s="120"/>
      <c r="U90" s="119"/>
    </row>
    <row r="91" spans="1:21" ht="15">
      <c r="B91" s="358" t="str">
        <f>COMPUTATION!B11</f>
        <v>RETURN - LINER</v>
      </c>
      <c r="C91" s="115"/>
      <c r="D91" s="115"/>
      <c r="E91" s="115"/>
      <c r="F91" s="46"/>
      <c r="G91" s="163"/>
      <c r="H91" s="442"/>
      <c r="I91" s="122"/>
      <c r="J91" s="123">
        <f>(I91)*Summary!$H$4</f>
        <v>0</v>
      </c>
      <c r="K91" s="135"/>
      <c r="L91" s="125">
        <f t="shared" si="64"/>
        <v>0</v>
      </c>
      <c r="M91" s="316">
        <f t="shared" si="65"/>
        <v>0</v>
      </c>
      <c r="P91" s="126">
        <f t="shared" si="66"/>
        <v>0</v>
      </c>
      <c r="Q91" s="126">
        <f t="shared" si="67"/>
        <v>0</v>
      </c>
      <c r="T91" s="120"/>
      <c r="U91" s="119"/>
    </row>
    <row r="92" spans="1:21">
      <c r="B92" s="372" t="str">
        <f>COMPUTATION!B12</f>
        <v>20X16</v>
      </c>
      <c r="C92" s="115"/>
      <c r="D92" s="115" t="s">
        <v>31</v>
      </c>
      <c r="E92" s="115" t="s">
        <v>31</v>
      </c>
      <c r="F92" s="46"/>
      <c r="G92" s="163">
        <f>COMPUTATION!C12</f>
        <v>10.18</v>
      </c>
      <c r="H92" s="442">
        <f>COMPUTATION!K12</f>
        <v>0.26900000000000002</v>
      </c>
      <c r="I92" s="122">
        <f t="shared" si="63"/>
        <v>2.7384200000000001</v>
      </c>
      <c r="J92" s="123">
        <f>(I92)*Summary!$H$4</f>
        <v>0</v>
      </c>
      <c r="K92" s="135"/>
      <c r="L92" s="125">
        <f t="shared" si="64"/>
        <v>0</v>
      </c>
      <c r="M92" s="316">
        <f t="shared" si="65"/>
        <v>0</v>
      </c>
      <c r="P92" s="126" t="str">
        <f t="shared" si="66"/>
        <v>✔</v>
      </c>
      <c r="Q92" s="126" t="str">
        <f t="shared" si="67"/>
        <v>✔</v>
      </c>
      <c r="T92" s="120"/>
      <c r="U92" s="119"/>
    </row>
    <row r="93" spans="1:21" ht="15">
      <c r="B93" s="358"/>
      <c r="C93" s="115"/>
      <c r="D93" s="115"/>
      <c r="E93" s="115"/>
      <c r="F93" s="46"/>
      <c r="G93" s="163"/>
      <c r="H93" s="442"/>
      <c r="I93" s="122"/>
      <c r="J93" s="123">
        <f>(I93)*Summary!$H$4</f>
        <v>0</v>
      </c>
      <c r="K93" s="135"/>
      <c r="L93" s="125"/>
      <c r="M93" s="316"/>
      <c r="P93" s="126">
        <f t="shared" si="66"/>
        <v>0</v>
      </c>
      <c r="Q93" s="126">
        <f t="shared" si="67"/>
        <v>0</v>
      </c>
      <c r="T93" s="120"/>
      <c r="U93" s="119"/>
    </row>
    <row r="94" spans="1:21" ht="15">
      <c r="B94" s="358" t="str">
        <f>COMPUTATION!B14</f>
        <v>SUPPLY - DUCT WRAP</v>
      </c>
      <c r="C94" s="115"/>
      <c r="D94" s="115"/>
      <c r="E94" s="115"/>
      <c r="F94" s="46"/>
      <c r="G94" s="163"/>
      <c r="H94" s="442"/>
      <c r="I94" s="122"/>
      <c r="J94" s="123">
        <f>(I94)*Summary!$H$4</f>
        <v>0</v>
      </c>
      <c r="K94" s="135"/>
      <c r="L94" s="125">
        <f t="shared" si="64"/>
        <v>0</v>
      </c>
      <c r="M94" s="316">
        <f t="shared" si="65"/>
        <v>0</v>
      </c>
      <c r="P94" s="126">
        <f t="shared" si="66"/>
        <v>0</v>
      </c>
      <c r="Q94" s="126">
        <f t="shared" si="67"/>
        <v>0</v>
      </c>
      <c r="T94" s="120"/>
      <c r="U94" s="119"/>
    </row>
    <row r="95" spans="1:21">
      <c r="B95" s="372" t="str">
        <f>COMPUTATION!B15</f>
        <v>18X6</v>
      </c>
      <c r="C95" s="115"/>
      <c r="D95" s="115" t="s">
        <v>31</v>
      </c>
      <c r="E95" s="115" t="s">
        <v>31</v>
      </c>
      <c r="F95" s="46"/>
      <c r="G95" s="163">
        <f>COMPUTATION!C15</f>
        <v>2.95</v>
      </c>
      <c r="H95" s="442">
        <f>COMPUTATION!K15</f>
        <v>0.184</v>
      </c>
      <c r="I95" s="122">
        <f t="shared" si="63"/>
        <v>0.54280000000000006</v>
      </c>
      <c r="J95" s="123">
        <f>(I95)*Summary!$H$4</f>
        <v>0</v>
      </c>
      <c r="K95" s="135"/>
      <c r="L95" s="125">
        <f t="shared" si="64"/>
        <v>0</v>
      </c>
      <c r="M95" s="316">
        <f t="shared" si="65"/>
        <v>0</v>
      </c>
      <c r="P95" s="126" t="str">
        <f t="shared" si="66"/>
        <v>✔</v>
      </c>
      <c r="Q95" s="126" t="str">
        <f t="shared" si="67"/>
        <v>✔</v>
      </c>
      <c r="T95" s="120"/>
      <c r="U95" s="119"/>
    </row>
    <row r="96" spans="1:21" ht="15">
      <c r="B96" s="358"/>
      <c r="C96" s="115"/>
      <c r="D96" s="115"/>
      <c r="E96" s="115"/>
      <c r="F96" s="46"/>
      <c r="G96" s="163"/>
      <c r="H96" s="442"/>
      <c r="I96" s="122"/>
      <c r="J96" s="123">
        <f>(I96)*Summary!$H$4</f>
        <v>0</v>
      </c>
      <c r="K96" s="135"/>
      <c r="L96" s="125"/>
      <c r="M96" s="316"/>
      <c r="P96" s="126">
        <f t="shared" si="66"/>
        <v>0</v>
      </c>
      <c r="Q96" s="126">
        <f t="shared" si="67"/>
        <v>0</v>
      </c>
      <c r="T96" s="120"/>
      <c r="U96" s="119"/>
    </row>
    <row r="97" spans="2:21" ht="15">
      <c r="B97" s="358" t="str">
        <f>COMPUTATION!B17</f>
        <v xml:space="preserve">ROUND DUCT </v>
      </c>
      <c r="C97" s="115"/>
      <c r="D97" s="115"/>
      <c r="E97" s="115"/>
      <c r="F97" s="46"/>
      <c r="G97" s="163"/>
      <c r="H97" s="442"/>
      <c r="I97" s="122"/>
      <c r="J97" s="123">
        <f>(I97)*Summary!$H$4</f>
        <v>0</v>
      </c>
      <c r="K97" s="135"/>
      <c r="L97" s="125">
        <f t="shared" si="64"/>
        <v>0</v>
      </c>
      <c r="M97" s="316">
        <f t="shared" si="65"/>
        <v>0</v>
      </c>
      <c r="P97" s="126">
        <f t="shared" si="66"/>
        <v>0</v>
      </c>
      <c r="Q97" s="126">
        <f t="shared" si="67"/>
        <v>0</v>
      </c>
      <c r="T97" s="120"/>
      <c r="U97" s="119"/>
    </row>
    <row r="98" spans="2:21" ht="15">
      <c r="B98" s="358" t="str">
        <f>COMPUTATION!B18</f>
        <v>SUPPLY</v>
      </c>
      <c r="C98" s="115"/>
      <c r="D98" s="115"/>
      <c r="E98" s="115"/>
      <c r="F98" s="46"/>
      <c r="G98" s="163"/>
      <c r="H98" s="442"/>
      <c r="I98" s="122"/>
      <c r="J98" s="123">
        <f>(I98)*Summary!$H$4</f>
        <v>0</v>
      </c>
      <c r="K98" s="135"/>
      <c r="L98" s="125">
        <f t="shared" si="64"/>
        <v>0</v>
      </c>
      <c r="M98" s="316">
        <f t="shared" si="65"/>
        <v>0</v>
      </c>
      <c r="P98" s="126">
        <f t="shared" si="66"/>
        <v>0</v>
      </c>
      <c r="Q98" s="126">
        <f t="shared" si="67"/>
        <v>0</v>
      </c>
      <c r="T98" s="120"/>
      <c r="U98" s="119"/>
    </row>
    <row r="99" spans="2:21">
      <c r="B99" s="372">
        <f>COMPUTATION!B19</f>
        <v>10</v>
      </c>
      <c r="C99" s="115"/>
      <c r="D99" s="115" t="s">
        <v>31</v>
      </c>
      <c r="E99" s="115" t="s">
        <v>31</v>
      </c>
      <c r="F99" s="46"/>
      <c r="G99" s="163">
        <f>COMPUTATION!C19</f>
        <v>95.95</v>
      </c>
      <c r="H99" s="442">
        <f>COMPUTATION!K19</f>
        <v>0.10299999999999999</v>
      </c>
      <c r="I99" s="122">
        <f t="shared" si="63"/>
        <v>9.8828499999999995</v>
      </c>
      <c r="J99" s="123">
        <f>(I99)*Summary!$H$4</f>
        <v>0</v>
      </c>
      <c r="K99" s="135"/>
      <c r="L99" s="125">
        <f t="shared" si="64"/>
        <v>0</v>
      </c>
      <c r="M99" s="316">
        <f t="shared" si="65"/>
        <v>0</v>
      </c>
      <c r="P99" s="126" t="str">
        <f t="shared" si="66"/>
        <v>✔</v>
      </c>
      <c r="Q99" s="126" t="str">
        <f t="shared" si="67"/>
        <v>✔</v>
      </c>
      <c r="T99" s="120"/>
      <c r="U99" s="119"/>
    </row>
    <row r="100" spans="2:21">
      <c r="B100" s="372">
        <f>COMPUTATION!B20</f>
        <v>12</v>
      </c>
      <c r="C100" s="115"/>
      <c r="D100" s="115" t="s">
        <v>31</v>
      </c>
      <c r="E100" s="115" t="s">
        <v>31</v>
      </c>
      <c r="F100" s="46"/>
      <c r="G100" s="163">
        <f>COMPUTATION!C20</f>
        <v>9.44</v>
      </c>
      <c r="H100" s="442">
        <f>COMPUTATION!K20</f>
        <v>0.123</v>
      </c>
      <c r="I100" s="122">
        <f t="shared" si="63"/>
        <v>1.1611199999999999</v>
      </c>
      <c r="J100" s="123">
        <f>(I100)*Summary!$H$4</f>
        <v>0</v>
      </c>
      <c r="K100" s="135"/>
      <c r="L100" s="125">
        <f t="shared" si="64"/>
        <v>0</v>
      </c>
      <c r="M100" s="316">
        <f t="shared" si="65"/>
        <v>0</v>
      </c>
      <c r="P100" s="126" t="str">
        <f t="shared" si="66"/>
        <v>✔</v>
      </c>
      <c r="Q100" s="126" t="str">
        <f t="shared" si="67"/>
        <v>✔</v>
      </c>
      <c r="T100" s="120"/>
      <c r="U100" s="119"/>
    </row>
    <row r="101" spans="2:21">
      <c r="B101" s="372">
        <f>COMPUTATION!B21</f>
        <v>16</v>
      </c>
      <c r="C101" s="115"/>
      <c r="D101" s="115" t="s">
        <v>31</v>
      </c>
      <c r="E101" s="115" t="s">
        <v>31</v>
      </c>
      <c r="F101" s="46"/>
      <c r="G101" s="163">
        <f>COMPUTATION!C21</f>
        <v>48.29</v>
      </c>
      <c r="H101" s="442">
        <f>COMPUTATION!K21</f>
        <v>0.17399999999999999</v>
      </c>
      <c r="I101" s="122">
        <f t="shared" si="63"/>
        <v>8.4024599999999996</v>
      </c>
      <c r="J101" s="123">
        <f>(I101)*Summary!$H$4</f>
        <v>0</v>
      </c>
      <c r="K101" s="135"/>
      <c r="L101" s="125">
        <f t="shared" si="64"/>
        <v>0</v>
      </c>
      <c r="M101" s="316">
        <f t="shared" si="65"/>
        <v>0</v>
      </c>
      <c r="P101" s="126" t="str">
        <f t="shared" si="66"/>
        <v>✔</v>
      </c>
      <c r="Q101" s="126" t="str">
        <f t="shared" si="67"/>
        <v>✔</v>
      </c>
      <c r="T101" s="120"/>
      <c r="U101" s="119"/>
    </row>
    <row r="102" spans="2:21">
      <c r="B102" s="372">
        <f>COMPUTATION!B22</f>
        <v>20</v>
      </c>
      <c r="C102" s="115"/>
      <c r="D102" s="115" t="s">
        <v>31</v>
      </c>
      <c r="E102" s="115" t="s">
        <v>31</v>
      </c>
      <c r="F102" s="46"/>
      <c r="G102" s="163">
        <f>COMPUTATION!C22</f>
        <v>50.11</v>
      </c>
      <c r="H102" s="442">
        <f>COMPUTATION!K22</f>
        <v>0.19500000000000001</v>
      </c>
      <c r="I102" s="122">
        <f t="shared" si="63"/>
        <v>9.7714499999999997</v>
      </c>
      <c r="J102" s="123">
        <f>(I102)*Summary!$H$4</f>
        <v>0</v>
      </c>
      <c r="K102" s="135"/>
      <c r="L102" s="125">
        <f t="shared" si="64"/>
        <v>0</v>
      </c>
      <c r="M102" s="316">
        <f t="shared" si="65"/>
        <v>0</v>
      </c>
      <c r="P102" s="126" t="str">
        <f t="shared" si="66"/>
        <v>✔</v>
      </c>
      <c r="Q102" s="126" t="str">
        <f t="shared" si="67"/>
        <v>✔</v>
      </c>
      <c r="T102" s="120"/>
      <c r="U102" s="119"/>
    </row>
    <row r="103" spans="2:21">
      <c r="B103" s="372">
        <f>COMPUTATION!B23</f>
        <v>12</v>
      </c>
      <c r="C103" s="115"/>
      <c r="D103" s="115" t="s">
        <v>31</v>
      </c>
      <c r="E103" s="115" t="s">
        <v>31</v>
      </c>
      <c r="F103" s="46"/>
      <c r="G103" s="163">
        <f>COMPUTATION!C23</f>
        <v>15.24</v>
      </c>
      <c r="H103" s="442">
        <f>COMPUTATION!K23</f>
        <v>0.123</v>
      </c>
      <c r="I103" s="122">
        <f t="shared" si="63"/>
        <v>1.87452</v>
      </c>
      <c r="J103" s="123">
        <f>(I103)*Summary!$H$4</f>
        <v>0</v>
      </c>
      <c r="K103" s="135"/>
      <c r="L103" s="125">
        <f t="shared" si="64"/>
        <v>0</v>
      </c>
      <c r="M103" s="316">
        <f t="shared" si="65"/>
        <v>0</v>
      </c>
      <c r="P103" s="126" t="str">
        <f t="shared" si="66"/>
        <v>✔</v>
      </c>
      <c r="Q103" s="126" t="str">
        <f t="shared" si="67"/>
        <v>✔</v>
      </c>
      <c r="T103" s="120"/>
      <c r="U103" s="119"/>
    </row>
    <row r="104" spans="2:21">
      <c r="B104" s="372">
        <f>COMPUTATION!B24</f>
        <v>14</v>
      </c>
      <c r="C104" s="115"/>
      <c r="D104" s="115" t="s">
        <v>31</v>
      </c>
      <c r="E104" s="115" t="s">
        <v>31</v>
      </c>
      <c r="F104" s="46"/>
      <c r="G104" s="163">
        <f>COMPUTATION!C24</f>
        <v>9.25</v>
      </c>
      <c r="H104" s="442">
        <f>COMPUTATION!K24</f>
        <v>0.17399999999999999</v>
      </c>
      <c r="I104" s="122">
        <f t="shared" si="63"/>
        <v>1.6094999999999999</v>
      </c>
      <c r="J104" s="123">
        <f>(I104)*Summary!$H$4</f>
        <v>0</v>
      </c>
      <c r="K104" s="135"/>
      <c r="L104" s="125">
        <f t="shared" si="64"/>
        <v>0</v>
      </c>
      <c r="M104" s="316">
        <f t="shared" si="65"/>
        <v>0</v>
      </c>
      <c r="P104" s="126" t="str">
        <f t="shared" si="66"/>
        <v>✔</v>
      </c>
      <c r="Q104" s="126" t="str">
        <f t="shared" si="67"/>
        <v>✔</v>
      </c>
      <c r="T104" s="120"/>
      <c r="U104" s="119"/>
    </row>
    <row r="105" spans="2:21">
      <c r="B105" s="372">
        <f>COMPUTATION!B25</f>
        <v>18</v>
      </c>
      <c r="C105" s="115"/>
      <c r="D105" s="115" t="s">
        <v>31</v>
      </c>
      <c r="E105" s="115" t="s">
        <v>31</v>
      </c>
      <c r="F105" s="46"/>
      <c r="G105" s="163">
        <f>COMPUTATION!C25</f>
        <v>14.29</v>
      </c>
      <c r="H105" s="442">
        <f>COMPUTATION!K25</f>
        <v>0.19500000000000001</v>
      </c>
      <c r="I105" s="122">
        <f t="shared" si="63"/>
        <v>2.7865500000000001</v>
      </c>
      <c r="J105" s="123">
        <f>(I105)*Summary!$H$4</f>
        <v>0</v>
      </c>
      <c r="K105" s="135"/>
      <c r="L105" s="125">
        <f t="shared" si="64"/>
        <v>0</v>
      </c>
      <c r="M105" s="316">
        <f t="shared" si="65"/>
        <v>0</v>
      </c>
      <c r="P105" s="126" t="str">
        <f t="shared" si="66"/>
        <v>✔</v>
      </c>
      <c r="Q105" s="126" t="str">
        <f t="shared" si="67"/>
        <v>✔</v>
      </c>
      <c r="T105" s="120"/>
      <c r="U105" s="119"/>
    </row>
    <row r="106" spans="2:21">
      <c r="B106" s="372">
        <f>COMPUTATION!B26</f>
        <v>6</v>
      </c>
      <c r="C106" s="115"/>
      <c r="D106" s="115" t="s">
        <v>31</v>
      </c>
      <c r="E106" s="115" t="s">
        <v>31</v>
      </c>
      <c r="F106" s="46"/>
      <c r="G106" s="163">
        <f>COMPUTATION!C26</f>
        <v>8.9499999999999993</v>
      </c>
      <c r="H106" s="442">
        <f>COMPUTATION!K26</f>
        <v>6.0999999999999999E-2</v>
      </c>
      <c r="I106" s="122">
        <f t="shared" si="63"/>
        <v>0.54594999999999994</v>
      </c>
      <c r="J106" s="123">
        <f>(I106)*Summary!$H$4</f>
        <v>0</v>
      </c>
      <c r="K106" s="135"/>
      <c r="L106" s="125">
        <f t="shared" si="64"/>
        <v>0</v>
      </c>
      <c r="M106" s="316">
        <f t="shared" si="65"/>
        <v>0</v>
      </c>
      <c r="P106" s="126" t="str">
        <f t="shared" si="66"/>
        <v>✔</v>
      </c>
      <c r="Q106" s="126" t="str">
        <f t="shared" si="67"/>
        <v>✔</v>
      </c>
      <c r="T106" s="120"/>
      <c r="U106" s="119"/>
    </row>
    <row r="107" spans="2:21" ht="15">
      <c r="B107" s="358"/>
      <c r="C107" s="115"/>
      <c r="D107" s="115"/>
      <c r="E107" s="115"/>
      <c r="F107" s="46"/>
      <c r="G107" s="163"/>
      <c r="H107" s="442"/>
      <c r="I107" s="122"/>
      <c r="J107" s="123">
        <f>(I107)*Summary!$H$4</f>
        <v>0</v>
      </c>
      <c r="K107" s="135"/>
      <c r="L107" s="125"/>
      <c r="M107" s="316"/>
      <c r="P107" s="126">
        <f t="shared" si="66"/>
        <v>0</v>
      </c>
      <c r="Q107" s="126">
        <f t="shared" si="67"/>
        <v>0</v>
      </c>
      <c r="T107" s="120"/>
      <c r="U107" s="119"/>
    </row>
    <row r="108" spans="2:21" ht="15">
      <c r="B108" s="358" t="str">
        <f>COMPUTATION!B28</f>
        <v>FLEXIBLE DUCT</v>
      </c>
      <c r="C108" s="115"/>
      <c r="D108" s="115"/>
      <c r="E108" s="115"/>
      <c r="F108" s="46"/>
      <c r="G108" s="163"/>
      <c r="H108" s="442"/>
      <c r="I108" s="122"/>
      <c r="J108" s="123">
        <f>(I108)*Summary!$H$4</f>
        <v>0</v>
      </c>
      <c r="K108" s="135"/>
      <c r="L108" s="125">
        <f t="shared" si="64"/>
        <v>0</v>
      </c>
      <c r="M108" s="316">
        <f t="shared" si="65"/>
        <v>0</v>
      </c>
      <c r="P108" s="126">
        <f t="shared" si="66"/>
        <v>0</v>
      </c>
      <c r="Q108" s="126">
        <f t="shared" si="67"/>
        <v>0</v>
      </c>
      <c r="T108" s="120"/>
      <c r="U108" s="119"/>
    </row>
    <row r="109" spans="2:21">
      <c r="B109" s="372">
        <f>COMPUTATION!B29</f>
        <v>10</v>
      </c>
      <c r="C109" s="115"/>
      <c r="D109" s="115" t="s">
        <v>31</v>
      </c>
      <c r="E109" s="115" t="s">
        <v>31</v>
      </c>
      <c r="F109" s="46"/>
      <c r="G109" s="163">
        <f>COMPUTATION!C29</f>
        <v>30.76</v>
      </c>
      <c r="H109" s="442">
        <f>COMPUTATION!K29</f>
        <v>0.09</v>
      </c>
      <c r="I109" s="122">
        <f t="shared" si="63"/>
        <v>2.7684000000000002</v>
      </c>
      <c r="J109" s="123">
        <f>(I109)*Summary!$H$4</f>
        <v>0</v>
      </c>
      <c r="K109" s="135"/>
      <c r="L109" s="125">
        <f t="shared" si="64"/>
        <v>0</v>
      </c>
      <c r="M109" s="316">
        <f t="shared" si="65"/>
        <v>0</v>
      </c>
      <c r="P109" s="126" t="str">
        <f t="shared" si="66"/>
        <v>✔</v>
      </c>
      <c r="Q109" s="126" t="str">
        <f t="shared" si="67"/>
        <v>✔</v>
      </c>
      <c r="T109" s="120"/>
      <c r="U109" s="119"/>
    </row>
    <row r="110" spans="2:21">
      <c r="B110" s="372">
        <f>COMPUTATION!B30</f>
        <v>12</v>
      </c>
      <c r="C110" s="115"/>
      <c r="D110" s="115" t="s">
        <v>31</v>
      </c>
      <c r="E110" s="115" t="s">
        <v>31</v>
      </c>
      <c r="F110" s="46"/>
      <c r="G110" s="163">
        <f>COMPUTATION!C30</f>
        <v>15.17</v>
      </c>
      <c r="H110" s="442">
        <f>COMPUTATION!K30</f>
        <v>0.1</v>
      </c>
      <c r="I110" s="122">
        <f t="shared" si="63"/>
        <v>1.5170000000000001</v>
      </c>
      <c r="J110" s="123">
        <f>(I110)*Summary!$H$4</f>
        <v>0</v>
      </c>
      <c r="K110" s="135"/>
      <c r="L110" s="125">
        <f t="shared" si="64"/>
        <v>0</v>
      </c>
      <c r="M110" s="316">
        <f t="shared" si="65"/>
        <v>0</v>
      </c>
      <c r="P110" s="126" t="str">
        <f t="shared" si="66"/>
        <v>✔</v>
      </c>
      <c r="Q110" s="126" t="str">
        <f t="shared" si="67"/>
        <v>✔</v>
      </c>
      <c r="T110" s="120"/>
      <c r="U110" s="119"/>
    </row>
    <row r="111" spans="2:21">
      <c r="B111" s="372">
        <f>COMPUTATION!B31</f>
        <v>6</v>
      </c>
      <c r="C111" s="115"/>
      <c r="D111" s="115" t="s">
        <v>31</v>
      </c>
      <c r="E111" s="115" t="s">
        <v>31</v>
      </c>
      <c r="F111" s="46"/>
      <c r="G111" s="163">
        <f>COMPUTATION!C31</f>
        <v>9.06</v>
      </c>
      <c r="H111" s="442">
        <f>COMPUTATION!K31</f>
        <v>7.0000000000000007E-2</v>
      </c>
      <c r="I111" s="122">
        <f t="shared" si="63"/>
        <v>0.6342000000000001</v>
      </c>
      <c r="J111" s="123">
        <f>(I111)*Summary!$H$4</f>
        <v>0</v>
      </c>
      <c r="K111" s="135"/>
      <c r="L111" s="125">
        <f t="shared" si="64"/>
        <v>0</v>
      </c>
      <c r="M111" s="316">
        <f t="shared" si="65"/>
        <v>0</v>
      </c>
      <c r="P111" s="126" t="str">
        <f t="shared" si="66"/>
        <v>✔</v>
      </c>
      <c r="Q111" s="126" t="str">
        <f t="shared" si="67"/>
        <v>✔</v>
      </c>
      <c r="T111" s="120"/>
      <c r="U111" s="119"/>
    </row>
    <row r="112" spans="2:21" ht="15">
      <c r="B112" s="358"/>
      <c r="C112" s="115"/>
      <c r="D112" s="115"/>
      <c r="E112" s="115"/>
      <c r="F112" s="46"/>
      <c r="G112" s="163"/>
      <c r="H112" s="442"/>
      <c r="I112" s="122"/>
      <c r="J112" s="123">
        <f>(I112)*Summary!$H$4</f>
        <v>0</v>
      </c>
      <c r="K112" s="135"/>
      <c r="L112" s="125"/>
      <c r="M112" s="316"/>
      <c r="P112" s="126">
        <f t="shared" si="66"/>
        <v>0</v>
      </c>
      <c r="Q112" s="126">
        <f t="shared" si="67"/>
        <v>0</v>
      </c>
      <c r="T112" s="120"/>
      <c r="U112" s="119"/>
    </row>
    <row r="113" spans="2:21" ht="15">
      <c r="B113" s="358" t="str">
        <f>COMPUTATION!B33</f>
        <v>FITTINGS</v>
      </c>
      <c r="C113" s="115"/>
      <c r="D113" s="115"/>
      <c r="E113" s="115"/>
      <c r="F113" s="46"/>
      <c r="G113" s="163"/>
      <c r="H113" s="442"/>
      <c r="I113" s="122"/>
      <c r="J113" s="123">
        <f>(I113)*Summary!$H$4</f>
        <v>0</v>
      </c>
      <c r="K113" s="135"/>
      <c r="L113" s="125">
        <f t="shared" si="64"/>
        <v>0</v>
      </c>
      <c r="M113" s="316">
        <f t="shared" si="65"/>
        <v>0</v>
      </c>
      <c r="P113" s="126">
        <f>IF(E113="X",IF(G113&lt;&gt;"",IF(OR(H113&lt;&gt;"",M113&lt;&gt;""),"✔","ERROR"), "ERROR"), 0)</f>
        <v>0</v>
      </c>
      <c r="Q113" s="126">
        <f>IF(D113="X", IF(G113&lt;&gt;"", IF(AND(L113&lt;&gt;"",M113&lt;&gt;""), "✔", "ERROR"), "ERROR"),0)</f>
        <v>0</v>
      </c>
      <c r="T113" s="120"/>
      <c r="U113" s="119"/>
    </row>
    <row r="114" spans="2:21" ht="15">
      <c r="B114" s="358" t="str">
        <f>COMPUTATION!B34</f>
        <v>SUPPLY - DUCTBOOTS 90DEG</v>
      </c>
      <c r="C114" s="115"/>
      <c r="D114" s="115"/>
      <c r="E114" s="115"/>
      <c r="F114" s="46"/>
      <c r="G114" s="163"/>
      <c r="H114" s="442"/>
      <c r="I114" s="122"/>
      <c r="J114" s="123">
        <f>(I114)*Summary!$H$4</f>
        <v>0</v>
      </c>
      <c r="K114" s="135"/>
      <c r="L114" s="125">
        <f t="shared" si="64"/>
        <v>0</v>
      </c>
      <c r="M114" s="316">
        <f t="shared" si="65"/>
        <v>0</v>
      </c>
      <c r="P114" s="126">
        <f>IF(E114="X",IF(G114&lt;&gt;"",IF(OR(H114&lt;&gt;"",M114&lt;&gt;""),"✔","ERROR"), "ERROR"), 0)</f>
        <v>0</v>
      </c>
      <c r="Q114" s="126">
        <f>IF(D114="X", IF(G114&lt;&gt;"", IF(AND(L114&lt;&gt;"",M114&lt;&gt;""), "✔", "ERROR"), "ERROR"),0)</f>
        <v>0</v>
      </c>
      <c r="T114" s="120"/>
      <c r="U114" s="119"/>
    </row>
    <row r="115" spans="2:21">
      <c r="B115" s="372" t="str">
        <f>COMPUTATION!B35</f>
        <v>10" DIA TO 24X24</v>
      </c>
      <c r="C115" s="115"/>
      <c r="D115" s="115" t="s">
        <v>31</v>
      </c>
      <c r="E115" s="115" t="s">
        <v>31</v>
      </c>
      <c r="F115" s="46">
        <f>COMPUTATION!C35</f>
        <v>10</v>
      </c>
      <c r="G115" s="163"/>
      <c r="H115" s="442">
        <v>0.92200000000000004</v>
      </c>
      <c r="I115" s="122">
        <f t="shared" si="63"/>
        <v>9.2200000000000006</v>
      </c>
      <c r="J115" s="123">
        <f>(I115)*Summary!$H$4</f>
        <v>0</v>
      </c>
      <c r="K115" s="135"/>
      <c r="L115" s="125">
        <f t="shared" si="64"/>
        <v>0</v>
      </c>
      <c r="M115" s="316">
        <f t="shared" si="65"/>
        <v>0</v>
      </c>
      <c r="P115" s="126" t="str">
        <f t="shared" ref="P115" si="68">IF(E115="X",IF(F115&lt;&gt;"",IF(OR(H115&lt;&gt;"",M115&lt;&gt;""),"✔","ERROR"), "ERROR"), 0)</f>
        <v>✔</v>
      </c>
      <c r="Q115" s="126" t="str">
        <f t="shared" ref="Q115" si="69">IF(D115="X", IF(F115&lt;&gt;"", IF(AND(L115&lt;&gt;"",M115&lt;&gt;""), "✔", "ERROR"), "ERROR"),0)</f>
        <v>✔</v>
      </c>
      <c r="T115" s="120"/>
      <c r="U115" s="119"/>
    </row>
    <row r="116" spans="2:21">
      <c r="B116" s="372" t="str">
        <f>COMPUTATION!B36</f>
        <v>12" DIA to 24X24</v>
      </c>
      <c r="C116" s="115"/>
      <c r="D116" s="115" t="s">
        <v>31</v>
      </c>
      <c r="E116" s="115" t="s">
        <v>31</v>
      </c>
      <c r="F116" s="46">
        <f>COMPUTATION!C36</f>
        <v>5</v>
      </c>
      <c r="G116" s="163"/>
      <c r="H116" s="442">
        <v>0.92200000000000004</v>
      </c>
      <c r="I116" s="122">
        <f t="shared" si="63"/>
        <v>4.6100000000000003</v>
      </c>
      <c r="J116" s="123">
        <f>(I116)*Summary!$H$4</f>
        <v>0</v>
      </c>
      <c r="K116" s="135"/>
      <c r="L116" s="125">
        <f t="shared" si="64"/>
        <v>0</v>
      </c>
      <c r="M116" s="316">
        <f t="shared" si="65"/>
        <v>0</v>
      </c>
      <c r="P116" s="126" t="str">
        <f t="shared" ref="P116:P135" si="70">IF(E116="X",IF(F116&lt;&gt;"",IF(OR(H116&lt;&gt;"",M116&lt;&gt;""),"✔","ERROR"), "ERROR"), 0)</f>
        <v>✔</v>
      </c>
      <c r="Q116" s="126" t="str">
        <f t="shared" ref="Q116:Q135" si="71">IF(D116="X", IF(F116&lt;&gt;"", IF(AND(L116&lt;&gt;"",M116&lt;&gt;""), "✔", "ERROR"), "ERROR"),0)</f>
        <v>✔</v>
      </c>
      <c r="T116" s="120"/>
      <c r="U116" s="119"/>
    </row>
    <row r="117" spans="2:21">
      <c r="B117" s="372" t="str">
        <f>COMPUTATION!B37</f>
        <v>6" DIA TO 12X12</v>
      </c>
      <c r="C117" s="115"/>
      <c r="D117" s="115" t="s">
        <v>31</v>
      </c>
      <c r="E117" s="115" t="s">
        <v>31</v>
      </c>
      <c r="F117" s="46">
        <f>COMPUTATION!C37</f>
        <v>3</v>
      </c>
      <c r="G117" s="163"/>
      <c r="H117" s="442">
        <v>0.224</v>
      </c>
      <c r="I117" s="122">
        <f t="shared" si="63"/>
        <v>0.67200000000000004</v>
      </c>
      <c r="J117" s="123">
        <f>(I117)*Summary!$H$4</f>
        <v>0</v>
      </c>
      <c r="K117" s="135"/>
      <c r="L117" s="125">
        <f t="shared" si="64"/>
        <v>0</v>
      </c>
      <c r="M117" s="316">
        <f t="shared" si="65"/>
        <v>0</v>
      </c>
      <c r="P117" s="126" t="str">
        <f t="shared" si="70"/>
        <v>✔</v>
      </c>
      <c r="Q117" s="126" t="str">
        <f t="shared" si="71"/>
        <v>✔</v>
      </c>
      <c r="T117" s="120"/>
      <c r="U117" s="119"/>
    </row>
    <row r="118" spans="2:21" ht="15">
      <c r="B118" s="358"/>
      <c r="C118" s="115"/>
      <c r="D118" s="115"/>
      <c r="E118" s="115"/>
      <c r="F118" s="46"/>
      <c r="G118" s="163"/>
      <c r="H118" s="442"/>
      <c r="I118" s="122"/>
      <c r="J118" s="123">
        <f>(I118)*Summary!$H$4</f>
        <v>0</v>
      </c>
      <c r="K118" s="135"/>
      <c r="L118" s="125"/>
      <c r="M118" s="316"/>
      <c r="P118" s="126">
        <f t="shared" si="70"/>
        <v>0</v>
      </c>
      <c r="Q118" s="126">
        <f t="shared" si="71"/>
        <v>0</v>
      </c>
      <c r="T118" s="120"/>
      <c r="U118" s="119"/>
    </row>
    <row r="119" spans="2:21" ht="15">
      <c r="B119" s="358" t="str">
        <f>COMPUTATION!B39</f>
        <v>PLENUM DUCTBOOTS</v>
      </c>
      <c r="C119" s="115"/>
      <c r="D119" s="115"/>
      <c r="E119" s="115"/>
      <c r="F119" s="46"/>
      <c r="G119" s="163"/>
      <c r="H119" s="442"/>
      <c r="I119" s="122"/>
      <c r="J119" s="123">
        <f>(I119)*Summary!$H$4</f>
        <v>0</v>
      </c>
      <c r="K119" s="135"/>
      <c r="L119" s="125">
        <f t="shared" si="64"/>
        <v>0</v>
      </c>
      <c r="M119" s="316">
        <f t="shared" si="65"/>
        <v>0</v>
      </c>
      <c r="P119" s="126">
        <f t="shared" si="70"/>
        <v>0</v>
      </c>
      <c r="Q119" s="126">
        <f t="shared" si="71"/>
        <v>0</v>
      </c>
      <c r="T119" s="120"/>
      <c r="U119" s="119"/>
    </row>
    <row r="120" spans="2:21">
      <c r="B120" s="372" t="str">
        <f>COMPUTATION!B40</f>
        <v>8X8 TO 12X12</v>
      </c>
      <c r="C120" s="115"/>
      <c r="D120" s="115" t="s">
        <v>31</v>
      </c>
      <c r="E120" s="115" t="s">
        <v>31</v>
      </c>
      <c r="F120" s="46">
        <f>COMPUTATION!C40</f>
        <v>3</v>
      </c>
      <c r="G120" s="163"/>
      <c r="H120" s="442">
        <v>0.224</v>
      </c>
      <c r="I120" s="122">
        <f t="shared" si="63"/>
        <v>0.67200000000000004</v>
      </c>
      <c r="J120" s="123">
        <f>(I120)*Summary!$H$4</f>
        <v>0</v>
      </c>
      <c r="K120" s="135"/>
      <c r="L120" s="125">
        <f t="shared" si="64"/>
        <v>0</v>
      </c>
      <c r="M120" s="316">
        <f t="shared" si="65"/>
        <v>0</v>
      </c>
      <c r="P120" s="126" t="str">
        <f t="shared" si="70"/>
        <v>✔</v>
      </c>
      <c r="Q120" s="126" t="str">
        <f t="shared" si="71"/>
        <v>✔</v>
      </c>
      <c r="T120" s="120"/>
      <c r="U120" s="119"/>
    </row>
    <row r="121" spans="2:21">
      <c r="B121" s="372" t="str">
        <f>COMPUTATION!B41</f>
        <v>20X16 TO 24X24</v>
      </c>
      <c r="C121" s="115"/>
      <c r="D121" s="115" t="s">
        <v>31</v>
      </c>
      <c r="E121" s="115" t="s">
        <v>31</v>
      </c>
      <c r="F121" s="46">
        <f>COMPUTATION!C41</f>
        <v>1</v>
      </c>
      <c r="G121" s="163"/>
      <c r="H121" s="442">
        <v>0.92200000000000004</v>
      </c>
      <c r="I121" s="122">
        <f t="shared" si="63"/>
        <v>0.92200000000000004</v>
      </c>
      <c r="J121" s="123">
        <f>(I121)*Summary!$H$4</f>
        <v>0</v>
      </c>
      <c r="K121" s="135"/>
      <c r="L121" s="125">
        <f t="shared" ref="L121:L150" si="72">((F121+G121)*K121)</f>
        <v>0</v>
      </c>
      <c r="M121" s="316">
        <f t="shared" ref="M121:M150" si="73">L121+J121</f>
        <v>0</v>
      </c>
      <c r="P121" s="126" t="str">
        <f t="shared" si="70"/>
        <v>✔</v>
      </c>
      <c r="Q121" s="126" t="str">
        <f t="shared" si="71"/>
        <v>✔</v>
      </c>
      <c r="T121" s="120"/>
      <c r="U121" s="119"/>
    </row>
    <row r="122" spans="2:21" ht="15">
      <c r="B122" s="358"/>
      <c r="C122" s="115"/>
      <c r="D122" s="115"/>
      <c r="E122" s="115"/>
      <c r="F122" s="46"/>
      <c r="G122" s="163"/>
      <c r="H122" s="442"/>
      <c r="I122" s="122"/>
      <c r="J122" s="123">
        <f>(I122)*Summary!$H$4</f>
        <v>0</v>
      </c>
      <c r="K122" s="135"/>
      <c r="L122" s="125"/>
      <c r="M122" s="316"/>
      <c r="P122" s="126">
        <f t="shared" si="70"/>
        <v>0</v>
      </c>
      <c r="Q122" s="126">
        <f t="shared" si="71"/>
        <v>0</v>
      </c>
      <c r="T122" s="120"/>
      <c r="U122" s="119"/>
    </row>
    <row r="123" spans="2:21" ht="15">
      <c r="B123" s="358" t="str">
        <f>COMPUTATION!B43</f>
        <v>RECTANGULAR DUCT 90DEG ELBOW</v>
      </c>
      <c r="C123" s="115"/>
      <c r="D123" s="115"/>
      <c r="E123" s="115"/>
      <c r="F123" s="46"/>
      <c r="G123" s="163"/>
      <c r="H123" s="442"/>
      <c r="I123" s="122"/>
      <c r="J123" s="123">
        <f>(I123)*Summary!$H$4</f>
        <v>0</v>
      </c>
      <c r="K123" s="135"/>
      <c r="L123" s="125">
        <f t="shared" si="72"/>
        <v>0</v>
      </c>
      <c r="M123" s="316">
        <f t="shared" si="73"/>
        <v>0</v>
      </c>
      <c r="P123" s="126">
        <f t="shared" si="70"/>
        <v>0</v>
      </c>
      <c r="Q123" s="126">
        <f t="shared" si="71"/>
        <v>0</v>
      </c>
      <c r="T123" s="120"/>
      <c r="U123" s="119"/>
    </row>
    <row r="124" spans="2:21">
      <c r="B124" s="372" t="str">
        <f>COMPUTATION!B44</f>
        <v>20X16</v>
      </c>
      <c r="C124" s="115"/>
      <c r="D124" s="115" t="s">
        <v>31</v>
      </c>
      <c r="E124" s="115" t="s">
        <v>31</v>
      </c>
      <c r="F124" s="46">
        <f>COMPUTATION!C44</f>
        <v>1</v>
      </c>
      <c r="G124" s="163"/>
      <c r="H124" s="442">
        <v>0.55300000000000005</v>
      </c>
      <c r="I124" s="122">
        <f t="shared" si="63"/>
        <v>0.55300000000000005</v>
      </c>
      <c r="J124" s="123">
        <f>(I124)*Summary!$H$4</f>
        <v>0</v>
      </c>
      <c r="K124" s="135"/>
      <c r="L124" s="125">
        <f t="shared" si="72"/>
        <v>0</v>
      </c>
      <c r="M124" s="316">
        <f t="shared" si="73"/>
        <v>0</v>
      </c>
      <c r="P124" s="126" t="str">
        <f t="shared" si="70"/>
        <v>✔</v>
      </c>
      <c r="Q124" s="126" t="str">
        <f t="shared" si="71"/>
        <v>✔</v>
      </c>
      <c r="T124" s="120"/>
      <c r="U124" s="119"/>
    </row>
    <row r="125" spans="2:21">
      <c r="B125" s="372" t="str">
        <f>COMPUTATION!B45</f>
        <v>34X20</v>
      </c>
      <c r="C125" s="115"/>
      <c r="D125" s="115" t="s">
        <v>31</v>
      </c>
      <c r="E125" s="115" t="s">
        <v>31</v>
      </c>
      <c r="F125" s="46">
        <f>COMPUTATION!C45</f>
        <v>1</v>
      </c>
      <c r="G125" s="163"/>
      <c r="H125" s="442">
        <v>1.58</v>
      </c>
      <c r="I125" s="122">
        <f t="shared" si="63"/>
        <v>1.58</v>
      </c>
      <c r="J125" s="123">
        <f>(I125)*Summary!$H$4</f>
        <v>0</v>
      </c>
      <c r="K125" s="135"/>
      <c r="L125" s="125">
        <f t="shared" si="72"/>
        <v>0</v>
      </c>
      <c r="M125" s="316">
        <f t="shared" si="73"/>
        <v>0</v>
      </c>
      <c r="P125" s="126" t="str">
        <f t="shared" si="70"/>
        <v>✔</v>
      </c>
      <c r="Q125" s="126" t="str">
        <f t="shared" si="71"/>
        <v>✔</v>
      </c>
      <c r="T125" s="120"/>
      <c r="U125" s="119"/>
    </row>
    <row r="126" spans="2:21">
      <c r="B126" s="372" t="str">
        <f>COMPUTATION!B46</f>
        <v>35X20</v>
      </c>
      <c r="C126" s="115"/>
      <c r="D126" s="115" t="s">
        <v>31</v>
      </c>
      <c r="E126" s="115" t="s">
        <v>31</v>
      </c>
      <c r="F126" s="46">
        <f>COMPUTATION!C46</f>
        <v>1</v>
      </c>
      <c r="G126" s="163"/>
      <c r="H126" s="442">
        <v>1.58</v>
      </c>
      <c r="I126" s="122">
        <f t="shared" si="63"/>
        <v>1.58</v>
      </c>
      <c r="J126" s="123">
        <f>(I126)*Summary!$H$4</f>
        <v>0</v>
      </c>
      <c r="K126" s="135"/>
      <c r="L126" s="125">
        <f t="shared" si="72"/>
        <v>0</v>
      </c>
      <c r="M126" s="316">
        <f t="shared" si="73"/>
        <v>0</v>
      </c>
      <c r="P126" s="126" t="str">
        <f t="shared" si="70"/>
        <v>✔</v>
      </c>
      <c r="Q126" s="126" t="str">
        <f t="shared" si="71"/>
        <v>✔</v>
      </c>
      <c r="T126" s="120"/>
      <c r="U126" s="119"/>
    </row>
    <row r="127" spans="2:21" ht="15">
      <c r="B127" s="358"/>
      <c r="C127" s="115"/>
      <c r="D127" s="115"/>
      <c r="E127" s="115"/>
      <c r="F127" s="46"/>
      <c r="G127" s="163"/>
      <c r="H127" s="442"/>
      <c r="I127" s="122"/>
      <c r="J127" s="123">
        <f>(I127)*Summary!$H$4</f>
        <v>0</v>
      </c>
      <c r="K127" s="135"/>
      <c r="L127" s="125"/>
      <c r="M127" s="316"/>
      <c r="P127" s="126">
        <f t="shared" si="70"/>
        <v>0</v>
      </c>
      <c r="Q127" s="126">
        <f t="shared" si="71"/>
        <v>0</v>
      </c>
      <c r="T127" s="120"/>
      <c r="U127" s="119"/>
    </row>
    <row r="128" spans="2:21" ht="15">
      <c r="B128" s="358" t="str">
        <f>COMPUTATION!B48</f>
        <v>RECTANGULAR DUCT COLLAR</v>
      </c>
      <c r="C128" s="115"/>
      <c r="D128" s="115"/>
      <c r="E128" s="115"/>
      <c r="F128" s="46"/>
      <c r="G128" s="163"/>
      <c r="H128" s="442"/>
      <c r="I128" s="122"/>
      <c r="J128" s="123">
        <f>(I128)*Summary!$H$4</f>
        <v>0</v>
      </c>
      <c r="K128" s="135"/>
      <c r="L128" s="125">
        <f t="shared" si="72"/>
        <v>0</v>
      </c>
      <c r="M128" s="316">
        <f t="shared" si="73"/>
        <v>0</v>
      </c>
      <c r="P128" s="126">
        <f t="shared" si="70"/>
        <v>0</v>
      </c>
      <c r="Q128" s="126">
        <f t="shared" si="71"/>
        <v>0</v>
      </c>
      <c r="T128" s="120"/>
      <c r="U128" s="119"/>
    </row>
    <row r="129" spans="2:21">
      <c r="B129" s="372" t="str">
        <f>COMPUTATION!B49</f>
        <v>18X6</v>
      </c>
      <c r="C129" s="115"/>
      <c r="D129" s="115" t="s">
        <v>31</v>
      </c>
      <c r="E129" s="115" t="s">
        <v>31</v>
      </c>
      <c r="F129" s="46">
        <f>COMPUTATION!C49</f>
        <v>5</v>
      </c>
      <c r="G129" s="163"/>
      <c r="H129" s="442">
        <v>0.35</v>
      </c>
      <c r="I129" s="122">
        <f t="shared" si="63"/>
        <v>1.75</v>
      </c>
      <c r="J129" s="123">
        <f>(I129)*Summary!$H$4</f>
        <v>0</v>
      </c>
      <c r="K129" s="135"/>
      <c r="L129" s="125">
        <f t="shared" si="72"/>
        <v>0</v>
      </c>
      <c r="M129" s="316">
        <f t="shared" si="73"/>
        <v>0</v>
      </c>
      <c r="P129" s="126" t="str">
        <f t="shared" si="70"/>
        <v>✔</v>
      </c>
      <c r="Q129" s="126" t="str">
        <f t="shared" si="71"/>
        <v>✔</v>
      </c>
      <c r="T129" s="120"/>
      <c r="U129" s="119"/>
    </row>
    <row r="130" spans="2:21" ht="15">
      <c r="B130" s="358"/>
      <c r="C130" s="115"/>
      <c r="D130" s="115"/>
      <c r="E130" s="115"/>
      <c r="F130" s="46"/>
      <c r="G130" s="163"/>
      <c r="H130" s="442"/>
      <c r="I130" s="122"/>
      <c r="J130" s="123">
        <f>(I130)*Summary!$H$4</f>
        <v>0</v>
      </c>
      <c r="K130" s="135"/>
      <c r="L130" s="125"/>
      <c r="M130" s="316"/>
      <c r="P130" s="126">
        <f t="shared" si="70"/>
        <v>0</v>
      </c>
      <c r="Q130" s="126">
        <f t="shared" si="71"/>
        <v>0</v>
      </c>
      <c r="T130" s="120"/>
      <c r="U130" s="119"/>
    </row>
    <row r="131" spans="2:21" ht="15">
      <c r="B131" s="358" t="str">
        <f>COMPUTATION!B51</f>
        <v>ROUND DUCT 45DEG ELBOW</v>
      </c>
      <c r="C131" s="115"/>
      <c r="D131" s="115"/>
      <c r="E131" s="115"/>
      <c r="F131" s="46"/>
      <c r="G131" s="163"/>
      <c r="H131" s="442"/>
      <c r="I131" s="122"/>
      <c r="J131" s="123">
        <f>(I131)*Summary!$H$4</f>
        <v>0</v>
      </c>
      <c r="K131" s="135"/>
      <c r="L131" s="125">
        <f t="shared" si="72"/>
        <v>0</v>
      </c>
      <c r="M131" s="316">
        <f t="shared" si="73"/>
        <v>0</v>
      </c>
      <c r="P131" s="126">
        <f t="shared" si="70"/>
        <v>0</v>
      </c>
      <c r="Q131" s="126">
        <f t="shared" si="71"/>
        <v>0</v>
      </c>
      <c r="T131" s="120"/>
      <c r="U131" s="119"/>
    </row>
    <row r="132" spans="2:21">
      <c r="B132" s="372">
        <f>COMPUTATION!B52</f>
        <v>10</v>
      </c>
      <c r="C132" s="115"/>
      <c r="D132" s="115" t="s">
        <v>31</v>
      </c>
      <c r="E132" s="115" t="s">
        <v>31</v>
      </c>
      <c r="F132" s="46">
        <f>COMPUTATION!C52</f>
        <v>2</v>
      </c>
      <c r="G132" s="163"/>
      <c r="H132" s="442">
        <v>0.47</v>
      </c>
      <c r="I132" s="122">
        <f t="shared" si="63"/>
        <v>0.94</v>
      </c>
      <c r="J132" s="123">
        <f>(I132)*Summary!$H$4</f>
        <v>0</v>
      </c>
      <c r="K132" s="135"/>
      <c r="L132" s="125">
        <f t="shared" si="72"/>
        <v>0</v>
      </c>
      <c r="M132" s="316">
        <f t="shared" si="73"/>
        <v>0</v>
      </c>
      <c r="P132" s="126" t="str">
        <f t="shared" si="70"/>
        <v>✔</v>
      </c>
      <c r="Q132" s="126" t="str">
        <f t="shared" si="71"/>
        <v>✔</v>
      </c>
      <c r="T132" s="120"/>
      <c r="U132" s="119"/>
    </row>
    <row r="133" spans="2:21" ht="15">
      <c r="B133" s="358"/>
      <c r="C133" s="115"/>
      <c r="D133" s="115"/>
      <c r="E133" s="115"/>
      <c r="F133" s="46"/>
      <c r="G133" s="163"/>
      <c r="H133" s="442"/>
      <c r="I133" s="122"/>
      <c r="J133" s="123">
        <f>(I133)*Summary!$H$4</f>
        <v>0</v>
      </c>
      <c r="K133" s="135"/>
      <c r="L133" s="125"/>
      <c r="M133" s="316"/>
      <c r="P133" s="126">
        <f t="shared" si="70"/>
        <v>0</v>
      </c>
      <c r="Q133" s="126">
        <f t="shared" si="71"/>
        <v>0</v>
      </c>
      <c r="T133" s="120"/>
      <c r="U133" s="119"/>
    </row>
    <row r="134" spans="2:21" ht="15">
      <c r="B134" s="358" t="str">
        <f>COMPUTATION!B54</f>
        <v>ROUND DUCT 90DEG ELBOW</v>
      </c>
      <c r="C134" s="115"/>
      <c r="D134" s="115"/>
      <c r="E134" s="115"/>
      <c r="F134" s="46"/>
      <c r="G134" s="163"/>
      <c r="H134" s="442"/>
      <c r="I134" s="122"/>
      <c r="J134" s="123">
        <f>(I134)*Summary!$H$4</f>
        <v>0</v>
      </c>
      <c r="K134" s="135"/>
      <c r="L134" s="125">
        <f t="shared" si="72"/>
        <v>0</v>
      </c>
      <c r="M134" s="316">
        <f t="shared" si="73"/>
        <v>0</v>
      </c>
      <c r="P134" s="126">
        <f t="shared" si="70"/>
        <v>0</v>
      </c>
      <c r="Q134" s="126">
        <f t="shared" si="71"/>
        <v>0</v>
      </c>
      <c r="T134" s="120"/>
      <c r="U134" s="119"/>
    </row>
    <row r="135" spans="2:21">
      <c r="B135" s="372">
        <f>COMPUTATION!B55</f>
        <v>20</v>
      </c>
      <c r="C135" s="115"/>
      <c r="D135" s="115" t="s">
        <v>31</v>
      </c>
      <c r="E135" s="115" t="s">
        <v>31</v>
      </c>
      <c r="F135" s="46">
        <f>COMPUTATION!C55</f>
        <v>1</v>
      </c>
      <c r="G135" s="163"/>
      <c r="H135" s="442">
        <v>1.52</v>
      </c>
      <c r="I135" s="122">
        <f t="shared" si="63"/>
        <v>1.52</v>
      </c>
      <c r="J135" s="123">
        <f>(I135)*Summary!$H$4</f>
        <v>0</v>
      </c>
      <c r="K135" s="135"/>
      <c r="L135" s="125">
        <f t="shared" si="72"/>
        <v>0</v>
      </c>
      <c r="M135" s="316">
        <f t="shared" si="73"/>
        <v>0</v>
      </c>
      <c r="P135" s="126" t="str">
        <f t="shared" si="70"/>
        <v>✔</v>
      </c>
      <c r="Q135" s="126" t="str">
        <f t="shared" si="71"/>
        <v>✔</v>
      </c>
      <c r="T135" s="120"/>
      <c r="U135" s="119"/>
    </row>
    <row r="136" spans="2:21" ht="15">
      <c r="B136" s="358"/>
      <c r="C136" s="115"/>
      <c r="D136" s="115"/>
      <c r="E136" s="115"/>
      <c r="F136" s="46"/>
      <c r="G136" s="163"/>
      <c r="H136" s="442"/>
      <c r="I136" s="122"/>
      <c r="J136" s="123">
        <f>(I136)*Summary!$H$4</f>
        <v>0</v>
      </c>
      <c r="K136" s="135"/>
      <c r="L136" s="125"/>
      <c r="M136" s="316"/>
      <c r="P136" s="126">
        <f t="shared" ref="P136:P151" si="74">IF(E136="X",IF(F136&lt;&gt;"",IF(OR(H136&lt;&gt;"",M136&lt;&gt;""),"✔","ERROR"), "ERROR"), 0)</f>
        <v>0</v>
      </c>
      <c r="Q136" s="126">
        <f t="shared" ref="Q136:Q151" si="75">IF(D136="X", IF(F136&lt;&gt;"", IF(AND(L136&lt;&gt;"",M136&lt;&gt;""), "✔", "ERROR"), "ERROR"),0)</f>
        <v>0</v>
      </c>
      <c r="T136" s="120"/>
      <c r="U136" s="119"/>
    </row>
    <row r="137" spans="2:21" ht="15">
      <c r="B137" s="358" t="str">
        <f>COMPUTATION!B57</f>
        <v>ROUND DUCT COLLAR</v>
      </c>
      <c r="C137" s="115"/>
      <c r="D137" s="115"/>
      <c r="E137" s="115"/>
      <c r="F137" s="46"/>
      <c r="G137" s="163"/>
      <c r="H137" s="442"/>
      <c r="I137" s="122"/>
      <c r="J137" s="123">
        <f>(I137)*Summary!$H$4</f>
        <v>0</v>
      </c>
      <c r="K137" s="135"/>
      <c r="L137" s="125">
        <f t="shared" si="72"/>
        <v>0</v>
      </c>
      <c r="M137" s="316">
        <f t="shared" si="73"/>
        <v>0</v>
      </c>
      <c r="P137" s="126">
        <f t="shared" si="74"/>
        <v>0</v>
      </c>
      <c r="Q137" s="126">
        <f t="shared" si="75"/>
        <v>0</v>
      </c>
      <c r="T137" s="120"/>
      <c r="U137" s="119"/>
    </row>
    <row r="138" spans="2:21">
      <c r="B138" s="372">
        <f>COMPUTATION!B58</f>
        <v>10</v>
      </c>
      <c r="C138" s="115"/>
      <c r="D138" s="115" t="s">
        <v>31</v>
      </c>
      <c r="E138" s="115" t="s">
        <v>31</v>
      </c>
      <c r="F138" s="46">
        <f>COMPUTATION!C58</f>
        <v>18</v>
      </c>
      <c r="G138" s="163"/>
      <c r="H138" s="442">
        <v>0.11600000000000001</v>
      </c>
      <c r="I138" s="122">
        <f t="shared" si="63"/>
        <v>2.0880000000000001</v>
      </c>
      <c r="J138" s="123">
        <f>(I138)*Summary!$H$4</f>
        <v>0</v>
      </c>
      <c r="K138" s="135"/>
      <c r="L138" s="125">
        <f t="shared" si="72"/>
        <v>0</v>
      </c>
      <c r="M138" s="316">
        <f t="shared" si="73"/>
        <v>0</v>
      </c>
      <c r="P138" s="126" t="str">
        <f t="shared" si="74"/>
        <v>✔</v>
      </c>
      <c r="Q138" s="126" t="str">
        <f t="shared" si="75"/>
        <v>✔</v>
      </c>
      <c r="T138" s="120"/>
      <c r="U138" s="119"/>
    </row>
    <row r="139" spans="2:21">
      <c r="B139" s="372">
        <f>COMPUTATION!B59</f>
        <v>12</v>
      </c>
      <c r="C139" s="115"/>
      <c r="D139" s="115" t="s">
        <v>31</v>
      </c>
      <c r="E139" s="115" t="s">
        <v>31</v>
      </c>
      <c r="F139" s="46">
        <f>COMPUTATION!C59</f>
        <v>9</v>
      </c>
      <c r="G139" s="163"/>
      <c r="H139" s="442">
        <v>0.14000000000000001</v>
      </c>
      <c r="I139" s="122">
        <f t="shared" si="63"/>
        <v>1.2600000000000002</v>
      </c>
      <c r="J139" s="123">
        <f>(I139)*Summary!$H$4</f>
        <v>0</v>
      </c>
      <c r="K139" s="135"/>
      <c r="L139" s="125">
        <f t="shared" si="72"/>
        <v>0</v>
      </c>
      <c r="M139" s="316">
        <f t="shared" si="73"/>
        <v>0</v>
      </c>
      <c r="P139" s="126" t="str">
        <f t="shared" si="74"/>
        <v>✔</v>
      </c>
      <c r="Q139" s="126" t="str">
        <f t="shared" si="75"/>
        <v>✔</v>
      </c>
      <c r="T139" s="120"/>
      <c r="U139" s="119"/>
    </row>
    <row r="140" spans="2:21">
      <c r="B140" s="372">
        <f>COMPUTATION!B60</f>
        <v>16</v>
      </c>
      <c r="C140" s="115"/>
      <c r="D140" s="115" t="s">
        <v>31</v>
      </c>
      <c r="E140" s="115" t="s">
        <v>31</v>
      </c>
      <c r="F140" s="46">
        <f>COMPUTATION!C60</f>
        <v>2</v>
      </c>
      <c r="G140" s="163"/>
      <c r="H140" s="442">
        <v>0.17399999999999999</v>
      </c>
      <c r="I140" s="122">
        <f t="shared" si="63"/>
        <v>0.34799999999999998</v>
      </c>
      <c r="J140" s="123">
        <f>(I140)*Summary!$H$4</f>
        <v>0</v>
      </c>
      <c r="K140" s="135"/>
      <c r="L140" s="125">
        <f t="shared" si="72"/>
        <v>0</v>
      </c>
      <c r="M140" s="316">
        <f t="shared" si="73"/>
        <v>0</v>
      </c>
      <c r="P140" s="126" t="str">
        <f t="shared" si="74"/>
        <v>✔</v>
      </c>
      <c r="Q140" s="126" t="str">
        <f t="shared" si="75"/>
        <v>✔</v>
      </c>
      <c r="T140" s="120"/>
      <c r="U140" s="119"/>
    </row>
    <row r="141" spans="2:21">
      <c r="B141" s="372">
        <f>COMPUTATION!B61</f>
        <v>18</v>
      </c>
      <c r="C141" s="115"/>
      <c r="D141" s="115" t="s">
        <v>31</v>
      </c>
      <c r="E141" s="115" t="s">
        <v>31</v>
      </c>
      <c r="F141" s="46">
        <f>COMPUTATION!C61</f>
        <v>1</v>
      </c>
      <c r="G141" s="163"/>
      <c r="H141" s="442">
        <v>0.22</v>
      </c>
      <c r="I141" s="122">
        <f t="shared" si="63"/>
        <v>0.22</v>
      </c>
      <c r="J141" s="123">
        <f>(I141)*Summary!$H$4</f>
        <v>0</v>
      </c>
      <c r="K141" s="135"/>
      <c r="L141" s="125">
        <f t="shared" si="72"/>
        <v>0</v>
      </c>
      <c r="M141" s="316">
        <f t="shared" si="73"/>
        <v>0</v>
      </c>
      <c r="P141" s="126" t="str">
        <f t="shared" si="74"/>
        <v>✔</v>
      </c>
      <c r="Q141" s="126" t="str">
        <f t="shared" si="75"/>
        <v>✔</v>
      </c>
      <c r="T141" s="120"/>
      <c r="U141" s="119"/>
    </row>
    <row r="142" spans="2:21">
      <c r="B142" s="372">
        <f>COMPUTATION!B62</f>
        <v>20</v>
      </c>
      <c r="C142" s="115"/>
      <c r="D142" s="115" t="s">
        <v>31</v>
      </c>
      <c r="E142" s="115" t="s">
        <v>31</v>
      </c>
      <c r="F142" s="46">
        <f>COMPUTATION!C62</f>
        <v>2</v>
      </c>
      <c r="G142" s="163"/>
      <c r="H142" s="442">
        <v>0.22</v>
      </c>
      <c r="I142" s="122">
        <f t="shared" si="63"/>
        <v>0.44</v>
      </c>
      <c r="J142" s="123">
        <f>(I142)*Summary!$H$4</f>
        <v>0</v>
      </c>
      <c r="K142" s="135"/>
      <c r="L142" s="125">
        <f t="shared" si="72"/>
        <v>0</v>
      </c>
      <c r="M142" s="316">
        <f t="shared" si="73"/>
        <v>0</v>
      </c>
      <c r="P142" s="126" t="str">
        <f t="shared" si="74"/>
        <v>✔</v>
      </c>
      <c r="Q142" s="126" t="str">
        <f t="shared" si="75"/>
        <v>✔</v>
      </c>
      <c r="T142" s="120"/>
      <c r="U142" s="119"/>
    </row>
    <row r="143" spans="2:21">
      <c r="B143" s="372">
        <f>COMPUTATION!B63</f>
        <v>6</v>
      </c>
      <c r="C143" s="115"/>
      <c r="D143" s="115" t="s">
        <v>31</v>
      </c>
      <c r="E143" s="115" t="s">
        <v>31</v>
      </c>
      <c r="F143" s="46">
        <f>COMPUTATION!C63</f>
        <v>6</v>
      </c>
      <c r="G143" s="163"/>
      <c r="H143" s="442">
        <v>3.5999999999999997E-2</v>
      </c>
      <c r="I143" s="122">
        <f t="shared" si="63"/>
        <v>0.21599999999999997</v>
      </c>
      <c r="J143" s="123">
        <f>(I143)*Summary!$H$4</f>
        <v>0</v>
      </c>
      <c r="K143" s="135"/>
      <c r="L143" s="125">
        <f t="shared" si="72"/>
        <v>0</v>
      </c>
      <c r="M143" s="316">
        <f t="shared" si="73"/>
        <v>0</v>
      </c>
      <c r="P143" s="126" t="str">
        <f t="shared" si="74"/>
        <v>✔</v>
      </c>
      <c r="Q143" s="126" t="str">
        <f t="shared" si="75"/>
        <v>✔</v>
      </c>
      <c r="T143" s="120"/>
      <c r="U143" s="119"/>
    </row>
    <row r="144" spans="2:21" ht="15">
      <c r="B144" s="358"/>
      <c r="C144" s="115"/>
      <c r="D144" s="115"/>
      <c r="E144" s="115"/>
      <c r="F144" s="46"/>
      <c r="G144" s="163"/>
      <c r="H144" s="442"/>
      <c r="I144" s="122"/>
      <c r="J144" s="123">
        <f>(I144)*Summary!$H$4</f>
        <v>0</v>
      </c>
      <c r="K144" s="135"/>
      <c r="L144" s="125"/>
      <c r="M144" s="316"/>
      <c r="P144" s="126">
        <f t="shared" si="74"/>
        <v>0</v>
      </c>
      <c r="Q144" s="126">
        <f t="shared" si="75"/>
        <v>0</v>
      </c>
      <c r="T144" s="120"/>
      <c r="U144" s="119"/>
    </row>
    <row r="145" spans="2:21" ht="15">
      <c r="B145" s="358" t="str">
        <f>COMPUTATION!B65</f>
        <v>ROUND DUCT REDUCER</v>
      </c>
      <c r="C145" s="115"/>
      <c r="D145" s="115"/>
      <c r="E145" s="115"/>
      <c r="F145" s="46"/>
      <c r="G145" s="163"/>
      <c r="H145" s="442"/>
      <c r="I145" s="122"/>
      <c r="J145" s="123">
        <f>(I145)*Summary!$H$4</f>
        <v>0</v>
      </c>
      <c r="K145" s="135"/>
      <c r="L145" s="125">
        <f t="shared" si="72"/>
        <v>0</v>
      </c>
      <c r="M145" s="316">
        <f t="shared" si="73"/>
        <v>0</v>
      </c>
      <c r="P145" s="126">
        <f t="shared" si="74"/>
        <v>0</v>
      </c>
      <c r="Q145" s="126">
        <f t="shared" si="75"/>
        <v>0</v>
      </c>
      <c r="T145" s="120"/>
      <c r="U145" s="119"/>
    </row>
    <row r="146" spans="2:21">
      <c r="B146" s="372" t="str">
        <f>COMPUTATION!B66</f>
        <v>14 TO 10</v>
      </c>
      <c r="C146" s="115"/>
      <c r="D146" s="115" t="s">
        <v>31</v>
      </c>
      <c r="E146" s="115" t="s">
        <v>31</v>
      </c>
      <c r="F146" s="46">
        <f>COMPUTATION!C66</f>
        <v>1</v>
      </c>
      <c r="G146" s="163"/>
      <c r="H146" s="442">
        <v>0.26200000000000001</v>
      </c>
      <c r="I146" s="122">
        <f t="shared" si="63"/>
        <v>0.26200000000000001</v>
      </c>
      <c r="J146" s="123">
        <f>(I146)*Summary!$H$4</f>
        <v>0</v>
      </c>
      <c r="K146" s="135"/>
      <c r="L146" s="125">
        <f t="shared" si="72"/>
        <v>0</v>
      </c>
      <c r="M146" s="316">
        <f t="shared" si="73"/>
        <v>0</v>
      </c>
      <c r="P146" s="126" t="str">
        <f t="shared" si="74"/>
        <v>✔</v>
      </c>
      <c r="Q146" s="126" t="str">
        <f t="shared" si="75"/>
        <v>✔</v>
      </c>
      <c r="T146" s="120"/>
      <c r="U146" s="119"/>
    </row>
    <row r="147" spans="2:21">
      <c r="B147" s="372" t="str">
        <f>COMPUTATION!B67</f>
        <v>16 TO 10</v>
      </c>
      <c r="C147" s="115"/>
      <c r="D147" s="115" t="s">
        <v>31</v>
      </c>
      <c r="E147" s="115" t="s">
        <v>31</v>
      </c>
      <c r="F147" s="46">
        <f>COMPUTATION!C67</f>
        <v>1</v>
      </c>
      <c r="G147" s="163"/>
      <c r="H147" s="442">
        <v>0.26200000000000001</v>
      </c>
      <c r="I147" s="122">
        <f t="shared" si="63"/>
        <v>0.26200000000000001</v>
      </c>
      <c r="J147" s="123">
        <f>(I147)*Summary!$H$4</f>
        <v>0</v>
      </c>
      <c r="K147" s="135"/>
      <c r="L147" s="125">
        <f t="shared" si="72"/>
        <v>0</v>
      </c>
      <c r="M147" s="316">
        <f t="shared" si="73"/>
        <v>0</v>
      </c>
      <c r="P147" s="126" t="str">
        <f t="shared" si="74"/>
        <v>✔</v>
      </c>
      <c r="Q147" s="126" t="str">
        <f t="shared" si="75"/>
        <v>✔</v>
      </c>
      <c r="T147" s="120"/>
      <c r="U147" s="119"/>
    </row>
    <row r="148" spans="2:21">
      <c r="B148" s="372" t="str">
        <f>COMPUTATION!B68</f>
        <v>16 TO 12</v>
      </c>
      <c r="C148" s="115"/>
      <c r="D148" s="115" t="s">
        <v>31</v>
      </c>
      <c r="E148" s="115" t="s">
        <v>31</v>
      </c>
      <c r="F148" s="46">
        <f>COMPUTATION!C68</f>
        <v>1</v>
      </c>
      <c r="G148" s="163"/>
      <c r="H148" s="442">
        <v>0.26200000000000001</v>
      </c>
      <c r="I148" s="122">
        <f t="shared" si="63"/>
        <v>0.26200000000000001</v>
      </c>
      <c r="J148" s="123">
        <f>(I148)*Summary!$H$4</f>
        <v>0</v>
      </c>
      <c r="K148" s="135"/>
      <c r="L148" s="125">
        <f t="shared" si="72"/>
        <v>0</v>
      </c>
      <c r="M148" s="316">
        <f t="shared" si="73"/>
        <v>0</v>
      </c>
      <c r="P148" s="126" t="str">
        <f t="shared" si="74"/>
        <v>✔</v>
      </c>
      <c r="Q148" s="126" t="str">
        <f t="shared" si="75"/>
        <v>✔</v>
      </c>
      <c r="T148" s="120"/>
      <c r="U148" s="119"/>
    </row>
    <row r="149" spans="2:21">
      <c r="B149" s="372" t="str">
        <f>COMPUTATION!B69</f>
        <v>16 TO 14</v>
      </c>
      <c r="C149" s="115"/>
      <c r="D149" s="115" t="s">
        <v>31</v>
      </c>
      <c r="E149" s="115" t="s">
        <v>31</v>
      </c>
      <c r="F149" s="46">
        <f>COMPUTATION!C69</f>
        <v>1</v>
      </c>
      <c r="G149" s="163"/>
      <c r="H149" s="442">
        <v>0.26200000000000001</v>
      </c>
      <c r="I149" s="122">
        <f t="shared" si="63"/>
        <v>0.26200000000000001</v>
      </c>
      <c r="J149" s="123">
        <f>(I149)*Summary!$H$4</f>
        <v>0</v>
      </c>
      <c r="K149" s="135"/>
      <c r="L149" s="125">
        <f t="shared" si="72"/>
        <v>0</v>
      </c>
      <c r="M149" s="316">
        <f t="shared" si="73"/>
        <v>0</v>
      </c>
      <c r="P149" s="126" t="str">
        <f t="shared" si="74"/>
        <v>✔</v>
      </c>
      <c r="Q149" s="126" t="str">
        <f t="shared" si="75"/>
        <v>✔</v>
      </c>
      <c r="T149" s="120"/>
      <c r="U149" s="119"/>
    </row>
    <row r="150" spans="2:21">
      <c r="B150" s="372" t="str">
        <f>COMPUTATION!B70</f>
        <v>20 TO 16</v>
      </c>
      <c r="C150" s="115"/>
      <c r="D150" s="115" t="s">
        <v>31</v>
      </c>
      <c r="E150" s="115" t="s">
        <v>31</v>
      </c>
      <c r="F150" s="46">
        <f>COMPUTATION!C70</f>
        <v>1</v>
      </c>
      <c r="G150" s="163"/>
      <c r="H150" s="442">
        <v>0.33</v>
      </c>
      <c r="I150" s="122">
        <f t="shared" si="63"/>
        <v>0.33</v>
      </c>
      <c r="J150" s="123">
        <f>(I150)*Summary!$H$4</f>
        <v>0</v>
      </c>
      <c r="K150" s="135"/>
      <c r="L150" s="125">
        <f t="shared" si="72"/>
        <v>0</v>
      </c>
      <c r="M150" s="316">
        <f t="shared" si="73"/>
        <v>0</v>
      </c>
      <c r="P150" s="126" t="str">
        <f t="shared" si="74"/>
        <v>✔</v>
      </c>
      <c r="Q150" s="126" t="str">
        <f t="shared" si="75"/>
        <v>✔</v>
      </c>
      <c r="T150" s="120"/>
      <c r="U150" s="119"/>
    </row>
    <row r="151" spans="2:21" ht="15">
      <c r="B151" s="358"/>
      <c r="C151" s="115"/>
      <c r="D151" s="115"/>
      <c r="E151" s="115"/>
      <c r="F151" s="46"/>
      <c r="G151" s="163"/>
      <c r="H151" s="442"/>
      <c r="I151" s="122"/>
      <c r="J151" s="123">
        <f>(I151)*Summary!$H$4</f>
        <v>0</v>
      </c>
      <c r="K151" s="135"/>
      <c r="L151" s="125"/>
      <c r="M151" s="316"/>
      <c r="P151" s="126">
        <f t="shared" si="74"/>
        <v>0</v>
      </c>
      <c r="Q151" s="126">
        <f t="shared" si="75"/>
        <v>0</v>
      </c>
      <c r="T151" s="120"/>
      <c r="U151" s="119"/>
    </row>
    <row r="152" spans="2:21" ht="14.25" customHeight="1">
      <c r="B152" s="359" t="s">
        <v>54</v>
      </c>
      <c r="C152" s="439"/>
      <c r="D152" s="115" t="s">
        <v>31</v>
      </c>
      <c r="E152" s="115" t="s">
        <v>31</v>
      </c>
      <c r="F152" s="46">
        <f>SUM(G88:G106)/10</f>
        <v>29.195</v>
      </c>
      <c r="G152" s="116"/>
      <c r="H152" s="213">
        <v>0.5</v>
      </c>
      <c r="I152" s="122">
        <f t="shared" si="63"/>
        <v>14.5975</v>
      </c>
      <c r="J152" s="123">
        <f>(I152)*Summary!$H$4</f>
        <v>0</v>
      </c>
      <c r="K152" s="124"/>
      <c r="L152" s="125">
        <f t="shared" ref="L152" si="76">((F152+G152)*K152)</f>
        <v>0</v>
      </c>
      <c r="M152" s="360">
        <f>L152+J152</f>
        <v>0</v>
      </c>
      <c r="P152" s="126" t="str">
        <f t="shared" ref="P152" si="77">IF(E152="X",IF(F152&lt;&gt;"",IF(OR(H152&lt;&gt;"",M152&lt;&gt;""),"✔","ERROR"), "ERROR"), 0)</f>
        <v>✔</v>
      </c>
      <c r="Q152" s="126" t="str">
        <f t="shared" ref="Q152" si="78">IF(D152="X", IF(F152&lt;&gt;"", IF(AND(L152&lt;&gt;"",M152&lt;&gt;""), "✔", "ERROR"), "ERROR"),0)</f>
        <v>✔</v>
      </c>
      <c r="R152" s="119"/>
      <c r="T152" s="120"/>
      <c r="U152" s="119"/>
    </row>
    <row r="153" spans="2:21" s="128" customFormat="1" ht="24" customHeight="1">
      <c r="B153" s="361"/>
      <c r="C153" s="136"/>
      <c r="D153" s="137"/>
      <c r="E153" s="137"/>
      <c r="F153" s="138"/>
      <c r="G153" s="159">
        <f>SUM(G86:G152)</f>
        <v>346.94</v>
      </c>
      <c r="H153" s="362"/>
      <c r="I153" s="142">
        <f>SUM(I86:I152)</f>
        <v>102.53981999999996</v>
      </c>
      <c r="J153" s="137"/>
      <c r="K153" s="139"/>
      <c r="L153" s="160">
        <f>SUM(L86:L152)</f>
        <v>0</v>
      </c>
      <c r="M153" s="363"/>
      <c r="N153" s="217">
        <f>SUM(M85:M152)</f>
        <v>0</v>
      </c>
      <c r="O153" s="166"/>
      <c r="P153" s="126"/>
      <c r="Q153" s="126"/>
    </row>
    <row r="154" spans="2:21" ht="15.75" customHeight="1">
      <c r="B154" s="364" t="s">
        <v>48</v>
      </c>
      <c r="C154" s="440"/>
      <c r="D154" s="440"/>
      <c r="E154" s="440"/>
      <c r="F154" s="441"/>
      <c r="G154" s="183"/>
      <c r="H154" s="365"/>
      <c r="I154" s="145"/>
      <c r="J154" s="154"/>
      <c r="K154" s="184"/>
      <c r="L154" s="185">
        <f>L153*G154</f>
        <v>0</v>
      </c>
      <c r="M154" s="349"/>
      <c r="N154" s="182">
        <f>L154</f>
        <v>0</v>
      </c>
      <c r="O154" s="186"/>
      <c r="P154" s="126"/>
      <c r="Q154" s="126"/>
      <c r="T154" s="120"/>
      <c r="U154" s="119"/>
    </row>
    <row r="155" spans="2:21" ht="14.45" customHeight="1">
      <c r="B155" s="420"/>
      <c r="C155" s="414"/>
      <c r="D155" s="421"/>
      <c r="E155" s="421"/>
      <c r="F155" s="416"/>
      <c r="G155" s="103"/>
      <c r="H155" s="104"/>
      <c r="I155" s="113"/>
      <c r="J155" s="113"/>
      <c r="K155" s="105"/>
      <c r="L155" s="114"/>
      <c r="M155" s="422"/>
    </row>
    <row r="156" spans="2:21" ht="15">
      <c r="B156" s="355" t="s">
        <v>526</v>
      </c>
      <c r="C156" s="115"/>
      <c r="D156" s="437"/>
      <c r="E156" s="437"/>
      <c r="F156" s="46"/>
      <c r="G156" s="132"/>
      <c r="H156" s="213"/>
      <c r="I156" s="133"/>
      <c r="J156" s="133"/>
      <c r="K156" s="174"/>
      <c r="L156" s="134"/>
      <c r="M156" s="357"/>
      <c r="P156" s="126">
        <f t="shared" ref="P156:P157" si="79">IF(E156="X",IF(F156&lt;&gt;"",IF(OR(H156&lt;&gt;"",M156&lt;&gt;""),"✔","ERROR"), "ERROR"), 0)</f>
        <v>0</v>
      </c>
      <c r="Q156" s="126">
        <f t="shared" ref="Q156:Q157" si="80">IF(D156="X", IF(F156&lt;&gt;"", IF(AND(L156&lt;&gt;"",M156&lt;&gt;""), "✔", "ERROR"), "ERROR"),0)</f>
        <v>0</v>
      </c>
      <c r="T156" s="120"/>
      <c r="U156" s="119"/>
    </row>
    <row r="157" spans="2:21" ht="15">
      <c r="B157" s="358" t="str">
        <f>COMPUTATION!B76</f>
        <v>RECTANGULAR DUCT</v>
      </c>
      <c r="C157" s="437"/>
      <c r="D157" s="437"/>
      <c r="E157" s="437"/>
      <c r="F157" s="46"/>
      <c r="G157" s="132"/>
      <c r="H157" s="213"/>
      <c r="I157" s="133"/>
      <c r="J157" s="133"/>
      <c r="K157" s="174"/>
      <c r="L157" s="134"/>
      <c r="M157" s="357"/>
      <c r="P157" s="126">
        <f t="shared" si="79"/>
        <v>0</v>
      </c>
      <c r="Q157" s="126">
        <f t="shared" si="80"/>
        <v>0</v>
      </c>
      <c r="T157" s="120"/>
      <c r="U157" s="119"/>
    </row>
    <row r="158" spans="2:21">
      <c r="B158" s="372" t="str">
        <f>COMPUTATION!B77</f>
        <v>8X8</v>
      </c>
      <c r="C158" s="115"/>
      <c r="D158" s="115" t="s">
        <v>31</v>
      </c>
      <c r="E158" s="115" t="s">
        <v>31</v>
      </c>
      <c r="F158" s="46"/>
      <c r="G158" s="163">
        <f>COMPUTATION!C77</f>
        <v>59.53</v>
      </c>
      <c r="H158" s="442">
        <f>COMPUTATION!K77</f>
        <v>9.7000000000000003E-2</v>
      </c>
      <c r="I158" s="122">
        <f>((G158+F158)*H158)</f>
        <v>5.7744100000000005</v>
      </c>
      <c r="J158" s="123">
        <f>(I158)*Summary!$H$4</f>
        <v>0</v>
      </c>
      <c r="K158" s="135"/>
      <c r="L158" s="125">
        <f t="shared" ref="L158:L164" si="81">((F158+G158)*K158)</f>
        <v>0</v>
      </c>
      <c r="M158" s="316">
        <f t="shared" ref="M158" si="82">L158+J158</f>
        <v>0</v>
      </c>
      <c r="P158" s="126" t="str">
        <f t="shared" ref="P158" si="83">IF(E158="X",IF(G158&lt;&gt;"",IF(OR(H158&lt;&gt;"",M158&lt;&gt;""),"✔","ERROR"), "ERROR"), 0)</f>
        <v>✔</v>
      </c>
      <c r="Q158" s="126" t="str">
        <f t="shared" ref="Q158" si="84">IF(D158="X", IF(G158&lt;&gt;"", IF(AND(L158&lt;&gt;"",M158&lt;&gt;""), "✔", "ERROR"), "ERROR"),0)</f>
        <v>✔</v>
      </c>
      <c r="T158" s="120"/>
      <c r="U158" s="119"/>
    </row>
    <row r="159" spans="2:21" ht="14.45" customHeight="1">
      <c r="B159" s="358"/>
      <c r="C159" s="414"/>
      <c r="D159" s="115"/>
      <c r="E159" s="115"/>
      <c r="F159" s="46"/>
      <c r="G159" s="163"/>
      <c r="H159" s="442"/>
      <c r="I159" s="122"/>
      <c r="J159" s="123">
        <f>(I159)*Summary!$H$4</f>
        <v>0</v>
      </c>
      <c r="K159" s="135"/>
      <c r="L159" s="125">
        <f t="shared" si="81"/>
        <v>0</v>
      </c>
      <c r="M159" s="316"/>
      <c r="P159" s="126">
        <f t="shared" ref="P159" si="85">IF(E159="X",IF(F159&lt;&gt;"",IF(OR(H159&lt;&gt;"",M159&lt;&gt;""),"✔","ERROR"), "ERROR"), 0)</f>
        <v>0</v>
      </c>
      <c r="Q159" s="126">
        <f t="shared" ref="Q159" si="86">IF(D159="X", IF(F159&lt;&gt;"", IF(AND(L159&lt;&gt;"",M159&lt;&gt;""), "✔", "ERROR"), "ERROR"),0)</f>
        <v>0</v>
      </c>
    </row>
    <row r="160" spans="2:21" ht="15">
      <c r="B160" s="358" t="str">
        <f>COMPUTATION!B79</f>
        <v>FITTINGS</v>
      </c>
      <c r="C160" s="115"/>
      <c r="D160" s="115"/>
      <c r="E160" s="115"/>
      <c r="F160" s="46"/>
      <c r="G160" s="163"/>
      <c r="H160" s="442"/>
      <c r="I160" s="122"/>
      <c r="J160" s="123">
        <f>(I160)*Summary!$H$4</f>
        <v>0</v>
      </c>
      <c r="K160" s="135"/>
      <c r="L160" s="125">
        <f t="shared" si="81"/>
        <v>0</v>
      </c>
      <c r="M160" s="316">
        <f t="shared" ref="M160:M162" si="87">L160+J160</f>
        <v>0</v>
      </c>
      <c r="P160" s="126">
        <f t="shared" ref="P160:P163" si="88">IF(E160="X",IF(F160&lt;&gt;"",IF(OR(H160&lt;&gt;"",M160&lt;&gt;""),"✔","ERROR"), "ERROR"), 0)</f>
        <v>0</v>
      </c>
      <c r="Q160" s="126">
        <f t="shared" ref="Q160:Q163" si="89">IF(D160="X", IF(F160&lt;&gt;"", IF(AND(L160&lt;&gt;"",M160&lt;&gt;""), "✔", "ERROR"), "ERROR"),0)</f>
        <v>0</v>
      </c>
      <c r="T160" s="120"/>
      <c r="U160" s="119"/>
    </row>
    <row r="161" spans="2:22" ht="15">
      <c r="B161" s="358" t="str">
        <f>COMPUTATION!B80</f>
        <v>RECTANGULAR DUCT 90DEG ELBOW</v>
      </c>
      <c r="C161" s="437"/>
      <c r="D161" s="115"/>
      <c r="E161" s="115"/>
      <c r="F161" s="46"/>
      <c r="G161" s="163"/>
      <c r="H161" s="442"/>
      <c r="I161" s="122"/>
      <c r="J161" s="123">
        <f>(I161)*Summary!$H$4</f>
        <v>0</v>
      </c>
      <c r="K161" s="135"/>
      <c r="L161" s="125">
        <f t="shared" si="81"/>
        <v>0</v>
      </c>
      <c r="M161" s="316">
        <f t="shared" si="87"/>
        <v>0</v>
      </c>
      <c r="P161" s="126">
        <f t="shared" si="88"/>
        <v>0</v>
      </c>
      <c r="Q161" s="126">
        <f t="shared" si="89"/>
        <v>0</v>
      </c>
      <c r="T161" s="120"/>
      <c r="U161" s="119"/>
    </row>
    <row r="162" spans="2:22">
      <c r="B162" s="372" t="str">
        <f>COMPUTATION!B81</f>
        <v>8X8</v>
      </c>
      <c r="C162" s="437"/>
      <c r="D162" s="115" t="s">
        <v>31</v>
      </c>
      <c r="E162" s="115" t="s">
        <v>31</v>
      </c>
      <c r="F162" s="46">
        <f>COMPUTATION!C81</f>
        <v>2</v>
      </c>
      <c r="G162" s="163"/>
      <c r="H162" s="442">
        <v>0.13200000000000001</v>
      </c>
      <c r="I162" s="122">
        <f t="shared" ref="I162:I164" si="90">((G162+F162)*H162)</f>
        <v>0.26400000000000001</v>
      </c>
      <c r="J162" s="123">
        <f>(I162)*Summary!$H$4</f>
        <v>0</v>
      </c>
      <c r="K162" s="135"/>
      <c r="L162" s="125">
        <f t="shared" si="81"/>
        <v>0</v>
      </c>
      <c r="M162" s="316">
        <f t="shared" si="87"/>
        <v>0</v>
      </c>
      <c r="P162" s="126" t="str">
        <f t="shared" si="88"/>
        <v>✔</v>
      </c>
      <c r="Q162" s="126" t="str">
        <f t="shared" si="89"/>
        <v>✔</v>
      </c>
      <c r="T162" s="120"/>
      <c r="U162" s="119"/>
    </row>
    <row r="163" spans="2:22" ht="15">
      <c r="B163" s="358"/>
      <c r="C163" s="115"/>
      <c r="D163" s="115"/>
      <c r="E163" s="115"/>
      <c r="F163" s="46"/>
      <c r="G163" s="163"/>
      <c r="H163" s="442"/>
      <c r="I163" s="122"/>
      <c r="J163" s="123">
        <f>(I163)*Summary!$H$4</f>
        <v>0</v>
      </c>
      <c r="K163" s="135"/>
      <c r="L163" s="125">
        <f t="shared" si="81"/>
        <v>0</v>
      </c>
      <c r="M163" s="316"/>
      <c r="P163" s="126">
        <f t="shared" si="88"/>
        <v>0</v>
      </c>
      <c r="Q163" s="126">
        <f t="shared" si="89"/>
        <v>0</v>
      </c>
      <c r="T163" s="120"/>
      <c r="U163" s="119"/>
    </row>
    <row r="164" spans="2:22" ht="14.25" customHeight="1">
      <c r="B164" s="359" t="s">
        <v>54</v>
      </c>
      <c r="C164" s="439"/>
      <c r="D164" s="115" t="s">
        <v>31</v>
      </c>
      <c r="E164" s="115" t="s">
        <v>31</v>
      </c>
      <c r="F164" s="46">
        <f>SUM(G158:G160)/10</f>
        <v>5.9530000000000003</v>
      </c>
      <c r="G164" s="116"/>
      <c r="H164" s="213">
        <v>0.5</v>
      </c>
      <c r="I164" s="122">
        <f t="shared" si="90"/>
        <v>2.9765000000000001</v>
      </c>
      <c r="J164" s="123">
        <f>(I164)*Summary!$H$4</f>
        <v>0</v>
      </c>
      <c r="K164" s="124"/>
      <c r="L164" s="125">
        <f t="shared" si="81"/>
        <v>0</v>
      </c>
      <c r="M164" s="360">
        <f>L164+J164</f>
        <v>0</v>
      </c>
      <c r="P164" s="126" t="str">
        <f t="shared" ref="P164" si="91">IF(E164="X",IF(F164&lt;&gt;"",IF(OR(H164&lt;&gt;"",M164&lt;&gt;""),"✔","ERROR"), "ERROR"), 0)</f>
        <v>✔</v>
      </c>
      <c r="Q164" s="126" t="str">
        <f t="shared" ref="Q164" si="92">IF(D164="X", IF(F164&lt;&gt;"", IF(AND(L164&lt;&gt;"",M164&lt;&gt;""), "✔", "ERROR"), "ERROR"),0)</f>
        <v>✔</v>
      </c>
      <c r="R164" s="119"/>
      <c r="T164" s="120"/>
      <c r="U164" s="119"/>
    </row>
    <row r="165" spans="2:22" s="128" customFormat="1" ht="24" customHeight="1">
      <c r="B165" s="361"/>
      <c r="C165" s="136"/>
      <c r="D165" s="137"/>
      <c r="E165" s="137"/>
      <c r="F165" s="138"/>
      <c r="G165" s="159">
        <f>SUM(G157:G164)</f>
        <v>59.53</v>
      </c>
      <c r="H165" s="227"/>
      <c r="I165" s="142">
        <f>SUM(I156:I164)</f>
        <v>9.0149100000000004</v>
      </c>
      <c r="J165" s="137"/>
      <c r="K165" s="139"/>
      <c r="L165" s="160">
        <f>SUM(L156:L164)</f>
        <v>0</v>
      </c>
      <c r="M165" s="363"/>
      <c r="N165" s="217">
        <f>SUM(M155:M164)</f>
        <v>0</v>
      </c>
      <c r="O165" s="166"/>
      <c r="P165" s="126"/>
      <c r="Q165" s="126"/>
    </row>
    <row r="166" spans="2:22" ht="15.75" customHeight="1">
      <c r="B166" s="364" t="s">
        <v>48</v>
      </c>
      <c r="C166" s="440"/>
      <c r="D166" s="440"/>
      <c r="E166" s="440"/>
      <c r="F166" s="441"/>
      <c r="G166" s="183"/>
      <c r="H166" s="145"/>
      <c r="I166" s="145"/>
      <c r="J166" s="154"/>
      <c r="K166" s="184"/>
      <c r="L166" s="185">
        <f>L165*G166</f>
        <v>0</v>
      </c>
      <c r="M166" s="349"/>
      <c r="N166" s="182">
        <f>L166</f>
        <v>0</v>
      </c>
      <c r="O166" s="186"/>
      <c r="P166" s="126"/>
      <c r="Q166" s="126"/>
      <c r="T166" s="120"/>
      <c r="U166" s="119"/>
    </row>
    <row r="167" spans="2:22" ht="15.75" customHeight="1">
      <c r="B167" s="364"/>
      <c r="C167" s="440"/>
      <c r="D167" s="440"/>
      <c r="E167" s="440"/>
      <c r="F167" s="441"/>
      <c r="G167" s="183"/>
      <c r="H167" s="145"/>
      <c r="I167" s="145"/>
      <c r="J167" s="154"/>
      <c r="K167" s="184"/>
      <c r="L167" s="185"/>
      <c r="M167" s="349"/>
      <c r="N167" s="182"/>
      <c r="O167" s="186"/>
      <c r="P167" s="126"/>
      <c r="Q167" s="126"/>
      <c r="T167" s="120"/>
      <c r="U167" s="119"/>
    </row>
    <row r="168" spans="2:22" s="100" customFormat="1">
      <c r="B168" s="399" t="s">
        <v>439</v>
      </c>
      <c r="C168" s="427"/>
      <c r="D168" s="427"/>
      <c r="E168" s="427"/>
      <c r="F168" s="334"/>
      <c r="G168" s="373"/>
      <c r="H168" s="400"/>
      <c r="I168" s="374"/>
      <c r="J168" s="118"/>
      <c r="K168" s="375"/>
      <c r="L168" s="376"/>
      <c r="M168" s="401"/>
      <c r="N168" s="98"/>
      <c r="O168" s="98"/>
      <c r="P168" s="126"/>
      <c r="Q168" s="126"/>
      <c r="R168" s="98"/>
      <c r="S168" s="98"/>
      <c r="T168" s="98"/>
      <c r="U168" s="98"/>
      <c r="V168" s="98"/>
    </row>
    <row r="169" spans="2:22" s="100" customFormat="1">
      <c r="B169" s="399"/>
      <c r="C169" s="427"/>
      <c r="D169" s="427"/>
      <c r="E169" s="427"/>
      <c r="F169" s="334"/>
      <c r="G169" s="373"/>
      <c r="H169" s="400"/>
      <c r="I169" s="374"/>
      <c r="J169" s="118"/>
      <c r="K169" s="375"/>
      <c r="L169" s="376"/>
      <c r="M169" s="401"/>
      <c r="N169" s="98"/>
      <c r="O169" s="98"/>
      <c r="P169" s="126"/>
      <c r="Q169" s="126"/>
      <c r="R169" s="98"/>
      <c r="S169" s="98"/>
      <c r="T169" s="98"/>
      <c r="U169" s="98"/>
      <c r="V169" s="98"/>
    </row>
    <row r="170" spans="2:22" s="377" customFormat="1" ht="15.75" customHeight="1">
      <c r="B170" s="443" t="s">
        <v>440</v>
      </c>
      <c r="C170" s="427" t="s">
        <v>445</v>
      </c>
      <c r="D170" s="427" t="s">
        <v>31</v>
      </c>
      <c r="E170" s="427" t="s">
        <v>31</v>
      </c>
      <c r="F170" s="334">
        <f>SUM(F12:F14)</f>
        <v>3</v>
      </c>
      <c r="G170" s="378"/>
      <c r="H170" s="568">
        <v>4</v>
      </c>
      <c r="I170" s="122">
        <f>((G170+F170)*H170)</f>
        <v>12</v>
      </c>
      <c r="J170" s="123">
        <f>(I170)*Summary!$H$4</f>
        <v>0</v>
      </c>
      <c r="K170" s="563"/>
      <c r="L170" s="379">
        <f>((F170+G170)*K170)</f>
        <v>0</v>
      </c>
      <c r="M170" s="444">
        <f>L170+J170</f>
        <v>0</v>
      </c>
      <c r="N170" s="380"/>
      <c r="O170" s="380"/>
      <c r="P170" s="381" t="str">
        <f>IF(E170="X",IF(F170&lt;&gt;"",IF(OR(H170&lt;&gt;"",M170&lt;&gt;""),"✔","ERROR"), "ERROR"), 0)</f>
        <v>✔</v>
      </c>
      <c r="Q170" s="381" t="str">
        <f>IF(D170="X", IF(F170&lt;&gt;"", IF(AND(L170&lt;&gt;"",M170&lt;&gt;""), "✔", "ERROR"), "ERROR"),0)</f>
        <v>✔</v>
      </c>
      <c r="R170" s="380"/>
    </row>
    <row r="171" spans="2:22" s="377" customFormat="1" ht="15.75" customHeight="1">
      <c r="B171" s="443" t="s">
        <v>440</v>
      </c>
      <c r="C171" s="427" t="s">
        <v>441</v>
      </c>
      <c r="D171" s="427" t="s">
        <v>31</v>
      </c>
      <c r="E171" s="427" t="s">
        <v>31</v>
      </c>
      <c r="F171" s="334">
        <f>SUM(F39:F40)</f>
        <v>2</v>
      </c>
      <c r="G171" s="378"/>
      <c r="H171" s="568">
        <v>1</v>
      </c>
      <c r="I171" s="122">
        <f t="shared" ref="I171:I174" si="93">((G171+F171)*H171)</f>
        <v>2</v>
      </c>
      <c r="J171" s="123">
        <f>(I171)*Summary!$H$4</f>
        <v>0</v>
      </c>
      <c r="K171" s="563"/>
      <c r="L171" s="379">
        <f t="shared" ref="L171" si="94">((F171+G171)*K171)</f>
        <v>0</v>
      </c>
      <c r="M171" s="444">
        <f t="shared" ref="M171" si="95">L171+J171</f>
        <v>0</v>
      </c>
      <c r="N171" s="380"/>
      <c r="O171" s="380"/>
      <c r="P171" s="381" t="str">
        <f t="shared" ref="P171:P174" si="96">IF(E171="X",IF(F171&lt;&gt;"",IF(OR(H171&lt;&gt;"",M171&lt;&gt;""),"✔","ERROR"), "ERROR"), 0)</f>
        <v>✔</v>
      </c>
      <c r="Q171" s="381" t="str">
        <f t="shared" ref="Q171:Q174" si="97">IF(D171="X", IF(F171&lt;&gt;"", IF(AND(L171&lt;&gt;"",M171&lt;&gt;""), "✔", "ERROR"), "ERROR"),0)</f>
        <v>✔</v>
      </c>
      <c r="R171" s="380"/>
    </row>
    <row r="172" spans="2:22" s="377" customFormat="1" ht="15.75" customHeight="1">
      <c r="B172" s="443" t="s">
        <v>440</v>
      </c>
      <c r="C172" s="427" t="s">
        <v>450</v>
      </c>
      <c r="D172" s="427" t="s">
        <v>31</v>
      </c>
      <c r="E172" s="427" t="s">
        <v>31</v>
      </c>
      <c r="F172" s="334">
        <f>F28</f>
        <v>1</v>
      </c>
      <c r="G172" s="378"/>
      <c r="H172" s="568">
        <v>2</v>
      </c>
      <c r="I172" s="122">
        <f t="shared" si="93"/>
        <v>2</v>
      </c>
      <c r="J172" s="123">
        <f>(I172)*Summary!$H$4</f>
        <v>0</v>
      </c>
      <c r="K172" s="563"/>
      <c r="L172" s="379">
        <f t="shared" ref="L172" si="98">((F172+G172)*K172)</f>
        <v>0</v>
      </c>
      <c r="M172" s="444">
        <f t="shared" ref="M172" si="99">L172+J172</f>
        <v>0</v>
      </c>
      <c r="N172" s="380"/>
      <c r="O172" s="380"/>
      <c r="P172" s="381" t="str">
        <f t="shared" ref="P172" si="100">IF(E172="X",IF(F172&lt;&gt;"",IF(OR(H172&lt;&gt;"",M172&lt;&gt;""),"✔","ERROR"), "ERROR"), 0)</f>
        <v>✔</v>
      </c>
      <c r="Q172" s="381" t="str">
        <f t="shared" ref="Q172" si="101">IF(D172="X", IF(F172&lt;&gt;"", IF(AND(L172&lt;&gt;"",M172&lt;&gt;""), "✔", "ERROR"), "ERROR"),0)</f>
        <v>✔</v>
      </c>
      <c r="R172" s="380"/>
    </row>
    <row r="173" spans="2:22" s="380" customFormat="1" ht="15.75" customHeight="1">
      <c r="B173" s="443" t="s">
        <v>442</v>
      </c>
      <c r="C173" s="427" t="s">
        <v>445</v>
      </c>
      <c r="D173" s="427" t="s">
        <v>31</v>
      </c>
      <c r="E173" s="427" t="s">
        <v>31</v>
      </c>
      <c r="F173" s="334">
        <f>F170</f>
        <v>3</v>
      </c>
      <c r="G173" s="378"/>
      <c r="H173" s="568">
        <v>4</v>
      </c>
      <c r="I173" s="122">
        <f t="shared" si="93"/>
        <v>12</v>
      </c>
      <c r="J173" s="123">
        <f>(I173)*Summary!$H$4</f>
        <v>0</v>
      </c>
      <c r="K173" s="563"/>
      <c r="L173" s="379">
        <f>((F173+G173)*K173)</f>
        <v>0</v>
      </c>
      <c r="M173" s="444">
        <f>L173+J173</f>
        <v>0</v>
      </c>
      <c r="P173" s="381" t="str">
        <f t="shared" si="96"/>
        <v>✔</v>
      </c>
      <c r="Q173" s="381" t="str">
        <f t="shared" si="97"/>
        <v>✔</v>
      </c>
    </row>
    <row r="174" spans="2:22" s="380" customFormat="1" ht="15.75" customHeight="1">
      <c r="B174" s="443" t="s">
        <v>443</v>
      </c>
      <c r="C174" s="445" t="s">
        <v>444</v>
      </c>
      <c r="D174" s="427" t="s">
        <v>31</v>
      </c>
      <c r="E174" s="427" t="s">
        <v>31</v>
      </c>
      <c r="F174" s="334">
        <f>SUM(F57:F60)</f>
        <v>23</v>
      </c>
      <c r="G174" s="378"/>
      <c r="H174" s="568">
        <v>0.25</v>
      </c>
      <c r="I174" s="122">
        <f t="shared" si="93"/>
        <v>5.75</v>
      </c>
      <c r="J174" s="123">
        <f>(I174)*Summary!$H$4</f>
        <v>0</v>
      </c>
      <c r="K174" s="563"/>
      <c r="L174" s="379">
        <f>((F174+G174)*K174)</f>
        <v>0</v>
      </c>
      <c r="M174" s="444">
        <f>L174+J174</f>
        <v>0</v>
      </c>
      <c r="P174" s="381" t="str">
        <f t="shared" si="96"/>
        <v>✔</v>
      </c>
      <c r="Q174" s="381" t="str">
        <f t="shared" si="97"/>
        <v>✔</v>
      </c>
    </row>
    <row r="175" spans="2:22" s="128" customFormat="1" ht="24" customHeight="1">
      <c r="B175" s="361"/>
      <c r="C175" s="136"/>
      <c r="D175" s="137"/>
      <c r="E175" s="137"/>
      <c r="F175" s="382"/>
      <c r="G175" s="382"/>
      <c r="H175" s="362"/>
      <c r="I175" s="142">
        <f>SUM(I168:I174)</f>
        <v>33.75</v>
      </c>
      <c r="J175" s="137"/>
      <c r="K175" s="139"/>
      <c r="L175" s="160">
        <f>SUM(L170:L174)</f>
        <v>0</v>
      </c>
      <c r="M175" s="363"/>
      <c r="N175" s="158">
        <f>SUM(M170:M174)</f>
        <v>0</v>
      </c>
      <c r="O175" s="102"/>
      <c r="P175" s="126"/>
      <c r="Q175" s="126"/>
      <c r="R175" s="102"/>
    </row>
    <row r="176" spans="2:22" ht="15.75" customHeight="1">
      <c r="B176" s="364"/>
      <c r="C176" s="440"/>
      <c r="D176" s="440"/>
      <c r="E176" s="440"/>
      <c r="F176" s="441"/>
      <c r="G176" s="183"/>
      <c r="H176" s="145"/>
      <c r="I176" s="145"/>
      <c r="J176" s="154"/>
      <c r="K176" s="184"/>
      <c r="L176" s="185"/>
      <c r="M176" s="349"/>
      <c r="N176" s="182"/>
      <c r="O176" s="186"/>
      <c r="P176" s="126"/>
      <c r="Q176" s="126"/>
      <c r="T176" s="120"/>
      <c r="U176" s="119"/>
    </row>
    <row r="177" spans="2:22" s="49" customFormat="1" ht="15">
      <c r="B177" s="566" t="s">
        <v>32</v>
      </c>
      <c r="C177" s="427"/>
      <c r="D177" s="432"/>
      <c r="E177" s="432"/>
      <c r="F177" s="46"/>
      <c r="G177" s="132"/>
      <c r="H177" s="213"/>
      <c r="I177" s="133"/>
      <c r="J177" s="133"/>
      <c r="K177" s="174"/>
      <c r="L177" s="144"/>
      <c r="M177" s="446"/>
      <c r="N177" s="45"/>
      <c r="O177" s="45"/>
      <c r="P177" s="126"/>
      <c r="Q177" s="126"/>
      <c r="R177" s="45"/>
      <c r="S177" s="45"/>
      <c r="T177" s="45"/>
      <c r="U177" s="45"/>
      <c r="V177" s="45"/>
    </row>
    <row r="178" spans="2:22" s="45" customFormat="1">
      <c r="B178" s="399" t="str">
        <f>COMPUTATION!B98</f>
        <v>BLACK WEB STRAP 1.5" X 100</v>
      </c>
      <c r="C178" s="427"/>
      <c r="D178" s="427" t="s">
        <v>31</v>
      </c>
      <c r="E178" s="427" t="s">
        <v>31</v>
      </c>
      <c r="F178" s="469">
        <f>COMPUTATION!C98</f>
        <v>0.46953250000000002</v>
      </c>
      <c r="G178" s="132"/>
      <c r="H178" s="213">
        <v>0.25</v>
      </c>
      <c r="I178" s="122">
        <f>((G178+F178)*H178)</f>
        <v>0.117383125</v>
      </c>
      <c r="J178" s="123">
        <f>(I178)*Summary!$H$4</f>
        <v>0</v>
      </c>
      <c r="K178" s="563"/>
      <c r="L178" s="379">
        <f>((F178+G178)*K178)</f>
        <v>0</v>
      </c>
      <c r="M178" s="444">
        <f>L178+J178</f>
        <v>0</v>
      </c>
      <c r="P178" s="126" t="str">
        <f>IF(E178="X",IF(F178&lt;&gt;"",IF(OR(H178&lt;&gt;"",M178&lt;&gt;""),"✔","ERROR"), "ERROR"), 0)</f>
        <v>✔</v>
      </c>
      <c r="Q178" s="126" t="str">
        <f>IF(D178="X", IF(F178&lt;&gt;"", IF(AND(L178&lt;&gt;"",M178&lt;&gt;""), "✔", "ERROR"), "ERROR"),0)</f>
        <v>✔</v>
      </c>
    </row>
    <row r="179" spans="2:22" s="45" customFormat="1">
      <c r="B179" s="399" t="str">
        <f>COMPUTATION!B99</f>
        <v>3/4" PVC PIPE (10FT PIECE)</v>
      </c>
      <c r="C179" s="427"/>
      <c r="D179" s="427" t="s">
        <v>31</v>
      </c>
      <c r="E179" s="427" t="s">
        <v>31</v>
      </c>
      <c r="F179" s="46">
        <f>COMPUTATION!C99</f>
        <v>3</v>
      </c>
      <c r="G179" s="373"/>
      <c r="H179" s="400">
        <v>1</v>
      </c>
      <c r="I179" s="122">
        <f t="shared" ref="I179:I193" si="102">((G179+F179)*H179)</f>
        <v>3</v>
      </c>
      <c r="J179" s="123">
        <f>(I179)*Summary!$H$4</f>
        <v>0</v>
      </c>
      <c r="K179" s="563"/>
      <c r="L179" s="379">
        <f t="shared" ref="L179:L193" si="103">((F179+G179)*K179)</f>
        <v>0</v>
      </c>
      <c r="M179" s="444">
        <f t="shared" ref="M179:M193" si="104">L179+J179</f>
        <v>0</v>
      </c>
      <c r="P179" s="126" t="str">
        <f t="shared" ref="P179" si="105">IF(E179="X",IF(F179&lt;&gt;"",IF(OR(H179&lt;&gt;"",M179&lt;&gt;""),"✔","ERROR"), "ERROR"), 0)</f>
        <v>✔</v>
      </c>
      <c r="Q179" s="126" t="str">
        <f t="shared" ref="Q179" si="106">IF(D179="X", IF(F179&lt;&gt;"", IF(AND(L179&lt;&gt;"",M179&lt;&gt;""), "✔", "ERROR"), "ERROR"),0)</f>
        <v>✔</v>
      </c>
    </row>
    <row r="180" spans="2:22" s="45" customFormat="1">
      <c r="B180" s="399" t="str">
        <f>COMPUTATION!B100</f>
        <v>3/4" SCH 40 PVC COUPLING SXS</v>
      </c>
      <c r="C180" s="427"/>
      <c r="D180" s="427" t="s">
        <v>31</v>
      </c>
      <c r="E180" s="427" t="s">
        <v>31</v>
      </c>
      <c r="F180" s="46">
        <f>COMPUTATION!C100</f>
        <v>3</v>
      </c>
      <c r="G180" s="373"/>
      <c r="H180" s="400">
        <v>0.1</v>
      </c>
      <c r="I180" s="122">
        <f t="shared" si="102"/>
        <v>0.30000000000000004</v>
      </c>
      <c r="J180" s="123">
        <f>(I180)*Summary!$H$4</f>
        <v>0</v>
      </c>
      <c r="K180" s="563"/>
      <c r="L180" s="379">
        <f t="shared" si="103"/>
        <v>0</v>
      </c>
      <c r="M180" s="444">
        <f t="shared" si="104"/>
        <v>0</v>
      </c>
      <c r="P180" s="126" t="str">
        <f t="shared" ref="P180:P205" si="107">IF(E180="X",IF(F180&lt;&gt;"",IF(OR(H180&lt;&gt;"",M180&lt;&gt;""),"✔","ERROR"), "ERROR"), 0)</f>
        <v>✔</v>
      </c>
      <c r="Q180" s="126" t="str">
        <f t="shared" ref="Q180:Q205" si="108">IF(D180="X", IF(F180&lt;&gt;"", IF(AND(L180&lt;&gt;"",M180&lt;&gt;""), "✔", "ERROR"), "ERROR"),0)</f>
        <v>✔</v>
      </c>
    </row>
    <row r="181" spans="2:22" s="45" customFormat="1">
      <c r="B181" s="399" t="str">
        <f>COMPUTATION!B101</f>
        <v>3/4" SCH 40 PVC MALE ADAPTER</v>
      </c>
      <c r="C181" s="427"/>
      <c r="D181" s="427" t="s">
        <v>31</v>
      </c>
      <c r="E181" s="427" t="s">
        <v>31</v>
      </c>
      <c r="F181" s="46">
        <f>COMPUTATION!C101</f>
        <v>6</v>
      </c>
      <c r="G181" s="373"/>
      <c r="H181" s="400">
        <v>0.1</v>
      </c>
      <c r="I181" s="122">
        <f t="shared" si="102"/>
        <v>0.60000000000000009</v>
      </c>
      <c r="J181" s="123">
        <f>(I181)*Summary!$H$4</f>
        <v>0</v>
      </c>
      <c r="K181" s="563"/>
      <c r="L181" s="379">
        <f t="shared" si="103"/>
        <v>0</v>
      </c>
      <c r="M181" s="444">
        <f t="shared" si="104"/>
        <v>0</v>
      </c>
      <c r="P181" s="126" t="str">
        <f t="shared" si="107"/>
        <v>✔</v>
      </c>
      <c r="Q181" s="126" t="str">
        <f t="shared" si="108"/>
        <v>✔</v>
      </c>
    </row>
    <row r="182" spans="2:22" s="45" customFormat="1">
      <c r="B182" s="399" t="str">
        <f>COMPUTATION!B102</f>
        <v>3/4" PVC 90 DEG ELBOW S X S SCH40</v>
      </c>
      <c r="C182" s="427"/>
      <c r="D182" s="427" t="s">
        <v>31</v>
      </c>
      <c r="E182" s="427" t="s">
        <v>31</v>
      </c>
      <c r="F182" s="46">
        <f>COMPUTATION!C102</f>
        <v>18</v>
      </c>
      <c r="G182" s="373"/>
      <c r="H182" s="400">
        <v>0.2</v>
      </c>
      <c r="I182" s="122">
        <f t="shared" si="102"/>
        <v>3.6</v>
      </c>
      <c r="J182" s="123">
        <f>(I182)*Summary!$H$4</f>
        <v>0</v>
      </c>
      <c r="K182" s="563"/>
      <c r="L182" s="379">
        <f t="shared" si="103"/>
        <v>0</v>
      </c>
      <c r="M182" s="444">
        <f t="shared" si="104"/>
        <v>0</v>
      </c>
      <c r="P182" s="126" t="str">
        <f t="shared" si="107"/>
        <v>✔</v>
      </c>
      <c r="Q182" s="126" t="str">
        <f t="shared" si="108"/>
        <v>✔</v>
      </c>
    </row>
    <row r="183" spans="2:22" s="45" customFormat="1">
      <c r="B183" s="399" t="str">
        <f>COMPUTATION!B103</f>
        <v>3/4" PVC CAP</v>
      </c>
      <c r="C183" s="427"/>
      <c r="D183" s="427" t="s">
        <v>31</v>
      </c>
      <c r="E183" s="427" t="s">
        <v>31</v>
      </c>
      <c r="F183" s="46">
        <f>COMPUTATION!C103</f>
        <v>3</v>
      </c>
      <c r="G183" s="373"/>
      <c r="H183" s="400">
        <v>0.1</v>
      </c>
      <c r="I183" s="122">
        <f t="shared" si="102"/>
        <v>0.30000000000000004</v>
      </c>
      <c r="J183" s="123">
        <f>(I183)*Summary!$H$4</f>
        <v>0</v>
      </c>
      <c r="K183" s="563"/>
      <c r="L183" s="379">
        <f t="shared" si="103"/>
        <v>0</v>
      </c>
      <c r="M183" s="444">
        <f t="shared" si="104"/>
        <v>0</v>
      </c>
      <c r="P183" s="126" t="str">
        <f t="shared" si="107"/>
        <v>✔</v>
      </c>
      <c r="Q183" s="126" t="str">
        <f t="shared" si="108"/>
        <v>✔</v>
      </c>
    </row>
    <row r="184" spans="2:22" s="45" customFormat="1">
      <c r="B184" s="399" t="str">
        <f>COMPUTATION!B104</f>
        <v>3/4" PVC TEE</v>
      </c>
      <c r="C184" s="427"/>
      <c r="D184" s="427" t="s">
        <v>31</v>
      </c>
      <c r="E184" s="427" t="s">
        <v>31</v>
      </c>
      <c r="F184" s="46">
        <f>COMPUTATION!C104</f>
        <v>3</v>
      </c>
      <c r="G184" s="373"/>
      <c r="H184" s="400">
        <v>0.2</v>
      </c>
      <c r="I184" s="122">
        <f t="shared" si="102"/>
        <v>0.60000000000000009</v>
      </c>
      <c r="J184" s="123">
        <f>(I184)*Summary!$H$4</f>
        <v>0</v>
      </c>
      <c r="K184" s="563"/>
      <c r="L184" s="379">
        <f t="shared" si="103"/>
        <v>0</v>
      </c>
      <c r="M184" s="444">
        <f t="shared" si="104"/>
        <v>0</v>
      </c>
      <c r="P184" s="126" t="str">
        <f t="shared" si="107"/>
        <v>✔</v>
      </c>
      <c r="Q184" s="126" t="str">
        <f t="shared" si="108"/>
        <v>✔</v>
      </c>
    </row>
    <row r="185" spans="2:22" s="45" customFormat="1">
      <c r="B185" s="399" t="str">
        <f>COMPUTATION!B105</f>
        <v>1/2 PINT PVC GLUE #70512</v>
      </c>
      <c r="C185" s="427"/>
      <c r="D185" s="427" t="s">
        <v>31</v>
      </c>
      <c r="E185" s="427" t="s">
        <v>31</v>
      </c>
      <c r="F185" s="548">
        <f>COMPUTATION!C105</f>
        <v>0.44999999999999996</v>
      </c>
      <c r="G185" s="373"/>
      <c r="H185" s="400">
        <v>0.1</v>
      </c>
      <c r="I185" s="122">
        <f t="shared" si="102"/>
        <v>4.4999999999999998E-2</v>
      </c>
      <c r="J185" s="123">
        <f>(I185)*Summary!$H$4</f>
        <v>0</v>
      </c>
      <c r="K185" s="563"/>
      <c r="L185" s="379">
        <f t="shared" si="103"/>
        <v>0</v>
      </c>
      <c r="M185" s="444">
        <f t="shared" si="104"/>
        <v>0</v>
      </c>
      <c r="P185" s="126" t="str">
        <f t="shared" si="107"/>
        <v>✔</v>
      </c>
      <c r="Q185" s="126" t="str">
        <f t="shared" si="108"/>
        <v>✔</v>
      </c>
    </row>
    <row r="186" spans="2:22" s="45" customFormat="1">
      <c r="B186" s="399" t="str">
        <f>COMPUTATION!B106</f>
        <v>PURPLE PRIMER</v>
      </c>
      <c r="C186" s="427"/>
      <c r="D186" s="427" t="s">
        <v>31</v>
      </c>
      <c r="E186" s="427" t="s">
        <v>31</v>
      </c>
      <c r="F186" s="548">
        <f>COMPUTATION!C106</f>
        <v>0.44999999999999996</v>
      </c>
      <c r="G186" s="373"/>
      <c r="H186" s="400">
        <v>0.1</v>
      </c>
      <c r="I186" s="122">
        <f t="shared" si="102"/>
        <v>4.4999999999999998E-2</v>
      </c>
      <c r="J186" s="123">
        <f>(I186)*Summary!$H$4</f>
        <v>0</v>
      </c>
      <c r="K186" s="563"/>
      <c r="L186" s="379">
        <f t="shared" si="103"/>
        <v>0</v>
      </c>
      <c r="M186" s="444">
        <f t="shared" si="104"/>
        <v>0</v>
      </c>
      <c r="P186" s="126" t="str">
        <f t="shared" si="107"/>
        <v>✔</v>
      </c>
      <c r="Q186" s="126" t="str">
        <f t="shared" si="108"/>
        <v>✔</v>
      </c>
    </row>
    <row r="187" spans="2:22" s="45" customFormat="1">
      <c r="B187" s="399" t="str">
        <f>COMPUTATION!B107</f>
        <v>HURRICANE CLIP</v>
      </c>
      <c r="C187" s="427"/>
      <c r="D187" s="427" t="s">
        <v>31</v>
      </c>
      <c r="E187" s="427" t="s">
        <v>31</v>
      </c>
      <c r="F187" s="46">
        <f>COMPUTATION!C107</f>
        <v>12</v>
      </c>
      <c r="G187" s="373"/>
      <c r="H187" s="400">
        <v>0.1</v>
      </c>
      <c r="I187" s="122">
        <f t="shared" si="102"/>
        <v>1.2000000000000002</v>
      </c>
      <c r="J187" s="123">
        <f>(I187)*Summary!$H$4</f>
        <v>0</v>
      </c>
      <c r="K187" s="563"/>
      <c r="L187" s="379">
        <f t="shared" si="103"/>
        <v>0</v>
      </c>
      <c r="M187" s="444">
        <f t="shared" si="104"/>
        <v>0</v>
      </c>
      <c r="P187" s="126" t="str">
        <f t="shared" si="107"/>
        <v>✔</v>
      </c>
      <c r="Q187" s="126" t="str">
        <f t="shared" si="108"/>
        <v>✔</v>
      </c>
    </row>
    <row r="188" spans="2:22" s="45" customFormat="1">
      <c r="B188" s="399" t="str">
        <f>COMPUTATION!B108</f>
        <v>2x2 ISOLATION PADS</v>
      </c>
      <c r="C188" s="427"/>
      <c r="D188" s="427" t="s">
        <v>31</v>
      </c>
      <c r="E188" s="427" t="s">
        <v>31</v>
      </c>
      <c r="F188" s="46">
        <f>COMPUTATION!C108</f>
        <v>12</v>
      </c>
      <c r="G188" s="373"/>
      <c r="H188" s="400">
        <v>0.1</v>
      </c>
      <c r="I188" s="122">
        <f t="shared" si="102"/>
        <v>1.2000000000000002</v>
      </c>
      <c r="J188" s="123">
        <f>(I188)*Summary!$H$4</f>
        <v>0</v>
      </c>
      <c r="K188" s="563"/>
      <c r="L188" s="379">
        <f t="shared" si="103"/>
        <v>0</v>
      </c>
      <c r="M188" s="444">
        <f t="shared" si="104"/>
        <v>0</v>
      </c>
      <c r="P188" s="126" t="str">
        <f t="shared" si="107"/>
        <v>✔</v>
      </c>
      <c r="Q188" s="126" t="str">
        <f t="shared" si="108"/>
        <v>✔</v>
      </c>
    </row>
    <row r="189" spans="2:22" s="45" customFormat="1">
      <c r="B189" s="399" t="str">
        <f>COMPUTATION!B109</f>
        <v xml:space="preserve">Gooseneck Curb </v>
      </c>
      <c r="C189" s="427"/>
      <c r="D189" s="427" t="s">
        <v>31</v>
      </c>
      <c r="E189" s="427" t="s">
        <v>31</v>
      </c>
      <c r="F189" s="46">
        <f>COMPUTATION!C109</f>
        <v>2</v>
      </c>
      <c r="G189" s="373"/>
      <c r="H189" s="400">
        <v>1</v>
      </c>
      <c r="I189" s="122">
        <f t="shared" si="102"/>
        <v>2</v>
      </c>
      <c r="J189" s="123">
        <f>(I189)*Summary!$H$4</f>
        <v>0</v>
      </c>
      <c r="K189" s="563"/>
      <c r="L189" s="379">
        <f t="shared" si="103"/>
        <v>0</v>
      </c>
      <c r="M189" s="444">
        <f t="shared" si="104"/>
        <v>0</v>
      </c>
      <c r="P189" s="126" t="str">
        <f t="shared" si="107"/>
        <v>✔</v>
      </c>
      <c r="Q189" s="126" t="str">
        <f t="shared" si="108"/>
        <v>✔</v>
      </c>
    </row>
    <row r="190" spans="2:22" s="45" customFormat="1">
      <c r="B190" s="399" t="str">
        <f>COMPUTATION!B110</f>
        <v>FOR PLENUM; ANGLE IRON, 2"x2", 16ga</v>
      </c>
      <c r="C190" s="427"/>
      <c r="D190" s="427" t="s">
        <v>31</v>
      </c>
      <c r="E190" s="427" t="s">
        <v>31</v>
      </c>
      <c r="F190" s="549">
        <f>COMPUTATION!C110</f>
        <v>23.32</v>
      </c>
      <c r="G190" s="373"/>
      <c r="H190" s="400">
        <v>0.3</v>
      </c>
      <c r="I190" s="122">
        <f t="shared" si="102"/>
        <v>6.9959999999999996</v>
      </c>
      <c r="J190" s="123">
        <f>(I190)*Summary!$H$4</f>
        <v>0</v>
      </c>
      <c r="K190" s="563"/>
      <c r="L190" s="379">
        <f t="shared" si="103"/>
        <v>0</v>
      </c>
      <c r="M190" s="444">
        <f t="shared" si="104"/>
        <v>0</v>
      </c>
      <c r="P190" s="126" t="str">
        <f t="shared" si="107"/>
        <v>✔</v>
      </c>
      <c r="Q190" s="126" t="str">
        <f t="shared" si="108"/>
        <v>✔</v>
      </c>
    </row>
    <row r="191" spans="2:22" s="45" customFormat="1">
      <c r="B191" s="399" t="str">
        <f>COMPUTATION!B111</f>
        <v>5/16"x3/4" SCREW</v>
      </c>
      <c r="C191" s="427"/>
      <c r="D191" s="427" t="s">
        <v>31</v>
      </c>
      <c r="E191" s="427" t="s">
        <v>31</v>
      </c>
      <c r="F191" s="46">
        <f>COMPUTATION!C111</f>
        <v>108</v>
      </c>
      <c r="G191" s="373"/>
      <c r="H191" s="400">
        <v>0.05</v>
      </c>
      <c r="I191" s="122">
        <f t="shared" si="102"/>
        <v>5.4</v>
      </c>
      <c r="J191" s="123">
        <f>(I191)*Summary!$H$4</f>
        <v>0</v>
      </c>
      <c r="K191" s="563"/>
      <c r="L191" s="379">
        <f t="shared" si="103"/>
        <v>0</v>
      </c>
      <c r="M191" s="444">
        <f t="shared" si="104"/>
        <v>0</v>
      </c>
      <c r="P191" s="126" t="str">
        <f t="shared" si="107"/>
        <v>✔</v>
      </c>
      <c r="Q191" s="126" t="str">
        <f t="shared" si="108"/>
        <v>✔</v>
      </c>
    </row>
    <row r="192" spans="2:22" s="45" customFormat="1">
      <c r="B192" s="399" t="str">
        <f>COMPUTATION!B112</f>
        <v>1/4" x 2" SCREW</v>
      </c>
      <c r="C192" s="427"/>
      <c r="D192" s="427" t="s">
        <v>31</v>
      </c>
      <c r="E192" s="427" t="s">
        <v>31</v>
      </c>
      <c r="F192" s="46">
        <f>COMPUTATION!C112</f>
        <v>18</v>
      </c>
      <c r="G192" s="373"/>
      <c r="H192" s="400">
        <v>0.05</v>
      </c>
      <c r="I192" s="122">
        <f t="shared" si="102"/>
        <v>0.9</v>
      </c>
      <c r="J192" s="123">
        <f>(I192)*Summary!$H$4</f>
        <v>0</v>
      </c>
      <c r="K192" s="563"/>
      <c r="L192" s="379">
        <f t="shared" si="103"/>
        <v>0</v>
      </c>
      <c r="M192" s="444">
        <f t="shared" si="104"/>
        <v>0</v>
      </c>
      <c r="P192" s="126" t="str">
        <f t="shared" si="107"/>
        <v>✔</v>
      </c>
      <c r="Q192" s="126" t="str">
        <f t="shared" si="108"/>
        <v>✔</v>
      </c>
    </row>
    <row r="193" spans="2:17" s="45" customFormat="1">
      <c r="B193" s="399" t="str">
        <f>COMPUTATION!B113</f>
        <v>DUCT TAPE (60ft) UL BLACK ARMAFLEX</v>
      </c>
      <c r="C193" s="427"/>
      <c r="D193" s="427" t="s">
        <v>31</v>
      </c>
      <c r="E193" s="427" t="s">
        <v>31</v>
      </c>
      <c r="F193" s="46">
        <f>COMPUTATION!C113</f>
        <v>0.60000000000000009</v>
      </c>
      <c r="G193" s="373"/>
      <c r="H193" s="400">
        <v>0.3</v>
      </c>
      <c r="I193" s="122">
        <f t="shared" si="102"/>
        <v>0.18000000000000002</v>
      </c>
      <c r="J193" s="123">
        <f>(I193)*Summary!$H$4</f>
        <v>0</v>
      </c>
      <c r="K193" s="563"/>
      <c r="L193" s="379">
        <f t="shared" si="103"/>
        <v>0</v>
      </c>
      <c r="M193" s="444">
        <f t="shared" si="104"/>
        <v>0</v>
      </c>
      <c r="P193" s="126" t="str">
        <f t="shared" si="107"/>
        <v>✔</v>
      </c>
      <c r="Q193" s="126" t="str">
        <f t="shared" si="108"/>
        <v>✔</v>
      </c>
    </row>
    <row r="194" spans="2:17" s="45" customFormat="1">
      <c r="B194" s="399" t="str">
        <f>COMPUTATION!B114</f>
        <v>5X8 BOCA/NAIL GUARD PLATE 16GA 6HOLE</v>
      </c>
      <c r="C194" s="427"/>
      <c r="D194" s="427" t="s">
        <v>31</v>
      </c>
      <c r="E194" s="427" t="s">
        <v>31</v>
      </c>
      <c r="F194" s="46">
        <f>COMPUTATION!C114</f>
        <v>30</v>
      </c>
      <c r="G194" s="373"/>
      <c r="H194" s="400">
        <v>0.2</v>
      </c>
      <c r="I194" s="122">
        <f t="shared" ref="I194:I215" si="109">((G194+F194)*H194)</f>
        <v>6</v>
      </c>
      <c r="J194" s="123">
        <f>(I194)*Summary!$H$4</f>
        <v>0</v>
      </c>
      <c r="K194" s="563"/>
      <c r="L194" s="379">
        <f t="shared" ref="L194:L215" si="110">((F194+G194)*K194)</f>
        <v>0</v>
      </c>
      <c r="M194" s="444">
        <f t="shared" ref="M194:M215" si="111">L194+J194</f>
        <v>0</v>
      </c>
      <c r="P194" s="126" t="str">
        <f t="shared" si="107"/>
        <v>✔</v>
      </c>
      <c r="Q194" s="126" t="str">
        <f t="shared" si="108"/>
        <v>✔</v>
      </c>
    </row>
    <row r="195" spans="2:17" s="45" customFormat="1">
      <c r="B195" s="399" t="str">
        <f>COMPUTATION!B115</f>
        <v>SHURTAPE UL 181</v>
      </c>
      <c r="C195" s="427"/>
      <c r="D195" s="427" t="s">
        <v>31</v>
      </c>
      <c r="E195" s="427" t="s">
        <v>31</v>
      </c>
      <c r="F195" s="46">
        <f>COMPUTATION!C115</f>
        <v>1.5</v>
      </c>
      <c r="G195" s="373"/>
      <c r="H195" s="400">
        <v>0.5</v>
      </c>
      <c r="I195" s="122">
        <f t="shared" si="109"/>
        <v>0.75</v>
      </c>
      <c r="J195" s="123">
        <f>(I195)*Summary!$H$4</f>
        <v>0</v>
      </c>
      <c r="K195" s="563"/>
      <c r="L195" s="379">
        <f t="shared" si="110"/>
        <v>0</v>
      </c>
      <c r="M195" s="444">
        <f t="shared" si="111"/>
        <v>0</v>
      </c>
      <c r="P195" s="126" t="str">
        <f t="shared" si="107"/>
        <v>✔</v>
      </c>
      <c r="Q195" s="126" t="str">
        <f t="shared" si="108"/>
        <v>✔</v>
      </c>
    </row>
    <row r="196" spans="2:17" s="45" customFormat="1">
      <c r="B196" s="399" t="str">
        <f>COMPUTATION!B116</f>
        <v>BLUE SHRINK WRAP 300FT ROLL (CDS DIST)</v>
      </c>
      <c r="C196" s="427"/>
      <c r="D196" s="427" t="s">
        <v>31</v>
      </c>
      <c r="E196" s="427" t="s">
        <v>31</v>
      </c>
      <c r="F196" s="550">
        <f>COMPUTATION!C116</f>
        <v>0.15000000000000002</v>
      </c>
      <c r="G196" s="373"/>
      <c r="H196" s="400">
        <v>0.75</v>
      </c>
      <c r="I196" s="122">
        <f t="shared" si="109"/>
        <v>0.11250000000000002</v>
      </c>
      <c r="J196" s="123">
        <f>(I196)*Summary!$H$4</f>
        <v>0</v>
      </c>
      <c r="K196" s="563"/>
      <c r="L196" s="379">
        <f t="shared" si="110"/>
        <v>0</v>
      </c>
      <c r="M196" s="444">
        <f t="shared" si="111"/>
        <v>0</v>
      </c>
      <c r="P196" s="126" t="str">
        <f t="shared" si="107"/>
        <v>✔</v>
      </c>
      <c r="Q196" s="126" t="str">
        <f t="shared" si="108"/>
        <v>✔</v>
      </c>
    </row>
    <row r="197" spans="2:17" s="45" customFormat="1">
      <c r="B197" s="399" t="str">
        <f>COMPUTATION!B117</f>
        <v>PANDUIT STRAPS - FLEX TIES (COME IN PACK OF 50)</v>
      </c>
      <c r="C197" s="427"/>
      <c r="D197" s="427" t="s">
        <v>31</v>
      </c>
      <c r="E197" s="427" t="s">
        <v>31</v>
      </c>
      <c r="F197" s="551">
        <f>COMPUTATION!C117</f>
        <v>172</v>
      </c>
      <c r="G197" s="373"/>
      <c r="H197" s="400">
        <v>0.05</v>
      </c>
      <c r="I197" s="122">
        <f t="shared" si="109"/>
        <v>8.6</v>
      </c>
      <c r="J197" s="123">
        <f>(I197)*Summary!$H$4</f>
        <v>0</v>
      </c>
      <c r="K197" s="563"/>
      <c r="L197" s="379">
        <f t="shared" si="110"/>
        <v>0</v>
      </c>
      <c r="M197" s="444">
        <f t="shared" si="111"/>
        <v>0</v>
      </c>
      <c r="P197" s="126" t="str">
        <f t="shared" si="107"/>
        <v>✔</v>
      </c>
      <c r="Q197" s="126" t="str">
        <f t="shared" si="108"/>
        <v>✔</v>
      </c>
    </row>
    <row r="198" spans="2:17" s="45" customFormat="1">
      <c r="B198" s="399" t="str">
        <f>COMPUTATION!B118</f>
        <v>2IN #8 WHITE SCREWS (250/PK)</v>
      </c>
      <c r="C198" s="427"/>
      <c r="D198" s="427" t="s">
        <v>31</v>
      </c>
      <c r="E198" s="427" t="s">
        <v>31</v>
      </c>
      <c r="F198" s="334">
        <f>COMPUTATION!C118</f>
        <v>58</v>
      </c>
      <c r="G198" s="373"/>
      <c r="H198" s="400">
        <v>0.05</v>
      </c>
      <c r="I198" s="122">
        <f t="shared" si="109"/>
        <v>2.9000000000000004</v>
      </c>
      <c r="J198" s="123">
        <f>(I198)*Summary!$H$4</f>
        <v>0</v>
      </c>
      <c r="K198" s="563"/>
      <c r="L198" s="379">
        <f t="shared" si="110"/>
        <v>0</v>
      </c>
      <c r="M198" s="444">
        <f t="shared" si="111"/>
        <v>0</v>
      </c>
      <c r="P198" s="126" t="str">
        <f t="shared" si="107"/>
        <v>✔</v>
      </c>
      <c r="Q198" s="126" t="str">
        <f t="shared" si="108"/>
        <v>✔</v>
      </c>
    </row>
    <row r="199" spans="2:17" s="45" customFormat="1">
      <c r="B199" s="399" t="str">
        <f>COMPUTATION!B119</f>
        <v>1 INCH METAL STRAP 100FT</v>
      </c>
      <c r="C199" s="427"/>
      <c r="D199" s="427" t="s">
        <v>31</v>
      </c>
      <c r="E199" s="427" t="s">
        <v>31</v>
      </c>
      <c r="F199" s="467">
        <f>COMPUTATION!C119</f>
        <v>3</v>
      </c>
      <c r="G199" s="373"/>
      <c r="H199" s="400">
        <v>1</v>
      </c>
      <c r="I199" s="122">
        <f t="shared" si="109"/>
        <v>3</v>
      </c>
      <c r="J199" s="123">
        <f>(I199)*Summary!$H$4</f>
        <v>0</v>
      </c>
      <c r="K199" s="563"/>
      <c r="L199" s="379">
        <f t="shared" si="110"/>
        <v>0</v>
      </c>
      <c r="M199" s="444">
        <f t="shared" si="111"/>
        <v>0</v>
      </c>
      <c r="P199" s="126" t="str">
        <f t="shared" si="107"/>
        <v>✔</v>
      </c>
      <c r="Q199" s="126" t="str">
        <f t="shared" si="108"/>
        <v>✔</v>
      </c>
    </row>
    <row r="200" spans="2:17" s="45" customFormat="1">
      <c r="B200" s="399" t="str">
        <f>COMPUTATION!B120</f>
        <v>SMACNA METAL TAPE (SILVER TAPE) RED LETTER</v>
      </c>
      <c r="C200" s="427"/>
      <c r="D200" s="427" t="s">
        <v>31</v>
      </c>
      <c r="E200" s="427" t="s">
        <v>31</v>
      </c>
      <c r="F200" s="467">
        <f>COMPUTATION!C120</f>
        <v>3</v>
      </c>
      <c r="G200" s="373"/>
      <c r="H200" s="400">
        <v>0.5</v>
      </c>
      <c r="I200" s="122">
        <f t="shared" si="109"/>
        <v>1.5</v>
      </c>
      <c r="J200" s="123">
        <f>(I200)*Summary!$H$4</f>
        <v>0</v>
      </c>
      <c r="K200" s="563"/>
      <c r="L200" s="379">
        <f t="shared" si="110"/>
        <v>0</v>
      </c>
      <c r="M200" s="444">
        <f t="shared" si="111"/>
        <v>0</v>
      </c>
      <c r="P200" s="126" t="str">
        <f t="shared" si="107"/>
        <v>✔</v>
      </c>
      <c r="Q200" s="126" t="str">
        <f t="shared" si="108"/>
        <v>✔</v>
      </c>
    </row>
    <row r="201" spans="2:17" s="45" customFormat="1">
      <c r="B201" s="399" t="str">
        <f>COMPUTATION!B121</f>
        <v>MASTIC (1 GALLON) WHITE CCW181</v>
      </c>
      <c r="C201" s="427"/>
      <c r="D201" s="427" t="s">
        <v>31</v>
      </c>
      <c r="E201" s="427" t="s">
        <v>31</v>
      </c>
      <c r="F201" s="552">
        <f>COMPUTATION!C121</f>
        <v>3</v>
      </c>
      <c r="G201" s="373"/>
      <c r="H201" s="400">
        <v>0.5</v>
      </c>
      <c r="I201" s="122">
        <f t="shared" si="109"/>
        <v>1.5</v>
      </c>
      <c r="J201" s="123">
        <f>(I201)*Summary!$H$4</f>
        <v>0</v>
      </c>
      <c r="K201" s="563"/>
      <c r="L201" s="379">
        <f t="shared" si="110"/>
        <v>0</v>
      </c>
      <c r="M201" s="444">
        <f t="shared" si="111"/>
        <v>0</v>
      </c>
      <c r="P201" s="126" t="str">
        <f t="shared" si="107"/>
        <v>✔</v>
      </c>
      <c r="Q201" s="126" t="str">
        <f t="shared" si="108"/>
        <v>✔</v>
      </c>
    </row>
    <row r="202" spans="2:17" s="45" customFormat="1">
      <c r="B202" s="399" t="str">
        <f>COMPUTATION!B122</f>
        <v>HILTI FS-ONE FIRE CAULK</v>
      </c>
      <c r="C202" s="427"/>
      <c r="D202" s="427" t="s">
        <v>31</v>
      </c>
      <c r="E202" s="427" t="s">
        <v>31</v>
      </c>
      <c r="F202" s="552">
        <f>COMPUTATION!C122</f>
        <v>3</v>
      </c>
      <c r="G202" s="373"/>
      <c r="H202" s="400">
        <v>0.25</v>
      </c>
      <c r="I202" s="122">
        <f t="shared" si="109"/>
        <v>0.75</v>
      </c>
      <c r="J202" s="123">
        <f>(I202)*Summary!$H$4</f>
        <v>0</v>
      </c>
      <c r="K202" s="563"/>
      <c r="L202" s="379">
        <f t="shared" si="110"/>
        <v>0</v>
      </c>
      <c r="M202" s="444">
        <f t="shared" si="111"/>
        <v>0</v>
      </c>
      <c r="P202" s="126" t="str">
        <f t="shared" si="107"/>
        <v>✔</v>
      </c>
      <c r="Q202" s="126" t="str">
        <f t="shared" si="108"/>
        <v>✔</v>
      </c>
    </row>
    <row r="203" spans="2:17" s="45" customFormat="1">
      <c r="B203" s="399" t="str">
        <f>COMPUTATION!B123</f>
        <v>2" MASTIC CHIP BRUSH</v>
      </c>
      <c r="C203" s="427"/>
      <c r="D203" s="427" t="s">
        <v>31</v>
      </c>
      <c r="E203" s="427" t="s">
        <v>31</v>
      </c>
      <c r="F203" s="334">
        <f>COMPUTATION!C123</f>
        <v>3</v>
      </c>
      <c r="G203" s="373"/>
      <c r="H203" s="400">
        <v>0.1</v>
      </c>
      <c r="I203" s="122">
        <f t="shared" si="109"/>
        <v>0.30000000000000004</v>
      </c>
      <c r="J203" s="123">
        <f>(I203)*Summary!$H$4</f>
        <v>0</v>
      </c>
      <c r="K203" s="563"/>
      <c r="L203" s="379">
        <f t="shared" si="110"/>
        <v>0</v>
      </c>
      <c r="M203" s="444">
        <f t="shared" si="111"/>
        <v>0</v>
      </c>
      <c r="P203" s="126" t="str">
        <f t="shared" si="107"/>
        <v>✔</v>
      </c>
      <c r="Q203" s="126" t="str">
        <f t="shared" si="108"/>
        <v>✔</v>
      </c>
    </row>
    <row r="204" spans="2:17" s="45" customFormat="1">
      <c r="B204" s="399" t="str">
        <f>COMPUTATION!B124</f>
        <v>18/8 Thermostat Wire + Indoor Equipment to TSTAT Wiring</v>
      </c>
      <c r="C204" s="427"/>
      <c r="D204" s="427" t="s">
        <v>31</v>
      </c>
      <c r="E204" s="427" t="s">
        <v>31</v>
      </c>
      <c r="F204" s="549">
        <f>COMPUTATION!C124</f>
        <v>75</v>
      </c>
      <c r="G204" s="373"/>
      <c r="H204" s="400">
        <v>0.03</v>
      </c>
      <c r="I204" s="122">
        <f t="shared" si="109"/>
        <v>2.25</v>
      </c>
      <c r="J204" s="123">
        <f>(I204)*Summary!$H$4</f>
        <v>0</v>
      </c>
      <c r="K204" s="563"/>
      <c r="L204" s="379">
        <f t="shared" si="110"/>
        <v>0</v>
      </c>
      <c r="M204" s="444">
        <f t="shared" si="111"/>
        <v>0</v>
      </c>
      <c r="P204" s="126" t="str">
        <f t="shared" si="107"/>
        <v>✔</v>
      </c>
      <c r="Q204" s="126" t="str">
        <f t="shared" si="108"/>
        <v>✔</v>
      </c>
    </row>
    <row r="205" spans="2:17" s="45" customFormat="1">
      <c r="B205" s="399" t="str">
        <f>COMPUTATION!B125</f>
        <v>BOOT RAILS(BOX OF 50)</v>
      </c>
      <c r="C205" s="427"/>
      <c r="D205" s="427" t="s">
        <v>31</v>
      </c>
      <c r="E205" s="427" t="s">
        <v>31</v>
      </c>
      <c r="F205" s="46">
        <f>COMPUTATION!C125</f>
        <v>4</v>
      </c>
      <c r="G205" s="373"/>
      <c r="H205" s="400">
        <v>0.05</v>
      </c>
      <c r="I205" s="122">
        <f t="shared" si="109"/>
        <v>0.2</v>
      </c>
      <c r="J205" s="123">
        <f>(I205)*Summary!$H$4</f>
        <v>0</v>
      </c>
      <c r="K205" s="563"/>
      <c r="L205" s="379">
        <f t="shared" si="110"/>
        <v>0</v>
      </c>
      <c r="M205" s="444">
        <f t="shared" si="111"/>
        <v>0</v>
      </c>
      <c r="P205" s="126" t="str">
        <f t="shared" si="107"/>
        <v>✔</v>
      </c>
      <c r="Q205" s="126" t="str">
        <f t="shared" si="108"/>
        <v>✔</v>
      </c>
    </row>
    <row r="206" spans="2:17" s="45" customFormat="1">
      <c r="B206" s="399" t="str">
        <f>COMPUTATION!B126</f>
        <v>RECTANGULAR DUCT HANGER COUNT</v>
      </c>
      <c r="C206" s="427"/>
      <c r="D206" s="427" t="s">
        <v>31</v>
      </c>
      <c r="E206" s="427" t="s">
        <v>31</v>
      </c>
      <c r="F206" s="46">
        <f>COMPUTATION!C126</f>
        <v>6.0537500000000009</v>
      </c>
      <c r="G206" s="373"/>
      <c r="H206" s="400">
        <v>0.3</v>
      </c>
      <c r="I206" s="122">
        <f t="shared" si="109"/>
        <v>1.8161250000000002</v>
      </c>
      <c r="J206" s="123">
        <f>(I206)*Summary!$H$4</f>
        <v>0</v>
      </c>
      <c r="K206" s="563"/>
      <c r="L206" s="379">
        <f t="shared" si="110"/>
        <v>0</v>
      </c>
      <c r="M206" s="444">
        <f t="shared" si="111"/>
        <v>0</v>
      </c>
      <c r="P206" s="126"/>
      <c r="Q206" s="126"/>
    </row>
    <row r="207" spans="2:17" s="45" customFormat="1">
      <c r="B207" s="399" t="str">
        <f>COMPUTATION!B127</f>
        <v>ROUND DUCT HANGER COUNT</v>
      </c>
      <c r="C207" s="427"/>
      <c r="D207" s="427" t="s">
        <v>31</v>
      </c>
      <c r="E207" s="427" t="s">
        <v>31</v>
      </c>
      <c r="F207" s="46">
        <f>COMPUTATION!C127</f>
        <v>26.152000000000001</v>
      </c>
      <c r="G207" s="373"/>
      <c r="H207" s="400">
        <v>0.3</v>
      </c>
      <c r="I207" s="122">
        <f t="shared" si="109"/>
        <v>7.8456000000000001</v>
      </c>
      <c r="J207" s="123">
        <f>(I207)*Summary!$H$4</f>
        <v>0</v>
      </c>
      <c r="K207" s="563"/>
      <c r="L207" s="379">
        <f t="shared" si="110"/>
        <v>0</v>
      </c>
      <c r="M207" s="444">
        <f t="shared" si="111"/>
        <v>0</v>
      </c>
      <c r="P207" s="126"/>
      <c r="Q207" s="126"/>
    </row>
    <row r="208" spans="2:17" s="45" customFormat="1">
      <c r="B208" s="399" t="str">
        <f>COMPUTATION!B128</f>
        <v>FLEX DUCT HANGER COUNT</v>
      </c>
      <c r="C208" s="427"/>
      <c r="D208" s="427" t="s">
        <v>31</v>
      </c>
      <c r="E208" s="427" t="s">
        <v>31</v>
      </c>
      <c r="F208" s="46">
        <f>COMPUTATION!C128</f>
        <v>14.7475</v>
      </c>
      <c r="G208" s="373"/>
      <c r="H208" s="400">
        <v>0.3</v>
      </c>
      <c r="I208" s="122">
        <f t="shared" si="109"/>
        <v>4.4242499999999998</v>
      </c>
      <c r="J208" s="123">
        <f>(I208)*Summary!$H$4</f>
        <v>0</v>
      </c>
      <c r="K208" s="563"/>
      <c r="L208" s="379">
        <f t="shared" si="110"/>
        <v>0</v>
      </c>
      <c r="M208" s="444">
        <f t="shared" si="111"/>
        <v>0</v>
      </c>
      <c r="P208" s="126"/>
      <c r="Q208" s="126"/>
    </row>
    <row r="209" spans="2:22" s="45" customFormat="1">
      <c r="B209" s="399" t="str">
        <f>COMPUTATION!B129</f>
        <v>UNISTRUT 1 5/8" X 1 5/8"X10FT, 12-GA</v>
      </c>
      <c r="C209" s="427"/>
      <c r="D209" s="427" t="s">
        <v>31</v>
      </c>
      <c r="E209" s="427" t="s">
        <v>31</v>
      </c>
      <c r="F209" s="549">
        <f>COMPUTATION!C129</f>
        <v>221.96249999999998</v>
      </c>
      <c r="G209" s="373"/>
      <c r="H209" s="400">
        <v>0.3</v>
      </c>
      <c r="I209" s="122">
        <f t="shared" si="109"/>
        <v>66.58874999999999</v>
      </c>
      <c r="J209" s="123">
        <f>(I209)*Summary!$H$4</f>
        <v>0</v>
      </c>
      <c r="K209" s="563"/>
      <c r="L209" s="379">
        <f t="shared" si="110"/>
        <v>0</v>
      </c>
      <c r="M209" s="444">
        <f t="shared" si="111"/>
        <v>0</v>
      </c>
      <c r="P209" s="126"/>
      <c r="Q209" s="126"/>
    </row>
    <row r="210" spans="2:22" s="45" customFormat="1">
      <c r="B210" s="399" t="str">
        <f>COMPUTATION!B130</f>
        <v>THREADED ROD 3/8" X 6FT</v>
      </c>
      <c r="C210" s="427"/>
      <c r="D210" s="427" t="s">
        <v>31</v>
      </c>
      <c r="E210" s="427" t="s">
        <v>31</v>
      </c>
      <c r="F210" s="46">
        <f>COMPUTATION!C130</f>
        <v>92.484375</v>
      </c>
      <c r="G210" s="373"/>
      <c r="H210" s="400">
        <v>0.2</v>
      </c>
      <c r="I210" s="122">
        <f t="shared" si="109"/>
        <v>18.496874999999999</v>
      </c>
      <c r="J210" s="123">
        <f>(I210)*Summary!$H$4</f>
        <v>0</v>
      </c>
      <c r="K210" s="563"/>
      <c r="L210" s="379">
        <f t="shared" si="110"/>
        <v>0</v>
      </c>
      <c r="M210" s="444">
        <f t="shared" si="111"/>
        <v>0</v>
      </c>
      <c r="P210" s="126"/>
      <c r="Q210" s="126"/>
    </row>
    <row r="211" spans="2:22" s="45" customFormat="1">
      <c r="B211" s="399" t="str">
        <f>COMPUTATION!B131</f>
        <v>TOP ANCHORS/BEAM CLAMPS</v>
      </c>
      <c r="C211" s="427"/>
      <c r="D211" s="427" t="s">
        <v>31</v>
      </c>
      <c r="E211" s="427" t="s">
        <v>31</v>
      </c>
      <c r="F211" s="46">
        <f>COMPUTATION!C131</f>
        <v>74</v>
      </c>
      <c r="G211" s="373"/>
      <c r="H211" s="400">
        <v>0.3</v>
      </c>
      <c r="I211" s="122">
        <f t="shared" si="109"/>
        <v>22.2</v>
      </c>
      <c r="J211" s="123">
        <f>(I211)*Summary!$H$4</f>
        <v>0</v>
      </c>
      <c r="K211" s="563"/>
      <c r="L211" s="379">
        <f t="shared" si="110"/>
        <v>0</v>
      </c>
      <c r="M211" s="444">
        <f t="shared" si="111"/>
        <v>0</v>
      </c>
      <c r="P211" s="126"/>
      <c r="Q211" s="126"/>
    </row>
    <row r="212" spans="2:22" s="45" customFormat="1">
      <c r="B212" s="399" t="str">
        <f>COMPUTATION!B132</f>
        <v>CHANNEL NUTS &amp; BOLTS (STRUT CONNECTIONS)</v>
      </c>
      <c r="C212" s="427"/>
      <c r="D212" s="427" t="s">
        <v>31</v>
      </c>
      <c r="E212" s="427" t="s">
        <v>31</v>
      </c>
      <c r="F212" s="46">
        <f>COMPUTATION!C132</f>
        <v>74</v>
      </c>
      <c r="G212" s="373"/>
      <c r="H212" s="400">
        <v>0.15</v>
      </c>
      <c r="I212" s="122">
        <f t="shared" si="109"/>
        <v>11.1</v>
      </c>
      <c r="J212" s="123">
        <f>(I212)*Summary!$H$4</f>
        <v>0</v>
      </c>
      <c r="K212" s="563"/>
      <c r="L212" s="379">
        <f t="shared" si="110"/>
        <v>0</v>
      </c>
      <c r="M212" s="444">
        <f t="shared" si="111"/>
        <v>0</v>
      </c>
      <c r="P212" s="126"/>
      <c r="Q212" s="126"/>
    </row>
    <row r="213" spans="2:22" s="45" customFormat="1">
      <c r="B213" s="399" t="str">
        <f>COMPUTATION!B133</f>
        <v>HEX NUT 3/8"</v>
      </c>
      <c r="C213" s="427"/>
      <c r="D213" s="427" t="s">
        <v>31</v>
      </c>
      <c r="E213" s="427" t="s">
        <v>31</v>
      </c>
      <c r="F213" s="46">
        <f>COMPUTATION!C133</f>
        <v>592</v>
      </c>
      <c r="G213" s="373"/>
      <c r="H213" s="400">
        <v>0.05</v>
      </c>
      <c r="I213" s="122">
        <f t="shared" si="109"/>
        <v>29.6</v>
      </c>
      <c r="J213" s="123">
        <f>(I213)*Summary!$H$4</f>
        <v>0</v>
      </c>
      <c r="K213" s="563"/>
      <c r="L213" s="379">
        <f t="shared" si="110"/>
        <v>0</v>
      </c>
      <c r="M213" s="444">
        <f t="shared" si="111"/>
        <v>0</v>
      </c>
      <c r="P213" s="126"/>
      <c r="Q213" s="126"/>
    </row>
    <row r="214" spans="2:22" s="45" customFormat="1">
      <c r="B214" s="399" t="str">
        <f>COMPUTATION!B134</f>
        <v>WASHER 3/8</v>
      </c>
      <c r="C214" s="427"/>
      <c r="D214" s="427" t="s">
        <v>31</v>
      </c>
      <c r="E214" s="427" t="s">
        <v>31</v>
      </c>
      <c r="F214" s="46">
        <f>COMPUTATION!C134</f>
        <v>592</v>
      </c>
      <c r="G214" s="373"/>
      <c r="H214" s="400">
        <v>0.05</v>
      </c>
      <c r="I214" s="122">
        <f t="shared" si="109"/>
        <v>29.6</v>
      </c>
      <c r="J214" s="123">
        <f>(I214)*Summary!$H$4</f>
        <v>0</v>
      </c>
      <c r="K214" s="563"/>
      <c r="L214" s="379">
        <f t="shared" si="110"/>
        <v>0</v>
      </c>
      <c r="M214" s="444">
        <f t="shared" si="111"/>
        <v>0</v>
      </c>
      <c r="P214" s="126"/>
      <c r="Q214" s="126"/>
    </row>
    <row r="215" spans="2:22" s="45" customFormat="1">
      <c r="B215" s="399" t="str">
        <f>COMPUTATION!B135</f>
        <v>LOCK NUTS 3/8"</v>
      </c>
      <c r="C215" s="427"/>
      <c r="D215" s="427" t="s">
        <v>31</v>
      </c>
      <c r="E215" s="427" t="s">
        <v>31</v>
      </c>
      <c r="F215" s="46">
        <f>COMPUTATION!C135</f>
        <v>592</v>
      </c>
      <c r="G215" s="373"/>
      <c r="H215" s="400">
        <v>0.05</v>
      </c>
      <c r="I215" s="122">
        <f t="shared" si="109"/>
        <v>29.6</v>
      </c>
      <c r="J215" s="123">
        <f>(I215)*Summary!$H$4</f>
        <v>0</v>
      </c>
      <c r="K215" s="563"/>
      <c r="L215" s="379">
        <f t="shared" si="110"/>
        <v>0</v>
      </c>
      <c r="M215" s="444">
        <f t="shared" si="111"/>
        <v>0</v>
      </c>
      <c r="P215" s="126"/>
      <c r="Q215" s="126"/>
    </row>
    <row r="216" spans="2:22" s="128" customFormat="1" ht="24" customHeight="1" thickBot="1">
      <c r="B216" s="447"/>
      <c r="C216" s="448"/>
      <c r="D216" s="449"/>
      <c r="E216" s="449"/>
      <c r="F216" s="450"/>
      <c r="G216" s="450"/>
      <c r="H216" s="451"/>
      <c r="I216" s="142">
        <f>SUM(I177:I215)</f>
        <v>275.61748312499992</v>
      </c>
      <c r="J216" s="449"/>
      <c r="K216" s="452"/>
      <c r="L216" s="453">
        <f>SUM(L177:L215)</f>
        <v>0</v>
      </c>
      <c r="M216" s="454"/>
      <c r="N216" s="155">
        <f>SUM(M177:M215)</f>
        <v>0</v>
      </c>
      <c r="O216" s="102"/>
      <c r="P216" s="126"/>
      <c r="Q216" s="126"/>
      <c r="R216" s="102"/>
    </row>
    <row r="217" spans="2:22" ht="15">
      <c r="N217" s="161">
        <f>N75+N165+N166+N216+N175+N153+N154+N51+N33+N82</f>
        <v>0</v>
      </c>
    </row>
    <row r="218" spans="2:22">
      <c r="G218" s="147"/>
      <c r="J218" s="120"/>
      <c r="L218" s="146"/>
      <c r="M218" s="146"/>
    </row>
    <row r="219" spans="2:22" ht="15.75" customHeight="1"/>
    <row r="220" spans="2:22" ht="15.75" customHeight="1"/>
    <row r="221" spans="2:22" ht="15.75" customHeight="1">
      <c r="B221" s="148"/>
    </row>
    <row r="222" spans="2:22" s="100" customFormat="1" ht="15.75" customHeight="1">
      <c r="B222" s="148"/>
      <c r="D222" s="98"/>
      <c r="E222" s="98"/>
      <c r="H222" s="223"/>
      <c r="I222" s="223"/>
      <c r="J222" s="98"/>
      <c r="K222" s="101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</row>
    <row r="223" spans="2:22" s="100" customFormat="1" ht="15.75" customHeight="1">
      <c r="B223" s="148"/>
      <c r="D223" s="98"/>
      <c r="E223" s="98"/>
      <c r="H223" s="223"/>
      <c r="I223" s="223"/>
      <c r="J223" s="98"/>
      <c r="K223" s="101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</row>
    <row r="224" spans="2:22" s="100" customFormat="1" ht="15.75" customHeight="1">
      <c r="B224" s="148"/>
      <c r="D224" s="98"/>
      <c r="E224" s="98"/>
      <c r="H224" s="223"/>
      <c r="I224" s="223"/>
      <c r="J224" s="98"/>
      <c r="K224" s="101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</row>
    <row r="225" spans="2:2" ht="15.75" customHeight="1"/>
    <row r="226" spans="2:2" ht="15.75" customHeight="1"/>
    <row r="227" spans="2:2" ht="15.75" customHeight="1">
      <c r="B227" s="149"/>
    </row>
    <row r="228" spans="2:2" ht="15.75" customHeight="1"/>
    <row r="229" spans="2:2" ht="15.75" customHeight="1"/>
    <row r="230" spans="2:2" ht="15.75" customHeight="1"/>
    <row r="231" spans="2:2" ht="15.75" customHeight="1"/>
    <row r="232" spans="2:2" ht="15.75" customHeight="1"/>
    <row r="233" spans="2:2" ht="15.75" customHeight="1"/>
    <row r="234" spans="2:2" ht="15.75" customHeight="1"/>
    <row r="235" spans="2:2" ht="15.75" customHeight="1"/>
    <row r="236" spans="2:2" ht="15.75" customHeight="1"/>
    <row r="237" spans="2:2" ht="15.75" customHeight="1"/>
    <row r="238" spans="2:2" ht="15.75" customHeight="1"/>
    <row r="239" spans="2:2" ht="15.75" customHeight="1"/>
    <row r="240" spans="2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</sheetData>
  <phoneticPr fontId="56" type="noConversion"/>
  <pageMargins left="0.7" right="0.7" top="0.75" bottom="0.75" header="0.3" footer="0.3"/>
  <pageSetup scale="2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C916-5091-4E6B-981A-7732F468ED6A}">
  <sheetPr>
    <tabColor theme="2"/>
  </sheetPr>
  <dimension ref="B1:AE14"/>
  <sheetViews>
    <sheetView zoomScale="69" zoomScaleNormal="69" workbookViewId="0">
      <selection activeCell="B4" sqref="B4"/>
    </sheetView>
  </sheetViews>
  <sheetFormatPr defaultColWidth="8.85546875" defaultRowHeight="14.25"/>
  <cols>
    <col min="1" max="1" width="8.85546875" style="45"/>
    <col min="2" max="2" width="55.42578125" style="45" customWidth="1"/>
    <col min="3" max="3" width="41.5703125" style="45" customWidth="1"/>
    <col min="4" max="4" width="8.140625" style="45" customWidth="1"/>
    <col min="5" max="5" width="7.42578125" style="45" customWidth="1"/>
    <col min="6" max="6" width="11" style="45" customWidth="1"/>
    <col min="7" max="7" width="12.28515625" style="45" customWidth="1"/>
    <col min="8" max="8" width="13.42578125" style="45" bestFit="1" customWidth="1"/>
    <col min="9" max="9" width="19.28515625" style="45" bestFit="1" customWidth="1"/>
    <col min="10" max="10" width="14.85546875" style="45" bestFit="1" customWidth="1"/>
    <col min="11" max="11" width="17.28515625" style="45" bestFit="1" customWidth="1"/>
    <col min="12" max="12" width="19.7109375" style="45" bestFit="1" customWidth="1"/>
    <col min="13" max="13" width="18.7109375" style="45" bestFit="1" customWidth="1"/>
    <col min="14" max="14" width="16.85546875" style="45" customWidth="1"/>
    <col min="15" max="15" width="11.28515625" style="45" customWidth="1"/>
    <col min="16" max="16384" width="8.85546875" style="45"/>
  </cols>
  <sheetData>
    <row r="1" spans="2:31" ht="15" thickBot="1"/>
    <row r="2" spans="2:31" ht="54" customHeight="1" thickBot="1">
      <c r="B2" s="177"/>
      <c r="C2" s="178" t="s">
        <v>7</v>
      </c>
      <c r="D2" s="179"/>
      <c r="E2" s="179"/>
      <c r="F2" s="180" t="s">
        <v>8</v>
      </c>
      <c r="G2" s="178" t="s">
        <v>9</v>
      </c>
      <c r="H2" s="178" t="s">
        <v>44</v>
      </c>
      <c r="I2" s="178" t="s">
        <v>10</v>
      </c>
      <c r="J2" s="178" t="s">
        <v>55</v>
      </c>
      <c r="K2" s="178" t="s">
        <v>56</v>
      </c>
      <c r="L2" s="178" t="s">
        <v>57</v>
      </c>
      <c r="M2" s="178" t="s">
        <v>58</v>
      </c>
      <c r="N2" s="181" t="s">
        <v>12</v>
      </c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</row>
    <row r="3" spans="2:31">
      <c r="B3" s="51"/>
      <c r="C3" s="52"/>
      <c r="F3" s="50"/>
      <c r="G3" s="52"/>
      <c r="H3" s="52"/>
      <c r="I3" s="52"/>
      <c r="J3" s="52"/>
      <c r="K3" s="52"/>
      <c r="L3" s="52"/>
      <c r="M3" s="52"/>
      <c r="N3" s="53"/>
    </row>
    <row r="4" spans="2:31" ht="15">
      <c r="B4" s="74" t="s">
        <v>33</v>
      </c>
      <c r="C4" s="176"/>
      <c r="F4" s="50"/>
      <c r="H4" s="332"/>
      <c r="N4" s="54"/>
    </row>
    <row r="5" spans="2:31" ht="15">
      <c r="B5" s="331" t="s">
        <v>420</v>
      </c>
      <c r="C5" s="176"/>
      <c r="F5" s="50"/>
      <c r="H5" s="332"/>
      <c r="N5" s="54"/>
    </row>
    <row r="6" spans="2:31" ht="15">
      <c r="B6" s="331"/>
      <c r="C6" s="176"/>
      <c r="F6" s="50"/>
      <c r="H6" s="332"/>
      <c r="N6" s="54"/>
    </row>
    <row r="7" spans="2:31" ht="15">
      <c r="B7" s="175" t="str">
        <f>'MAT - TAKEOFF'!H19</f>
        <v>EXISTING EXHAUST FAN TO BE DEMOLISHED</v>
      </c>
      <c r="C7" s="333"/>
      <c r="D7" s="115"/>
      <c r="E7" s="115"/>
      <c r="F7" s="334">
        <f>'MAT - TAKEOFF'!I19</f>
        <v>1</v>
      </c>
      <c r="G7" s="163"/>
      <c r="H7" s="121">
        <v>2</v>
      </c>
      <c r="I7" s="539">
        <f>((G7+F7)*H7)/8</f>
        <v>0.25</v>
      </c>
      <c r="J7" s="218">
        <f>(I7)*Summary!$H$4</f>
        <v>0</v>
      </c>
      <c r="K7" s="219"/>
      <c r="L7" s="219"/>
      <c r="M7" s="220"/>
      <c r="N7" s="329">
        <f>M7+J7</f>
        <v>0</v>
      </c>
      <c r="O7" s="58"/>
      <c r="P7" s="126"/>
      <c r="Q7" s="126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</row>
    <row r="8" spans="2:31" ht="15">
      <c r="B8" s="175" t="str">
        <f>'MAT - TAKEOFF'!H20</f>
        <v>EXISTING ROOFTOP UNIT TO BE DEMOLISHED</v>
      </c>
      <c r="C8" s="333"/>
      <c r="D8" s="115"/>
      <c r="E8" s="115"/>
      <c r="F8" s="334">
        <f>'MAT - TAKEOFF'!I20</f>
        <v>3</v>
      </c>
      <c r="G8" s="163"/>
      <c r="H8" s="121">
        <v>6</v>
      </c>
      <c r="I8" s="539">
        <f>((G8+F8)*H8)/8</f>
        <v>2.25</v>
      </c>
      <c r="J8" s="218">
        <f>(I8)*Summary!$H$4</f>
        <v>0</v>
      </c>
      <c r="K8" s="219"/>
      <c r="L8" s="219"/>
      <c r="M8" s="220"/>
      <c r="N8" s="329">
        <f>M8+J8</f>
        <v>0</v>
      </c>
      <c r="O8" s="58"/>
      <c r="P8" s="126"/>
      <c r="Q8" s="126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</row>
    <row r="9" spans="2:31" ht="15.75" thickBot="1">
      <c r="B9" s="175"/>
      <c r="C9" s="333"/>
      <c r="D9" s="115"/>
      <c r="E9" s="115"/>
      <c r="F9" s="46"/>
      <c r="G9" s="163"/>
      <c r="H9" s="335"/>
      <c r="I9" s="122"/>
      <c r="J9" s="218"/>
      <c r="K9" s="219"/>
      <c r="L9" s="219"/>
      <c r="M9" s="220"/>
      <c r="N9" s="329"/>
      <c r="O9" s="58"/>
      <c r="P9" s="126"/>
      <c r="Q9" s="126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</row>
    <row r="10" spans="2:31" ht="15.75" thickBot="1">
      <c r="B10" s="61"/>
      <c r="C10" s="62" t="s">
        <v>59</v>
      </c>
      <c r="D10" s="62"/>
      <c r="E10" s="62"/>
      <c r="F10" s="92">
        <f>SUM(F7:F9)</f>
        <v>4</v>
      </c>
      <c r="G10" s="91">
        <f>SUM(G7:G9)</f>
        <v>0</v>
      </c>
      <c r="H10" s="62"/>
      <c r="I10" s="540">
        <f>SUM(I3:I9)</f>
        <v>2.5</v>
      </c>
      <c r="J10" s="63">
        <f>SUM(J3:J9)</f>
        <v>0</v>
      </c>
      <c r="K10" s="62"/>
      <c r="L10" s="63">
        <f>SUM(L3:L9)</f>
        <v>0</v>
      </c>
      <c r="M10" s="62"/>
      <c r="N10" s="64"/>
      <c r="O10" s="58">
        <f>SUM(N7:N9)</f>
        <v>0</v>
      </c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</row>
    <row r="11" spans="2:31" ht="15">
      <c r="B11" s="570" t="s">
        <v>47</v>
      </c>
      <c r="C11" s="571"/>
      <c r="D11" s="336"/>
      <c r="E11" s="336"/>
      <c r="F11" s="50"/>
      <c r="G11" s="50"/>
      <c r="H11" s="50"/>
      <c r="I11" s="93"/>
      <c r="J11" s="337"/>
      <c r="K11" s="56"/>
      <c r="L11" s="60"/>
      <c r="M11" s="338"/>
      <c r="N11" s="65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</row>
    <row r="12" spans="2:31" ht="15.75" thickBot="1">
      <c r="B12" s="59" t="s">
        <v>60</v>
      </c>
      <c r="C12" s="45" t="s">
        <v>63</v>
      </c>
      <c r="F12" s="50" t="s">
        <v>14</v>
      </c>
      <c r="G12" s="50"/>
      <c r="H12" s="50"/>
      <c r="I12" s="541">
        <f>I10*0.25</f>
        <v>0.625</v>
      </c>
      <c r="J12" s="60">
        <f>I12*Summary!$H$4</f>
        <v>0</v>
      </c>
      <c r="K12" s="57"/>
      <c r="L12" s="55"/>
      <c r="M12" s="66"/>
      <c r="N12" s="67">
        <f>M12+J12</f>
        <v>0</v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2:31" ht="15.75" thickBot="1">
      <c r="B13" s="68"/>
      <c r="C13" s="69"/>
      <c r="D13" s="69"/>
      <c r="E13" s="69"/>
      <c r="F13" s="70"/>
      <c r="G13" s="70"/>
      <c r="H13" s="70"/>
      <c r="I13" s="542">
        <f>I12</f>
        <v>0.625</v>
      </c>
      <c r="J13" s="71">
        <f>J12</f>
        <v>0</v>
      </c>
      <c r="K13" s="72">
        <f>SUM(K12:K12)</f>
        <v>0</v>
      </c>
      <c r="L13" s="63">
        <f>SUM(L12:L12)</f>
        <v>0</v>
      </c>
      <c r="M13" s="70"/>
      <c r="N13" s="73"/>
      <c r="O13" s="58">
        <f>N12</f>
        <v>0</v>
      </c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</row>
    <row r="14" spans="2:31">
      <c r="O14" s="58">
        <f>O10+O13</f>
        <v>0</v>
      </c>
    </row>
  </sheetData>
  <mergeCells count="1">
    <mergeCell ref="B11:C11"/>
  </mergeCells>
  <pageMargins left="0.7" right="0.7" top="0.75" bottom="0.75" header="0.3" footer="0.3"/>
  <pageSetup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9"/>
  <sheetViews>
    <sheetView topLeftCell="A7" zoomScale="48" zoomScaleNormal="48" workbookViewId="0">
      <selection activeCell="C2" sqref="C2"/>
    </sheetView>
  </sheetViews>
  <sheetFormatPr defaultColWidth="9" defaultRowHeight="14.25"/>
  <cols>
    <col min="1" max="1" width="2.85546875" style="45" customWidth="1"/>
    <col min="2" max="2" width="80.140625" style="45" customWidth="1"/>
    <col min="3" max="3" width="168.85546875" style="45" customWidth="1"/>
    <col min="4" max="4" width="48.42578125" style="49" customWidth="1"/>
    <col min="5" max="16384" width="9" style="45"/>
  </cols>
  <sheetData>
    <row r="2" spans="2:4" ht="15">
      <c r="B2" s="216" t="s">
        <v>0</v>
      </c>
      <c r="C2" s="45" t="str">
        <f>'HVAC COST'!C3</f>
        <v>University Park Village</v>
      </c>
    </row>
    <row r="3" spans="2:4" ht="15">
      <c r="B3" s="216" t="s">
        <v>2</v>
      </c>
      <c r="C3" s="45" t="str">
        <f>'HVAC COST'!C4</f>
        <v>1620 S University DR, Fort Worth, TX 76107</v>
      </c>
    </row>
    <row r="4" spans="2:4" ht="15">
      <c r="B4" s="216" t="s">
        <v>4</v>
      </c>
      <c r="C4" s="480">
        <f>'HVAC COST'!C5</f>
        <v>45962</v>
      </c>
    </row>
    <row r="6" spans="2:4" ht="15">
      <c r="B6" s="237" t="s">
        <v>27</v>
      </c>
    </row>
    <row r="7" spans="2:4">
      <c r="B7" s="45" t="s">
        <v>524</v>
      </c>
      <c r="D7" s="45"/>
    </row>
    <row r="8" spans="2:4">
      <c r="B8" s="45" t="s">
        <v>49</v>
      </c>
      <c r="D8" s="45"/>
    </row>
    <row r="9" spans="2:4">
      <c r="B9" s="45" t="s">
        <v>62</v>
      </c>
      <c r="D9" s="45"/>
    </row>
    <row r="11" spans="2:4" ht="15" thickBot="1">
      <c r="B11" s="481"/>
    </row>
    <row r="12" spans="2:4" s="484" customFormat="1" ht="18">
      <c r="B12" s="482" t="s">
        <v>35</v>
      </c>
      <c r="C12" s="482" t="s">
        <v>36</v>
      </c>
      <c r="D12" s="483" t="s">
        <v>37</v>
      </c>
    </row>
    <row r="13" spans="2:4" ht="209.1" customHeight="1">
      <c r="B13" s="479" t="s">
        <v>320</v>
      </c>
      <c r="C13" s="76"/>
      <c r="D13" s="485" t="s">
        <v>321</v>
      </c>
    </row>
    <row r="14" spans="2:4" ht="162.6" customHeight="1">
      <c r="B14" s="479" t="s">
        <v>335</v>
      </c>
      <c r="C14" s="486"/>
      <c r="D14" s="485" t="s">
        <v>321</v>
      </c>
    </row>
    <row r="15" spans="2:4" ht="409.5" customHeight="1">
      <c r="B15" s="487" t="s">
        <v>492</v>
      </c>
      <c r="C15" s="486"/>
      <c r="D15" s="485" t="s">
        <v>321</v>
      </c>
    </row>
    <row r="16" spans="2:4">
      <c r="B16" s="239"/>
    </row>
    <row r="17" spans="2:2">
      <c r="B17" s="239"/>
    </row>
    <row r="18" spans="2:2">
      <c r="B18" s="239"/>
    </row>
    <row r="19" spans="2:2">
      <c r="B19" s="239"/>
    </row>
  </sheetData>
  <phoneticPr fontId="56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4616-D662-4D1C-BFA3-31820221879F}">
  <dimension ref="A1:BK726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39.28515625" customWidth="1"/>
    <col min="2" max="2" width="59.7109375" style="10" customWidth="1"/>
    <col min="3" max="3" width="17.28515625" customWidth="1"/>
    <col min="4" max="10" width="12.140625" customWidth="1"/>
    <col min="11" max="11" width="20.42578125" style="43" customWidth="1"/>
    <col min="12" max="12" width="17.140625" style="201" customWidth="1"/>
    <col min="13" max="13" width="9.7109375" style="191" customWidth="1"/>
    <col min="14" max="17" width="17.140625" customWidth="1"/>
    <col min="18" max="18" width="14.85546875" customWidth="1"/>
    <col min="19" max="19" width="13.85546875" customWidth="1"/>
    <col min="20" max="20" width="12.7109375" customWidth="1"/>
    <col min="21" max="21" width="15.42578125" customWidth="1"/>
    <col min="22" max="22" width="19.42578125" customWidth="1"/>
    <col min="23" max="23" width="20.28515625" customWidth="1"/>
    <col min="24" max="24" width="18.28515625" customWidth="1"/>
    <col min="25" max="25" width="11.5703125" customWidth="1"/>
    <col min="26" max="26" width="20" customWidth="1"/>
    <col min="27" max="27" width="12.42578125" customWidth="1"/>
    <col min="28" max="28" width="12.28515625" customWidth="1"/>
    <col min="30" max="30" width="11.140625" customWidth="1"/>
    <col min="31" max="31" width="14" customWidth="1"/>
  </cols>
  <sheetData>
    <row r="1" spans="1:31" s="194" customFormat="1" ht="62.85" customHeight="1" thickBot="1">
      <c r="B1" s="234"/>
      <c r="C1" s="254" t="s">
        <v>65</v>
      </c>
      <c r="D1" s="254" t="s">
        <v>307</v>
      </c>
      <c r="E1" s="254" t="s">
        <v>307</v>
      </c>
      <c r="F1" s="254" t="s">
        <v>307</v>
      </c>
      <c r="G1" s="254" t="s">
        <v>308</v>
      </c>
      <c r="H1" s="254" t="s">
        <v>308</v>
      </c>
      <c r="I1" s="254" t="s">
        <v>308</v>
      </c>
      <c r="J1" s="254" t="s">
        <v>308</v>
      </c>
      <c r="K1" s="255" t="s">
        <v>318</v>
      </c>
      <c r="L1" s="256" t="s">
        <v>72</v>
      </c>
      <c r="M1" s="256" t="s">
        <v>309</v>
      </c>
      <c r="N1" s="255" t="s">
        <v>310</v>
      </c>
      <c r="O1" s="255" t="s">
        <v>294</v>
      </c>
      <c r="P1" s="255" t="s">
        <v>295</v>
      </c>
      <c r="Q1" s="255" t="s">
        <v>296</v>
      </c>
      <c r="R1" s="257" t="s">
        <v>311</v>
      </c>
      <c r="S1" s="258" t="s">
        <v>312</v>
      </c>
      <c r="T1" s="233" t="s">
        <v>313</v>
      </c>
      <c r="U1" s="257" t="s">
        <v>314</v>
      </c>
      <c r="V1" s="385" t="s">
        <v>447</v>
      </c>
      <c r="W1" s="233" t="s">
        <v>448</v>
      </c>
      <c r="X1" s="233" t="s">
        <v>449</v>
      </c>
      <c r="Y1" s="233" t="s">
        <v>16</v>
      </c>
      <c r="Z1" s="488" t="s">
        <v>487</v>
      </c>
      <c r="AA1" s="488" t="s">
        <v>488</v>
      </c>
      <c r="AB1" s="489" t="s">
        <v>489</v>
      </c>
      <c r="AC1" s="490" t="s">
        <v>490</v>
      </c>
      <c r="AD1" s="490" t="s">
        <v>491</v>
      </c>
      <c r="AE1" s="257" t="s">
        <v>567</v>
      </c>
    </row>
    <row r="2" spans="1:31" s="194" customFormat="1" ht="23.45" customHeight="1">
      <c r="B2" s="199" t="s">
        <v>292</v>
      </c>
      <c r="C2" s="195"/>
      <c r="D2" s="195"/>
      <c r="E2" s="195"/>
      <c r="F2" s="195"/>
      <c r="G2" s="195"/>
      <c r="H2" s="195"/>
      <c r="I2" s="195"/>
      <c r="J2" s="195"/>
      <c r="K2" s="196"/>
      <c r="L2" s="202"/>
      <c r="M2" s="202"/>
      <c r="N2" s="204"/>
      <c r="O2" s="208"/>
      <c r="P2" s="259">
        <v>400</v>
      </c>
      <c r="Q2" s="209"/>
      <c r="R2" s="208"/>
      <c r="S2" s="208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>
        <v>0.9</v>
      </c>
    </row>
    <row r="3" spans="1:31" s="194" customFormat="1" ht="23.45" customHeight="1">
      <c r="B3" s="199"/>
      <c r="C3" s="195"/>
      <c r="D3" s="195"/>
      <c r="E3" s="195"/>
      <c r="F3" s="195"/>
      <c r="G3" s="195"/>
      <c r="H3" s="195"/>
      <c r="I3" s="195"/>
      <c r="J3" s="195"/>
      <c r="K3" s="196"/>
      <c r="L3" s="202"/>
      <c r="M3" s="202"/>
      <c r="N3" s="204"/>
      <c r="O3" s="208"/>
      <c r="P3" s="565"/>
      <c r="Q3" s="209"/>
      <c r="R3" s="208"/>
      <c r="S3" s="208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>
        <v>1.5</v>
      </c>
    </row>
    <row r="4" spans="1:31" s="194" customFormat="1" ht="23.45" customHeight="1">
      <c r="B4" s="199"/>
      <c r="C4" s="195"/>
      <c r="D4" s="195"/>
      <c r="E4" s="195"/>
      <c r="F4" s="195"/>
      <c r="G4" s="195"/>
      <c r="H4" s="195"/>
      <c r="I4" s="195"/>
      <c r="J4" s="195"/>
      <c r="K4" s="196"/>
      <c r="L4" s="202"/>
      <c r="M4" s="202"/>
      <c r="N4" s="204"/>
      <c r="O4" s="208"/>
      <c r="P4" s="565"/>
      <c r="Q4" s="209"/>
      <c r="R4" s="208"/>
      <c r="S4" s="208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>
        <v>0.75</v>
      </c>
    </row>
    <row r="5" spans="1:31" s="194" customFormat="1" ht="23.45" customHeight="1">
      <c r="B5" s="199"/>
      <c r="C5" s="195"/>
      <c r="D5" s="195"/>
      <c r="E5" s="195"/>
      <c r="F5" s="195"/>
      <c r="G5" s="195"/>
      <c r="H5" s="195"/>
      <c r="I5" s="195"/>
      <c r="J5" s="195"/>
      <c r="K5" s="196"/>
      <c r="L5" s="202"/>
      <c r="M5" s="202"/>
      <c r="N5" s="204"/>
      <c r="O5" s="208"/>
      <c r="P5" s="260">
        <f>4*25</f>
        <v>100</v>
      </c>
      <c r="Q5" s="209"/>
      <c r="R5" s="208"/>
      <c r="S5" s="208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</row>
    <row r="6" spans="1:31" s="193" customFormat="1" ht="16.5">
      <c r="B6" s="261" t="s">
        <v>332</v>
      </c>
      <c r="C6" s="197"/>
      <c r="D6" s="197"/>
      <c r="E6" s="197"/>
      <c r="F6" s="197"/>
      <c r="G6" s="197"/>
      <c r="H6" s="197"/>
      <c r="I6" s="197"/>
      <c r="J6" s="197"/>
      <c r="K6" s="200"/>
      <c r="L6" s="75"/>
      <c r="M6" s="75"/>
      <c r="N6" s="197"/>
      <c r="O6" s="197"/>
      <c r="P6" s="262"/>
      <c r="Q6" s="263"/>
      <c r="R6" s="264"/>
      <c r="S6" s="264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</row>
    <row r="7" spans="1:31" s="193" customFormat="1" ht="16.5">
      <c r="B7" s="261" t="s">
        <v>425</v>
      </c>
      <c r="C7" s="197"/>
      <c r="D7" s="197"/>
      <c r="E7" s="197"/>
      <c r="F7" s="197"/>
      <c r="G7" s="197"/>
      <c r="H7" s="197"/>
      <c r="I7" s="197"/>
      <c r="J7" s="197"/>
      <c r="K7" s="200"/>
      <c r="L7" s="75"/>
      <c r="M7" s="75"/>
      <c r="N7" s="197"/>
      <c r="O7" s="197"/>
      <c r="P7" s="262"/>
      <c r="Q7" s="263"/>
      <c r="R7" s="264"/>
      <c r="S7" s="264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</row>
    <row r="8" spans="1:31" s="193" customFormat="1" ht="16.5">
      <c r="A8" s="193" t="str">
        <f>'MAT - TAKEOFF'!H37</f>
        <v>REC DUCT W/ LINE(SA); 34X20</v>
      </c>
      <c r="B8" s="210" t="str">
        <f t="shared" ref="B8:B9" si="0">TRIM(RIGHT(A8, LEN(A8) - FIND(";", A8)))</f>
        <v>34X20</v>
      </c>
      <c r="C8" s="265">
        <f>'MAT - TAKEOFF'!I37</f>
        <v>18.8</v>
      </c>
      <c r="D8" s="95"/>
      <c r="E8" s="95"/>
      <c r="F8" s="95"/>
      <c r="G8" s="95" t="str">
        <f t="shared" ref="G8:G12" si="1">LEFT(B8,FIND("X",B8)-1)</f>
        <v>34</v>
      </c>
      <c r="H8" s="95" t="str">
        <f t="shared" ref="H8:H12" si="2">MID(B8,FIND("X",B8)+1,LEN(B8)-FIND("X",B8))</f>
        <v>20</v>
      </c>
      <c r="I8" s="95"/>
      <c r="J8" s="95"/>
      <c r="K8" s="299">
        <f>VLOOKUP(B8,$K$256:$L$520, 2, FALSE)</f>
        <v>0.497</v>
      </c>
      <c r="L8" s="75">
        <f>VLOOKUP(B8,$B$256:$C$520, 2, FALSE)</f>
        <v>32.9</v>
      </c>
      <c r="M8" s="75"/>
      <c r="N8" s="267">
        <f t="shared" ref="N8:N12" si="3">(((((G8+2)+(H8+2))*2)*(C8*12))/144)+((((G8+5)*(H8+5))/144)*M8)</f>
        <v>181.73333333333335</v>
      </c>
      <c r="O8" s="268">
        <f t="shared" ref="O8:O12" si="4">N8*1.1</f>
        <v>199.90666666666669</v>
      </c>
      <c r="P8" s="268">
        <f>O8/$P$5</f>
        <v>1.999066666666667</v>
      </c>
      <c r="Q8" s="266">
        <f>SUM(P8:P12)</f>
        <v>3.6650166666666668</v>
      </c>
      <c r="R8" s="269">
        <f>K8</f>
        <v>0.497</v>
      </c>
      <c r="S8" s="264">
        <f>((R8)*C8)</f>
        <v>9.3436000000000003</v>
      </c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>
        <f>((2*(G8+H8)/12)*$AE$2)+((2*(G8+H8)/12))*(1/12)*$AE$3</f>
        <v>9.2249999999999996</v>
      </c>
    </row>
    <row r="9" spans="1:31" s="193" customFormat="1" ht="16.5">
      <c r="A9" s="193" t="str">
        <f>'MAT - TAKEOFF'!H39</f>
        <v>REC DUCT W/ LINED(SA); 35X20</v>
      </c>
      <c r="B9" s="210" t="str">
        <f t="shared" si="0"/>
        <v>35X20</v>
      </c>
      <c r="C9" s="265">
        <f>'MAT - TAKEOFF'!I39</f>
        <v>8.5</v>
      </c>
      <c r="D9" s="95"/>
      <c r="E9" s="95"/>
      <c r="F9" s="95"/>
      <c r="G9" s="95" t="str">
        <f t="shared" si="1"/>
        <v>35</v>
      </c>
      <c r="H9" s="95" t="str">
        <f t="shared" si="2"/>
        <v>20</v>
      </c>
      <c r="I9" s="95"/>
      <c r="J9" s="95"/>
      <c r="K9" s="299">
        <f>VLOOKUP(B9,$K$256:$L$520, 2, FALSE)</f>
        <v>0.51700000000000002</v>
      </c>
      <c r="L9" s="75">
        <f>VLOOKUP(B9,$B$256:$C$520, 2, FALSE)</f>
        <v>33.81</v>
      </c>
      <c r="M9" s="75"/>
      <c r="N9" s="267">
        <f t="shared" si="3"/>
        <v>83.583333333333329</v>
      </c>
      <c r="O9" s="268">
        <f t="shared" si="4"/>
        <v>91.941666666666663</v>
      </c>
      <c r="P9" s="268">
        <f>O9/$P$5</f>
        <v>0.91941666666666666</v>
      </c>
      <c r="Q9" s="266"/>
      <c r="R9" s="269">
        <f t="shared" ref="R9:R26" si="5">K9</f>
        <v>0.51700000000000002</v>
      </c>
      <c r="S9" s="264">
        <f t="shared" ref="S9:S26" si="6">((R9)*C9)</f>
        <v>4.3944999999999999</v>
      </c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>
        <f t="shared" ref="AE9:AE15" si="7">((2*(G9+H9)/12)*$AE$2)+((2*(G9+H9)/12))*(1/12)*$AE$3</f>
        <v>9.3958333333333339</v>
      </c>
    </row>
    <row r="10" spans="1:31" s="193" customFormat="1" ht="16.5">
      <c r="B10" s="210"/>
      <c r="C10" s="265"/>
      <c r="D10" s="95"/>
      <c r="E10" s="95"/>
      <c r="F10" s="95"/>
      <c r="G10" s="95"/>
      <c r="H10" s="95"/>
      <c r="I10" s="95"/>
      <c r="J10" s="95"/>
      <c r="K10" s="299"/>
      <c r="L10" s="75"/>
      <c r="M10" s="75"/>
      <c r="N10" s="267"/>
      <c r="O10" s="268"/>
      <c r="P10" s="268"/>
      <c r="Q10" s="266"/>
      <c r="R10" s="269"/>
      <c r="S10" s="264">
        <f t="shared" si="6"/>
        <v>0</v>
      </c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</row>
    <row r="11" spans="1:31" s="193" customFormat="1" ht="16.5">
      <c r="B11" s="367" t="s">
        <v>427</v>
      </c>
      <c r="C11" s="265"/>
      <c r="D11" s="95"/>
      <c r="E11" s="95"/>
      <c r="F11" s="95"/>
      <c r="G11" s="95"/>
      <c r="H11" s="95"/>
      <c r="I11" s="95"/>
      <c r="J11" s="95"/>
      <c r="K11" s="299"/>
      <c r="L11" s="75"/>
      <c r="M11" s="75"/>
      <c r="N11" s="267"/>
      <c r="O11" s="268"/>
      <c r="P11" s="268"/>
      <c r="Q11" s="266"/>
      <c r="R11" s="269"/>
      <c r="S11" s="264">
        <f t="shared" si="6"/>
        <v>0</v>
      </c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</row>
    <row r="12" spans="1:31" s="193" customFormat="1" ht="16.5">
      <c r="A12" s="193" t="str">
        <f>'MAT - TAKEOFF'!H38</f>
        <v>REC DUCT W/ LINED(RA); 20X16</v>
      </c>
      <c r="B12" s="210" t="str">
        <f t="shared" ref="B12" si="8">TRIM(RIGHT(A12, LEN(A12) - FIND(";", A12)))</f>
        <v>20X16</v>
      </c>
      <c r="C12" s="265">
        <f>'MAT - TAKEOFF'!I38</f>
        <v>10.18</v>
      </c>
      <c r="D12" s="95"/>
      <c r="E12" s="95"/>
      <c r="F12" s="95"/>
      <c r="G12" s="95" t="str">
        <f t="shared" si="1"/>
        <v>20</v>
      </c>
      <c r="H12" s="95" t="str">
        <f t="shared" si="2"/>
        <v>16</v>
      </c>
      <c r="I12" s="95"/>
      <c r="J12" s="95"/>
      <c r="K12" s="299">
        <f>VLOOKUP(B12,$K$256:$L$520, 2, FALSE)</f>
        <v>0.26900000000000002</v>
      </c>
      <c r="L12" s="75">
        <f>VLOOKUP(B12,$B$256:$C$520, 2, FALSE)</f>
        <v>16.099999999999998</v>
      </c>
      <c r="M12" s="75"/>
      <c r="N12" s="267">
        <f t="shared" si="3"/>
        <v>67.86666666666666</v>
      </c>
      <c r="O12" s="268">
        <f t="shared" si="4"/>
        <v>74.653333333333336</v>
      </c>
      <c r="P12" s="268">
        <f>O12/$P$5</f>
        <v>0.74653333333333338</v>
      </c>
      <c r="Q12" s="266"/>
      <c r="R12" s="269">
        <f t="shared" si="5"/>
        <v>0.26900000000000002</v>
      </c>
      <c r="S12" s="264">
        <f t="shared" si="6"/>
        <v>2.7384200000000001</v>
      </c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>
        <f t="shared" si="7"/>
        <v>6.15</v>
      </c>
    </row>
    <row r="13" spans="1:31" s="193" customFormat="1" ht="16.5">
      <c r="B13" s="210"/>
      <c r="C13" s="265"/>
      <c r="D13" s="95"/>
      <c r="E13" s="95"/>
      <c r="F13" s="95"/>
      <c r="G13" s="95"/>
      <c r="H13" s="95"/>
      <c r="I13" s="95"/>
      <c r="J13" s="95"/>
      <c r="K13" s="299"/>
      <c r="L13" s="75"/>
      <c r="M13" s="75"/>
      <c r="N13" s="267"/>
      <c r="O13" s="268"/>
      <c r="P13" s="268"/>
      <c r="Q13" s="266"/>
      <c r="R13" s="269"/>
      <c r="S13" s="264">
        <f t="shared" si="6"/>
        <v>0</v>
      </c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</row>
    <row r="14" spans="1:31" s="193" customFormat="1" ht="16.5">
      <c r="B14" s="261" t="s">
        <v>426</v>
      </c>
      <c r="C14" s="265"/>
      <c r="D14" s="95"/>
      <c r="E14" s="95"/>
      <c r="F14" s="95"/>
      <c r="G14" s="95"/>
      <c r="H14" s="95"/>
      <c r="I14" s="95"/>
      <c r="J14" s="95"/>
      <c r="K14" s="299"/>
      <c r="L14" s="75"/>
      <c r="M14" s="75"/>
      <c r="N14" s="267"/>
      <c r="O14" s="268"/>
      <c r="P14" s="268"/>
      <c r="Q14" s="266"/>
      <c r="R14" s="269"/>
      <c r="S14" s="264">
        <f t="shared" si="6"/>
        <v>0</v>
      </c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</row>
    <row r="15" spans="1:31" s="193" customFormat="1" ht="16.5">
      <c r="A15" s="193" t="str">
        <f>'MAT - TAKEOFF'!H36</f>
        <v>REC DUCT W/ DUCT WRAP(SA); 18X6</v>
      </c>
      <c r="B15" s="210" t="str">
        <f>TRIM(RIGHT(A15, LEN(A15) - FIND(";", A15)))</f>
        <v>18X6</v>
      </c>
      <c r="C15" s="265">
        <f>'MAT - TAKEOFF'!I36</f>
        <v>2.95</v>
      </c>
      <c r="D15" s="95"/>
      <c r="E15" s="95"/>
      <c r="F15" s="95"/>
      <c r="G15" s="95" t="str">
        <f t="shared" ref="G15" si="9">LEFT(B15,FIND("X",B15)-1)</f>
        <v>18</v>
      </c>
      <c r="H15" s="95" t="str">
        <f t="shared" ref="H15" si="10">MID(B15,FIND("X",B15)+1,LEN(B15)-FIND("X",B15))</f>
        <v>6</v>
      </c>
      <c r="I15" s="95"/>
      <c r="J15" s="95"/>
      <c r="K15" s="299">
        <f>VLOOKUP(B15,$K$256:$L$520, 2, FALSE)</f>
        <v>0.184</v>
      </c>
      <c r="L15" s="75">
        <f>VLOOKUP(B15,$B$256:$C$520, 2, FALSE)</f>
        <v>12.04</v>
      </c>
      <c r="M15" s="75"/>
      <c r="N15" s="267">
        <f>(((((G15+2)+(H15+2))*2)*(C15*12))/144)+((((G15+5)*(H15+5))/144)*M15)</f>
        <v>13.766666666666669</v>
      </c>
      <c r="O15" s="268">
        <f>N15*1.1</f>
        <v>15.143333333333338</v>
      </c>
      <c r="P15" s="268">
        <f>O15/$P$2</f>
        <v>3.7858333333333348E-2</v>
      </c>
      <c r="Q15" s="266"/>
      <c r="R15" s="269">
        <f t="shared" si="5"/>
        <v>0.184</v>
      </c>
      <c r="S15" s="264">
        <f t="shared" si="6"/>
        <v>0.54280000000000006</v>
      </c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>
        <f t="shared" si="7"/>
        <v>4.0999999999999996</v>
      </c>
    </row>
    <row r="16" spans="1:31" s="193" customFormat="1" ht="16.5">
      <c r="B16" s="210"/>
      <c r="C16" s="265"/>
      <c r="D16" s="95"/>
      <c r="E16" s="95"/>
      <c r="F16" s="95"/>
      <c r="G16" s="95"/>
      <c r="H16" s="95"/>
      <c r="I16" s="95"/>
      <c r="J16" s="95"/>
      <c r="K16" s="299"/>
      <c r="L16" s="75"/>
      <c r="M16" s="75"/>
      <c r="N16" s="267"/>
      <c r="O16" s="268"/>
      <c r="P16" s="268"/>
      <c r="Q16" s="266"/>
      <c r="R16" s="269"/>
      <c r="S16" s="264">
        <f t="shared" si="6"/>
        <v>0</v>
      </c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</row>
    <row r="17" spans="1:31" s="193" customFormat="1" ht="16.5">
      <c r="B17" s="367" t="s">
        <v>424</v>
      </c>
      <c r="C17" s="265"/>
      <c r="D17" s="95"/>
      <c r="E17" s="95"/>
      <c r="F17" s="95"/>
      <c r="G17" s="95"/>
      <c r="H17" s="95"/>
      <c r="I17" s="95"/>
      <c r="J17" s="95"/>
      <c r="K17" s="299"/>
      <c r="L17" s="75"/>
      <c r="M17" s="75"/>
      <c r="N17" s="267"/>
      <c r="O17" s="268"/>
      <c r="P17" s="268"/>
      <c r="Q17" s="266"/>
      <c r="R17" s="269"/>
      <c r="S17" s="264">
        <f t="shared" si="6"/>
        <v>0</v>
      </c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</row>
    <row r="18" spans="1:31" s="193" customFormat="1" ht="16.5">
      <c r="B18" s="367" t="s">
        <v>322</v>
      </c>
      <c r="C18" s="265"/>
      <c r="D18" s="95"/>
      <c r="E18" s="95"/>
      <c r="F18" s="95"/>
      <c r="G18" s="95"/>
      <c r="H18" s="95"/>
      <c r="I18" s="95"/>
      <c r="J18" s="95"/>
      <c r="K18" s="299"/>
      <c r="L18" s="75"/>
      <c r="M18" s="75"/>
      <c r="N18" s="267"/>
      <c r="O18" s="268"/>
      <c r="P18" s="268"/>
      <c r="Q18" s="266"/>
      <c r="R18" s="269"/>
      <c r="S18" s="264">
        <f t="shared" si="6"/>
        <v>0</v>
      </c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>
        <f>(3.1416*(B19/12))+((3.1416*(B19/12))*(1.5/12)*$AE$4)</f>
        <v>2.8634374999999999</v>
      </c>
    </row>
    <row r="19" spans="1:31" s="193" customFormat="1" ht="16.5">
      <c r="A19" s="193" t="str">
        <f>'MAT - TAKEOFF'!H54</f>
        <v>RND DUCT W/ DCUT WRAP(SA); 10" DIA</v>
      </c>
      <c r="B19" s="210">
        <f>--TRIM(MID(A19,FIND(";",A19)+1,FIND("""",A19)-FIND(";",A19)-1))</f>
        <v>10</v>
      </c>
      <c r="C19" s="265">
        <f>'MAT - TAKEOFF'!I54</f>
        <v>95.95</v>
      </c>
      <c r="D19" s="95"/>
      <c r="E19" s="95"/>
      <c r="F19" s="95"/>
      <c r="G19" s="95"/>
      <c r="H19" s="95"/>
      <c r="I19" s="95"/>
      <c r="J19" s="95"/>
      <c r="K19" s="304">
        <f t="shared" ref="K19:K26" si="11">VLOOKUP(B19,$Q$259:$R$280,2,FALSE)</f>
        <v>0.10299999999999999</v>
      </c>
      <c r="L19" s="305">
        <f t="shared" ref="L19:L26" si="12">VLOOKUP(B19,$O$256:$P$282,2,FALSE)</f>
        <v>6.8809999999999993</v>
      </c>
      <c r="M19" s="75"/>
      <c r="N19" s="197">
        <f>PI()*(B19/144)*C19</f>
        <v>20.933042716106989</v>
      </c>
      <c r="O19" s="268">
        <f>N19*1.1</f>
        <v>23.026346987717691</v>
      </c>
      <c r="P19" s="268">
        <f>O19/$P$2</f>
        <v>5.7565867469294228E-2</v>
      </c>
      <c r="Q19" s="266">
        <f>SUM(P19:P26)</f>
        <v>0.20824025087704295</v>
      </c>
      <c r="R19" s="269">
        <f t="shared" si="5"/>
        <v>0.10299999999999999</v>
      </c>
      <c r="S19" s="264">
        <f t="shared" si="6"/>
        <v>9.8828499999999995</v>
      </c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>
        <f t="shared" ref="AE19:AE25" si="13">(3.1416*(B20/12))+((3.1416*(B20/12))*(1.5/12)*$AE$4)</f>
        <v>3.4361250000000001</v>
      </c>
    </row>
    <row r="20" spans="1:31" s="193" customFormat="1" ht="16.5">
      <c r="A20" s="193" t="str">
        <f>'MAT - TAKEOFF'!H55</f>
        <v>RND DUCT W/ DCUT WRAP(SA); 12" DIA</v>
      </c>
      <c r="B20" s="210">
        <f t="shared" ref="B20:B26" si="14">--TRIM(MID(A20,FIND(";",A20)+1,FIND("""",A20)-FIND(";",A20)-1))</f>
        <v>12</v>
      </c>
      <c r="C20" s="265">
        <f>'MAT - TAKEOFF'!I55</f>
        <v>9.44</v>
      </c>
      <c r="D20" s="95"/>
      <c r="E20" s="95"/>
      <c r="F20" s="95"/>
      <c r="G20" s="95"/>
      <c r="H20" s="95"/>
      <c r="I20" s="95"/>
      <c r="J20" s="95"/>
      <c r="K20" s="304">
        <f t="shared" si="11"/>
        <v>0.123</v>
      </c>
      <c r="L20" s="305">
        <f t="shared" si="12"/>
        <v>8.19</v>
      </c>
      <c r="M20" s="75"/>
      <c r="N20" s="197">
        <f t="shared" ref="N20:N26" si="15">PI()*(B20/144)*C20</f>
        <v>2.4713862208239701</v>
      </c>
      <c r="O20" s="268">
        <f t="shared" ref="O20:O26" si="16">N20*1.1</f>
        <v>2.7185248429063673</v>
      </c>
      <c r="P20" s="268">
        <f t="shared" ref="P20:P26" si="17">O20/$P$2</f>
        <v>6.796312107265918E-3</v>
      </c>
      <c r="Q20" s="266"/>
      <c r="R20" s="269">
        <f t="shared" si="5"/>
        <v>0.123</v>
      </c>
      <c r="S20" s="264">
        <f t="shared" si="6"/>
        <v>1.1611199999999999</v>
      </c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>
        <f t="shared" si="13"/>
        <v>4.5814999999999992</v>
      </c>
    </row>
    <row r="21" spans="1:31" s="193" customFormat="1" ht="16.5">
      <c r="A21" s="193" t="str">
        <f>'MAT - TAKEOFF'!H56</f>
        <v>RND DUCT W/ DCUT WRAP(SA); 16" DIA</v>
      </c>
      <c r="B21" s="210">
        <f t="shared" si="14"/>
        <v>16</v>
      </c>
      <c r="C21" s="265">
        <f>'MAT - TAKEOFF'!I56</f>
        <v>48.29</v>
      </c>
      <c r="D21" s="95"/>
      <c r="E21" s="95"/>
      <c r="F21" s="95"/>
      <c r="G21" s="95"/>
      <c r="H21" s="95"/>
      <c r="I21" s="95"/>
      <c r="J21" s="95"/>
      <c r="K21" s="304">
        <f t="shared" si="11"/>
        <v>0.17399999999999999</v>
      </c>
      <c r="L21" s="305">
        <f t="shared" si="12"/>
        <v>10.29</v>
      </c>
      <c r="M21" s="75"/>
      <c r="N21" s="197">
        <f t="shared" si="15"/>
        <v>16.856389915761234</v>
      </c>
      <c r="O21" s="268">
        <f t="shared" si="16"/>
        <v>18.542028907337357</v>
      </c>
      <c r="P21" s="268">
        <f t="shared" si="17"/>
        <v>4.6355072268343393E-2</v>
      </c>
      <c r="Q21" s="266"/>
      <c r="R21" s="269">
        <f t="shared" si="5"/>
        <v>0.17399999999999999</v>
      </c>
      <c r="S21" s="264">
        <f t="shared" si="6"/>
        <v>8.4024599999999996</v>
      </c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>
        <f t="shared" si="13"/>
        <v>5.7268749999999997</v>
      </c>
    </row>
    <row r="22" spans="1:31" s="193" customFormat="1" ht="16.5">
      <c r="A22" s="193" t="str">
        <f>'MAT - TAKEOFF'!H57</f>
        <v>RND DUCT W/ DCUT WRAP(SA); 20" DIA</v>
      </c>
      <c r="B22" s="210">
        <f t="shared" si="14"/>
        <v>20</v>
      </c>
      <c r="C22" s="265">
        <f>'MAT - TAKEOFF'!I57</f>
        <v>50.11</v>
      </c>
      <c r="D22" s="95"/>
      <c r="E22" s="95"/>
      <c r="F22" s="95"/>
      <c r="G22" s="95"/>
      <c r="H22" s="95"/>
      <c r="I22" s="95"/>
      <c r="J22" s="95"/>
      <c r="K22" s="304">
        <f t="shared" si="11"/>
        <v>0.19500000000000001</v>
      </c>
      <c r="L22" s="305">
        <f t="shared" si="12"/>
        <v>13.089999999999998</v>
      </c>
      <c r="M22" s="75"/>
      <c r="N22" s="197">
        <f t="shared" si="15"/>
        <v>21.864612204358963</v>
      </c>
      <c r="O22" s="268">
        <f t="shared" si="16"/>
        <v>24.051073424794861</v>
      </c>
      <c r="P22" s="268">
        <f t="shared" si="17"/>
        <v>6.0127683561987152E-2</v>
      </c>
      <c r="Q22" s="266"/>
      <c r="R22" s="269">
        <f t="shared" si="5"/>
        <v>0.19500000000000001</v>
      </c>
      <c r="S22" s="264">
        <f t="shared" si="6"/>
        <v>9.7714499999999997</v>
      </c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>
        <f t="shared" si="13"/>
        <v>3.4361250000000001</v>
      </c>
    </row>
    <row r="23" spans="1:31" s="193" customFormat="1" ht="16.5">
      <c r="A23" s="193" t="str">
        <f>'MAT - TAKEOFF'!H58</f>
        <v>RND DUCT W/ DUCT WRAP(SA); 12" DIA</v>
      </c>
      <c r="B23" s="210">
        <f t="shared" si="14"/>
        <v>12</v>
      </c>
      <c r="C23" s="265">
        <f>'MAT - TAKEOFF'!I58</f>
        <v>15.24</v>
      </c>
      <c r="D23" s="95"/>
      <c r="E23" s="95"/>
      <c r="F23" s="95"/>
      <c r="G23" s="95"/>
      <c r="H23" s="95"/>
      <c r="I23" s="95"/>
      <c r="J23" s="95"/>
      <c r="K23" s="304">
        <f t="shared" si="11"/>
        <v>0.123</v>
      </c>
      <c r="L23" s="305">
        <f t="shared" si="12"/>
        <v>8.19</v>
      </c>
      <c r="M23" s="75"/>
      <c r="N23" s="197">
        <f t="shared" si="15"/>
        <v>3.9898226700590369</v>
      </c>
      <c r="O23" s="268">
        <f t="shared" si="16"/>
        <v>4.3888049370649407</v>
      </c>
      <c r="P23" s="268">
        <f t="shared" si="17"/>
        <v>1.0972012342662351E-2</v>
      </c>
      <c r="Q23" s="266"/>
      <c r="R23" s="269">
        <f t="shared" si="5"/>
        <v>0.123</v>
      </c>
      <c r="S23" s="264">
        <f t="shared" si="6"/>
        <v>1.87452</v>
      </c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>
        <f t="shared" si="13"/>
        <v>4.0088125000000003</v>
      </c>
    </row>
    <row r="24" spans="1:31" s="193" customFormat="1" ht="16.5">
      <c r="A24" s="193" t="str">
        <f>'MAT - TAKEOFF'!H59</f>
        <v>RND DUCT W/ DUCT WRAP(SA); 14" DIA</v>
      </c>
      <c r="B24" s="210">
        <f t="shared" si="14"/>
        <v>14</v>
      </c>
      <c r="C24" s="265">
        <f>'MAT - TAKEOFF'!I59</f>
        <v>9.25</v>
      </c>
      <c r="D24" s="95"/>
      <c r="E24" s="95"/>
      <c r="F24" s="95"/>
      <c r="G24" s="95"/>
      <c r="H24" s="95"/>
      <c r="I24" s="95"/>
      <c r="J24" s="95"/>
      <c r="K24" s="304">
        <f t="shared" si="11"/>
        <v>0.17399999999999999</v>
      </c>
      <c r="L24" s="305">
        <f t="shared" si="12"/>
        <v>10.29</v>
      </c>
      <c r="M24" s="75"/>
      <c r="N24" s="197">
        <f t="shared" si="15"/>
        <v>2.8252517266658206</v>
      </c>
      <c r="O24" s="268">
        <f t="shared" si="16"/>
        <v>3.1077768993324031</v>
      </c>
      <c r="P24" s="268">
        <f t="shared" si="17"/>
        <v>7.7694422483310073E-3</v>
      </c>
      <c r="Q24" s="266"/>
      <c r="R24" s="269">
        <f t="shared" si="5"/>
        <v>0.17399999999999999</v>
      </c>
      <c r="S24" s="264">
        <f t="shared" si="6"/>
        <v>1.6094999999999999</v>
      </c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>
        <f t="shared" si="13"/>
        <v>5.1541874999999999</v>
      </c>
    </row>
    <row r="25" spans="1:31" s="193" customFormat="1" ht="16.5">
      <c r="A25" s="193" t="str">
        <f>'MAT - TAKEOFF'!H60</f>
        <v>RND DUCT W/ DUCT WRAP(SA); 18" DIA</v>
      </c>
      <c r="B25" s="210">
        <f t="shared" si="14"/>
        <v>18</v>
      </c>
      <c r="C25" s="265">
        <f>'MAT - TAKEOFF'!I60</f>
        <v>14.29</v>
      </c>
      <c r="D25" s="95"/>
      <c r="E25" s="95"/>
      <c r="F25" s="95"/>
      <c r="G25" s="95"/>
      <c r="H25" s="95"/>
      <c r="I25" s="95"/>
      <c r="J25" s="95"/>
      <c r="K25" s="304">
        <f t="shared" si="11"/>
        <v>0.19500000000000001</v>
      </c>
      <c r="L25" s="305">
        <f t="shared" si="12"/>
        <v>13.089999999999998</v>
      </c>
      <c r="M25" s="75"/>
      <c r="N25" s="197">
        <f t="shared" si="15"/>
        <v>5.6116698774747675</v>
      </c>
      <c r="O25" s="268">
        <f t="shared" si="16"/>
        <v>6.1728368652222452</v>
      </c>
      <c r="P25" s="268">
        <f t="shared" si="17"/>
        <v>1.5432092163055612E-2</v>
      </c>
      <c r="Q25" s="266"/>
      <c r="R25" s="269">
        <f t="shared" si="5"/>
        <v>0.19500000000000001</v>
      </c>
      <c r="S25" s="264">
        <f t="shared" si="6"/>
        <v>2.7865500000000001</v>
      </c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>
        <f t="shared" si="13"/>
        <v>1.7180625</v>
      </c>
    </row>
    <row r="26" spans="1:31" s="193" customFormat="1" ht="16.5">
      <c r="A26" s="193" t="str">
        <f>'MAT - TAKEOFF'!H61</f>
        <v>RND DUCT W/ DUCT WRAP(SA); 6" DIA</v>
      </c>
      <c r="B26" s="210">
        <f t="shared" si="14"/>
        <v>6</v>
      </c>
      <c r="C26" s="265">
        <f>'MAT - TAKEOFF'!I61</f>
        <v>8.9499999999999993</v>
      </c>
      <c r="D26" s="95"/>
      <c r="E26" s="95"/>
      <c r="F26" s="95"/>
      <c r="G26" s="95"/>
      <c r="H26" s="95"/>
      <c r="I26" s="95"/>
      <c r="J26" s="95"/>
      <c r="K26" s="304">
        <f t="shared" si="11"/>
        <v>6.0999999999999999E-2</v>
      </c>
      <c r="L26" s="305">
        <f t="shared" si="12"/>
        <v>4.13</v>
      </c>
      <c r="M26" s="75"/>
      <c r="N26" s="197">
        <f t="shared" si="15"/>
        <v>1.1715522604011934</v>
      </c>
      <c r="O26" s="268">
        <f t="shared" si="16"/>
        <v>1.2887074864413128</v>
      </c>
      <c r="P26" s="268">
        <f t="shared" si="17"/>
        <v>3.221768716103282E-3</v>
      </c>
      <c r="Q26" s="266"/>
      <c r="R26" s="269">
        <f t="shared" si="5"/>
        <v>6.0999999999999999E-2</v>
      </c>
      <c r="S26" s="264">
        <f t="shared" si="6"/>
        <v>0.54594999999999994</v>
      </c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</row>
    <row r="27" spans="1:31" s="193" customFormat="1" ht="16.5">
      <c r="B27" s="210"/>
      <c r="C27" s="265"/>
      <c r="D27" s="95"/>
      <c r="E27" s="95"/>
      <c r="F27" s="95"/>
      <c r="G27" s="95"/>
      <c r="H27" s="95"/>
      <c r="I27" s="95"/>
      <c r="J27" s="95"/>
      <c r="K27" s="299"/>
      <c r="L27" s="75"/>
      <c r="M27" s="75"/>
      <c r="N27" s="267"/>
      <c r="O27" s="268"/>
      <c r="P27" s="268"/>
      <c r="Q27" s="266"/>
      <c r="R27" s="269"/>
      <c r="S27" s="264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</row>
    <row r="28" spans="1:31" s="193" customFormat="1" ht="16.5">
      <c r="B28" s="301" t="s">
        <v>325</v>
      </c>
      <c r="C28" s="265"/>
      <c r="D28" s="95"/>
      <c r="E28" s="95"/>
      <c r="F28" s="95"/>
      <c r="G28" s="95"/>
      <c r="H28" s="95"/>
      <c r="I28" s="95"/>
      <c r="J28" s="95"/>
      <c r="K28" s="299"/>
      <c r="L28" s="75"/>
      <c r="M28" s="75"/>
      <c r="N28" s="268"/>
      <c r="O28" s="268"/>
      <c r="P28" s="268"/>
      <c r="Q28" s="268"/>
      <c r="R28" s="269"/>
      <c r="S28" s="264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</row>
    <row r="29" spans="1:31" s="193" customFormat="1" ht="16.5">
      <c r="A29" s="193" t="str">
        <f>'MAT - TAKEOFF'!H21</f>
        <v>FLEX DUCT(SA); 10" DIA</v>
      </c>
      <c r="B29" s="210">
        <f>--TRIM(MID(A29,FIND(";",A29)+1,FIND("""",A29)-FIND(";",A29)-1))</f>
        <v>10</v>
      </c>
      <c r="C29" s="265">
        <f>'MAT - TAKEOFF'!I21</f>
        <v>30.76</v>
      </c>
      <c r="D29" s="95"/>
      <c r="E29" s="95"/>
      <c r="F29" s="95"/>
      <c r="G29" s="95"/>
      <c r="H29" s="95"/>
      <c r="I29" s="95"/>
      <c r="J29" s="95"/>
      <c r="K29" s="304">
        <f>VLOOKUP(B29,$B$222:$C$237,2,FALSE)</f>
        <v>0.09</v>
      </c>
      <c r="L29" s="305">
        <f>VLOOKUP(B29,$F$221:$G$237,2,FALSE)</f>
        <v>3.0251999999999999</v>
      </c>
      <c r="M29" s="75"/>
      <c r="N29" s="268"/>
      <c r="O29" s="268"/>
      <c r="P29" s="268"/>
      <c r="Q29" s="268"/>
      <c r="R29" s="269"/>
      <c r="S29" s="264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</row>
    <row r="30" spans="1:31" s="193" customFormat="1" ht="16.5">
      <c r="A30" s="193" t="str">
        <f>'MAT - TAKEOFF'!H22</f>
        <v>FLEX DUCT(SA); 12" DIA</v>
      </c>
      <c r="B30" s="210">
        <f t="shared" ref="B30:B31" si="18">--TRIM(MID(A30,FIND(";",A30)+1,FIND("""",A30)-FIND(";",A30)-1))</f>
        <v>12</v>
      </c>
      <c r="C30" s="265">
        <f>'MAT - TAKEOFF'!I22</f>
        <v>15.17</v>
      </c>
      <c r="D30" s="95"/>
      <c r="E30" s="95"/>
      <c r="F30" s="95"/>
      <c r="G30" s="95"/>
      <c r="H30" s="95"/>
      <c r="I30" s="95"/>
      <c r="J30" s="95"/>
      <c r="K30" s="304">
        <f>VLOOKUP(B30,$B$222:$C$237,2,FALSE)</f>
        <v>0.1</v>
      </c>
      <c r="L30" s="305">
        <f>VLOOKUP(B30,$F$221:$G$237,2,FALSE)</f>
        <v>3.2031999999999998</v>
      </c>
      <c r="M30" s="75"/>
      <c r="N30" s="268"/>
      <c r="O30" s="268"/>
      <c r="P30" s="268"/>
      <c r="Q30" s="268"/>
      <c r="R30" s="269"/>
      <c r="S30" s="264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</row>
    <row r="31" spans="1:31" s="193" customFormat="1" ht="16.5">
      <c r="A31" s="193" t="str">
        <f>'MAT - TAKEOFF'!H23</f>
        <v>FLEX DUCT(SA); 6" DIA</v>
      </c>
      <c r="B31" s="210">
        <f t="shared" si="18"/>
        <v>6</v>
      </c>
      <c r="C31" s="265">
        <f>'MAT - TAKEOFF'!I23</f>
        <v>9.06</v>
      </c>
      <c r="D31" s="95"/>
      <c r="E31" s="95"/>
      <c r="F31" s="95"/>
      <c r="G31" s="95"/>
      <c r="H31" s="95"/>
      <c r="I31" s="95"/>
      <c r="J31" s="95"/>
      <c r="K31" s="304">
        <f>VLOOKUP(B31,$B$222:$C$237,2,FALSE)</f>
        <v>7.0000000000000007E-2</v>
      </c>
      <c r="L31" s="305">
        <f>VLOOKUP(B31,$F$221:$G$237,2,FALSE)</f>
        <v>1.8508000000000002</v>
      </c>
      <c r="M31" s="75"/>
      <c r="N31" s="268"/>
      <c r="O31" s="268"/>
      <c r="P31" s="268"/>
      <c r="Q31" s="268"/>
      <c r="R31" s="269"/>
      <c r="S31" s="264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</row>
    <row r="32" spans="1:31" s="193" customFormat="1" ht="16.5">
      <c r="B32" s="198"/>
      <c r="C32" s="265"/>
      <c r="D32" s="197"/>
      <c r="E32" s="197"/>
      <c r="F32" s="197"/>
      <c r="G32" s="95"/>
      <c r="H32" s="95"/>
      <c r="I32" s="95"/>
      <c r="J32" s="95"/>
      <c r="K32" s="299"/>
      <c r="L32" s="75"/>
      <c r="M32" s="75"/>
      <c r="N32" s="268"/>
      <c r="O32" s="268"/>
      <c r="P32" s="268"/>
      <c r="Q32" s="268"/>
      <c r="R32" s="264"/>
      <c r="S32" s="264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</row>
    <row r="33" spans="1:31" s="193" customFormat="1" ht="16.5">
      <c r="B33" s="261" t="s">
        <v>324</v>
      </c>
      <c r="C33" s="265"/>
      <c r="D33" s="197"/>
      <c r="E33" s="197"/>
      <c r="F33" s="197"/>
      <c r="G33" s="95"/>
      <c r="H33" s="95"/>
      <c r="I33" s="95"/>
      <c r="J33" s="95"/>
      <c r="K33" s="299"/>
      <c r="L33" s="75"/>
      <c r="M33" s="75"/>
      <c r="N33" s="268"/>
      <c r="O33" s="268"/>
      <c r="P33" s="268"/>
      <c r="Q33" s="268"/>
      <c r="R33" s="264"/>
      <c r="S33" s="264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</row>
    <row r="34" spans="1:31" s="193" customFormat="1" ht="16.5">
      <c r="B34" s="222" t="s">
        <v>432</v>
      </c>
      <c r="C34" s="265"/>
      <c r="D34" s="197"/>
      <c r="E34" s="197"/>
      <c r="F34" s="197"/>
      <c r="G34" s="95"/>
      <c r="H34" s="95"/>
      <c r="I34" s="95"/>
      <c r="J34" s="95"/>
      <c r="K34" s="299"/>
      <c r="L34" s="299"/>
      <c r="M34" s="75"/>
      <c r="N34" s="197"/>
      <c r="O34" s="268"/>
      <c r="P34" s="268"/>
      <c r="Q34" s="268"/>
      <c r="R34" s="264"/>
      <c r="S34" s="264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</row>
    <row r="35" spans="1:31" s="193" customFormat="1" ht="16.5">
      <c r="A35" s="193" t="str">
        <f>'MAT - TAKEOFF'!H13</f>
        <v>DUCTBOOTS 90DEG(SA); 10" DIA TO 24X24</v>
      </c>
      <c r="B35" s="368" t="str">
        <f>TRIM(MID(A35, FIND(";", A35)+2, LEN(A35)))</f>
        <v>10" DIA TO 24X24</v>
      </c>
      <c r="C35" s="95">
        <f>'MAT - TAKEOFF'!I13</f>
        <v>10</v>
      </c>
      <c r="D35" s="197"/>
      <c r="E35" s="197"/>
      <c r="F35" s="197"/>
      <c r="G35" s="95"/>
      <c r="H35" s="95"/>
      <c r="I35" s="95"/>
      <c r="J35" s="95"/>
      <c r="K35" s="198"/>
      <c r="L35" s="198"/>
      <c r="M35" s="197"/>
      <c r="N35" s="197"/>
      <c r="O35" s="268"/>
      <c r="P35" s="268"/>
      <c r="Q35" s="268"/>
      <c r="R35" s="264"/>
      <c r="S35" s="264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</row>
    <row r="36" spans="1:31" s="193" customFormat="1" ht="16.5">
      <c r="A36" s="193" t="str">
        <f>'MAT - TAKEOFF'!H14</f>
        <v>DUCTBOOTS 90DEG(SA); 12" DIA to 24X24</v>
      </c>
      <c r="B36" s="368" t="str">
        <f t="shared" ref="B36:B37" si="19">TRIM(MID(A36, FIND(";", A36)+2, LEN(A36)))</f>
        <v>12" DIA to 24X24</v>
      </c>
      <c r="C36" s="95">
        <f>'MAT - TAKEOFF'!I14</f>
        <v>5</v>
      </c>
      <c r="D36" s="197"/>
      <c r="E36" s="197"/>
      <c r="F36" s="197"/>
      <c r="G36" s="95"/>
      <c r="H36" s="95"/>
      <c r="I36" s="95"/>
      <c r="J36" s="95"/>
      <c r="K36" s="299"/>
      <c r="L36" s="75"/>
      <c r="M36" s="75"/>
      <c r="N36" s="268"/>
      <c r="O36" s="268"/>
      <c r="P36" s="268"/>
      <c r="Q36" s="268"/>
      <c r="R36" s="264"/>
      <c r="S36" s="264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</row>
    <row r="37" spans="1:31" s="193" customFormat="1" ht="16.5">
      <c r="A37" s="193" t="str">
        <f>'MAT - TAKEOFF'!H15</f>
        <v>DUCTBOOTS 90DEG(SA); 6" DIA TO 12X12</v>
      </c>
      <c r="B37" s="368" t="str">
        <f t="shared" si="19"/>
        <v>6" DIA TO 12X12</v>
      </c>
      <c r="C37" s="95">
        <f>'MAT - TAKEOFF'!I15</f>
        <v>3</v>
      </c>
      <c r="D37" s="197"/>
      <c r="E37" s="197"/>
      <c r="F37" s="197"/>
      <c r="G37" s="197"/>
      <c r="H37" s="197"/>
      <c r="I37" s="197"/>
      <c r="J37" s="197"/>
      <c r="K37" s="299"/>
      <c r="L37" s="75"/>
      <c r="M37" s="75"/>
      <c r="N37" s="268"/>
      <c r="O37" s="197"/>
      <c r="P37" s="197"/>
      <c r="Q37" s="263"/>
      <c r="R37" s="264"/>
      <c r="S37" s="264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</row>
    <row r="38" spans="1:31" s="193" customFormat="1" ht="16.5">
      <c r="B38" s="270"/>
      <c r="C38" s="273"/>
      <c r="D38" s="197"/>
      <c r="E38" s="197"/>
      <c r="F38" s="197"/>
      <c r="G38" s="95"/>
      <c r="H38" s="95"/>
      <c r="I38" s="95"/>
      <c r="J38" s="95"/>
      <c r="K38" s="299"/>
      <c r="L38" s="75"/>
      <c r="M38" s="75"/>
      <c r="N38" s="268"/>
      <c r="O38" s="268"/>
      <c r="P38" s="268"/>
      <c r="Q38" s="197"/>
      <c r="R38" s="269"/>
      <c r="S38" s="264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</row>
    <row r="39" spans="1:31" s="193" customFormat="1" ht="16.5">
      <c r="B39" s="369" t="s">
        <v>306</v>
      </c>
      <c r="C39" s="273"/>
      <c r="D39" s="197"/>
      <c r="E39" s="197"/>
      <c r="F39" s="197"/>
      <c r="G39" s="95"/>
      <c r="H39" s="95"/>
      <c r="I39" s="95"/>
      <c r="J39" s="95"/>
      <c r="K39" s="299"/>
      <c r="L39" s="75"/>
      <c r="M39" s="75"/>
      <c r="N39" s="268"/>
      <c r="O39" s="268"/>
      <c r="P39" s="268"/>
      <c r="Q39" s="197"/>
      <c r="R39" s="269"/>
      <c r="S39" s="264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</row>
    <row r="40" spans="1:31" s="193" customFormat="1" ht="16.5">
      <c r="A40" s="193" t="str">
        <f>'MAT - TAKEOFF'!H29</f>
        <v>PLENUM DUCTBOOTS(EA); 8X8 TO 12X12</v>
      </c>
      <c r="B40" s="368" t="str">
        <f t="shared" ref="B40:B41" si="20">TRIM(MID(A40, FIND(";", A40)+2, LEN(A40)))</f>
        <v>8X8 TO 12X12</v>
      </c>
      <c r="C40" s="273">
        <f>'MAT - TAKEOFF'!I29</f>
        <v>3</v>
      </c>
      <c r="D40" s="197"/>
      <c r="E40" s="197"/>
      <c r="F40" s="197"/>
      <c r="G40" s="95"/>
      <c r="H40" s="95"/>
      <c r="I40" s="95"/>
      <c r="J40" s="95"/>
      <c r="K40" s="299"/>
      <c r="L40" s="75"/>
      <c r="M40" s="75"/>
      <c r="N40" s="268"/>
      <c r="O40" s="268"/>
      <c r="P40" s="268"/>
      <c r="Q40" s="197"/>
      <c r="R40" s="269"/>
      <c r="S40" s="264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</row>
    <row r="41" spans="1:31" s="193" customFormat="1" ht="16.5">
      <c r="A41" s="193" t="str">
        <f>'MAT - TAKEOFF'!H30</f>
        <v>PLENUM DUCTBOOTS(RA); 20X16 TO 24X24</v>
      </c>
      <c r="B41" s="368" t="str">
        <f t="shared" si="20"/>
        <v>20X16 TO 24X24</v>
      </c>
      <c r="C41" s="273">
        <f>'MAT - TAKEOFF'!I30</f>
        <v>1</v>
      </c>
      <c r="D41" s="197"/>
      <c r="E41" s="197"/>
      <c r="F41" s="197"/>
      <c r="G41" s="95"/>
      <c r="H41" s="95"/>
      <c r="I41" s="95"/>
      <c r="J41" s="95"/>
      <c r="K41" s="299"/>
      <c r="L41" s="75"/>
      <c r="M41" s="75"/>
      <c r="N41" s="268"/>
      <c r="O41" s="268"/>
      <c r="P41" s="268"/>
      <c r="Q41" s="197"/>
      <c r="R41" s="269"/>
      <c r="S41" s="264"/>
      <c r="T41" s="197"/>
      <c r="U41" s="197"/>
      <c r="V41" s="2"/>
      <c r="W41" s="2"/>
      <c r="X41" s="2"/>
      <c r="Y41" s="2"/>
      <c r="Z41" s="197"/>
      <c r="AA41" s="197"/>
      <c r="AB41" s="197"/>
      <c r="AC41" s="197"/>
      <c r="AD41" s="197"/>
      <c r="AE41" s="197"/>
    </row>
    <row r="42" spans="1:31" s="193" customFormat="1" ht="16.5">
      <c r="B42" s="270"/>
      <c r="C42" s="273"/>
      <c r="D42" s="197"/>
      <c r="E42" s="197"/>
      <c r="F42" s="197"/>
      <c r="G42" s="95"/>
      <c r="H42" s="95"/>
      <c r="I42" s="95"/>
      <c r="J42" s="95"/>
      <c r="K42" s="299"/>
      <c r="L42" s="75"/>
      <c r="M42" s="75"/>
      <c r="N42" s="268"/>
      <c r="O42" s="268"/>
      <c r="P42" s="268"/>
      <c r="Q42" s="197"/>
      <c r="R42" s="269"/>
      <c r="S42" s="264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</row>
    <row r="43" spans="1:31" s="193" customFormat="1" ht="16.5">
      <c r="B43" s="369" t="s">
        <v>433</v>
      </c>
      <c r="C43" s="273"/>
      <c r="D43" s="197"/>
      <c r="E43" s="197"/>
      <c r="F43" s="197"/>
      <c r="G43" s="95"/>
      <c r="H43" s="95"/>
      <c r="I43" s="95"/>
      <c r="J43" s="95"/>
      <c r="K43" s="299"/>
      <c r="L43" s="75"/>
      <c r="M43" s="75"/>
      <c r="N43" s="268"/>
      <c r="O43" s="268"/>
      <c r="P43" s="268"/>
      <c r="Q43" s="197"/>
      <c r="R43" s="269"/>
      <c r="S43" s="264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</row>
    <row r="44" spans="1:31" s="193" customFormat="1" ht="16.5">
      <c r="A44" s="193" t="str">
        <f>'MAT - TAKEOFF'!H32</f>
        <v>REC DUCT 90EL(SA); 20X16</v>
      </c>
      <c r="B44" s="210" t="str">
        <f t="shared" ref="B44:B46" si="21">TRIM(RIGHT(A44, LEN(A44) - FIND(";", A44)))</f>
        <v>20X16</v>
      </c>
      <c r="C44" s="273">
        <f>'MAT - TAKEOFF'!I32</f>
        <v>1</v>
      </c>
      <c r="D44" s="197"/>
      <c r="E44" s="197"/>
      <c r="F44" s="197"/>
      <c r="G44" s="95"/>
      <c r="H44" s="95"/>
      <c r="I44" s="95"/>
      <c r="J44" s="95"/>
      <c r="K44" s="299"/>
      <c r="L44" s="75"/>
      <c r="M44" s="75"/>
      <c r="N44" s="268"/>
      <c r="O44" s="268"/>
      <c r="P44" s="268"/>
      <c r="Q44" s="197"/>
      <c r="R44" s="269"/>
      <c r="S44" s="264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</row>
    <row r="45" spans="1:31" s="193" customFormat="1" ht="16.5">
      <c r="A45" s="193" t="str">
        <f>'MAT - TAKEOFF'!H33</f>
        <v>REC DUCT 90EL(SA); 34X20</v>
      </c>
      <c r="B45" s="210" t="str">
        <f t="shared" si="21"/>
        <v>34X20</v>
      </c>
      <c r="C45" s="273">
        <f>'MAT - TAKEOFF'!I33</f>
        <v>1</v>
      </c>
      <c r="D45" s="197"/>
      <c r="E45" s="197"/>
      <c r="F45" s="197"/>
      <c r="G45" s="95"/>
      <c r="H45" s="95"/>
      <c r="I45" s="95"/>
      <c r="J45" s="95"/>
      <c r="K45" s="299"/>
      <c r="L45" s="75"/>
      <c r="M45" s="75"/>
      <c r="N45" s="268"/>
      <c r="O45" s="268"/>
      <c r="P45" s="268"/>
      <c r="Q45" s="197"/>
      <c r="R45" s="269"/>
      <c r="S45" s="264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</row>
    <row r="46" spans="1:31" s="193" customFormat="1" ht="16.5">
      <c r="A46" s="193" t="str">
        <f>'MAT - TAKEOFF'!H34</f>
        <v>REC DUCT 90EL(SA); 35X20</v>
      </c>
      <c r="B46" s="210" t="str">
        <f t="shared" si="21"/>
        <v>35X20</v>
      </c>
      <c r="C46" s="273">
        <f>'MAT - TAKEOFF'!I34</f>
        <v>1</v>
      </c>
      <c r="D46" s="197"/>
      <c r="E46" s="197"/>
      <c r="F46" s="197"/>
      <c r="G46" s="95"/>
      <c r="H46" s="95"/>
      <c r="I46" s="95"/>
      <c r="J46" s="95"/>
      <c r="K46" s="299"/>
      <c r="L46" s="75"/>
      <c r="M46" s="75"/>
      <c r="N46" s="268"/>
      <c r="O46" s="268"/>
      <c r="P46" s="268"/>
      <c r="Q46" s="197"/>
      <c r="R46" s="269"/>
      <c r="S46" s="264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</row>
    <row r="47" spans="1:31" s="193" customFormat="1" ht="16.5">
      <c r="B47" s="198"/>
      <c r="C47" s="197"/>
      <c r="D47" s="95"/>
      <c r="E47" s="95"/>
      <c r="F47" s="95"/>
      <c r="G47" s="197"/>
      <c r="H47" s="197"/>
      <c r="I47" s="197"/>
      <c r="J47" s="197"/>
      <c r="K47" s="299"/>
      <c r="L47" s="75"/>
      <c r="M47" s="75"/>
      <c r="N47" s="197"/>
      <c r="O47" s="268"/>
      <c r="P47" s="268"/>
      <c r="Q47" s="197"/>
      <c r="R47" s="264"/>
      <c r="S47" s="264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</row>
    <row r="48" spans="1:31" s="193" customFormat="1" ht="16.5">
      <c r="B48" s="261" t="s">
        <v>333</v>
      </c>
      <c r="C48" s="197"/>
      <c r="D48" s="95"/>
      <c r="E48" s="95"/>
      <c r="F48" s="95"/>
      <c r="G48" s="197"/>
      <c r="H48" s="197"/>
      <c r="I48" s="197"/>
      <c r="J48" s="197"/>
      <c r="K48" s="299"/>
      <c r="L48" s="203"/>
      <c r="M48" s="274"/>
      <c r="N48" s="197"/>
      <c r="O48" s="268"/>
      <c r="P48" s="268"/>
      <c r="Q48" s="197"/>
      <c r="R48" s="264"/>
      <c r="S48" s="264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</row>
    <row r="49" spans="1:31" s="193" customFormat="1" ht="16.5">
      <c r="A49" s="193" t="str">
        <f>'MAT - TAKEOFF'!H35</f>
        <v>REC DUCT COLLAR(SA); 18X6</v>
      </c>
      <c r="B49" s="210" t="str">
        <f t="shared" ref="B49" si="22">TRIM(RIGHT(A49, LEN(A49) - FIND(";", A49)))</f>
        <v>18X6</v>
      </c>
      <c r="C49" s="265">
        <f>'MAT - TAKEOFF'!I35</f>
        <v>5</v>
      </c>
      <c r="D49" s="95"/>
      <c r="E49" s="95"/>
      <c r="F49" s="95"/>
      <c r="G49" s="197"/>
      <c r="H49" s="197"/>
      <c r="I49" s="197"/>
      <c r="J49" s="197"/>
      <c r="K49" s="299"/>
      <c r="L49" s="203"/>
      <c r="M49" s="274"/>
      <c r="N49" s="197"/>
      <c r="O49" s="268"/>
      <c r="P49" s="268"/>
      <c r="Q49" s="197"/>
      <c r="R49" s="269"/>
      <c r="S49" s="264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</row>
    <row r="50" spans="1:31" s="193" customFormat="1" ht="16.5">
      <c r="B50" s="197"/>
      <c r="C50" s="197"/>
      <c r="D50" s="95"/>
      <c r="E50" s="95"/>
      <c r="F50" s="95"/>
      <c r="G50" s="197"/>
      <c r="H50" s="197"/>
      <c r="I50" s="197"/>
      <c r="J50" s="197"/>
      <c r="K50" s="299"/>
      <c r="L50" s="203"/>
      <c r="M50" s="274"/>
      <c r="N50" s="197"/>
      <c r="O50" s="268"/>
      <c r="P50" s="268"/>
      <c r="Q50" s="197"/>
      <c r="R50" s="264"/>
      <c r="S50" s="264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</row>
    <row r="51" spans="1:31" s="193" customFormat="1" ht="16.5">
      <c r="B51" s="197" t="s">
        <v>434</v>
      </c>
      <c r="C51" s="197"/>
      <c r="D51" s="95"/>
      <c r="E51" s="95"/>
      <c r="F51" s="95"/>
      <c r="G51" s="197"/>
      <c r="H51" s="197"/>
      <c r="I51" s="197"/>
      <c r="J51" s="197"/>
      <c r="K51" s="299"/>
      <c r="L51" s="203"/>
      <c r="M51" s="274"/>
      <c r="N51" s="197"/>
      <c r="O51" s="268"/>
      <c r="P51" s="268"/>
      <c r="Q51" s="197"/>
      <c r="R51" s="264"/>
      <c r="S51" s="264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</row>
    <row r="52" spans="1:31" s="193" customFormat="1" ht="16.5">
      <c r="A52" s="193" t="str">
        <f>'MAT - TAKEOFF'!H41</f>
        <v>RND DUCT 45DEG EL(SA); 10" DIA</v>
      </c>
      <c r="B52" s="210">
        <f>--TRIM(MID(A52,FIND(";",A52)+1,FIND("""",A52)-FIND(";",A52)-1))</f>
        <v>10</v>
      </c>
      <c r="C52" s="265">
        <f>'MAT - TAKEOFF'!I41</f>
        <v>2</v>
      </c>
      <c r="D52" s="95"/>
      <c r="E52" s="95"/>
      <c r="F52" s="95"/>
      <c r="G52" s="197"/>
      <c r="H52" s="197"/>
      <c r="I52" s="197"/>
      <c r="J52" s="197"/>
      <c r="K52" s="299"/>
      <c r="L52" s="203"/>
      <c r="M52" s="274"/>
      <c r="N52" s="197"/>
      <c r="O52" s="268"/>
      <c r="P52" s="268"/>
      <c r="Q52" s="197"/>
      <c r="R52" s="269"/>
      <c r="S52" s="264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</row>
    <row r="53" spans="1:31" s="193" customFormat="1" ht="16.5">
      <c r="B53" s="197"/>
      <c r="C53" s="197"/>
      <c r="D53" s="197"/>
      <c r="E53" s="197"/>
      <c r="F53" s="197"/>
      <c r="G53" s="197"/>
      <c r="H53" s="197"/>
      <c r="I53" s="197"/>
      <c r="J53" s="197"/>
      <c r="K53" s="299"/>
      <c r="L53" s="75"/>
      <c r="M53" s="75"/>
      <c r="N53" s="197"/>
      <c r="O53" s="197"/>
      <c r="P53" s="197"/>
      <c r="Q53" s="197"/>
      <c r="R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</row>
    <row r="54" spans="1:31" s="193" customFormat="1" ht="16.5">
      <c r="B54" s="197" t="s">
        <v>435</v>
      </c>
      <c r="C54" s="197"/>
      <c r="D54" s="197"/>
      <c r="E54" s="197"/>
      <c r="F54" s="197"/>
      <c r="G54" s="197"/>
      <c r="H54" s="197"/>
      <c r="I54" s="197"/>
      <c r="J54" s="197"/>
      <c r="K54" s="299"/>
      <c r="L54" s="75"/>
      <c r="M54" s="75"/>
      <c r="N54" s="197"/>
      <c r="O54" s="197"/>
      <c r="P54" s="197"/>
      <c r="Q54" s="197"/>
      <c r="R54" s="197"/>
      <c r="S54" s="264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</row>
    <row r="55" spans="1:31" s="193" customFormat="1" ht="16.5">
      <c r="A55" s="193" t="str">
        <f>'MAT - TAKEOFF'!H42</f>
        <v>RND DUCT 90EL(SA); 20" DIA</v>
      </c>
      <c r="B55" s="210">
        <f>--TRIM(MID(A55,FIND(";",A55)+1,FIND("""",A55)-FIND(";",A55)-1))</f>
        <v>20</v>
      </c>
      <c r="C55" s="197">
        <f>'MAT - TAKEOFF'!I42</f>
        <v>1</v>
      </c>
      <c r="D55" s="214"/>
      <c r="E55" s="214"/>
      <c r="F55" s="214"/>
      <c r="G55" s="197"/>
      <c r="H55" s="197"/>
      <c r="I55" s="95"/>
      <c r="J55" s="95"/>
      <c r="K55" s="198"/>
      <c r="L55" s="198"/>
      <c r="M55" s="197"/>
      <c r="N55" s="197"/>
      <c r="O55" s="197"/>
      <c r="P55" s="197"/>
      <c r="Q55" s="197"/>
      <c r="R55" s="264"/>
      <c r="S55" s="264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</row>
    <row r="56" spans="1:31" s="193" customFormat="1" ht="16.5">
      <c r="B56" s="197"/>
      <c r="C56" s="197"/>
      <c r="D56" s="214"/>
      <c r="E56" s="214"/>
      <c r="F56" s="214"/>
      <c r="G56" s="197"/>
      <c r="H56" s="197"/>
      <c r="I56" s="95"/>
      <c r="J56" s="95"/>
      <c r="K56" s="198"/>
      <c r="L56" s="198"/>
      <c r="M56" s="197"/>
      <c r="N56" s="197"/>
      <c r="O56" s="197"/>
      <c r="P56" s="197"/>
      <c r="Q56" s="197"/>
      <c r="R56" s="264"/>
      <c r="S56" s="397"/>
      <c r="T56" s="279"/>
      <c r="U56" s="279"/>
      <c r="V56" s="279"/>
      <c r="W56" s="279"/>
      <c r="X56" s="279"/>
      <c r="Y56" s="286"/>
      <c r="Z56" s="197"/>
      <c r="AA56" s="197"/>
      <c r="AB56" s="197"/>
      <c r="AC56" s="197"/>
      <c r="AD56" s="197"/>
      <c r="AE56" s="197"/>
    </row>
    <row r="57" spans="1:31" s="193" customFormat="1" ht="16.5">
      <c r="B57" s="197" t="s">
        <v>436</v>
      </c>
      <c r="C57" s="197"/>
      <c r="D57" s="214"/>
      <c r="E57" s="214"/>
      <c r="F57" s="214"/>
      <c r="G57" s="197"/>
      <c r="H57" s="197"/>
      <c r="I57" s="95"/>
      <c r="J57" s="95"/>
      <c r="K57" s="198"/>
      <c r="L57" s="198"/>
      <c r="M57" s="197"/>
      <c r="N57" s="197"/>
      <c r="O57" s="197"/>
      <c r="P57" s="197"/>
      <c r="Q57" s="197"/>
      <c r="R57" s="264"/>
      <c r="S57" s="397"/>
      <c r="T57" s="279"/>
      <c r="U57" s="279"/>
      <c r="V57" s="279"/>
      <c r="W57" s="279"/>
      <c r="X57" s="279"/>
      <c r="Y57" s="279"/>
      <c r="Z57" s="197"/>
      <c r="AA57" s="197"/>
      <c r="AB57" s="197"/>
      <c r="AC57" s="197"/>
      <c r="AD57" s="197"/>
      <c r="AE57" s="197"/>
    </row>
    <row r="58" spans="1:31" s="193" customFormat="1" ht="16.5">
      <c r="A58" s="193" t="str">
        <f>'MAT - TAKEOFF'!H43</f>
        <v>RND DUCT COLLAR(SA); 10" DIA</v>
      </c>
      <c r="B58" s="210">
        <f>--TRIM(MID(A58,FIND(";",A58)+1,FIND("""",A58)-FIND(";",A58)-1))</f>
        <v>10</v>
      </c>
      <c r="C58" s="197">
        <f>'MAT - TAKEOFF'!I43</f>
        <v>18</v>
      </c>
      <c r="D58" s="214"/>
      <c r="E58" s="214"/>
      <c r="F58" s="214"/>
      <c r="G58" s="197"/>
      <c r="H58" s="197"/>
      <c r="I58" s="95"/>
      <c r="J58" s="95"/>
      <c r="K58" s="198"/>
      <c r="L58" s="198"/>
      <c r="M58" s="197"/>
      <c r="N58" s="197"/>
      <c r="O58" s="197"/>
      <c r="P58" s="197"/>
      <c r="Q58" s="197"/>
      <c r="R58" s="264"/>
      <c r="S58" s="397"/>
      <c r="T58" s="279"/>
      <c r="U58" s="279"/>
      <c r="V58" s="279"/>
      <c r="W58" s="279"/>
      <c r="X58" s="279"/>
      <c r="Y58" s="279"/>
      <c r="Z58" s="197"/>
      <c r="AA58" s="197"/>
      <c r="AB58" s="197"/>
      <c r="AC58" s="197"/>
      <c r="AD58" s="197"/>
      <c r="AE58" s="197"/>
    </row>
    <row r="59" spans="1:31" s="193" customFormat="1" ht="16.5">
      <c r="A59" s="193" t="str">
        <f>'MAT - TAKEOFF'!H44</f>
        <v>RND DUCT COLLAR(SA); 12" DIA</v>
      </c>
      <c r="B59" s="210">
        <f t="shared" ref="B59:B63" si="23">--TRIM(MID(A59,FIND(";",A59)+1,FIND("""",A59)-FIND(";",A59)-1))</f>
        <v>12</v>
      </c>
      <c r="C59" s="197">
        <f>'MAT - TAKEOFF'!I44</f>
        <v>9</v>
      </c>
      <c r="D59" s="197"/>
      <c r="E59" s="197"/>
      <c r="F59" s="197"/>
      <c r="G59" s="197"/>
      <c r="H59" s="197"/>
      <c r="I59" s="197"/>
      <c r="J59" s="197"/>
      <c r="K59" s="198"/>
      <c r="L59" s="198"/>
      <c r="M59" s="197"/>
      <c r="N59" s="197"/>
      <c r="O59" s="197"/>
      <c r="P59" s="197"/>
      <c r="Q59" s="197"/>
      <c r="R59" s="264"/>
      <c r="S59" s="397"/>
      <c r="T59" s="279"/>
      <c r="U59" s="279"/>
      <c r="V59" s="279"/>
      <c r="W59" s="279"/>
      <c r="X59" s="279"/>
      <c r="Y59" s="279"/>
      <c r="Z59" s="197"/>
      <c r="AA59" s="197"/>
      <c r="AB59" s="197"/>
      <c r="AC59" s="197"/>
      <c r="AD59" s="197"/>
      <c r="AE59" s="197"/>
    </row>
    <row r="60" spans="1:31" s="193" customFormat="1" ht="16.5">
      <c r="A60" s="193" t="str">
        <f>'MAT - TAKEOFF'!H45</f>
        <v>RND DUCT COLLAR(SA); 16" DIA</v>
      </c>
      <c r="B60" s="210">
        <f t="shared" si="23"/>
        <v>16</v>
      </c>
      <c r="C60" s="197">
        <f>'MAT - TAKEOFF'!I45</f>
        <v>2</v>
      </c>
      <c r="D60" s="197"/>
      <c r="E60" s="197"/>
      <c r="F60" s="197"/>
      <c r="G60" s="197"/>
      <c r="H60" s="197"/>
      <c r="I60" s="197"/>
      <c r="J60" s="197"/>
      <c r="K60" s="299"/>
      <c r="L60" s="75"/>
      <c r="M60" s="75"/>
      <c r="N60" s="197"/>
      <c r="O60" s="197"/>
      <c r="P60" s="197"/>
      <c r="Q60" s="197"/>
      <c r="R60" s="264"/>
      <c r="S60" s="397"/>
      <c r="T60" s="279"/>
      <c r="U60" s="279"/>
      <c r="V60" s="279"/>
      <c r="W60" s="279"/>
      <c r="X60" s="279"/>
      <c r="Y60" s="279"/>
      <c r="Z60" s="197"/>
      <c r="AA60" s="197"/>
      <c r="AB60" s="197"/>
      <c r="AC60" s="197"/>
      <c r="AD60" s="197"/>
      <c r="AE60" s="197"/>
    </row>
    <row r="61" spans="1:31" s="193" customFormat="1" ht="14.45" customHeight="1">
      <c r="A61" s="193" t="str">
        <f>'MAT - TAKEOFF'!H46</f>
        <v>RND DUCT COLLAR(SA); 18" DIA</v>
      </c>
      <c r="B61" s="210">
        <f t="shared" si="23"/>
        <v>18</v>
      </c>
      <c r="C61" s="197">
        <f>'MAT - TAKEOFF'!I46</f>
        <v>1</v>
      </c>
      <c r="D61" s="95"/>
      <c r="E61" s="95"/>
      <c r="F61" s="95"/>
      <c r="G61" s="95"/>
      <c r="H61" s="95"/>
      <c r="I61" s="95"/>
      <c r="J61" s="95"/>
      <c r="K61" s="198"/>
      <c r="L61" s="198"/>
      <c r="M61" s="197"/>
      <c r="N61" s="197"/>
      <c r="O61" s="197"/>
      <c r="P61" s="197"/>
      <c r="Q61" s="197"/>
      <c r="R61" s="264"/>
      <c r="S61" s="397"/>
      <c r="T61" s="279"/>
      <c r="U61" s="279"/>
      <c r="V61" s="279"/>
      <c r="W61" s="279"/>
      <c r="X61" s="279"/>
      <c r="Y61" s="279"/>
      <c r="Z61" s="197"/>
      <c r="AA61" s="197"/>
      <c r="AB61" s="197"/>
      <c r="AC61" s="197"/>
      <c r="AD61" s="197"/>
      <c r="AE61" s="197"/>
    </row>
    <row r="62" spans="1:31" s="193" customFormat="1" ht="16.5">
      <c r="A62" s="193" t="str">
        <f>'MAT - TAKEOFF'!H47</f>
        <v>RND DUCT COLLAR(SA); 20" DIA</v>
      </c>
      <c r="B62" s="210">
        <f t="shared" si="23"/>
        <v>20</v>
      </c>
      <c r="C62" s="197">
        <f>'MAT - TAKEOFF'!I47</f>
        <v>2</v>
      </c>
      <c r="D62" s="95"/>
      <c r="E62" s="95"/>
      <c r="F62" s="95"/>
      <c r="G62" s="95"/>
      <c r="H62" s="95"/>
      <c r="I62" s="95"/>
      <c r="J62" s="95"/>
      <c r="K62" s="198"/>
      <c r="L62" s="198"/>
      <c r="M62" s="197"/>
      <c r="N62" s="197"/>
      <c r="O62" s="197"/>
      <c r="P62" s="197"/>
      <c r="Q62" s="197"/>
      <c r="R62" s="264"/>
      <c r="S62" s="397"/>
      <c r="T62" s="279"/>
      <c r="U62" s="279"/>
      <c r="V62" s="279"/>
      <c r="W62" s="279"/>
      <c r="X62" s="279"/>
      <c r="Y62" s="279"/>
      <c r="Z62" s="197"/>
      <c r="AA62" s="197"/>
      <c r="AB62" s="197"/>
      <c r="AC62" s="197"/>
      <c r="AD62" s="197"/>
      <c r="AE62" s="197"/>
    </row>
    <row r="63" spans="1:31" s="193" customFormat="1" ht="16.5">
      <c r="A63" s="193" t="str">
        <f>'MAT - TAKEOFF'!H48</f>
        <v>RND DUCT COLLAR(SA); 6" DIA</v>
      </c>
      <c r="B63" s="210">
        <f t="shared" si="23"/>
        <v>6</v>
      </c>
      <c r="C63" s="197">
        <f>'MAT - TAKEOFF'!I48</f>
        <v>6</v>
      </c>
      <c r="D63" s="95"/>
      <c r="E63" s="95"/>
      <c r="F63" s="95"/>
      <c r="G63" s="95"/>
      <c r="H63" s="95"/>
      <c r="I63" s="95"/>
      <c r="J63" s="95"/>
      <c r="K63" s="198"/>
      <c r="L63" s="198"/>
      <c r="M63" s="197"/>
      <c r="N63" s="197"/>
      <c r="O63" s="197"/>
      <c r="P63" s="197"/>
      <c r="Q63" s="197"/>
      <c r="R63" s="264"/>
      <c r="S63" s="397"/>
      <c r="T63" s="279"/>
      <c r="U63" s="279"/>
      <c r="V63" s="279"/>
      <c r="W63" s="279"/>
      <c r="X63" s="279"/>
      <c r="Y63" s="279"/>
      <c r="Z63" s="197"/>
      <c r="AA63" s="197"/>
      <c r="AB63" s="197"/>
      <c r="AC63" s="197"/>
      <c r="AD63" s="197"/>
      <c r="AE63" s="197"/>
    </row>
    <row r="64" spans="1:31" s="193" customFormat="1" ht="16.5">
      <c r="B64" s="197"/>
      <c r="C64" s="197"/>
      <c r="D64" s="95"/>
      <c r="E64" s="95"/>
      <c r="F64" s="95"/>
      <c r="G64" s="95"/>
      <c r="H64" s="95"/>
      <c r="I64" s="95"/>
      <c r="J64" s="95"/>
      <c r="K64" s="198"/>
      <c r="L64" s="198"/>
      <c r="M64" s="197"/>
      <c r="N64" s="197"/>
      <c r="O64" s="197"/>
      <c r="P64" s="197"/>
      <c r="Q64" s="197"/>
      <c r="R64" s="197"/>
      <c r="S64" s="397"/>
      <c r="T64" s="279"/>
      <c r="U64" s="279"/>
      <c r="V64" s="279"/>
      <c r="W64" s="279"/>
      <c r="X64" s="279"/>
      <c r="Y64" s="286"/>
      <c r="Z64" s="197"/>
      <c r="AA64" s="197"/>
      <c r="AB64" s="197"/>
      <c r="AC64" s="197"/>
      <c r="AD64" s="197"/>
      <c r="AE64" s="197"/>
    </row>
    <row r="65" spans="1:31" s="193" customFormat="1" ht="16.5">
      <c r="B65" s="210" t="s">
        <v>437</v>
      </c>
      <c r="C65" s="95"/>
      <c r="D65" s="95"/>
      <c r="E65" s="95"/>
      <c r="F65" s="95"/>
      <c r="G65" s="95"/>
      <c r="H65" s="95"/>
      <c r="I65" s="95"/>
      <c r="J65" s="95"/>
      <c r="K65" s="299"/>
      <c r="L65" s="203"/>
      <c r="M65" s="274"/>
      <c r="N65" s="197"/>
      <c r="O65" s="197"/>
      <c r="P65" s="197"/>
      <c r="Q65" s="197"/>
      <c r="R65" s="197"/>
      <c r="S65" s="397"/>
      <c r="T65" s="279"/>
      <c r="U65" s="279"/>
      <c r="V65" s="279"/>
      <c r="W65" s="279"/>
      <c r="X65" s="279"/>
      <c r="Y65" s="286"/>
      <c r="Z65" s="197"/>
      <c r="AA65" s="197"/>
      <c r="AB65" s="197"/>
      <c r="AC65" s="197"/>
      <c r="AD65" s="197"/>
      <c r="AE65" s="197"/>
    </row>
    <row r="66" spans="1:31" s="193" customFormat="1" ht="16.5">
      <c r="A66" s="193" t="str">
        <f>'MAT - TAKEOFF'!H49</f>
        <v>RND DUCT REDUCER(SA); 14 TO 10</v>
      </c>
      <c r="B66" s="368" t="str">
        <f t="shared" ref="B66:B70" si="24">TRIM(MID(A66, FIND(";", A66)+2, LEN(A66)))</f>
        <v>14 TO 10</v>
      </c>
      <c r="C66" s="197">
        <f>'MAT - TAKEOFF'!I49</f>
        <v>1</v>
      </c>
      <c r="D66" s="197"/>
      <c r="E66" s="197"/>
      <c r="F66" s="197"/>
      <c r="G66" s="197"/>
      <c r="H66" s="197"/>
      <c r="I66" s="197"/>
      <c r="J66" s="197"/>
      <c r="K66" s="299"/>
      <c r="L66" s="75"/>
      <c r="M66" s="75"/>
      <c r="N66" s="197"/>
      <c r="O66" s="197"/>
      <c r="P66" s="197"/>
      <c r="Q66" s="197"/>
      <c r="R66" s="197"/>
      <c r="S66" s="397"/>
      <c r="T66" s="279"/>
      <c r="U66" s="279"/>
      <c r="V66" s="279"/>
      <c r="W66" s="279"/>
      <c r="X66" s="279"/>
      <c r="Y66" s="286"/>
      <c r="Z66" s="197"/>
      <c r="AA66" s="197"/>
      <c r="AB66" s="197"/>
      <c r="AC66" s="197"/>
      <c r="AD66" s="197"/>
      <c r="AE66" s="197"/>
    </row>
    <row r="67" spans="1:31" s="193" customFormat="1" ht="16.5">
      <c r="A67" s="193" t="str">
        <f>'MAT - TAKEOFF'!H50</f>
        <v>RND DUCT REDUCER(SA); 16 TO 10</v>
      </c>
      <c r="B67" s="368" t="str">
        <f t="shared" si="24"/>
        <v>16 TO 10</v>
      </c>
      <c r="C67" s="197">
        <f>'MAT - TAKEOFF'!I50</f>
        <v>1</v>
      </c>
      <c r="D67" s="197"/>
      <c r="E67" s="197"/>
      <c r="F67" s="197"/>
      <c r="G67" s="197"/>
      <c r="H67" s="197"/>
      <c r="I67" s="197"/>
      <c r="J67" s="197"/>
      <c r="K67" s="299"/>
      <c r="L67" s="75"/>
      <c r="M67" s="75"/>
      <c r="N67" s="197"/>
      <c r="O67" s="197"/>
      <c r="P67" s="197"/>
      <c r="Q67" s="197"/>
      <c r="R67" s="197"/>
      <c r="S67" s="397"/>
      <c r="T67" s="279"/>
      <c r="U67" s="279"/>
      <c r="V67" s="279"/>
      <c r="W67" s="279"/>
      <c r="X67" s="279"/>
      <c r="Y67" s="279"/>
      <c r="Z67" s="197"/>
      <c r="AA67" s="197"/>
      <c r="AB67" s="197"/>
      <c r="AC67" s="197"/>
      <c r="AD67" s="197"/>
      <c r="AE67" s="197"/>
    </row>
    <row r="68" spans="1:31" s="193" customFormat="1" ht="16.5">
      <c r="A68" s="193" t="str">
        <f>'MAT - TAKEOFF'!H51</f>
        <v>RND DUCT REDUCER(SA); 16 TO 12</v>
      </c>
      <c r="B68" s="368" t="str">
        <f t="shared" si="24"/>
        <v>16 TO 12</v>
      </c>
      <c r="C68" s="197">
        <f>'MAT - TAKEOFF'!I51</f>
        <v>1</v>
      </c>
      <c r="D68" s="197"/>
      <c r="E68" s="197"/>
      <c r="F68" s="197"/>
      <c r="G68" s="197"/>
      <c r="H68" s="197"/>
      <c r="I68" s="197"/>
      <c r="J68" s="197"/>
      <c r="K68" s="299"/>
      <c r="L68" s="75"/>
      <c r="M68" s="75"/>
      <c r="N68" s="197"/>
      <c r="O68" s="197"/>
      <c r="P68" s="197"/>
      <c r="Q68" s="197"/>
      <c r="R68" s="197"/>
      <c r="S68" s="397"/>
      <c r="T68" s="279"/>
      <c r="U68" s="279"/>
      <c r="V68" s="279"/>
      <c r="W68" s="279"/>
      <c r="X68" s="279"/>
      <c r="Y68" s="279"/>
      <c r="Z68" s="197"/>
      <c r="AA68" s="197"/>
      <c r="AB68" s="197"/>
      <c r="AC68" s="197"/>
      <c r="AD68" s="197"/>
      <c r="AE68" s="197"/>
    </row>
    <row r="69" spans="1:31" s="193" customFormat="1" ht="16.5">
      <c r="A69" s="193" t="str">
        <f>'MAT - TAKEOFF'!H52</f>
        <v>RND DUCT REDUCER(SA); 16 TO 14</v>
      </c>
      <c r="B69" s="368" t="str">
        <f t="shared" si="24"/>
        <v>16 TO 14</v>
      </c>
      <c r="C69" s="197">
        <f>'MAT - TAKEOFF'!I52</f>
        <v>1</v>
      </c>
      <c r="D69" s="197"/>
      <c r="E69" s="197"/>
      <c r="F69" s="197"/>
      <c r="G69" s="197"/>
      <c r="H69" s="197"/>
      <c r="I69" s="197"/>
      <c r="J69" s="197"/>
      <c r="K69" s="299"/>
      <c r="L69" s="75"/>
      <c r="M69" s="75"/>
      <c r="N69" s="197"/>
      <c r="O69" s="197"/>
      <c r="P69" s="197"/>
      <c r="Q69" s="264"/>
      <c r="R69" s="197"/>
      <c r="S69" s="279"/>
      <c r="T69" s="279"/>
      <c r="U69" s="279"/>
      <c r="V69" s="279"/>
      <c r="W69" s="279"/>
      <c r="X69" s="279"/>
      <c r="Y69" s="279"/>
      <c r="Z69" s="197"/>
      <c r="AA69" s="197"/>
      <c r="AB69" s="197"/>
      <c r="AC69" s="197"/>
      <c r="AD69" s="197"/>
      <c r="AE69" s="197"/>
    </row>
    <row r="70" spans="1:31" s="193" customFormat="1" ht="16.5">
      <c r="A70" s="193" t="str">
        <f>'MAT - TAKEOFF'!H53</f>
        <v>RND DUCT REDUCER(SA); 20 TO 16</v>
      </c>
      <c r="B70" s="368" t="str">
        <f t="shared" si="24"/>
        <v>20 TO 16</v>
      </c>
      <c r="C70" s="197">
        <f>'MAT - TAKEOFF'!I53</f>
        <v>1</v>
      </c>
      <c r="D70" s="197"/>
      <c r="E70" s="197"/>
      <c r="F70" s="197"/>
      <c r="G70" s="197"/>
      <c r="H70" s="197"/>
      <c r="I70" s="197"/>
      <c r="J70" s="197"/>
      <c r="K70" s="299"/>
      <c r="L70" s="75"/>
      <c r="M70" s="75"/>
      <c r="N70" s="197"/>
      <c r="O70" s="197"/>
      <c r="P70" s="197"/>
      <c r="Q70" s="264"/>
      <c r="R70" s="197"/>
      <c r="S70" s="279"/>
      <c r="T70" s="279"/>
      <c r="U70" s="279"/>
      <c r="V70" s="279"/>
      <c r="W70" s="279"/>
      <c r="X70" s="279"/>
      <c r="Y70" s="279"/>
      <c r="Z70" s="197"/>
      <c r="AA70" s="197"/>
      <c r="AB70" s="197"/>
      <c r="AC70" s="197"/>
      <c r="AD70" s="197"/>
      <c r="AE70" s="197"/>
    </row>
    <row r="71" spans="1:31" s="193" customFormat="1" ht="16.5">
      <c r="B71" s="198"/>
      <c r="C71" s="197"/>
      <c r="D71" s="197"/>
      <c r="E71" s="197"/>
      <c r="F71" s="197"/>
      <c r="G71" s="197"/>
      <c r="H71" s="197"/>
      <c r="I71" s="197"/>
      <c r="J71" s="197"/>
      <c r="K71" s="299"/>
      <c r="L71" s="75"/>
      <c r="M71" s="75"/>
      <c r="N71" s="197"/>
      <c r="O71" s="197"/>
      <c r="P71" s="197"/>
      <c r="Q71" s="264"/>
      <c r="R71" s="197"/>
      <c r="S71" s="279"/>
      <c r="T71" s="279"/>
      <c r="U71" s="279"/>
      <c r="V71" s="279"/>
      <c r="W71" s="279"/>
      <c r="X71" s="279"/>
      <c r="Y71" s="279"/>
      <c r="Z71" s="197"/>
      <c r="AA71" s="197"/>
      <c r="AB71" s="197"/>
      <c r="AC71" s="197"/>
      <c r="AD71" s="197"/>
      <c r="AE71" s="197"/>
    </row>
    <row r="72" spans="1:31" s="193" customFormat="1" ht="16.5">
      <c r="B72" s="275"/>
      <c r="C72" s="197"/>
      <c r="D72" s="197"/>
      <c r="E72" s="197"/>
      <c r="F72" s="197"/>
      <c r="G72" s="197"/>
      <c r="H72" s="197"/>
      <c r="I72" s="197"/>
      <c r="J72" s="197"/>
      <c r="K72" s="299"/>
      <c r="L72" s="75"/>
      <c r="M72" s="75"/>
      <c r="N72" s="197"/>
      <c r="O72" s="197"/>
      <c r="P72" s="197"/>
      <c r="Q72" s="264"/>
      <c r="R72" s="197"/>
      <c r="S72" s="286"/>
      <c r="T72" s="286"/>
      <c r="U72" s="286"/>
      <c r="V72" s="190"/>
      <c r="W72" s="190"/>
      <c r="X72" s="190"/>
      <c r="Y72" s="190"/>
      <c r="Z72" s="197"/>
      <c r="AA72" s="197"/>
      <c r="AB72" s="197"/>
      <c r="AC72" s="197"/>
      <c r="AD72" s="197"/>
      <c r="AE72" s="197"/>
    </row>
    <row r="73" spans="1:31" s="193" customFormat="1" ht="16.5">
      <c r="B73" s="198"/>
      <c r="C73" s="197"/>
      <c r="D73" s="197"/>
      <c r="E73" s="197"/>
      <c r="F73" s="197"/>
      <c r="G73" s="197"/>
      <c r="H73" s="197"/>
      <c r="I73" s="197"/>
      <c r="J73" s="197"/>
      <c r="K73" s="299"/>
      <c r="L73" s="75"/>
      <c r="M73" s="75"/>
      <c r="N73" s="197"/>
      <c r="O73" s="197"/>
      <c r="P73" s="197"/>
      <c r="Q73" s="264"/>
      <c r="R73" s="197"/>
      <c r="S73" s="279"/>
      <c r="T73" s="279"/>
      <c r="U73" s="279"/>
      <c r="V73" s="190"/>
      <c r="W73" s="190"/>
      <c r="X73" s="190"/>
      <c r="Y73" s="190"/>
      <c r="Z73" s="197"/>
      <c r="AA73" s="197"/>
      <c r="AB73" s="197"/>
      <c r="AC73" s="197"/>
      <c r="AD73" s="197"/>
      <c r="AE73" s="197"/>
    </row>
    <row r="74" spans="1:31" s="193" customFormat="1" ht="16.5">
      <c r="B74" s="275"/>
      <c r="C74" s="197"/>
      <c r="D74" s="197"/>
      <c r="E74" s="197"/>
      <c r="F74" s="197"/>
      <c r="G74" s="197"/>
      <c r="H74" s="197"/>
      <c r="I74" s="197"/>
      <c r="J74" s="197"/>
      <c r="K74" s="299"/>
      <c r="L74" s="75"/>
      <c r="M74" s="75"/>
      <c r="N74" s="197"/>
      <c r="O74" s="197"/>
      <c r="P74" s="197"/>
      <c r="Q74" s="264"/>
      <c r="R74" s="197"/>
      <c r="S74" s="279"/>
      <c r="T74" s="279"/>
      <c r="U74" s="279"/>
      <c r="V74" s="190"/>
      <c r="W74" s="190"/>
      <c r="X74" s="190"/>
      <c r="Y74" s="190"/>
      <c r="Z74" s="197"/>
      <c r="AA74" s="197"/>
      <c r="AB74" s="197"/>
      <c r="AC74" s="197"/>
      <c r="AD74" s="197"/>
      <c r="AE74" s="197"/>
    </row>
    <row r="75" spans="1:31" s="193" customFormat="1" ht="16.5">
      <c r="B75" s="371" t="s">
        <v>438</v>
      </c>
      <c r="C75" s="197"/>
      <c r="D75" s="197"/>
      <c r="E75" s="197"/>
      <c r="F75" s="197"/>
      <c r="G75" s="197"/>
      <c r="H75" s="197"/>
      <c r="I75" s="197"/>
      <c r="J75" s="197"/>
      <c r="K75" s="299"/>
      <c r="L75" s="75"/>
      <c r="M75" s="75"/>
      <c r="N75" s="197"/>
      <c r="O75" s="197"/>
      <c r="P75" s="197"/>
      <c r="Q75" s="264"/>
      <c r="R75" s="197"/>
      <c r="S75" s="197"/>
      <c r="T75" s="197"/>
      <c r="U75" s="197"/>
      <c r="V75" s="2"/>
      <c r="W75" s="2"/>
      <c r="X75" s="2"/>
      <c r="Y75" s="2"/>
      <c r="Z75" s="197"/>
      <c r="AA75" s="197"/>
      <c r="AB75" s="197"/>
      <c r="AC75" s="197"/>
      <c r="AD75" s="197"/>
      <c r="AE75" s="197"/>
    </row>
    <row r="76" spans="1:31" s="193" customFormat="1" ht="16.5">
      <c r="B76" s="198" t="s">
        <v>287</v>
      </c>
      <c r="C76" s="197"/>
      <c r="D76" s="197"/>
      <c r="E76" s="197"/>
      <c r="F76" s="197"/>
      <c r="G76" s="197"/>
      <c r="H76" s="197"/>
      <c r="I76" s="197"/>
      <c r="J76" s="197"/>
      <c r="K76" s="299"/>
      <c r="L76" s="277"/>
      <c r="M76" s="75"/>
      <c r="N76" s="197"/>
      <c r="O76" s="197"/>
      <c r="P76" s="197"/>
      <c r="Q76" s="264"/>
      <c r="R76" s="197"/>
      <c r="S76" s="197"/>
      <c r="T76" s="197"/>
      <c r="U76" s="197"/>
      <c r="V76" s="2"/>
      <c r="W76" s="2"/>
      <c r="X76" s="2"/>
      <c r="Y76" s="2"/>
      <c r="Z76" s="197"/>
      <c r="AA76" s="197"/>
      <c r="AB76" s="197"/>
      <c r="AC76" s="197"/>
      <c r="AD76" s="197"/>
      <c r="AE76" s="197"/>
    </row>
    <row r="77" spans="1:31" s="193" customFormat="1" ht="16.5">
      <c r="A77" s="193" t="str">
        <f>'MAT - TAKEOFF'!H40</f>
        <v>REC DUCT(EA); 8X8</v>
      </c>
      <c r="B77" s="210" t="str">
        <f t="shared" ref="B77" si="25">TRIM(RIGHT(A77, LEN(A77) - FIND(";", A77)))</f>
        <v>8X8</v>
      </c>
      <c r="C77" s="197">
        <f>'MAT - TAKEOFF'!I40</f>
        <v>59.53</v>
      </c>
      <c r="D77" s="95"/>
      <c r="E77" s="95"/>
      <c r="F77" s="95"/>
      <c r="G77" s="95" t="str">
        <f t="shared" ref="G77" si="26">LEFT(B77,FIND("X",B77)-1)</f>
        <v>8</v>
      </c>
      <c r="H77" s="95" t="str">
        <f t="shared" ref="H77" si="27">MID(B77,FIND("X",B77)+1,LEN(B77)-FIND("X",B77))</f>
        <v>8</v>
      </c>
      <c r="I77" s="95"/>
      <c r="J77" s="95"/>
      <c r="K77" s="299">
        <f>VLOOKUP(B77,$K$256:$L$520, 2, FALSE)</f>
        <v>9.7000000000000003E-2</v>
      </c>
      <c r="L77" s="75">
        <f>VLOOKUP(B77,$B$256:$C$520, 2, FALSE)</f>
        <v>6.2789999999999999</v>
      </c>
      <c r="M77" s="75"/>
      <c r="N77" s="267">
        <f t="shared" ref="N77" si="28">(((((G77+2)+(H77+2))*2)*(C77*12))/144)+((((G77+5)*(H77+5))/144)*M77)</f>
        <v>198.43333333333334</v>
      </c>
      <c r="O77" s="268">
        <f t="shared" ref="O77" si="29">N77*1.1</f>
        <v>218.2766666666667</v>
      </c>
      <c r="P77" s="268">
        <f t="shared" ref="P77" si="30">O77/$P$2</f>
        <v>0.5456916666666668</v>
      </c>
      <c r="Q77" s="264"/>
      <c r="R77" s="269">
        <f t="shared" ref="R77" si="31">K77</f>
        <v>9.7000000000000003E-2</v>
      </c>
      <c r="S77" s="264">
        <f>((R77)*C77)</f>
        <v>5.7744100000000005</v>
      </c>
      <c r="T77" s="197"/>
      <c r="U77" s="197"/>
      <c r="V77" s="2"/>
      <c r="W77" s="2"/>
      <c r="X77" s="2"/>
      <c r="Y77" s="2"/>
      <c r="Z77" s="197">
        <f>((G77+1)*(H77+1)/144)-(((G77)*(H77))/144)</f>
        <v>0.11805555555555558</v>
      </c>
      <c r="AA77" s="197">
        <v>0.08</v>
      </c>
      <c r="AB77" s="197">
        <v>2</v>
      </c>
      <c r="AC77" s="197">
        <f>Z77*AA77*AB77</f>
        <v>1.8888888888888893E-2</v>
      </c>
      <c r="AD77" s="197">
        <f>(((AC77*7.47))*128)/10.36</f>
        <v>1.7433204633204638</v>
      </c>
      <c r="AE77" s="197"/>
    </row>
    <row r="78" spans="1:31" s="193" customFormat="1" ht="16.5">
      <c r="B78" s="278"/>
      <c r="C78" s="271"/>
      <c r="D78" s="197"/>
      <c r="E78" s="197"/>
      <c r="F78" s="197"/>
      <c r="G78" s="197"/>
      <c r="H78" s="197"/>
      <c r="I78" s="197"/>
      <c r="J78" s="197"/>
      <c r="K78" s="299"/>
      <c r="L78" s="277"/>
      <c r="M78" s="75"/>
      <c r="N78" s="197"/>
      <c r="O78" s="197"/>
      <c r="P78" s="197"/>
      <c r="Q78" s="264"/>
      <c r="R78" s="197"/>
      <c r="S78" s="197"/>
      <c r="T78" s="197"/>
      <c r="U78" s="197"/>
      <c r="V78" s="2"/>
      <c r="W78" s="2"/>
      <c r="X78" s="2"/>
      <c r="Y78" s="2"/>
      <c r="Z78" s="197"/>
      <c r="AA78" s="197"/>
      <c r="AB78" s="197"/>
      <c r="AC78" s="197"/>
      <c r="AD78" s="197"/>
      <c r="AE78" s="197"/>
    </row>
    <row r="79" spans="1:31" s="193" customFormat="1" ht="16.5">
      <c r="B79" s="368" t="s">
        <v>324</v>
      </c>
      <c r="C79" s="271"/>
      <c r="D79" s="197"/>
      <c r="E79" s="197"/>
      <c r="F79" s="197"/>
      <c r="G79" s="197"/>
      <c r="H79" s="197"/>
      <c r="I79" s="197"/>
      <c r="J79" s="197"/>
      <c r="K79" s="299"/>
      <c r="L79" s="277"/>
      <c r="M79" s="75"/>
      <c r="N79" s="197"/>
      <c r="O79" s="197"/>
      <c r="P79" s="197"/>
      <c r="Q79" s="264"/>
      <c r="R79" s="197"/>
      <c r="S79" s="197"/>
      <c r="T79" s="197"/>
      <c r="U79" s="197"/>
      <c r="V79" s="2"/>
      <c r="W79" s="2"/>
      <c r="X79" s="2"/>
      <c r="Y79" s="2"/>
      <c r="Z79" s="197"/>
      <c r="AA79" s="197"/>
      <c r="AB79" s="197"/>
      <c r="AC79" s="197"/>
      <c r="AD79" s="197"/>
      <c r="AE79" s="197"/>
    </row>
    <row r="80" spans="1:31" ht="16.5">
      <c r="B80" s="368" t="s">
        <v>433</v>
      </c>
      <c r="C80" s="271"/>
      <c r="D80" s="197"/>
      <c r="E80" s="197"/>
      <c r="F80" s="197"/>
      <c r="G80" s="197"/>
      <c r="H80" s="197"/>
      <c r="I80" s="197"/>
      <c r="J80" s="197"/>
      <c r="K80" s="299"/>
      <c r="L80" s="277"/>
      <c r="M80" s="75"/>
      <c r="N80" s="197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s="193" customFormat="1" ht="16.5">
      <c r="A81" s="193" t="str">
        <f>'MAT - TAKEOFF'!H31</f>
        <v>REC DUCT 90EL(EA); 8X8</v>
      </c>
      <c r="B81" s="210" t="str">
        <f t="shared" ref="B81" si="32">TRIM(RIGHT(A81, LEN(A81) - FIND(";", A81)))</f>
        <v>8X8</v>
      </c>
      <c r="C81" s="271">
        <f>'MAT - TAKEOFF'!I31</f>
        <v>2</v>
      </c>
      <c r="D81" s="197"/>
      <c r="E81" s="197"/>
      <c r="F81" s="197"/>
      <c r="G81" s="197"/>
      <c r="H81" s="197"/>
      <c r="I81" s="197"/>
      <c r="J81" s="197"/>
      <c r="K81" s="299"/>
      <c r="L81" s="277"/>
      <c r="M81" s="75"/>
      <c r="N81" s="197"/>
      <c r="O81" s="279"/>
      <c r="P81" s="279"/>
      <c r="Q81" s="386"/>
      <c r="R81" s="197"/>
      <c r="S81" s="197"/>
      <c r="T81" s="197"/>
      <c r="U81" s="197"/>
      <c r="V81" s="2"/>
      <c r="W81" s="2"/>
      <c r="X81" s="2"/>
      <c r="Y81" s="2"/>
      <c r="Z81" s="197"/>
      <c r="AA81" s="197"/>
      <c r="AB81" s="197"/>
      <c r="AC81" s="197"/>
      <c r="AD81" s="197"/>
      <c r="AE81" s="197"/>
    </row>
    <row r="82" spans="1:31" s="193" customFormat="1" ht="16.5">
      <c r="B82" s="278"/>
      <c r="C82" s="271"/>
      <c r="D82" s="197"/>
      <c r="E82" s="197"/>
      <c r="F82" s="197"/>
      <c r="G82" s="197"/>
      <c r="H82" s="197"/>
      <c r="I82" s="197"/>
      <c r="J82" s="197"/>
      <c r="K82" s="299"/>
      <c r="L82" s="277"/>
      <c r="M82" s="75"/>
      <c r="N82" s="197"/>
      <c r="O82" s="279"/>
      <c r="P82" s="279"/>
      <c r="Q82" s="386"/>
      <c r="R82" s="197"/>
      <c r="S82" s="197"/>
      <c r="T82" s="197"/>
      <c r="U82" s="197"/>
      <c r="V82" s="2"/>
      <c r="W82" s="2"/>
      <c r="X82" s="2"/>
      <c r="Y82" s="2"/>
      <c r="Z82" s="197"/>
      <c r="AA82" s="197"/>
      <c r="AB82" s="197"/>
      <c r="AC82" s="197"/>
      <c r="AD82" s="197"/>
      <c r="AE82" s="197"/>
    </row>
    <row r="83" spans="1:31" s="193" customFormat="1" ht="16.5">
      <c r="B83" s="278"/>
      <c r="C83" s="271"/>
      <c r="D83" s="197"/>
      <c r="E83" s="197"/>
      <c r="F83" s="197"/>
      <c r="G83" s="197"/>
      <c r="H83" s="197"/>
      <c r="I83" s="197"/>
      <c r="J83" s="197"/>
      <c r="K83" s="299"/>
      <c r="L83" s="277"/>
      <c r="M83" s="75"/>
      <c r="N83" s="197"/>
      <c r="O83" s="279"/>
      <c r="P83" s="279"/>
      <c r="Q83" s="386"/>
      <c r="R83" s="197"/>
      <c r="S83" s="197"/>
      <c r="T83" s="197"/>
      <c r="U83" s="197"/>
      <c r="V83" s="2"/>
      <c r="W83" s="2"/>
      <c r="X83" s="2"/>
      <c r="Y83" s="2"/>
      <c r="Z83" s="197"/>
      <c r="AA83" s="197"/>
      <c r="AB83" s="197"/>
      <c r="AC83" s="197"/>
      <c r="AD83" s="197"/>
      <c r="AE83" s="197"/>
    </row>
    <row r="84" spans="1:31" s="193" customFormat="1" ht="16.5">
      <c r="B84" s="278"/>
      <c r="C84" s="271"/>
      <c r="D84" s="197"/>
      <c r="E84" s="197"/>
      <c r="F84" s="197"/>
      <c r="G84" s="197"/>
      <c r="H84" s="197"/>
      <c r="I84" s="197"/>
      <c r="J84" s="197"/>
      <c r="K84" s="299"/>
      <c r="L84" s="277"/>
      <c r="M84" s="75"/>
      <c r="N84" s="197"/>
      <c r="O84" s="268"/>
      <c r="P84" s="268"/>
      <c r="Q84" s="387"/>
      <c r="R84" s="197"/>
      <c r="S84" s="197"/>
      <c r="T84" s="197"/>
      <c r="U84" s="197"/>
      <c r="V84" s="2"/>
      <c r="W84" s="2"/>
      <c r="X84" s="2"/>
      <c r="Y84" s="2"/>
      <c r="Z84" s="197"/>
      <c r="AA84" s="197"/>
      <c r="AB84" s="197"/>
      <c r="AC84" s="197"/>
      <c r="AD84" s="197"/>
      <c r="AE84" s="197"/>
    </row>
    <row r="85" spans="1:31" s="193" customFormat="1" ht="16.5">
      <c r="B85" s="278"/>
      <c r="C85" s="271"/>
      <c r="D85" s="197"/>
      <c r="E85" s="197"/>
      <c r="F85" s="197"/>
      <c r="G85" s="197"/>
      <c r="H85" s="197"/>
      <c r="I85" s="197"/>
      <c r="J85" s="197"/>
      <c r="K85" s="299"/>
      <c r="L85" s="277"/>
      <c r="M85" s="75"/>
      <c r="N85" s="197"/>
      <c r="O85" s="268"/>
      <c r="P85" s="268"/>
      <c r="Q85" s="387"/>
      <c r="R85" s="197"/>
      <c r="S85" s="197"/>
      <c r="T85" s="197"/>
      <c r="U85" s="197"/>
      <c r="V85" s="2"/>
      <c r="W85" s="2"/>
      <c r="X85" s="2"/>
      <c r="Y85" s="2"/>
      <c r="Z85" s="197"/>
      <c r="AA85" s="197"/>
      <c r="AB85" s="197"/>
      <c r="AC85" s="197"/>
      <c r="AD85" s="197"/>
      <c r="AE85" s="197"/>
    </row>
    <row r="86" spans="1:31" s="193" customFormat="1" ht="16.5">
      <c r="B86" s="278"/>
      <c r="C86" s="271"/>
      <c r="D86" s="197"/>
      <c r="E86" s="197"/>
      <c r="F86" s="197"/>
      <c r="G86" s="197"/>
      <c r="H86" s="197"/>
      <c r="I86" s="197"/>
      <c r="J86" s="197"/>
      <c r="K86" s="299"/>
      <c r="L86" s="277"/>
      <c r="M86" s="75"/>
      <c r="N86" s="197"/>
      <c r="O86" s="268"/>
      <c r="P86" s="268"/>
      <c r="Q86" s="387"/>
      <c r="R86" s="197"/>
      <c r="S86" s="197"/>
      <c r="T86" s="197"/>
      <c r="U86" s="197"/>
      <c r="V86" s="2"/>
      <c r="W86" s="2"/>
      <c r="X86" s="2"/>
      <c r="Y86" s="2"/>
      <c r="Z86" s="197"/>
      <c r="AA86" s="197"/>
      <c r="AB86" s="197"/>
      <c r="AC86" s="197"/>
      <c r="AD86" s="197"/>
      <c r="AE86" s="197"/>
    </row>
    <row r="87" spans="1:31" s="193" customFormat="1" ht="16.5">
      <c r="B87" s="278"/>
      <c r="C87" s="271"/>
      <c r="D87" s="197"/>
      <c r="E87" s="197"/>
      <c r="F87" s="197"/>
      <c r="G87" s="95"/>
      <c r="H87" s="95"/>
      <c r="I87" s="95"/>
      <c r="J87" s="95"/>
      <c r="K87" s="299"/>
      <c r="L87" s="277"/>
      <c r="M87" s="75"/>
      <c r="N87" s="197"/>
      <c r="O87" s="268"/>
      <c r="P87" s="268"/>
      <c r="Q87" s="387"/>
      <c r="R87" s="197"/>
      <c r="S87" s="197"/>
      <c r="T87" s="197"/>
      <c r="U87" s="197"/>
      <c r="V87" s="2"/>
      <c r="W87" s="2"/>
      <c r="X87" s="2"/>
      <c r="Y87" s="2"/>
      <c r="Z87" s="197"/>
      <c r="AA87" s="197"/>
      <c r="AB87" s="197"/>
      <c r="AC87" s="197"/>
      <c r="AD87" s="197"/>
      <c r="AE87" s="197"/>
    </row>
    <row r="88" spans="1:31" s="396" customFormat="1" ht="16.5">
      <c r="A88" s="390"/>
      <c r="B88" s="389" t="s">
        <v>446</v>
      </c>
      <c r="C88" s="391"/>
      <c r="D88" s="391"/>
      <c r="E88" s="391"/>
      <c r="F88" s="391"/>
      <c r="G88" s="391"/>
      <c r="H88" s="391"/>
      <c r="I88" s="391"/>
      <c r="J88" s="391"/>
      <c r="K88" s="392"/>
      <c r="L88" s="393"/>
      <c r="M88" s="393"/>
      <c r="N88" s="391"/>
      <c r="O88" s="391"/>
      <c r="P88" s="391"/>
      <c r="Q88" s="394"/>
      <c r="R88" s="391"/>
      <c r="S88" s="391"/>
      <c r="T88" s="391"/>
      <c r="U88" s="391"/>
      <c r="V88" s="395"/>
      <c r="W88" s="395"/>
      <c r="X88" s="395"/>
      <c r="Y88" s="395"/>
      <c r="Z88" s="391"/>
      <c r="AA88" s="391"/>
      <c r="AB88" s="391"/>
      <c r="AC88" s="391"/>
      <c r="AD88" s="491">
        <f>SUM(AD5:AD87)</f>
        <v>1.7433204633204638</v>
      </c>
      <c r="AE88" s="391"/>
    </row>
    <row r="89" spans="1:31" s="193" customFormat="1" ht="16.5">
      <c r="A89" s="383"/>
      <c r="B89" s="384" t="str">
        <f>'HVAC COST'!B12</f>
        <v>ROOFTOP UNIT; RTU-1_TRANE YHK120_10 TONS</v>
      </c>
      <c r="C89" s="197">
        <f>'HVAC COST'!F12</f>
        <v>1</v>
      </c>
      <c r="D89" s="197"/>
      <c r="E89" s="197"/>
      <c r="F89" s="197"/>
      <c r="G89" s="197"/>
      <c r="H89" s="197"/>
      <c r="I89" s="197"/>
      <c r="J89" s="197"/>
      <c r="K89" s="304">
        <f>'HVAC COST'!H12</f>
        <v>14.6</v>
      </c>
      <c r="L89" s="75"/>
      <c r="M89" s="75"/>
      <c r="N89" s="197"/>
      <c r="O89" s="197"/>
      <c r="P89" s="197"/>
      <c r="Q89" s="264"/>
      <c r="R89" s="197"/>
      <c r="S89" s="197"/>
      <c r="T89" s="197"/>
      <c r="U89" s="197"/>
      <c r="V89" s="197">
        <f>C89*K89</f>
        <v>14.6</v>
      </c>
      <c r="W89" s="197">
        <v>24</v>
      </c>
      <c r="X89" s="197">
        <f>V89/W89</f>
        <v>0.60833333333333328</v>
      </c>
      <c r="Y89" s="5">
        <f>SUM(X89:X91,X93:X94)</f>
        <v>1.8458333333333332</v>
      </c>
      <c r="Z89" s="197"/>
      <c r="AA89" s="197"/>
      <c r="AB89" s="197"/>
      <c r="AC89" s="197"/>
      <c r="AD89" s="197"/>
      <c r="AE89" s="197"/>
    </row>
    <row r="90" spans="1:31" s="193" customFormat="1" ht="16.5">
      <c r="A90" s="383"/>
      <c r="B90" s="384" t="str">
        <f>'HVAC COST'!B13</f>
        <v>ROOFTOP UNIT; RTU-2_TRANE YHK090*_7.5 TONS</v>
      </c>
      <c r="C90" s="197">
        <f>'HVAC COST'!F13</f>
        <v>1</v>
      </c>
      <c r="D90" s="197"/>
      <c r="E90" s="197"/>
      <c r="F90" s="197"/>
      <c r="G90" s="197"/>
      <c r="H90" s="197"/>
      <c r="I90" s="197"/>
      <c r="J90" s="197"/>
      <c r="K90" s="304">
        <f>'HVAC COST'!H13</f>
        <v>12.6</v>
      </c>
      <c r="L90" s="75"/>
      <c r="M90" s="75"/>
      <c r="N90" s="197"/>
      <c r="O90" s="197"/>
      <c r="P90" s="197"/>
      <c r="Q90" s="264"/>
      <c r="R90" s="197"/>
      <c r="S90" s="197"/>
      <c r="T90" s="197"/>
      <c r="U90" s="197"/>
      <c r="V90" s="197">
        <f t="shared" ref="V90:V94" si="33">C90*K90</f>
        <v>12.6</v>
      </c>
      <c r="W90" s="197">
        <v>24</v>
      </c>
      <c r="X90" s="197">
        <f t="shared" ref="X90:X94" si="34">V90/W90</f>
        <v>0.52500000000000002</v>
      </c>
      <c r="Y90" s="2"/>
      <c r="Z90" s="197"/>
      <c r="AA90" s="197"/>
      <c r="AB90" s="197"/>
      <c r="AC90" s="197"/>
      <c r="AD90" s="197"/>
      <c r="AE90" s="197"/>
    </row>
    <row r="91" spans="1:31" s="193" customFormat="1" ht="16.5">
      <c r="A91" s="383"/>
      <c r="B91" s="384" t="str">
        <f>'HVAC COST'!B14</f>
        <v>ROOFTOP UNIT; RTU-3_TRANE YHK036*_3 TONS</v>
      </c>
      <c r="C91" s="197">
        <f>'HVAC COST'!F14</f>
        <v>1</v>
      </c>
      <c r="D91" s="197"/>
      <c r="E91" s="197"/>
      <c r="F91" s="197"/>
      <c r="G91" s="197"/>
      <c r="H91" s="197"/>
      <c r="I91" s="197"/>
      <c r="J91" s="197"/>
      <c r="K91" s="304">
        <f>'HVAC COST'!H14</f>
        <v>9.6</v>
      </c>
      <c r="L91" s="75"/>
      <c r="M91" s="75"/>
      <c r="N91" s="197"/>
      <c r="O91" s="197"/>
      <c r="P91" s="197"/>
      <c r="Q91" s="264"/>
      <c r="R91" s="197"/>
      <c r="S91" s="197"/>
      <c r="T91" s="197"/>
      <c r="U91" s="197"/>
      <c r="V91" s="197">
        <f t="shared" si="33"/>
        <v>9.6</v>
      </c>
      <c r="W91" s="197">
        <v>24</v>
      </c>
      <c r="X91" s="197">
        <f t="shared" si="34"/>
        <v>0.39999999999999997</v>
      </c>
      <c r="Y91" s="2"/>
      <c r="Z91" s="197"/>
      <c r="AA91" s="197"/>
      <c r="AB91" s="197"/>
      <c r="AC91" s="197"/>
      <c r="AD91" s="197"/>
      <c r="AE91" s="197"/>
    </row>
    <row r="92" spans="1:31" s="193" customFormat="1" ht="16.5">
      <c r="A92" s="383"/>
      <c r="B92" s="384" t="str">
        <f>'HVAC COST'!B28</f>
        <v>AIR CURTAIN; X0702_ MARS STD242</v>
      </c>
      <c r="C92" s="197">
        <f>'HVAC COST'!F28</f>
        <v>1</v>
      </c>
      <c r="D92" s="197"/>
      <c r="E92" s="197"/>
      <c r="F92" s="197"/>
      <c r="G92" s="197"/>
      <c r="H92" s="197"/>
      <c r="I92" s="197"/>
      <c r="J92" s="197"/>
      <c r="K92" s="304">
        <f>'HVAC COST'!H28</f>
        <v>3</v>
      </c>
      <c r="L92" s="75"/>
      <c r="M92" s="75"/>
      <c r="N92" s="197"/>
      <c r="O92" s="197"/>
      <c r="P92" s="197"/>
      <c r="Q92" s="264"/>
      <c r="R92" s="197"/>
      <c r="S92" s="197"/>
      <c r="T92" s="197"/>
      <c r="U92" s="197"/>
      <c r="V92" s="197">
        <f t="shared" ref="V92" si="35">C92*K92</f>
        <v>3</v>
      </c>
      <c r="W92" s="197">
        <v>25</v>
      </c>
      <c r="X92" s="197">
        <f t="shared" ref="X92" si="36">V92/W92</f>
        <v>0.12</v>
      </c>
      <c r="Y92" s="2"/>
      <c r="Z92" s="197"/>
      <c r="AA92" s="197"/>
      <c r="AB92" s="197"/>
      <c r="AC92" s="197"/>
      <c r="AD92" s="197"/>
      <c r="AE92" s="197"/>
    </row>
    <row r="93" spans="1:31" s="193" customFormat="1" ht="16.5">
      <c r="A93" s="383"/>
      <c r="B93" s="384" t="str">
        <f>'HVAC COST'!B39</f>
        <v>EXHAUST FAN; X0632_GREENHECK G-090-VG_300 CFM</v>
      </c>
      <c r="C93" s="197">
        <f>'HVAC COST'!F39</f>
        <v>1</v>
      </c>
      <c r="D93" s="197"/>
      <c r="E93" s="197"/>
      <c r="F93" s="197"/>
      <c r="G93" s="197"/>
      <c r="H93" s="197"/>
      <c r="I93" s="197"/>
      <c r="J93" s="197"/>
      <c r="K93" s="304">
        <f>'HVAC COST'!H39</f>
        <v>4</v>
      </c>
      <c r="L93" s="75"/>
      <c r="M93" s="75"/>
      <c r="N93" s="197"/>
      <c r="O93" s="197"/>
      <c r="P93" s="197"/>
      <c r="Q93" s="264"/>
      <c r="R93" s="197"/>
      <c r="S93" s="197"/>
      <c r="T93" s="197"/>
      <c r="U93" s="197"/>
      <c r="V93" s="197">
        <f t="shared" si="33"/>
        <v>4</v>
      </c>
      <c r="W93" s="197">
        <v>24</v>
      </c>
      <c r="X93" s="197">
        <f t="shared" si="34"/>
        <v>0.16666666666666666</v>
      </c>
      <c r="Y93" s="2"/>
      <c r="Z93" s="197"/>
      <c r="AA93" s="197"/>
      <c r="AB93" s="197"/>
      <c r="AC93" s="197"/>
      <c r="AD93" s="197"/>
      <c r="AE93" s="197"/>
    </row>
    <row r="94" spans="1:31" s="193" customFormat="1" ht="16.5">
      <c r="A94" s="383"/>
      <c r="B94" s="455" t="str">
        <f>'HVAC COST'!B40</f>
        <v xml:space="preserve">EXHAUST FAN; X0633_ GREENHECK G-080-VG_150 CFM </v>
      </c>
      <c r="C94" s="197">
        <f>'HVAC COST'!F40</f>
        <v>1</v>
      </c>
      <c r="D94" s="197"/>
      <c r="E94" s="197"/>
      <c r="F94" s="197"/>
      <c r="G94" s="197"/>
      <c r="H94" s="197"/>
      <c r="I94" s="197"/>
      <c r="J94" s="197"/>
      <c r="K94" s="304">
        <f>'HVAC COST'!H40</f>
        <v>3.5</v>
      </c>
      <c r="L94" s="75"/>
      <c r="M94" s="75"/>
      <c r="N94" s="197"/>
      <c r="O94" s="197"/>
      <c r="P94" s="197"/>
      <c r="Q94" s="264"/>
      <c r="R94" s="197"/>
      <c r="S94" s="197"/>
      <c r="T94" s="197"/>
      <c r="U94" s="197"/>
      <c r="V94" s="197">
        <f t="shared" si="33"/>
        <v>3.5</v>
      </c>
      <c r="W94" s="197">
        <v>24</v>
      </c>
      <c r="X94" s="197">
        <f t="shared" si="34"/>
        <v>0.14583333333333334</v>
      </c>
      <c r="Y94" s="2"/>
      <c r="Z94" s="197"/>
      <c r="AA94" s="197"/>
      <c r="AB94" s="197"/>
      <c r="AC94" s="197"/>
      <c r="AD94" s="197"/>
      <c r="AE94" s="197"/>
    </row>
    <row r="95" spans="1:31" s="193" customFormat="1" ht="16.5">
      <c r="B95" s="285"/>
      <c r="C95" s="197"/>
      <c r="D95" s="197"/>
      <c r="E95" s="197"/>
      <c r="F95" s="197"/>
      <c r="G95" s="95"/>
      <c r="H95" s="95"/>
      <c r="I95" s="95"/>
      <c r="J95" s="95"/>
      <c r="K95" s="299"/>
      <c r="L95" s="203"/>
      <c r="M95" s="274"/>
      <c r="N95" s="197"/>
      <c r="O95" s="268"/>
      <c r="P95" s="268"/>
      <c r="Q95" s="264"/>
      <c r="R95" s="197"/>
      <c r="S95" s="276">
        <f>SUM(S7:S87)/3</f>
        <v>19.609376666666666</v>
      </c>
      <c r="T95" s="276">
        <f>S95/8</f>
        <v>2.4511720833333333</v>
      </c>
      <c r="U95" s="276">
        <f>T95/5</f>
        <v>0.49023441666666667</v>
      </c>
      <c r="V95" s="2"/>
      <c r="W95" s="2"/>
      <c r="X95" s="398">
        <f>SUM(X89:X91,X93:X94)</f>
        <v>1.8458333333333332</v>
      </c>
      <c r="Y95" s="2"/>
      <c r="Z95" s="197"/>
      <c r="AA95" s="197"/>
      <c r="AB95" s="197"/>
      <c r="AC95" s="197"/>
      <c r="AD95" s="197"/>
      <c r="AE95" s="197"/>
    </row>
    <row r="96" spans="1:31" s="193" customFormat="1" ht="16.5">
      <c r="B96" s="456"/>
      <c r="C96" s="197"/>
      <c r="D96" s="197"/>
      <c r="E96" s="197"/>
      <c r="F96" s="197"/>
      <c r="G96" s="95"/>
      <c r="H96" s="95"/>
      <c r="I96" s="95"/>
      <c r="J96" s="95"/>
      <c r="K96" s="299"/>
      <c r="L96" s="203"/>
      <c r="M96" s="274"/>
      <c r="N96" s="197"/>
      <c r="O96" s="268"/>
      <c r="P96" s="268"/>
      <c r="Q96" s="264"/>
      <c r="R96" s="197"/>
      <c r="S96" s="197"/>
      <c r="T96" s="282">
        <f>T95+X92</f>
        <v>2.5711720833333334</v>
      </c>
      <c r="U96" s="197"/>
      <c r="V96" s="2"/>
      <c r="W96" s="2"/>
      <c r="X96" s="2"/>
      <c r="Y96" s="2"/>
      <c r="Z96" s="197"/>
      <c r="AA96" s="197"/>
      <c r="AB96" s="197"/>
      <c r="AC96" s="197"/>
      <c r="AD96" s="197"/>
      <c r="AE96" s="197"/>
    </row>
    <row r="97" spans="2:31" s="193" customFormat="1" ht="16.5">
      <c r="B97" s="457" t="s">
        <v>32</v>
      </c>
      <c r="C97" s="197"/>
      <c r="D97" s="197"/>
      <c r="E97" s="197"/>
      <c r="F97" s="197"/>
      <c r="G97" s="95"/>
      <c r="H97" s="95"/>
      <c r="I97" s="95"/>
      <c r="J97" s="95"/>
      <c r="K97" s="299"/>
      <c r="L97" s="203"/>
      <c r="M97" s="274"/>
      <c r="N97" s="197"/>
      <c r="O97" s="268"/>
      <c r="P97" s="268"/>
      <c r="Q97" s="264"/>
      <c r="R97" s="197"/>
      <c r="S97" s="197"/>
      <c r="T97" s="197"/>
      <c r="U97" s="197"/>
      <c r="V97" s="2"/>
      <c r="W97" s="2"/>
      <c r="X97" s="2"/>
      <c r="Y97" s="2"/>
      <c r="Z97" s="197"/>
      <c r="AA97" s="197"/>
      <c r="AB97" s="197"/>
      <c r="AC97" s="197"/>
      <c r="AD97" s="197"/>
      <c r="AE97" s="197"/>
    </row>
    <row r="98" spans="2:31" s="193" customFormat="1" ht="16.5">
      <c r="B98" s="544" t="s">
        <v>528</v>
      </c>
      <c r="C98" s="271">
        <f>SUM(C126:C128)/100</f>
        <v>0.46953250000000002</v>
      </c>
      <c r="D98" s="197" t="s">
        <v>555</v>
      </c>
      <c r="E98" s="197"/>
      <c r="F98" s="197"/>
      <c r="G98" s="95"/>
      <c r="H98" s="95"/>
      <c r="I98" s="95"/>
      <c r="J98" s="95"/>
      <c r="K98" s="299"/>
      <c r="L98" s="203"/>
      <c r="M98" s="274"/>
      <c r="N98" s="197"/>
      <c r="O98" s="268"/>
      <c r="P98" s="268"/>
      <c r="Q98" s="264"/>
      <c r="R98" s="197"/>
      <c r="S98" s="197"/>
      <c r="T98" s="197"/>
      <c r="U98" s="197"/>
      <c r="V98" s="2"/>
      <c r="W98" s="2"/>
      <c r="X98" s="2"/>
      <c r="Y98" s="2"/>
      <c r="Z98" s="197"/>
      <c r="AA98" s="197"/>
      <c r="AB98" s="197"/>
      <c r="AC98" s="197"/>
      <c r="AD98" s="197"/>
      <c r="AE98" s="197"/>
    </row>
    <row r="99" spans="2:31" ht="16.5">
      <c r="B99" s="544" t="s">
        <v>549</v>
      </c>
      <c r="C99" s="2">
        <f>SUM(C89:C91)</f>
        <v>3</v>
      </c>
      <c r="D99" s="547" t="s">
        <v>304</v>
      </c>
      <c r="E99" s="2"/>
      <c r="F99" s="2"/>
      <c r="G99" s="95"/>
      <c r="H99" s="95"/>
      <c r="I99" s="95"/>
      <c r="J99" s="95"/>
      <c r="K99" s="299"/>
      <c r="L99" s="300"/>
      <c r="M99" s="281"/>
      <c r="N99" s="197"/>
      <c r="O99" s="2"/>
      <c r="P99" s="2"/>
      <c r="Q99" s="388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2:31" s="193" customFormat="1" ht="16.5">
      <c r="B100" s="544" t="s">
        <v>550</v>
      </c>
      <c r="C100" s="197">
        <f>C99</f>
        <v>3</v>
      </c>
      <c r="D100" s="197" t="s">
        <v>304</v>
      </c>
      <c r="E100" s="197"/>
      <c r="F100" s="197"/>
      <c r="G100" s="95"/>
      <c r="H100" s="95"/>
      <c r="I100" s="95"/>
      <c r="J100" s="95"/>
      <c r="K100" s="299"/>
      <c r="L100" s="75"/>
      <c r="M100" s="75"/>
      <c r="N100" s="197"/>
      <c r="O100" s="197"/>
      <c r="P100" s="197"/>
      <c r="Q100" s="264"/>
      <c r="R100" s="197"/>
      <c r="S100" s="197"/>
      <c r="T100" s="197"/>
      <c r="U100" s="197"/>
      <c r="V100" s="2"/>
      <c r="W100" s="2"/>
      <c r="X100" s="2"/>
      <c r="Y100" s="2"/>
      <c r="Z100" s="197"/>
      <c r="AA100" s="197"/>
      <c r="AB100" s="197"/>
      <c r="AC100" s="197"/>
      <c r="AD100" s="197"/>
      <c r="AE100" s="197"/>
    </row>
    <row r="101" spans="2:31" s="193" customFormat="1" ht="16.5">
      <c r="B101" s="544" t="s">
        <v>551</v>
      </c>
      <c r="C101" s="271">
        <f>C99*2</f>
        <v>6</v>
      </c>
      <c r="D101" s="197" t="s">
        <v>304</v>
      </c>
      <c r="E101" s="197"/>
      <c r="F101" s="197"/>
      <c r="G101" s="95"/>
      <c r="H101" s="95"/>
      <c r="I101" s="95"/>
      <c r="J101" s="95"/>
      <c r="K101" s="299"/>
      <c r="L101" s="75"/>
      <c r="M101" s="75"/>
      <c r="N101" s="197"/>
      <c r="O101" s="197"/>
      <c r="P101" s="197"/>
      <c r="Q101" s="264"/>
      <c r="R101" s="197"/>
      <c r="S101" s="197"/>
      <c r="T101" s="197"/>
      <c r="U101" s="197"/>
      <c r="V101" s="2"/>
      <c r="W101" s="2"/>
      <c r="X101" s="2"/>
      <c r="Y101" s="2"/>
      <c r="Z101" s="197"/>
      <c r="AA101" s="197"/>
      <c r="AB101" s="197"/>
      <c r="AC101" s="197"/>
      <c r="AD101" s="197"/>
      <c r="AE101" s="197"/>
    </row>
    <row r="102" spans="2:31" s="193" customFormat="1" ht="16.5">
      <c r="B102" s="544" t="s">
        <v>552</v>
      </c>
      <c r="C102" s="197">
        <f>C99*6</f>
        <v>18</v>
      </c>
      <c r="D102" s="197" t="s">
        <v>304</v>
      </c>
      <c r="E102" s="197"/>
      <c r="F102" s="197"/>
      <c r="G102" s="95"/>
      <c r="H102" s="95"/>
      <c r="I102" s="95"/>
      <c r="J102" s="95"/>
      <c r="K102" s="299"/>
      <c r="L102" s="75"/>
      <c r="M102" s="75"/>
      <c r="N102" s="197"/>
      <c r="O102" s="197"/>
      <c r="P102" s="197"/>
      <c r="Q102" s="264"/>
      <c r="R102" s="197"/>
      <c r="S102" s="197"/>
      <c r="T102" s="197"/>
      <c r="U102" s="197"/>
      <c r="V102" s="2"/>
      <c r="W102" s="2"/>
      <c r="X102" s="2"/>
      <c r="Y102" s="2"/>
      <c r="Z102" s="197"/>
      <c r="AA102" s="197"/>
      <c r="AB102" s="197"/>
      <c r="AC102" s="197"/>
      <c r="AD102" s="197"/>
      <c r="AE102" s="197"/>
    </row>
    <row r="103" spans="2:31" s="193" customFormat="1" ht="16.5">
      <c r="B103" s="544" t="s">
        <v>553</v>
      </c>
      <c r="C103" s="197">
        <f>C99</f>
        <v>3</v>
      </c>
      <c r="D103" s="197" t="s">
        <v>304</v>
      </c>
      <c r="E103" s="197"/>
      <c r="F103" s="197"/>
      <c r="G103" s="95"/>
      <c r="H103" s="95"/>
      <c r="I103" s="95"/>
      <c r="J103" s="95"/>
      <c r="K103" s="299"/>
      <c r="L103" s="75"/>
      <c r="M103" s="75"/>
      <c r="N103" s="197"/>
      <c r="O103" s="197"/>
      <c r="P103" s="197"/>
      <c r="Q103" s="264"/>
      <c r="R103" s="197"/>
      <c r="S103" s="197"/>
      <c r="T103" s="197"/>
      <c r="U103" s="197"/>
      <c r="V103" s="197"/>
      <c r="W103" s="2"/>
      <c r="X103" s="2"/>
      <c r="Y103" s="2"/>
      <c r="Z103" s="197"/>
      <c r="AA103" s="197"/>
      <c r="AB103" s="197"/>
      <c r="AC103" s="197"/>
      <c r="AD103" s="197"/>
      <c r="AE103" s="197"/>
    </row>
    <row r="104" spans="2:31" s="193" customFormat="1" ht="16.5">
      <c r="B104" s="544" t="s">
        <v>554</v>
      </c>
      <c r="C104" s="197">
        <f>C99</f>
        <v>3</v>
      </c>
      <c r="D104" s="197" t="s">
        <v>304</v>
      </c>
      <c r="E104" s="197"/>
      <c r="F104" s="197"/>
      <c r="G104" s="95"/>
      <c r="H104" s="95"/>
      <c r="I104" s="95"/>
      <c r="J104" s="95"/>
      <c r="K104" s="299"/>
      <c r="L104" s="75"/>
      <c r="M104" s="75"/>
      <c r="N104" s="197"/>
      <c r="O104" s="197"/>
      <c r="P104" s="197"/>
      <c r="Q104" s="264"/>
      <c r="R104" s="197"/>
      <c r="S104" s="197"/>
      <c r="T104" s="197"/>
      <c r="U104" s="197"/>
      <c r="V104" s="2"/>
      <c r="W104" s="2"/>
      <c r="X104" s="2"/>
      <c r="Y104" s="2"/>
      <c r="Z104" s="197"/>
      <c r="AA104" s="197"/>
      <c r="AB104" s="197"/>
      <c r="AC104" s="197"/>
      <c r="AD104" s="197"/>
      <c r="AE104" s="197"/>
    </row>
    <row r="105" spans="2:31" s="193" customFormat="1" ht="16.5">
      <c r="B105" s="544" t="s">
        <v>529</v>
      </c>
      <c r="C105" s="197">
        <f>C99*0.15</f>
        <v>0.44999999999999996</v>
      </c>
      <c r="D105" s="197" t="s">
        <v>556</v>
      </c>
      <c r="E105" s="197"/>
      <c r="F105" s="197"/>
      <c r="G105" s="95"/>
      <c r="H105" s="95"/>
      <c r="I105" s="95"/>
      <c r="J105" s="95"/>
      <c r="K105" s="299"/>
      <c r="L105" s="75"/>
      <c r="M105" s="75"/>
      <c r="N105" s="197"/>
      <c r="O105" s="197"/>
      <c r="P105" s="197"/>
      <c r="Q105" s="264"/>
      <c r="R105" s="197"/>
      <c r="S105" s="197"/>
      <c r="T105" s="197"/>
      <c r="U105" s="197"/>
      <c r="V105" s="2"/>
      <c r="W105" s="2"/>
      <c r="X105" s="2"/>
      <c r="Y105" s="2"/>
      <c r="Z105" s="197"/>
      <c r="AA105" s="197"/>
      <c r="AB105" s="197"/>
      <c r="AC105" s="197"/>
      <c r="AD105" s="197"/>
      <c r="AE105" s="197"/>
    </row>
    <row r="106" spans="2:31" s="193" customFormat="1" ht="16.5">
      <c r="B106" s="544" t="s">
        <v>530</v>
      </c>
      <c r="C106" s="271">
        <f>C99*0.15</f>
        <v>0.44999999999999996</v>
      </c>
      <c r="D106" s="197" t="s">
        <v>556</v>
      </c>
      <c r="E106" s="197"/>
      <c r="F106" s="197"/>
      <c r="G106" s="95"/>
      <c r="H106" s="95"/>
      <c r="I106" s="95"/>
      <c r="J106" s="95"/>
      <c r="K106" s="299"/>
      <c r="L106" s="75"/>
      <c r="M106" s="75"/>
      <c r="N106" s="197"/>
      <c r="O106" s="197"/>
      <c r="P106" s="197"/>
      <c r="Q106" s="264"/>
      <c r="R106" s="197"/>
      <c r="S106" s="197"/>
      <c r="T106" s="197"/>
      <c r="U106" s="197"/>
      <c r="V106" s="2"/>
      <c r="W106" s="2"/>
      <c r="X106" s="2"/>
      <c r="Y106" s="2"/>
      <c r="Z106" s="197"/>
      <c r="AA106" s="197"/>
      <c r="AB106" s="197"/>
      <c r="AC106" s="197"/>
      <c r="AD106" s="197"/>
      <c r="AE106" s="197"/>
    </row>
    <row r="107" spans="2:31" s="193" customFormat="1" ht="16.5">
      <c r="B107" s="544" t="s">
        <v>531</v>
      </c>
      <c r="C107" s="197">
        <f>C99*4</f>
        <v>12</v>
      </c>
      <c r="D107" s="197" t="s">
        <v>304</v>
      </c>
      <c r="E107" s="197"/>
      <c r="F107" s="197"/>
      <c r="G107" s="197"/>
      <c r="H107" s="197"/>
      <c r="I107" s="197"/>
      <c r="J107" s="197"/>
      <c r="K107" s="299"/>
      <c r="L107" s="75"/>
      <c r="M107" s="75"/>
      <c r="N107" s="197"/>
      <c r="O107" s="197"/>
      <c r="P107" s="197"/>
      <c r="Q107" s="264"/>
      <c r="R107" s="197"/>
      <c r="S107" s="197"/>
      <c r="T107" s="197"/>
      <c r="U107" s="197"/>
      <c r="V107" s="2"/>
      <c r="W107" s="2"/>
      <c r="X107" s="2"/>
      <c r="Y107" s="2"/>
      <c r="Z107" s="197"/>
      <c r="AA107" s="197"/>
      <c r="AB107" s="197"/>
      <c r="AC107" s="197"/>
      <c r="AD107" s="197"/>
      <c r="AE107" s="197"/>
    </row>
    <row r="108" spans="2:31" ht="16.5">
      <c r="B108" s="544" t="s">
        <v>532</v>
      </c>
      <c r="C108" s="2">
        <f>C107</f>
        <v>12</v>
      </c>
      <c r="D108" s="547" t="s">
        <v>304</v>
      </c>
      <c r="E108" s="2"/>
      <c r="F108" s="2"/>
      <c r="G108" s="2"/>
      <c r="H108" s="2"/>
      <c r="I108" s="2"/>
      <c r="J108" s="2"/>
      <c r="K108" s="299"/>
      <c r="L108" s="300"/>
      <c r="M108" s="281"/>
      <c r="N108" s="2"/>
      <c r="O108" s="2"/>
      <c r="P108" s="2"/>
      <c r="Q108" s="388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2:31" s="193" customFormat="1" ht="16.5">
      <c r="B109" s="545" t="s">
        <v>584</v>
      </c>
      <c r="C109" s="271">
        <f>SUM(C93:C94)</f>
        <v>2</v>
      </c>
      <c r="D109" s="197" t="s">
        <v>304</v>
      </c>
      <c r="E109" s="197"/>
      <c r="F109" s="197"/>
      <c r="G109" s="197"/>
      <c r="H109" s="197"/>
      <c r="I109" s="197"/>
      <c r="J109" s="197"/>
      <c r="K109" s="299"/>
      <c r="L109" s="75"/>
      <c r="M109" s="75"/>
      <c r="N109" s="197"/>
      <c r="O109" s="197"/>
      <c r="P109" s="197"/>
      <c r="Q109" s="264"/>
      <c r="R109" s="197"/>
      <c r="S109" s="197"/>
      <c r="T109" s="197"/>
      <c r="U109" s="197"/>
      <c r="V109" s="2"/>
      <c r="W109" s="2"/>
      <c r="X109" s="2"/>
      <c r="Y109" s="2"/>
      <c r="Z109" s="197"/>
      <c r="AA109" s="197"/>
      <c r="AB109" s="197"/>
      <c r="AC109" s="197"/>
      <c r="AD109" s="197"/>
      <c r="AE109" s="197"/>
    </row>
    <row r="110" spans="2:31" s="193" customFormat="1" ht="16.5">
      <c r="B110" s="546" t="s">
        <v>533</v>
      </c>
      <c r="C110" s="271">
        <f>SUM(C40:C41)*5.83</f>
        <v>23.32</v>
      </c>
      <c r="D110" s="197" t="s">
        <v>305</v>
      </c>
      <c r="E110" s="197"/>
      <c r="F110" s="197"/>
      <c r="G110" s="197"/>
      <c r="H110" s="197"/>
      <c r="I110" s="197"/>
      <c r="J110" s="197"/>
      <c r="K110" s="299"/>
      <c r="L110" s="75"/>
      <c r="M110" s="75"/>
      <c r="N110" s="197"/>
      <c r="O110" s="197"/>
      <c r="P110" s="197"/>
      <c r="Q110" s="264"/>
      <c r="R110" s="197"/>
      <c r="S110" s="197"/>
      <c r="T110" s="197"/>
      <c r="U110" s="197"/>
      <c r="V110" s="2"/>
      <c r="W110" s="2"/>
      <c r="X110" s="2"/>
      <c r="Y110" s="2"/>
      <c r="Z110" s="197"/>
      <c r="AA110" s="197"/>
      <c r="AB110" s="197"/>
      <c r="AC110" s="197"/>
      <c r="AD110" s="197"/>
      <c r="AE110" s="197"/>
    </row>
    <row r="111" spans="2:31" s="193" customFormat="1" ht="16.5">
      <c r="B111" s="544" t="s">
        <v>534</v>
      </c>
      <c r="C111" s="271">
        <f>C99*36</f>
        <v>108</v>
      </c>
      <c r="D111" s="197" t="s">
        <v>304</v>
      </c>
      <c r="E111" s="197"/>
      <c r="F111" s="197"/>
      <c r="G111" s="197"/>
      <c r="H111" s="197"/>
      <c r="I111" s="197"/>
      <c r="J111" s="197"/>
      <c r="K111" s="299"/>
      <c r="L111" s="75"/>
      <c r="M111" s="75"/>
      <c r="N111" s="197"/>
      <c r="O111" s="197"/>
      <c r="P111" s="197"/>
      <c r="Q111" s="264"/>
      <c r="R111" s="197"/>
      <c r="S111" s="197"/>
      <c r="T111" s="197"/>
      <c r="U111" s="197"/>
      <c r="V111" s="2"/>
      <c r="W111" s="2"/>
      <c r="X111" s="2"/>
      <c r="Y111" s="2"/>
      <c r="Z111" s="197"/>
      <c r="AA111" s="197"/>
      <c r="AB111" s="197"/>
      <c r="AC111" s="197"/>
      <c r="AD111" s="197"/>
      <c r="AE111" s="197"/>
    </row>
    <row r="112" spans="2:31" s="193" customFormat="1" ht="16.5">
      <c r="B112" s="544" t="s">
        <v>535</v>
      </c>
      <c r="C112" s="197">
        <f>C99*6</f>
        <v>18</v>
      </c>
      <c r="D112" s="197" t="s">
        <v>304</v>
      </c>
      <c r="E112" s="197"/>
      <c r="F112" s="197"/>
      <c r="G112" s="197"/>
      <c r="H112" s="197"/>
      <c r="I112" s="197"/>
      <c r="J112" s="197"/>
      <c r="K112" s="299"/>
      <c r="L112" s="75"/>
      <c r="M112" s="75"/>
      <c r="N112" s="197"/>
      <c r="O112" s="197"/>
      <c r="P112" s="197"/>
      <c r="Q112" s="264"/>
      <c r="R112" s="197"/>
      <c r="S112" s="197"/>
      <c r="T112" s="197"/>
      <c r="U112" s="197"/>
      <c r="V112" s="2"/>
      <c r="W112" s="2"/>
      <c r="X112" s="2"/>
      <c r="Y112" s="2"/>
      <c r="Z112" s="197"/>
      <c r="AA112" s="197"/>
      <c r="AB112" s="197"/>
      <c r="AC112" s="197"/>
      <c r="AD112" s="197"/>
      <c r="AE112" s="197"/>
    </row>
    <row r="113" spans="1:31" ht="16.5">
      <c r="B113" s="544" t="s">
        <v>536</v>
      </c>
      <c r="C113" s="2">
        <f>C99*0.2</f>
        <v>0.60000000000000009</v>
      </c>
      <c r="D113" s="547" t="s">
        <v>304</v>
      </c>
      <c r="E113" s="2"/>
      <c r="F113" s="2"/>
      <c r="G113" s="2"/>
      <c r="H113" s="2"/>
      <c r="I113" s="2"/>
      <c r="J113" s="2"/>
      <c r="K113" s="299"/>
      <c r="L113" s="300"/>
      <c r="M113" s="281"/>
      <c r="N113" s="2"/>
      <c r="O113" s="2"/>
      <c r="P113" s="2"/>
      <c r="Q113" s="388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6.5">
      <c r="B114" s="544" t="s">
        <v>537</v>
      </c>
      <c r="C114" s="2">
        <f>SUM(C93:C94,C99)*6</f>
        <v>30</v>
      </c>
      <c r="D114" s="547" t="s">
        <v>304</v>
      </c>
      <c r="E114" s="2"/>
      <c r="F114" s="2"/>
      <c r="G114" s="2"/>
      <c r="H114" s="2"/>
      <c r="I114" s="2"/>
      <c r="J114" s="2"/>
      <c r="K114" s="299"/>
      <c r="L114" s="300"/>
      <c r="M114" s="281"/>
      <c r="N114" s="2"/>
      <c r="O114" s="2"/>
      <c r="P114" s="2"/>
      <c r="Q114" s="388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6.5">
      <c r="B115" s="544" t="s">
        <v>538</v>
      </c>
      <c r="C115" s="2">
        <f>C99*0.5</f>
        <v>1.5</v>
      </c>
      <c r="D115" s="547" t="s">
        <v>304</v>
      </c>
      <c r="E115" s="2"/>
      <c r="F115" s="2"/>
      <c r="G115" s="2"/>
      <c r="H115" s="2"/>
      <c r="I115" s="2"/>
      <c r="J115" s="2"/>
      <c r="K115" s="299"/>
      <c r="L115" s="300"/>
      <c r="M115" s="281"/>
      <c r="N115" s="2"/>
      <c r="O115" s="2"/>
      <c r="P115" s="2"/>
      <c r="Q115" s="388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6.5">
      <c r="B116" s="546" t="s">
        <v>539</v>
      </c>
      <c r="C116" s="283">
        <f>C99*0.05</f>
        <v>0.15000000000000002</v>
      </c>
      <c r="D116" s="547" t="s">
        <v>305</v>
      </c>
      <c r="E116" s="2"/>
      <c r="F116" s="2"/>
      <c r="G116" s="95"/>
      <c r="H116" s="95"/>
      <c r="I116" s="2"/>
      <c r="J116" s="2"/>
      <c r="K116" s="299"/>
      <c r="L116" s="300"/>
      <c r="M116" s="281"/>
      <c r="N116" s="2"/>
      <c r="O116" s="2"/>
      <c r="P116" s="2"/>
      <c r="Q116" s="388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6.5">
      <c r="B117" s="546" t="s">
        <v>540</v>
      </c>
      <c r="C117" s="283">
        <f>SUM(C49,C58:C63)*4</f>
        <v>172</v>
      </c>
      <c r="D117" s="547" t="s">
        <v>557</v>
      </c>
      <c r="E117" s="2"/>
      <c r="F117" s="2"/>
      <c r="G117" s="95"/>
      <c r="H117" s="95"/>
      <c r="I117" s="2"/>
      <c r="J117" s="2"/>
      <c r="K117" s="299"/>
      <c r="L117" s="300"/>
      <c r="M117" s="281"/>
      <c r="N117" s="2"/>
      <c r="O117" s="2"/>
      <c r="P117" s="2"/>
      <c r="Q117" s="388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6.5">
      <c r="B118" s="546" t="s">
        <v>541</v>
      </c>
      <c r="C118" s="283">
        <f>SUM('MAT - TAKEOFF'!I9:I12,'MAT - TAKEOFF'!I25:I27)*2</f>
        <v>58</v>
      </c>
      <c r="D118" s="547" t="s">
        <v>304</v>
      </c>
      <c r="E118" s="2"/>
      <c r="F118" s="2"/>
      <c r="G118" s="95"/>
      <c r="H118" s="95"/>
      <c r="I118" s="2"/>
      <c r="J118" s="2"/>
      <c r="K118" s="299"/>
      <c r="L118" s="300"/>
      <c r="M118" s="281"/>
      <c r="N118" s="2"/>
      <c r="O118" s="2"/>
      <c r="P118" s="2"/>
      <c r="Q118" s="388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s="193" customFormat="1" ht="16.5">
      <c r="B119" s="546" t="s">
        <v>542</v>
      </c>
      <c r="C119" s="197">
        <f>C99</f>
        <v>3</v>
      </c>
      <c r="D119" s="197" t="s">
        <v>555</v>
      </c>
      <c r="E119" s="197"/>
      <c r="F119" s="197"/>
      <c r="G119" s="197"/>
      <c r="H119" s="197"/>
      <c r="I119" s="197"/>
      <c r="J119" s="197"/>
      <c r="K119" s="299"/>
      <c r="L119" s="75"/>
      <c r="M119" s="75"/>
      <c r="N119" s="197"/>
      <c r="O119" s="197"/>
      <c r="P119" s="197"/>
      <c r="Q119" s="264"/>
      <c r="R119" s="197"/>
      <c r="S119" s="197"/>
      <c r="T119" s="197"/>
      <c r="U119" s="197"/>
      <c r="V119" s="2"/>
      <c r="W119" s="2"/>
      <c r="X119" s="2"/>
      <c r="Y119" s="2"/>
      <c r="Z119" s="197"/>
      <c r="AA119" s="197"/>
      <c r="AB119" s="197"/>
      <c r="AC119" s="197"/>
      <c r="AD119" s="197"/>
      <c r="AE119" s="197"/>
    </row>
    <row r="120" spans="1:31" s="193" customFormat="1" ht="16.5">
      <c r="B120" s="546" t="s">
        <v>543</v>
      </c>
      <c r="C120" s="197">
        <f>C119</f>
        <v>3</v>
      </c>
      <c r="D120" s="197" t="s">
        <v>555</v>
      </c>
      <c r="E120" s="197"/>
      <c r="F120" s="197"/>
      <c r="G120" s="197"/>
      <c r="H120" s="197"/>
      <c r="I120" s="197"/>
      <c r="J120" s="197"/>
      <c r="K120" s="299"/>
      <c r="L120" s="75"/>
      <c r="M120" s="75"/>
      <c r="N120" s="197"/>
      <c r="O120" s="197"/>
      <c r="P120" s="197"/>
      <c r="Q120" s="264"/>
      <c r="R120" s="197"/>
      <c r="S120" s="197"/>
      <c r="T120" s="197"/>
      <c r="U120" s="197"/>
      <c r="V120" s="2"/>
      <c r="W120" s="2"/>
      <c r="X120" s="2"/>
      <c r="Y120" s="2"/>
      <c r="Z120" s="197"/>
      <c r="AA120" s="197"/>
      <c r="AB120" s="197"/>
      <c r="AC120" s="197"/>
      <c r="AD120" s="197"/>
      <c r="AE120" s="197"/>
    </row>
    <row r="121" spans="1:31" s="193" customFormat="1" ht="16.5">
      <c r="B121" s="546" t="s">
        <v>544</v>
      </c>
      <c r="C121" s="197">
        <f>C120</f>
        <v>3</v>
      </c>
      <c r="D121" s="197" t="s">
        <v>558</v>
      </c>
      <c r="E121" s="197"/>
      <c r="F121" s="197"/>
      <c r="G121" s="197"/>
      <c r="H121" s="197"/>
      <c r="I121" s="197"/>
      <c r="J121" s="197"/>
      <c r="K121" s="299"/>
      <c r="L121" s="75"/>
      <c r="M121" s="75"/>
      <c r="N121" s="197"/>
      <c r="O121" s="197"/>
      <c r="P121" s="197"/>
      <c r="Q121" s="264"/>
      <c r="R121" s="197"/>
      <c r="S121" s="197"/>
      <c r="T121" s="197"/>
      <c r="U121" s="197"/>
      <c r="V121" s="2"/>
      <c r="W121" s="2"/>
      <c r="X121" s="2"/>
      <c r="Y121" s="2"/>
      <c r="Z121" s="197"/>
      <c r="AA121" s="197"/>
      <c r="AB121" s="197"/>
      <c r="AC121" s="197"/>
      <c r="AD121" s="197"/>
      <c r="AE121" s="197"/>
    </row>
    <row r="122" spans="1:31" s="193" customFormat="1" ht="16.5">
      <c r="B122" s="546" t="s">
        <v>545</v>
      </c>
      <c r="C122" s="271">
        <f>C119</f>
        <v>3</v>
      </c>
      <c r="D122" s="197" t="s">
        <v>558</v>
      </c>
      <c r="E122" s="197"/>
      <c r="F122" s="197"/>
      <c r="G122" s="197"/>
      <c r="H122" s="197"/>
      <c r="I122" s="197"/>
      <c r="J122" s="197"/>
      <c r="K122" s="299"/>
      <c r="L122" s="75"/>
      <c r="M122" s="75"/>
      <c r="N122" s="197"/>
      <c r="O122" s="197"/>
      <c r="P122" s="197"/>
      <c r="Q122" s="264"/>
      <c r="R122" s="197"/>
      <c r="S122" s="197"/>
      <c r="T122" s="197"/>
      <c r="U122" s="197"/>
      <c r="V122" s="2"/>
      <c r="W122" s="2"/>
      <c r="X122" s="2"/>
      <c r="Y122" s="2"/>
      <c r="Z122" s="197"/>
      <c r="AA122" s="197"/>
      <c r="AB122" s="197"/>
      <c r="AC122" s="197"/>
      <c r="AD122" s="197"/>
      <c r="AE122" s="197"/>
    </row>
    <row r="123" spans="1:31" s="193" customFormat="1" ht="16.5">
      <c r="B123" s="546" t="s">
        <v>546</v>
      </c>
      <c r="C123" s="271">
        <f>C119</f>
        <v>3</v>
      </c>
      <c r="D123" s="197" t="s">
        <v>304</v>
      </c>
      <c r="E123" s="197"/>
      <c r="F123" s="197"/>
      <c r="G123" s="197"/>
      <c r="H123" s="197"/>
      <c r="I123" s="197"/>
      <c r="J123" s="197"/>
      <c r="K123" s="299"/>
      <c r="L123" s="75"/>
      <c r="M123" s="75"/>
      <c r="N123" s="197"/>
      <c r="O123" s="197"/>
      <c r="P123" s="197"/>
      <c r="Q123" s="264"/>
      <c r="R123" s="197"/>
      <c r="S123" s="197"/>
      <c r="T123" s="197"/>
      <c r="U123" s="197"/>
      <c r="V123" s="2"/>
      <c r="W123" s="2"/>
      <c r="X123" s="2"/>
      <c r="Y123" s="2"/>
      <c r="Z123" s="197"/>
      <c r="AA123" s="197"/>
      <c r="AB123" s="197"/>
      <c r="AC123" s="197"/>
      <c r="AD123" s="197"/>
      <c r="AE123" s="197"/>
    </row>
    <row r="124" spans="1:31" s="193" customFormat="1" ht="16.5">
      <c r="B124" s="546" t="s">
        <v>547</v>
      </c>
      <c r="C124" s="271">
        <f>C99*25</f>
        <v>75</v>
      </c>
      <c r="D124" s="197" t="s">
        <v>305</v>
      </c>
      <c r="E124" s="197"/>
      <c r="F124" s="197"/>
      <c r="G124" s="197"/>
      <c r="H124" s="197"/>
      <c r="I124" s="197"/>
      <c r="J124" s="197"/>
      <c r="K124" s="299"/>
      <c r="L124" s="75"/>
      <c r="M124" s="75"/>
      <c r="N124" s="197"/>
      <c r="O124" s="197"/>
      <c r="P124" s="197"/>
      <c r="Q124" s="264"/>
      <c r="R124" s="197"/>
      <c r="S124" s="197"/>
      <c r="T124" s="197"/>
      <c r="U124" s="197"/>
      <c r="V124" s="2"/>
      <c r="W124" s="2"/>
      <c r="X124" s="2"/>
      <c r="Y124" s="2"/>
      <c r="Z124" s="197"/>
      <c r="AA124" s="197"/>
      <c r="AB124" s="197"/>
      <c r="AC124" s="197"/>
      <c r="AD124" s="197"/>
      <c r="AE124" s="197"/>
    </row>
    <row r="125" spans="1:31" s="193" customFormat="1" ht="16.5">
      <c r="B125" s="546" t="s">
        <v>548</v>
      </c>
      <c r="C125" s="271">
        <f>SUM(C93:C94)*2</f>
        <v>4</v>
      </c>
      <c r="D125" s="197" t="s">
        <v>304</v>
      </c>
      <c r="E125" s="197"/>
      <c r="F125" s="197"/>
      <c r="G125" s="197"/>
      <c r="H125" s="197"/>
      <c r="I125" s="197"/>
      <c r="J125" s="197"/>
      <c r="K125" s="299"/>
      <c r="L125" s="75"/>
      <c r="M125" s="75"/>
      <c r="N125" s="197"/>
      <c r="O125" s="197"/>
      <c r="P125" s="197"/>
      <c r="Q125" s="264"/>
      <c r="R125" s="197"/>
      <c r="S125" s="197"/>
      <c r="T125" s="197"/>
      <c r="U125" s="197"/>
      <c r="V125" s="2"/>
      <c r="W125" s="2"/>
      <c r="X125" s="2"/>
      <c r="Y125" s="2"/>
      <c r="Z125" s="197"/>
      <c r="AA125" s="197"/>
      <c r="AB125" s="197"/>
      <c r="AC125" s="197"/>
      <c r="AD125" s="197"/>
      <c r="AE125" s="197"/>
    </row>
    <row r="126" spans="1:31" ht="16.5">
      <c r="A126" t="s">
        <v>561</v>
      </c>
      <c r="B126" s="564" t="s">
        <v>563</v>
      </c>
      <c r="C126" s="2">
        <f>(SUM(C8:C15)/8)+1</f>
        <v>6.0537500000000009</v>
      </c>
      <c r="D126" s="2" t="s">
        <v>304</v>
      </c>
      <c r="E126" s="2"/>
      <c r="F126" s="2"/>
      <c r="G126" s="2"/>
      <c r="H126" s="2"/>
      <c r="I126" s="2"/>
      <c r="J126" s="2"/>
      <c r="K126" s="299"/>
      <c r="L126" s="300"/>
      <c r="M126" s="281"/>
      <c r="N126" s="197"/>
      <c r="O126" s="2"/>
      <c r="P126" s="2"/>
      <c r="Q126" s="388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6.5">
      <c r="A127" t="s">
        <v>562</v>
      </c>
      <c r="B127" s="564" t="s">
        <v>564</v>
      </c>
      <c r="C127" s="283">
        <f>(SUM(C19:C26)/10)+1</f>
        <v>26.152000000000001</v>
      </c>
      <c r="D127" s="2" t="s">
        <v>304</v>
      </c>
      <c r="E127" s="2"/>
      <c r="F127" s="2"/>
      <c r="G127" s="2"/>
      <c r="H127" s="2"/>
      <c r="I127" s="2"/>
      <c r="J127" s="2"/>
      <c r="K127" s="299"/>
      <c r="L127" s="300"/>
      <c r="M127" s="281"/>
      <c r="N127" s="197"/>
      <c r="O127" s="2"/>
      <c r="P127" s="2"/>
      <c r="Q127" s="388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6.5">
      <c r="A128" t="s">
        <v>566</v>
      </c>
      <c r="B128" s="564" t="s">
        <v>565</v>
      </c>
      <c r="C128" s="283">
        <f>(SUM(C29:C31)/4)+1</f>
        <v>14.7475</v>
      </c>
      <c r="D128" s="2" t="s">
        <v>304</v>
      </c>
      <c r="E128" s="2"/>
      <c r="F128" s="2"/>
      <c r="G128" s="2"/>
      <c r="H128" s="2"/>
      <c r="I128" s="2"/>
      <c r="J128" s="2"/>
      <c r="K128" s="299"/>
      <c r="L128" s="300"/>
      <c r="M128" s="281"/>
      <c r="N128" s="197"/>
      <c r="O128" s="2"/>
      <c r="P128" s="2"/>
      <c r="Q128" s="388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6.5">
      <c r="A129" t="s">
        <v>569</v>
      </c>
      <c r="B129" s="564" t="s">
        <v>583</v>
      </c>
      <c r="C129" s="283">
        <f>((2*(SUM(C8:C26)/8)+1)*3)</f>
        <v>221.96249999999998</v>
      </c>
      <c r="D129" s="547" t="s">
        <v>305</v>
      </c>
      <c r="E129" s="2"/>
      <c r="F129" s="2"/>
      <c r="G129" s="95"/>
      <c r="H129" s="95"/>
      <c r="I129" s="2"/>
      <c r="J129" s="2"/>
      <c r="K129" s="299"/>
      <c r="L129" s="300"/>
      <c r="M129" s="281"/>
      <c r="N129" s="197"/>
      <c r="O129" s="2"/>
      <c r="P129" s="2"/>
      <c r="Q129" s="388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6.5">
      <c r="A130" t="s">
        <v>568</v>
      </c>
      <c r="B130" s="564" t="s">
        <v>582</v>
      </c>
      <c r="C130" s="283">
        <f>(((2*(SUM(C8:C26)/8))+1)*(12-5+0.5))/6</f>
        <v>92.484375</v>
      </c>
      <c r="D130" s="547" t="s">
        <v>304</v>
      </c>
      <c r="E130" s="2"/>
      <c r="F130" s="2"/>
      <c r="G130" s="95"/>
      <c r="H130" s="95"/>
      <c r="I130" s="2"/>
      <c r="J130" s="2"/>
      <c r="K130" s="299"/>
      <c r="L130" s="300"/>
      <c r="M130" s="281"/>
      <c r="N130" s="197"/>
      <c r="O130" s="2"/>
      <c r="P130" s="2"/>
      <c r="Q130" s="388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6.5">
      <c r="B131" s="564" t="s">
        <v>570</v>
      </c>
      <c r="C131" s="283">
        <f>ROUNDUP((2*(SUM(C8:C26)/8)+1),0)</f>
        <v>74</v>
      </c>
      <c r="D131" s="2" t="s">
        <v>304</v>
      </c>
      <c r="E131" s="2"/>
      <c r="F131" s="2"/>
      <c r="G131" s="95"/>
      <c r="H131" s="95"/>
      <c r="I131" s="2"/>
      <c r="J131" s="2"/>
      <c r="K131" s="299"/>
      <c r="L131" s="300"/>
      <c r="M131" s="281"/>
      <c r="N131" s="2"/>
      <c r="O131" s="2"/>
      <c r="P131" s="2"/>
      <c r="Q131" s="388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6.5">
      <c r="B132" s="458" t="s">
        <v>571</v>
      </c>
      <c r="C132" s="283">
        <f>C131</f>
        <v>74</v>
      </c>
      <c r="D132" s="2" t="s">
        <v>304</v>
      </c>
      <c r="E132" s="2"/>
      <c r="F132" s="2"/>
      <c r="G132" s="2"/>
      <c r="H132" s="2"/>
      <c r="I132" s="2"/>
      <c r="J132" s="2"/>
      <c r="K132" s="299"/>
      <c r="L132" s="300"/>
      <c r="M132" s="281"/>
      <c r="N132" s="2"/>
      <c r="O132" s="2"/>
      <c r="P132" s="2"/>
      <c r="Q132" s="388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6.5">
      <c r="A133" t="s">
        <v>575</v>
      </c>
      <c r="B133" s="564" t="s">
        <v>572</v>
      </c>
      <c r="C133" s="2">
        <f>C131*8</f>
        <v>592</v>
      </c>
      <c r="D133" s="2" t="s">
        <v>304</v>
      </c>
      <c r="E133" s="2"/>
      <c r="F133" s="2"/>
      <c r="G133" s="2"/>
      <c r="H133" s="2"/>
      <c r="I133" s="2"/>
      <c r="J133" s="2"/>
      <c r="K133" s="299"/>
      <c r="L133" s="300"/>
      <c r="M133" s="281"/>
      <c r="N133" s="2"/>
      <c r="O133" s="2"/>
      <c r="P133" s="2"/>
      <c r="Q133" s="388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s="193" customFormat="1" ht="16.5">
      <c r="A134" t="s">
        <v>575</v>
      </c>
      <c r="B134" s="457" t="s">
        <v>573</v>
      </c>
      <c r="C134" s="2">
        <f>C131*8</f>
        <v>592</v>
      </c>
      <c r="D134" s="2" t="s">
        <v>304</v>
      </c>
      <c r="E134" s="197"/>
      <c r="F134" s="197"/>
      <c r="G134" s="197"/>
      <c r="H134" s="197"/>
      <c r="I134" s="197"/>
      <c r="J134" s="197"/>
      <c r="K134" s="299"/>
      <c r="L134" s="75"/>
      <c r="M134" s="75"/>
      <c r="N134" s="197"/>
      <c r="O134" s="197"/>
      <c r="P134" s="197"/>
      <c r="Q134" s="264"/>
      <c r="R134" s="197"/>
      <c r="S134" s="197"/>
      <c r="T134" s="197"/>
      <c r="U134" s="197"/>
      <c r="V134" s="2"/>
      <c r="W134" s="2"/>
      <c r="X134" s="2"/>
      <c r="Y134" s="2"/>
      <c r="Z134" s="197"/>
      <c r="AA134" s="197"/>
      <c r="AB134" s="197"/>
      <c r="AC134" s="197"/>
      <c r="AD134" s="197"/>
      <c r="AE134" s="197"/>
    </row>
    <row r="135" spans="1:31" s="193" customFormat="1" ht="16.5">
      <c r="A135" t="s">
        <v>575</v>
      </c>
      <c r="B135" s="457" t="s">
        <v>574</v>
      </c>
      <c r="C135" s="2">
        <f>C131*8</f>
        <v>592</v>
      </c>
      <c r="D135" s="2" t="s">
        <v>304</v>
      </c>
      <c r="E135" s="197"/>
      <c r="F135" s="197"/>
      <c r="G135" s="197"/>
      <c r="H135" s="197"/>
      <c r="I135" s="197"/>
      <c r="J135" s="197"/>
      <c r="K135" s="299"/>
      <c r="L135" s="75"/>
      <c r="M135" s="75"/>
      <c r="N135" s="197"/>
      <c r="O135" s="197"/>
      <c r="P135" s="197"/>
      <c r="Q135" s="264"/>
      <c r="R135" s="197"/>
      <c r="S135" s="197"/>
      <c r="T135" s="197"/>
      <c r="U135" s="197"/>
      <c r="V135" s="2"/>
      <c r="W135" s="2"/>
      <c r="X135" s="2"/>
      <c r="Y135" s="2"/>
      <c r="Z135" s="197"/>
      <c r="AA135" s="197"/>
      <c r="AB135" s="197"/>
      <c r="AC135" s="197"/>
      <c r="AD135" s="197"/>
      <c r="AE135" s="197"/>
    </row>
    <row r="136" spans="1:31" s="193" customFormat="1" ht="16.5">
      <c r="B136" s="457"/>
      <c r="C136" s="271"/>
      <c r="D136" s="197"/>
      <c r="E136" s="197"/>
      <c r="F136" s="197"/>
      <c r="G136" s="197"/>
      <c r="H136" s="197"/>
      <c r="I136" s="197"/>
      <c r="J136" s="197"/>
      <c r="K136" s="299"/>
      <c r="L136" s="75"/>
      <c r="M136" s="75"/>
      <c r="N136" s="197"/>
      <c r="O136" s="197"/>
      <c r="P136" s="197"/>
      <c r="Q136" s="264"/>
      <c r="R136" s="197"/>
      <c r="S136" s="197"/>
      <c r="T136" s="197"/>
      <c r="U136" s="197"/>
      <c r="V136" s="2"/>
      <c r="W136" s="2"/>
      <c r="X136" s="2"/>
      <c r="Y136" s="2"/>
      <c r="Z136" s="197"/>
      <c r="AA136" s="197"/>
      <c r="AB136" s="197"/>
      <c r="AC136" s="197"/>
      <c r="AD136" s="197"/>
      <c r="AE136" s="197"/>
    </row>
    <row r="137" spans="1:31" s="193" customFormat="1" ht="16.5">
      <c r="B137" s="457"/>
      <c r="C137" s="271"/>
      <c r="D137" s="197"/>
      <c r="E137" s="197"/>
      <c r="F137" s="197"/>
      <c r="G137" s="197"/>
      <c r="H137" s="197"/>
      <c r="I137" s="197"/>
      <c r="J137" s="197"/>
      <c r="K137" s="299"/>
      <c r="L137" s="75"/>
      <c r="M137" s="75"/>
      <c r="N137" s="197"/>
      <c r="O137" s="197"/>
      <c r="P137" s="197"/>
      <c r="Q137" s="264"/>
      <c r="R137" s="197"/>
      <c r="S137" s="197"/>
      <c r="T137" s="197"/>
      <c r="U137" s="197"/>
      <c r="V137" s="2"/>
      <c r="W137" s="2"/>
      <c r="X137" s="2"/>
      <c r="Y137" s="2"/>
      <c r="Z137" s="197"/>
      <c r="AA137" s="197"/>
      <c r="AB137" s="197"/>
      <c r="AC137" s="197"/>
      <c r="AD137" s="197"/>
      <c r="AE137" s="197"/>
    </row>
    <row r="138" spans="1:31" s="193" customFormat="1" ht="16.5">
      <c r="B138" s="457"/>
      <c r="C138" s="271"/>
      <c r="D138" s="197"/>
      <c r="E138" s="197"/>
      <c r="F138" s="197"/>
      <c r="G138" s="197"/>
      <c r="H138" s="197"/>
      <c r="I138" s="197"/>
      <c r="J138" s="197"/>
      <c r="K138" s="299"/>
      <c r="L138" s="75"/>
      <c r="M138" s="75"/>
      <c r="N138" s="197"/>
      <c r="O138" s="197"/>
      <c r="P138" s="197"/>
      <c r="Q138" s="264"/>
      <c r="R138" s="197"/>
      <c r="S138" s="197"/>
      <c r="T138" s="197"/>
      <c r="U138" s="197"/>
      <c r="V138" s="2"/>
      <c r="W138" s="2"/>
      <c r="X138" s="2"/>
      <c r="Y138" s="2"/>
      <c r="Z138" s="197"/>
      <c r="AA138" s="197"/>
      <c r="AB138" s="197"/>
      <c r="AC138" s="197"/>
      <c r="AD138" s="197"/>
      <c r="AE138" s="197"/>
    </row>
    <row r="139" spans="1:31" s="193" customFormat="1" ht="16.5">
      <c r="B139" s="457"/>
      <c r="C139" s="271"/>
      <c r="D139" s="197"/>
      <c r="E139" s="197"/>
      <c r="F139" s="197"/>
      <c r="G139" s="197"/>
      <c r="H139" s="197"/>
      <c r="I139" s="197"/>
      <c r="J139" s="197"/>
      <c r="K139" s="299"/>
      <c r="L139" s="75"/>
      <c r="M139" s="75"/>
      <c r="N139" s="197"/>
      <c r="O139" s="197"/>
      <c r="P139" s="197"/>
      <c r="Q139" s="264"/>
      <c r="R139" s="197"/>
      <c r="S139" s="197"/>
      <c r="T139" s="197"/>
      <c r="U139" s="197"/>
      <c r="V139" s="2"/>
      <c r="W139" s="2"/>
      <c r="X139" s="2"/>
      <c r="Y139" s="2"/>
      <c r="Z139" s="197"/>
      <c r="AA139" s="197"/>
      <c r="AB139" s="197"/>
      <c r="AC139" s="197"/>
      <c r="AD139" s="197"/>
      <c r="AE139" s="197"/>
    </row>
    <row r="140" spans="1:31" s="193" customFormat="1" ht="16.5">
      <c r="B140" s="456"/>
      <c r="C140" s="197"/>
      <c r="D140" s="197"/>
      <c r="E140" s="197"/>
      <c r="F140" s="197"/>
      <c r="G140" s="197"/>
      <c r="H140" s="197"/>
      <c r="I140" s="197"/>
      <c r="J140" s="197"/>
      <c r="K140" s="299"/>
      <c r="L140" s="75"/>
      <c r="M140" s="75"/>
      <c r="N140" s="197"/>
      <c r="O140" s="197"/>
      <c r="P140" s="197"/>
      <c r="Q140" s="264"/>
      <c r="R140" s="197"/>
      <c r="S140" s="197"/>
      <c r="T140" s="197"/>
      <c r="U140" s="197"/>
      <c r="V140" s="2"/>
      <c r="W140" s="2"/>
      <c r="X140" s="2"/>
      <c r="Y140" s="2"/>
      <c r="Z140" s="197"/>
      <c r="AA140" s="197"/>
      <c r="AB140" s="197"/>
      <c r="AC140" s="197"/>
      <c r="AD140" s="197"/>
      <c r="AE140" s="197"/>
    </row>
    <row r="141" spans="1:31" s="193" customFormat="1" ht="16.5">
      <c r="B141" s="459"/>
      <c r="C141" s="197"/>
      <c r="D141" s="197"/>
      <c r="E141" s="197"/>
      <c r="F141" s="197"/>
      <c r="G141" s="197"/>
      <c r="H141" s="197"/>
      <c r="I141" s="197"/>
      <c r="J141" s="197"/>
      <c r="K141" s="299"/>
      <c r="L141" s="75"/>
      <c r="M141" s="75"/>
      <c r="N141" s="197"/>
      <c r="O141" s="197"/>
      <c r="P141" s="197"/>
      <c r="Q141" s="264"/>
      <c r="R141" s="197"/>
      <c r="S141" s="197"/>
      <c r="T141" s="197"/>
      <c r="U141" s="197"/>
      <c r="V141" s="2"/>
      <c r="W141" s="2"/>
      <c r="X141" s="2"/>
      <c r="Y141" s="2"/>
      <c r="Z141" s="197"/>
      <c r="AA141" s="197"/>
      <c r="AB141" s="197"/>
      <c r="AC141" s="197"/>
      <c r="AD141" s="197"/>
      <c r="AE141" s="197"/>
    </row>
    <row r="142" spans="1:31" s="193" customFormat="1" ht="16.5">
      <c r="B142" s="456"/>
      <c r="C142" s="197"/>
      <c r="D142" s="197"/>
      <c r="E142" s="197"/>
      <c r="F142" s="197"/>
      <c r="G142" s="197"/>
      <c r="H142" s="197"/>
      <c r="I142" s="197"/>
      <c r="J142" s="197"/>
      <c r="K142" s="299"/>
      <c r="L142" s="75"/>
      <c r="M142" s="75"/>
      <c r="N142" s="197"/>
      <c r="O142" s="197"/>
      <c r="P142" s="197"/>
      <c r="Q142" s="264"/>
      <c r="R142" s="197"/>
      <c r="S142" s="197"/>
      <c r="T142" s="197"/>
      <c r="U142" s="197"/>
      <c r="V142" s="2"/>
      <c r="W142" s="2"/>
      <c r="X142" s="2"/>
      <c r="Y142" s="2"/>
      <c r="Z142" s="197"/>
      <c r="AA142" s="197"/>
      <c r="AB142" s="197"/>
      <c r="AC142" s="197"/>
      <c r="AD142" s="197"/>
      <c r="AE142" s="197"/>
    </row>
    <row r="143" spans="1:31" s="193" customFormat="1" ht="16.5">
      <c r="B143" s="457"/>
      <c r="C143" s="197"/>
      <c r="D143" s="197"/>
      <c r="E143" s="197"/>
      <c r="F143" s="197"/>
      <c r="G143" s="197"/>
      <c r="H143" s="197"/>
      <c r="I143" s="197"/>
      <c r="J143" s="197"/>
      <c r="K143" s="299"/>
      <c r="L143" s="75"/>
      <c r="M143" s="75"/>
      <c r="N143" s="197"/>
      <c r="O143" s="197"/>
      <c r="P143" s="197"/>
      <c r="Q143" s="264"/>
      <c r="R143" s="197"/>
      <c r="S143" s="197"/>
      <c r="T143" s="197"/>
      <c r="U143" s="197"/>
      <c r="V143" s="2"/>
      <c r="W143" s="2"/>
      <c r="X143" s="2"/>
      <c r="Y143" s="2"/>
      <c r="Z143" s="197"/>
      <c r="AA143" s="197"/>
      <c r="AB143" s="197"/>
      <c r="AC143" s="197"/>
      <c r="AD143" s="197"/>
      <c r="AE143" s="197"/>
    </row>
    <row r="144" spans="1:31" s="193" customFormat="1" ht="16.5">
      <c r="B144" s="457"/>
      <c r="C144" s="271"/>
      <c r="D144" s="197"/>
      <c r="E144" s="197"/>
      <c r="F144" s="197"/>
      <c r="G144" s="197"/>
      <c r="H144" s="197"/>
      <c r="I144" s="197"/>
      <c r="J144" s="197"/>
      <c r="K144" s="299"/>
      <c r="L144" s="75"/>
      <c r="M144" s="75"/>
      <c r="N144" s="197"/>
      <c r="O144" s="197"/>
      <c r="P144" s="197"/>
      <c r="Q144" s="264"/>
      <c r="R144" s="197"/>
      <c r="S144" s="197"/>
      <c r="T144" s="197"/>
      <c r="U144" s="197"/>
      <c r="V144" s="2"/>
      <c r="W144" s="2"/>
      <c r="X144" s="2"/>
      <c r="Y144" s="2"/>
      <c r="Z144" s="197"/>
      <c r="AA144" s="197"/>
      <c r="AB144" s="197"/>
      <c r="AC144" s="197"/>
      <c r="AD144" s="197"/>
      <c r="AE144" s="197"/>
    </row>
    <row r="145" spans="2:31" s="193" customFormat="1" ht="16.5">
      <c r="B145" s="457"/>
      <c r="C145" s="271"/>
      <c r="D145" s="197"/>
      <c r="E145" s="197"/>
      <c r="F145" s="197"/>
      <c r="G145" s="197"/>
      <c r="H145" s="197"/>
      <c r="I145" s="197"/>
      <c r="J145" s="197"/>
      <c r="K145" s="299"/>
      <c r="L145" s="75"/>
      <c r="M145" s="75"/>
      <c r="N145" s="197"/>
      <c r="O145" s="197"/>
      <c r="P145" s="197"/>
      <c r="Q145" s="264"/>
      <c r="R145" s="197"/>
      <c r="S145" s="197"/>
      <c r="T145" s="197"/>
      <c r="U145" s="197"/>
      <c r="V145" s="2"/>
      <c r="W145" s="2"/>
      <c r="X145" s="2"/>
      <c r="Y145" s="2"/>
      <c r="Z145" s="197"/>
      <c r="AA145" s="197"/>
      <c r="AB145" s="197"/>
      <c r="AC145" s="197"/>
      <c r="AD145" s="197"/>
      <c r="AE145" s="197"/>
    </row>
    <row r="146" spans="2:31" s="193" customFormat="1" ht="16.5">
      <c r="B146" s="457"/>
      <c r="C146" s="271"/>
      <c r="D146" s="197"/>
      <c r="E146" s="197"/>
      <c r="F146" s="197"/>
      <c r="G146" s="197"/>
      <c r="H146" s="197"/>
      <c r="I146" s="197"/>
      <c r="J146" s="197"/>
      <c r="K146" s="299"/>
      <c r="L146" s="75"/>
      <c r="M146" s="75"/>
      <c r="N146" s="197"/>
      <c r="O146" s="197"/>
      <c r="P146" s="197"/>
      <c r="Q146" s="264"/>
      <c r="R146" s="197"/>
      <c r="S146" s="197"/>
      <c r="T146" s="197"/>
      <c r="U146" s="197"/>
      <c r="V146" s="2"/>
      <c r="W146" s="2"/>
      <c r="X146" s="2"/>
      <c r="Y146" s="2"/>
      <c r="Z146" s="197"/>
      <c r="AA146" s="197"/>
      <c r="AB146" s="197"/>
      <c r="AC146" s="197"/>
      <c r="AD146" s="197"/>
      <c r="AE146" s="197"/>
    </row>
    <row r="147" spans="2:31" s="193" customFormat="1" ht="16.5">
      <c r="B147" s="457"/>
      <c r="C147" s="271"/>
      <c r="D147" s="197"/>
      <c r="E147" s="197"/>
      <c r="F147" s="197"/>
      <c r="G147" s="197"/>
      <c r="H147" s="197"/>
      <c r="I147" s="197"/>
      <c r="J147" s="197"/>
      <c r="K147" s="299"/>
      <c r="L147" s="75"/>
      <c r="M147" s="75"/>
      <c r="N147" s="197"/>
      <c r="O147" s="197"/>
      <c r="P147" s="197"/>
      <c r="Q147" s="264"/>
      <c r="R147" s="197"/>
      <c r="S147" s="197"/>
      <c r="T147" s="197"/>
      <c r="U147" s="197"/>
      <c r="V147" s="2"/>
      <c r="W147" s="2"/>
      <c r="X147" s="2"/>
      <c r="Y147" s="2"/>
      <c r="Z147" s="197"/>
      <c r="AA147" s="197"/>
      <c r="AB147" s="197"/>
      <c r="AC147" s="197"/>
      <c r="AD147" s="197"/>
      <c r="AE147" s="197"/>
    </row>
    <row r="148" spans="2:31" s="193" customFormat="1" ht="16.5">
      <c r="B148" s="457"/>
      <c r="C148" s="271"/>
      <c r="D148" s="197"/>
      <c r="E148" s="197"/>
      <c r="F148" s="197"/>
      <c r="G148" s="197"/>
      <c r="H148" s="197"/>
      <c r="I148" s="197"/>
      <c r="J148" s="197"/>
      <c r="K148" s="299"/>
      <c r="L148" s="75"/>
      <c r="M148" s="75"/>
      <c r="N148" s="197"/>
      <c r="O148" s="197"/>
      <c r="P148" s="197"/>
      <c r="Q148" s="264"/>
      <c r="R148" s="197"/>
      <c r="S148" s="197"/>
      <c r="T148" s="197"/>
      <c r="U148" s="197"/>
      <c r="V148" s="2"/>
      <c r="W148" s="2"/>
      <c r="X148" s="2"/>
      <c r="Y148" s="2"/>
      <c r="Z148" s="197"/>
      <c r="AA148" s="197"/>
      <c r="AB148" s="197"/>
      <c r="AC148" s="197"/>
      <c r="AD148" s="197"/>
      <c r="AE148" s="197"/>
    </row>
    <row r="149" spans="2:31" s="193" customFormat="1" ht="16.5">
      <c r="B149" s="457"/>
      <c r="C149" s="271"/>
      <c r="D149" s="197"/>
      <c r="E149" s="197"/>
      <c r="F149" s="197"/>
      <c r="G149" s="197"/>
      <c r="H149" s="197"/>
      <c r="I149" s="197"/>
      <c r="J149" s="197"/>
      <c r="K149" s="299"/>
      <c r="L149" s="75"/>
      <c r="M149" s="75"/>
      <c r="N149" s="197"/>
      <c r="O149" s="197"/>
      <c r="P149" s="197"/>
      <c r="Q149" s="264"/>
      <c r="R149" s="197"/>
      <c r="S149" s="197"/>
      <c r="T149" s="197"/>
      <c r="U149" s="197"/>
      <c r="V149" s="2"/>
      <c r="W149" s="2"/>
      <c r="X149" s="2"/>
      <c r="Y149" s="2"/>
      <c r="Z149" s="197"/>
      <c r="AA149" s="197"/>
      <c r="AB149" s="197"/>
      <c r="AC149" s="197"/>
      <c r="AD149" s="197"/>
      <c r="AE149" s="197"/>
    </row>
    <row r="150" spans="2:31" s="193" customFormat="1" ht="16.5">
      <c r="B150" s="457"/>
      <c r="C150" s="271"/>
      <c r="D150" s="197"/>
      <c r="E150" s="197"/>
      <c r="F150" s="197"/>
      <c r="G150" s="197"/>
      <c r="H150" s="197"/>
      <c r="I150" s="197"/>
      <c r="J150" s="197"/>
      <c r="K150" s="299"/>
      <c r="L150" s="75"/>
      <c r="M150" s="75"/>
      <c r="N150" s="197"/>
      <c r="O150" s="197"/>
      <c r="P150" s="197"/>
      <c r="Q150" s="264"/>
      <c r="R150" s="197"/>
      <c r="S150" s="197"/>
      <c r="T150" s="197"/>
      <c r="U150" s="197"/>
      <c r="V150" s="2"/>
      <c r="W150" s="2"/>
      <c r="X150" s="2"/>
      <c r="Y150" s="2"/>
      <c r="Z150" s="197"/>
      <c r="AA150" s="197"/>
      <c r="AB150" s="197"/>
      <c r="AC150" s="197"/>
      <c r="AD150" s="197"/>
      <c r="AE150" s="197"/>
    </row>
    <row r="151" spans="2:31" s="193" customFormat="1" ht="16.5">
      <c r="B151" s="459"/>
      <c r="C151" s="271"/>
      <c r="D151" s="197"/>
      <c r="E151" s="197"/>
      <c r="F151" s="197"/>
      <c r="G151" s="197"/>
      <c r="H151" s="197"/>
      <c r="I151" s="197"/>
      <c r="J151" s="197"/>
      <c r="K151" s="299"/>
      <c r="L151" s="75"/>
      <c r="M151" s="75"/>
      <c r="N151" s="197"/>
      <c r="O151" s="197"/>
      <c r="P151" s="197"/>
      <c r="Q151" s="264"/>
      <c r="R151" s="197"/>
      <c r="S151" s="197"/>
      <c r="T151" s="197"/>
      <c r="U151" s="197"/>
      <c r="V151" s="2"/>
      <c r="W151" s="2"/>
      <c r="X151" s="2"/>
      <c r="Y151" s="2"/>
      <c r="Z151" s="197"/>
      <c r="AA151" s="197"/>
      <c r="AB151" s="197"/>
      <c r="AC151" s="197"/>
      <c r="AD151" s="197"/>
      <c r="AE151" s="197"/>
    </row>
    <row r="152" spans="2:31" s="193" customFormat="1" ht="16.5">
      <c r="B152" s="456"/>
      <c r="C152" s="197"/>
      <c r="D152" s="197"/>
      <c r="E152" s="197"/>
      <c r="F152" s="197"/>
      <c r="G152" s="197"/>
      <c r="H152" s="197"/>
      <c r="I152" s="197"/>
      <c r="J152" s="197"/>
      <c r="K152" s="299"/>
      <c r="L152" s="75"/>
      <c r="M152" s="75"/>
      <c r="N152" s="197"/>
      <c r="O152" s="197"/>
      <c r="P152" s="197"/>
      <c r="Q152" s="264"/>
      <c r="R152" s="197"/>
      <c r="S152" s="197"/>
      <c r="T152" s="197"/>
      <c r="U152" s="197"/>
      <c r="V152" s="2"/>
      <c r="W152" s="2"/>
      <c r="X152" s="2"/>
      <c r="Y152" s="2"/>
      <c r="Z152" s="197"/>
      <c r="AA152" s="197"/>
      <c r="AB152" s="197"/>
      <c r="AC152" s="197"/>
      <c r="AD152" s="197"/>
      <c r="AE152" s="197"/>
    </row>
    <row r="153" spans="2:31" s="193" customFormat="1" ht="16.5">
      <c r="B153" s="457"/>
      <c r="C153" s="197"/>
      <c r="D153" s="197"/>
      <c r="E153" s="197"/>
      <c r="F153" s="197"/>
      <c r="G153" s="197"/>
      <c r="H153" s="197"/>
      <c r="I153" s="197"/>
      <c r="J153" s="197"/>
      <c r="K153" s="299"/>
      <c r="L153" s="75"/>
      <c r="M153" s="75"/>
      <c r="N153" s="197"/>
      <c r="O153" s="197"/>
      <c r="P153" s="197"/>
      <c r="Q153" s="264"/>
      <c r="R153" s="197"/>
      <c r="S153" s="197"/>
      <c r="T153" s="197"/>
      <c r="U153" s="197"/>
      <c r="V153" s="2"/>
      <c r="W153" s="2"/>
      <c r="X153" s="2"/>
      <c r="Y153" s="2"/>
      <c r="Z153" s="197"/>
      <c r="AA153" s="197"/>
      <c r="AB153" s="197"/>
      <c r="AC153" s="197"/>
      <c r="AD153" s="197"/>
      <c r="AE153" s="197"/>
    </row>
    <row r="154" spans="2:31" s="193" customFormat="1" ht="16.5">
      <c r="B154" s="457"/>
      <c r="C154" s="271"/>
      <c r="D154" s="197"/>
      <c r="E154" s="197"/>
      <c r="F154" s="197"/>
      <c r="G154" s="197"/>
      <c r="H154" s="197"/>
      <c r="I154" s="197"/>
      <c r="J154" s="197"/>
      <c r="K154" s="299"/>
      <c r="L154" s="75"/>
      <c r="M154" s="75"/>
      <c r="N154" s="197"/>
      <c r="O154" s="197"/>
      <c r="P154" s="197"/>
      <c r="Q154" s="264"/>
      <c r="R154" s="197"/>
      <c r="S154" s="197"/>
      <c r="T154" s="197"/>
      <c r="U154" s="197"/>
      <c r="V154" s="2"/>
      <c r="W154" s="2"/>
      <c r="X154" s="2"/>
      <c r="Y154" s="2"/>
      <c r="Z154" s="197"/>
      <c r="AA154" s="197"/>
      <c r="AB154" s="197"/>
      <c r="AC154" s="197"/>
      <c r="AD154" s="197"/>
      <c r="AE154" s="197"/>
    </row>
    <row r="155" spans="2:31" s="193" customFormat="1" ht="16.5">
      <c r="B155" s="457"/>
      <c r="C155" s="271"/>
      <c r="D155" s="197"/>
      <c r="E155" s="197"/>
      <c r="F155" s="197"/>
      <c r="G155" s="197"/>
      <c r="H155" s="197"/>
      <c r="I155" s="197"/>
      <c r="J155" s="197"/>
      <c r="K155" s="299"/>
      <c r="L155" s="75"/>
      <c r="M155" s="75"/>
      <c r="N155" s="197"/>
      <c r="O155" s="197"/>
      <c r="P155" s="197"/>
      <c r="Q155" s="264"/>
      <c r="R155" s="197"/>
      <c r="S155" s="197"/>
      <c r="T155" s="197"/>
      <c r="U155" s="197"/>
      <c r="V155" s="2"/>
      <c r="W155" s="2"/>
      <c r="X155" s="2"/>
      <c r="Y155" s="2"/>
      <c r="Z155" s="197"/>
      <c r="AA155" s="197"/>
      <c r="AB155" s="197"/>
      <c r="AC155" s="197"/>
      <c r="AD155" s="197"/>
      <c r="AE155" s="197"/>
    </row>
    <row r="156" spans="2:31" s="193" customFormat="1" ht="16.5">
      <c r="B156" s="457"/>
      <c r="C156" s="271"/>
      <c r="D156" s="197"/>
      <c r="E156" s="197"/>
      <c r="F156" s="197"/>
      <c r="G156" s="197"/>
      <c r="H156" s="197"/>
      <c r="I156" s="197"/>
      <c r="J156" s="197"/>
      <c r="K156" s="299"/>
      <c r="L156" s="75"/>
      <c r="M156" s="75"/>
      <c r="N156" s="197"/>
      <c r="O156" s="197"/>
      <c r="P156" s="197"/>
      <c r="Q156" s="264"/>
      <c r="R156" s="197"/>
      <c r="S156" s="197"/>
      <c r="T156" s="197"/>
      <c r="U156" s="197"/>
      <c r="V156" s="2"/>
      <c r="W156" s="2"/>
      <c r="X156" s="2"/>
      <c r="Y156" s="2"/>
      <c r="Z156" s="197"/>
      <c r="AA156" s="197"/>
      <c r="AB156" s="197"/>
      <c r="AC156" s="197"/>
      <c r="AD156" s="197"/>
      <c r="AE156" s="197"/>
    </row>
    <row r="157" spans="2:31" s="193" customFormat="1" ht="16.5">
      <c r="B157" s="457"/>
      <c r="C157" s="271"/>
      <c r="D157" s="197"/>
      <c r="E157" s="197"/>
      <c r="F157" s="197"/>
      <c r="G157" s="197"/>
      <c r="H157" s="197"/>
      <c r="I157" s="197"/>
      <c r="J157" s="197"/>
      <c r="K157" s="299"/>
      <c r="L157" s="75"/>
      <c r="M157" s="75"/>
      <c r="N157" s="197"/>
      <c r="O157" s="197"/>
      <c r="P157" s="197"/>
      <c r="Q157" s="264"/>
      <c r="R157" s="197"/>
      <c r="S157" s="197"/>
      <c r="T157" s="197"/>
      <c r="U157" s="197"/>
      <c r="V157" s="2"/>
      <c r="W157" s="2"/>
      <c r="X157" s="2"/>
      <c r="Y157" s="2"/>
      <c r="Z157" s="197"/>
      <c r="AA157" s="197"/>
      <c r="AB157" s="197"/>
      <c r="AC157" s="197"/>
      <c r="AD157" s="197"/>
      <c r="AE157" s="197"/>
    </row>
    <row r="158" spans="2:31" s="193" customFormat="1" ht="16.5">
      <c r="B158" s="457"/>
      <c r="C158" s="271"/>
      <c r="D158" s="197"/>
      <c r="E158" s="197"/>
      <c r="F158" s="197"/>
      <c r="G158" s="197"/>
      <c r="H158" s="197"/>
      <c r="I158" s="197"/>
      <c r="J158" s="197"/>
      <c r="K158" s="299"/>
      <c r="L158" s="75"/>
      <c r="M158" s="75"/>
      <c r="N158" s="197"/>
      <c r="O158" s="197"/>
      <c r="P158" s="197"/>
      <c r="Q158" s="264"/>
      <c r="R158" s="197"/>
      <c r="S158" s="197"/>
      <c r="T158" s="197"/>
      <c r="U158" s="197"/>
      <c r="V158" s="2"/>
      <c r="W158" s="2"/>
      <c r="X158" s="2"/>
      <c r="Y158" s="2"/>
      <c r="Z158" s="197"/>
      <c r="AA158" s="197"/>
      <c r="AB158" s="197"/>
      <c r="AC158" s="197"/>
      <c r="AD158" s="197"/>
      <c r="AE158" s="197"/>
    </row>
    <row r="159" spans="2:31" s="193" customFormat="1" ht="16.5">
      <c r="B159" s="457"/>
      <c r="C159" s="271"/>
      <c r="D159" s="197"/>
      <c r="E159" s="197"/>
      <c r="F159" s="197"/>
      <c r="G159" s="197"/>
      <c r="H159" s="197"/>
      <c r="I159" s="197"/>
      <c r="J159" s="197"/>
      <c r="K159" s="299"/>
      <c r="L159" s="75"/>
      <c r="M159" s="75"/>
      <c r="N159" s="197"/>
      <c r="O159" s="197"/>
      <c r="P159" s="197"/>
      <c r="Q159" s="264"/>
      <c r="R159" s="197"/>
      <c r="S159" s="197"/>
      <c r="T159" s="197"/>
      <c r="U159" s="197"/>
      <c r="V159" s="2"/>
      <c r="W159" s="2"/>
      <c r="X159" s="2"/>
      <c r="Y159" s="2"/>
      <c r="Z159" s="197"/>
      <c r="AA159" s="197"/>
      <c r="AB159" s="197"/>
      <c r="AC159" s="197"/>
      <c r="AD159" s="197"/>
      <c r="AE159" s="197"/>
    </row>
    <row r="160" spans="2:31" s="193" customFormat="1" ht="16.5">
      <c r="B160" s="459"/>
      <c r="C160" s="197"/>
      <c r="D160" s="197"/>
      <c r="E160" s="197"/>
      <c r="F160" s="197"/>
      <c r="G160" s="197"/>
      <c r="H160" s="197"/>
      <c r="I160" s="197"/>
      <c r="J160" s="197"/>
      <c r="K160" s="299"/>
      <c r="L160" s="75"/>
      <c r="M160" s="75"/>
      <c r="N160" s="197"/>
      <c r="O160" s="197"/>
      <c r="P160" s="197"/>
      <c r="Q160" s="264"/>
      <c r="R160" s="197"/>
      <c r="S160" s="197"/>
      <c r="T160" s="197"/>
      <c r="U160" s="197"/>
      <c r="V160" s="2"/>
      <c r="W160" s="2"/>
      <c r="X160" s="2"/>
      <c r="Y160" s="2"/>
      <c r="Z160" s="197"/>
      <c r="AA160" s="197"/>
      <c r="AB160" s="197"/>
      <c r="AC160" s="197"/>
      <c r="AD160" s="197"/>
      <c r="AE160" s="197"/>
    </row>
    <row r="161" spans="2:31" s="193" customFormat="1" ht="16.5">
      <c r="B161" s="456"/>
      <c r="C161" s="197"/>
      <c r="D161" s="197"/>
      <c r="E161" s="197"/>
      <c r="F161" s="197"/>
      <c r="G161" s="197"/>
      <c r="H161" s="197"/>
      <c r="I161" s="197"/>
      <c r="J161" s="197"/>
      <c r="K161" s="299"/>
      <c r="L161" s="75"/>
      <c r="M161" s="75"/>
      <c r="N161" s="197"/>
      <c r="O161" s="197"/>
      <c r="P161" s="197"/>
      <c r="Q161" s="264"/>
      <c r="R161" s="197"/>
      <c r="S161" s="197"/>
      <c r="T161" s="197"/>
      <c r="U161" s="197"/>
      <c r="V161" s="2"/>
      <c r="W161" s="2"/>
      <c r="X161" s="2"/>
      <c r="Y161" s="2"/>
      <c r="Z161" s="197"/>
      <c r="AA161" s="197"/>
      <c r="AB161" s="197"/>
      <c r="AC161" s="197"/>
      <c r="AD161" s="197"/>
      <c r="AE161" s="197"/>
    </row>
    <row r="162" spans="2:31" s="193" customFormat="1" ht="16.5">
      <c r="B162" s="456"/>
      <c r="C162" s="197"/>
      <c r="D162" s="197"/>
      <c r="E162" s="197"/>
      <c r="F162" s="197"/>
      <c r="G162" s="197"/>
      <c r="H162" s="197"/>
      <c r="I162" s="197"/>
      <c r="J162" s="197"/>
      <c r="K162" s="299"/>
      <c r="L162" s="75"/>
      <c r="M162" s="75"/>
      <c r="N162" s="197"/>
      <c r="O162" s="197"/>
      <c r="P162" s="197"/>
      <c r="Q162" s="264"/>
      <c r="R162" s="197"/>
      <c r="S162" s="197"/>
      <c r="T162" s="197"/>
      <c r="U162" s="197"/>
      <c r="V162" s="2"/>
      <c r="W162" s="2"/>
      <c r="X162" s="2"/>
      <c r="Y162" s="2"/>
      <c r="Z162" s="197"/>
      <c r="AA162" s="197"/>
      <c r="AB162" s="197"/>
      <c r="AC162" s="197"/>
      <c r="AD162" s="197"/>
      <c r="AE162" s="197"/>
    </row>
    <row r="163" spans="2:31" s="193" customFormat="1" ht="16.5">
      <c r="B163" s="279"/>
      <c r="C163" s="197"/>
      <c r="D163" s="197"/>
      <c r="E163" s="197"/>
      <c r="F163" s="197"/>
      <c r="G163" s="197"/>
      <c r="H163" s="197"/>
      <c r="I163" s="197"/>
      <c r="J163" s="197"/>
      <c r="K163" s="299"/>
      <c r="L163" s="75"/>
      <c r="M163" s="75"/>
      <c r="N163" s="197"/>
      <c r="O163" s="197"/>
      <c r="P163" s="197"/>
      <c r="Q163" s="264"/>
      <c r="R163" s="197"/>
      <c r="S163" s="197"/>
      <c r="T163" s="197"/>
      <c r="U163" s="197"/>
      <c r="V163" s="2"/>
      <c r="W163" s="2"/>
      <c r="X163" s="2"/>
      <c r="Y163" s="2"/>
      <c r="Z163" s="197"/>
      <c r="AA163" s="197"/>
      <c r="AB163" s="197"/>
      <c r="AC163" s="197"/>
      <c r="AD163" s="197"/>
      <c r="AE163" s="197"/>
    </row>
    <row r="164" spans="2:31" s="193" customFormat="1" ht="16.5">
      <c r="B164" s="457"/>
      <c r="C164" s="271"/>
      <c r="D164" s="197"/>
      <c r="E164" s="197"/>
      <c r="F164" s="197"/>
      <c r="G164" s="197"/>
      <c r="H164" s="197"/>
      <c r="I164" s="197"/>
      <c r="J164" s="197"/>
      <c r="K164" s="299"/>
      <c r="L164" s="75"/>
      <c r="M164" s="75"/>
      <c r="N164" s="197"/>
      <c r="O164" s="197"/>
      <c r="P164" s="197"/>
      <c r="Q164" s="264"/>
      <c r="R164" s="197"/>
      <c r="S164" s="197"/>
      <c r="T164" s="197"/>
      <c r="U164" s="197"/>
      <c r="V164" s="2"/>
      <c r="W164" s="2"/>
      <c r="X164" s="2"/>
      <c r="Y164" s="2"/>
      <c r="Z164" s="197"/>
      <c r="AA164" s="197"/>
      <c r="AB164" s="197"/>
      <c r="AC164" s="197"/>
      <c r="AD164" s="197"/>
      <c r="AE164" s="197"/>
    </row>
    <row r="165" spans="2:31" s="193" customFormat="1" ht="16.5">
      <c r="B165" s="457"/>
      <c r="C165" s="271"/>
      <c r="D165" s="197"/>
      <c r="E165" s="197"/>
      <c r="F165" s="197"/>
      <c r="G165" s="197"/>
      <c r="H165" s="197"/>
      <c r="I165" s="197"/>
      <c r="J165" s="197"/>
      <c r="K165" s="299"/>
      <c r="L165" s="75"/>
      <c r="M165" s="75"/>
      <c r="N165" s="197"/>
      <c r="O165" s="197"/>
      <c r="P165" s="197"/>
      <c r="Q165" s="264"/>
      <c r="R165" s="197"/>
      <c r="S165" s="197"/>
      <c r="T165" s="197"/>
      <c r="U165" s="197"/>
      <c r="V165" s="2"/>
      <c r="W165" s="2"/>
      <c r="X165" s="2"/>
      <c r="Y165" s="2"/>
      <c r="Z165" s="197"/>
      <c r="AA165" s="197"/>
      <c r="AB165" s="197"/>
      <c r="AC165" s="197"/>
      <c r="AD165" s="197"/>
      <c r="AE165" s="197"/>
    </row>
    <row r="166" spans="2:31" s="193" customFormat="1" ht="16.5">
      <c r="B166" s="457"/>
      <c r="C166" s="271"/>
      <c r="D166" s="197"/>
      <c r="E166" s="197"/>
      <c r="F166" s="197"/>
      <c r="G166" s="197"/>
      <c r="H166" s="197"/>
      <c r="I166" s="197"/>
      <c r="J166" s="197"/>
      <c r="K166" s="299"/>
      <c r="L166" s="75"/>
      <c r="M166" s="75"/>
      <c r="N166" s="197"/>
      <c r="O166" s="197"/>
      <c r="P166" s="197"/>
      <c r="Q166" s="264"/>
      <c r="R166" s="197"/>
      <c r="S166" s="197"/>
      <c r="T166" s="197"/>
      <c r="U166" s="197"/>
      <c r="V166" s="2"/>
      <c r="W166" s="2"/>
      <c r="X166" s="2"/>
      <c r="Y166" s="2"/>
      <c r="Z166" s="197"/>
      <c r="AA166" s="197"/>
      <c r="AB166" s="197"/>
      <c r="AC166" s="197"/>
      <c r="AD166" s="197"/>
      <c r="AE166" s="197"/>
    </row>
    <row r="167" spans="2:31" s="193" customFormat="1" ht="16.5">
      <c r="B167" s="457"/>
      <c r="C167" s="271"/>
      <c r="D167" s="197"/>
      <c r="E167" s="197"/>
      <c r="F167" s="197"/>
      <c r="G167" s="197"/>
      <c r="H167" s="197"/>
      <c r="I167" s="197"/>
      <c r="J167" s="197"/>
      <c r="K167" s="299"/>
      <c r="L167" s="75"/>
      <c r="M167" s="75"/>
      <c r="N167" s="197"/>
      <c r="O167" s="197"/>
      <c r="P167" s="197"/>
      <c r="Q167" s="264"/>
      <c r="R167" s="197"/>
      <c r="S167" s="197"/>
      <c r="T167" s="197"/>
      <c r="U167" s="197"/>
      <c r="V167" s="2"/>
      <c r="W167" s="2"/>
      <c r="X167" s="2"/>
      <c r="Y167" s="2"/>
      <c r="Z167" s="197"/>
      <c r="AA167" s="197"/>
      <c r="AB167" s="197"/>
      <c r="AC167" s="197"/>
      <c r="AD167" s="197"/>
      <c r="AE167" s="197"/>
    </row>
    <row r="168" spans="2:31" s="193" customFormat="1" ht="16.5">
      <c r="B168" s="456"/>
      <c r="C168" s="197"/>
      <c r="D168" s="197"/>
      <c r="E168" s="197"/>
      <c r="F168" s="197"/>
      <c r="G168" s="197"/>
      <c r="H168" s="197"/>
      <c r="I168" s="197"/>
      <c r="J168" s="197"/>
      <c r="K168" s="299"/>
      <c r="L168" s="75"/>
      <c r="M168" s="75"/>
      <c r="N168" s="197"/>
      <c r="O168" s="197"/>
      <c r="P168" s="197"/>
      <c r="Q168" s="264"/>
      <c r="R168" s="197"/>
      <c r="S168" s="197"/>
      <c r="T168" s="197"/>
      <c r="U168" s="197"/>
      <c r="V168" s="2"/>
      <c r="W168" s="2"/>
      <c r="X168" s="2"/>
      <c r="Y168" s="2"/>
      <c r="Z168" s="197"/>
      <c r="AA168" s="197"/>
      <c r="AB168" s="197"/>
      <c r="AC168" s="197"/>
      <c r="AD168" s="197"/>
      <c r="AE168" s="197"/>
    </row>
    <row r="169" spans="2:31" s="193" customFormat="1" ht="16.5">
      <c r="B169" s="285"/>
      <c r="C169" s="197"/>
      <c r="D169" s="197"/>
      <c r="E169" s="197"/>
      <c r="F169" s="197"/>
      <c r="G169" s="197"/>
      <c r="H169" s="197"/>
      <c r="I169" s="197"/>
      <c r="J169" s="197"/>
      <c r="K169" s="299"/>
      <c r="L169" s="75"/>
      <c r="M169" s="75"/>
      <c r="N169" s="197"/>
      <c r="O169" s="197"/>
      <c r="P169" s="197"/>
      <c r="Q169" s="264"/>
      <c r="R169" s="197"/>
      <c r="S169" s="197"/>
      <c r="T169" s="197"/>
      <c r="U169" s="197"/>
      <c r="V169" s="2"/>
      <c r="W169" s="2"/>
      <c r="X169" s="2"/>
      <c r="Y169" s="2"/>
      <c r="Z169" s="197"/>
      <c r="AA169" s="197"/>
      <c r="AB169" s="197"/>
      <c r="AC169" s="197"/>
      <c r="AD169" s="197"/>
      <c r="AE169" s="197"/>
    </row>
    <row r="170" spans="2:31" s="193" customFormat="1" ht="16.5">
      <c r="B170" s="284"/>
      <c r="C170" s="197"/>
      <c r="D170" s="197"/>
      <c r="E170" s="197"/>
      <c r="F170" s="197"/>
      <c r="G170" s="95"/>
      <c r="H170" s="95"/>
      <c r="I170" s="95"/>
      <c r="J170" s="95"/>
      <c r="K170" s="299"/>
      <c r="L170" s="75"/>
      <c r="M170" s="75"/>
      <c r="N170" s="197"/>
      <c r="O170" s="197"/>
      <c r="P170" s="197"/>
      <c r="Q170" s="264"/>
      <c r="R170" s="197"/>
      <c r="S170" s="197"/>
      <c r="T170" s="197"/>
      <c r="U170" s="197"/>
      <c r="V170" s="2"/>
      <c r="W170" s="2"/>
      <c r="X170" s="2"/>
      <c r="Y170" s="2"/>
      <c r="Z170" s="197"/>
      <c r="AA170" s="197"/>
      <c r="AB170" s="197"/>
      <c r="AC170" s="197"/>
      <c r="AD170" s="197"/>
      <c r="AE170" s="197"/>
    </row>
    <row r="171" spans="2:31" s="193" customFormat="1" ht="16.5">
      <c r="B171" s="456"/>
      <c r="C171" s="197"/>
      <c r="D171" s="197"/>
      <c r="E171" s="197"/>
      <c r="F171" s="197"/>
      <c r="G171" s="95"/>
      <c r="H171" s="95"/>
      <c r="I171" s="95"/>
      <c r="J171" s="95"/>
      <c r="K171" s="299"/>
      <c r="L171" s="75"/>
      <c r="M171" s="75"/>
      <c r="N171" s="197"/>
      <c r="O171" s="197"/>
      <c r="P171" s="197"/>
      <c r="Q171" s="264"/>
      <c r="R171" s="197"/>
      <c r="S171" s="197"/>
      <c r="T171" s="197"/>
      <c r="U171" s="197"/>
      <c r="V171" s="2"/>
      <c r="W171" s="2"/>
      <c r="X171" s="2"/>
      <c r="Y171" s="2"/>
      <c r="Z171" s="197"/>
      <c r="AA171" s="197"/>
      <c r="AB171" s="197"/>
      <c r="AC171" s="197"/>
      <c r="AD171" s="197"/>
      <c r="AE171" s="197"/>
    </row>
    <row r="172" spans="2:31" s="193" customFormat="1" ht="16.5">
      <c r="B172" s="457"/>
      <c r="C172" s="271"/>
      <c r="D172" s="197"/>
      <c r="E172" s="197"/>
      <c r="F172" s="197"/>
      <c r="G172" s="95"/>
      <c r="H172" s="95"/>
      <c r="I172" s="95"/>
      <c r="J172" s="95"/>
      <c r="K172" s="299"/>
      <c r="L172" s="75"/>
      <c r="M172" s="75"/>
      <c r="N172" s="197"/>
      <c r="O172" s="197"/>
      <c r="P172" s="197"/>
      <c r="Q172" s="264"/>
      <c r="R172" s="197"/>
      <c r="S172" s="197"/>
      <c r="T172" s="197"/>
      <c r="U172" s="197"/>
      <c r="V172" s="2"/>
      <c r="W172" s="2"/>
      <c r="X172" s="2"/>
      <c r="Y172" s="2"/>
      <c r="Z172" s="197"/>
      <c r="AA172" s="197"/>
      <c r="AB172" s="197"/>
      <c r="AC172" s="197"/>
      <c r="AD172" s="197"/>
      <c r="AE172" s="197"/>
    </row>
    <row r="173" spans="2:31" s="193" customFormat="1" ht="16.5">
      <c r="B173" s="285"/>
      <c r="C173" s="197"/>
      <c r="D173" s="197"/>
      <c r="E173" s="197"/>
      <c r="F173" s="197"/>
      <c r="G173" s="197"/>
      <c r="H173" s="197"/>
      <c r="I173" s="197"/>
      <c r="J173" s="197"/>
      <c r="K173" s="299"/>
      <c r="L173" s="75"/>
      <c r="M173" s="75"/>
      <c r="N173" s="197"/>
      <c r="O173" s="197"/>
      <c r="P173" s="197"/>
      <c r="Q173" s="264"/>
      <c r="R173" s="197"/>
      <c r="S173" s="197"/>
      <c r="T173" s="197"/>
      <c r="U173" s="197"/>
      <c r="V173" s="2"/>
      <c r="W173" s="2"/>
      <c r="X173" s="2"/>
      <c r="Y173" s="2"/>
      <c r="Z173" s="197"/>
      <c r="AA173" s="197"/>
      <c r="AB173" s="197"/>
      <c r="AC173" s="197"/>
      <c r="AD173" s="197"/>
      <c r="AE173" s="197"/>
    </row>
    <row r="174" spans="2:31" s="193" customFormat="1" ht="16.5">
      <c r="B174" s="285"/>
      <c r="C174" s="197"/>
      <c r="D174" s="197"/>
      <c r="E174" s="197"/>
      <c r="F174" s="197"/>
      <c r="G174" s="95"/>
      <c r="H174" s="95"/>
      <c r="I174" s="95"/>
      <c r="J174" s="95"/>
      <c r="K174" s="299"/>
      <c r="L174" s="203"/>
      <c r="M174" s="274"/>
      <c r="N174" s="197"/>
      <c r="O174" s="268"/>
      <c r="P174" s="268"/>
      <c r="Q174" s="264"/>
      <c r="R174" s="197"/>
      <c r="S174" s="197"/>
      <c r="T174" s="197"/>
      <c r="U174" s="197"/>
      <c r="V174" s="2"/>
      <c r="W174" s="2"/>
      <c r="X174" s="2"/>
      <c r="Y174" s="2"/>
      <c r="Z174" s="197"/>
      <c r="AA174" s="197"/>
      <c r="AB174" s="197"/>
      <c r="AC174" s="197"/>
      <c r="AD174" s="197"/>
      <c r="AE174" s="197"/>
    </row>
    <row r="175" spans="2:31" s="193" customFormat="1" ht="16.5">
      <c r="B175" s="198"/>
      <c r="C175" s="197"/>
      <c r="D175" s="197"/>
      <c r="E175" s="197"/>
      <c r="F175" s="197"/>
      <c r="G175" s="95"/>
      <c r="H175" s="95"/>
      <c r="I175" s="95"/>
      <c r="J175" s="95"/>
      <c r="K175" s="299"/>
      <c r="L175" s="203"/>
      <c r="M175" s="274"/>
      <c r="N175" s="197"/>
      <c r="O175" s="268"/>
      <c r="P175" s="268"/>
      <c r="Q175" s="264"/>
      <c r="R175" s="197"/>
      <c r="S175" s="197"/>
      <c r="T175" s="197"/>
      <c r="U175" s="197"/>
      <c r="V175" s="2"/>
      <c r="W175" s="2"/>
      <c r="X175" s="2"/>
      <c r="Y175" s="2"/>
      <c r="Z175" s="197"/>
      <c r="AA175" s="197"/>
      <c r="AB175" s="197"/>
      <c r="AC175" s="197"/>
      <c r="AD175" s="197"/>
      <c r="AE175" s="197"/>
    </row>
    <row r="176" spans="2:31" s="193" customFormat="1" ht="16.5">
      <c r="B176" s="222"/>
      <c r="C176" s="271"/>
      <c r="D176" s="197"/>
      <c r="E176" s="197"/>
      <c r="F176" s="197"/>
      <c r="G176" s="95"/>
      <c r="H176" s="95"/>
      <c r="I176" s="95"/>
      <c r="J176" s="95"/>
      <c r="K176" s="299"/>
      <c r="L176" s="203"/>
      <c r="M176" s="274"/>
      <c r="N176" s="197"/>
      <c r="O176" s="268"/>
      <c r="P176" s="268"/>
      <c r="Q176" s="264"/>
      <c r="R176" s="197"/>
      <c r="S176" s="197"/>
      <c r="T176" s="197"/>
      <c r="U176" s="197"/>
      <c r="V176" s="2"/>
      <c r="W176" s="2"/>
      <c r="X176" s="2"/>
      <c r="Y176" s="2"/>
      <c r="Z176" s="197"/>
      <c r="AA176" s="197"/>
      <c r="AB176" s="197"/>
      <c r="AC176" s="197"/>
      <c r="AD176" s="197"/>
      <c r="AE176" s="197"/>
    </row>
    <row r="177" spans="2:31" s="193" customFormat="1" ht="16.5">
      <c r="B177" s="285"/>
      <c r="C177" s="197"/>
      <c r="D177" s="197"/>
      <c r="E177" s="197"/>
      <c r="F177" s="197"/>
      <c r="G177" s="197"/>
      <c r="H177" s="197"/>
      <c r="I177" s="197"/>
      <c r="J177" s="197"/>
      <c r="K177" s="299"/>
      <c r="L177" s="75"/>
      <c r="M177" s="75"/>
      <c r="N177" s="197"/>
      <c r="O177" s="197"/>
      <c r="P177" s="197"/>
      <c r="Q177" s="264"/>
      <c r="R177" s="197"/>
      <c r="S177" s="197"/>
      <c r="T177" s="197"/>
      <c r="U177" s="197"/>
      <c r="V177" s="2"/>
      <c r="W177" s="2"/>
      <c r="X177" s="2"/>
      <c r="Y177" s="2"/>
      <c r="Z177" s="197"/>
      <c r="AA177" s="197"/>
      <c r="AB177" s="197"/>
      <c r="AC177" s="197"/>
      <c r="AD177" s="197"/>
      <c r="AE177" s="197"/>
    </row>
    <row r="178" spans="2:31" s="193" customFormat="1" ht="16.5">
      <c r="B178" s="222"/>
      <c r="C178" s="271"/>
      <c r="D178" s="197"/>
      <c r="E178" s="197"/>
      <c r="F178" s="197"/>
      <c r="G178" s="197"/>
      <c r="H178" s="197"/>
      <c r="I178" s="197"/>
      <c r="J178" s="197"/>
      <c r="K178" s="299"/>
      <c r="L178" s="75"/>
      <c r="M178" s="75"/>
      <c r="N178" s="197"/>
      <c r="O178" s="197"/>
      <c r="P178" s="197"/>
      <c r="Q178" s="264"/>
      <c r="R178" s="197"/>
      <c r="S178" s="197"/>
      <c r="T178" s="197"/>
      <c r="U178" s="197"/>
      <c r="V178" s="2"/>
      <c r="W178" s="2"/>
      <c r="X178" s="2"/>
      <c r="Y178" s="2"/>
      <c r="Z178" s="197"/>
      <c r="AA178" s="197"/>
      <c r="AB178" s="197"/>
      <c r="AC178" s="197"/>
      <c r="AD178" s="197"/>
      <c r="AE178" s="197"/>
    </row>
    <row r="179" spans="2:31" s="193" customFormat="1" ht="16.5">
      <c r="B179" s="198"/>
      <c r="C179" s="197"/>
      <c r="D179" s="197"/>
      <c r="E179" s="197"/>
      <c r="F179" s="197"/>
      <c r="G179" s="197"/>
      <c r="H179" s="197"/>
      <c r="I179" s="197"/>
      <c r="J179" s="197"/>
      <c r="K179" s="299"/>
      <c r="L179" s="75"/>
      <c r="M179" s="75"/>
      <c r="N179" s="197"/>
      <c r="O179" s="197"/>
      <c r="P179" s="197"/>
      <c r="Q179" s="264"/>
      <c r="R179" s="197"/>
      <c r="S179" s="197"/>
      <c r="T179" s="197"/>
      <c r="U179" s="197"/>
      <c r="V179" s="2"/>
      <c r="W179" s="2"/>
      <c r="X179" s="2"/>
      <c r="Y179" s="2"/>
      <c r="Z179" s="197"/>
      <c r="AA179" s="197"/>
      <c r="AB179" s="197"/>
      <c r="AC179" s="197"/>
      <c r="AD179" s="197"/>
      <c r="AE179" s="197"/>
    </row>
    <row r="180" spans="2:31" s="193" customFormat="1" ht="16.5">
      <c r="B180" s="222"/>
      <c r="C180" s="271"/>
      <c r="D180" s="197"/>
      <c r="E180" s="197"/>
      <c r="F180" s="197"/>
      <c r="G180" s="197"/>
      <c r="H180" s="197"/>
      <c r="I180" s="197"/>
      <c r="J180" s="197"/>
      <c r="K180" s="299"/>
      <c r="L180" s="75"/>
      <c r="M180" s="75"/>
      <c r="N180" s="197"/>
      <c r="O180" s="197"/>
      <c r="P180" s="197"/>
      <c r="Q180" s="264"/>
      <c r="R180" s="197"/>
      <c r="S180" s="197"/>
      <c r="T180" s="197"/>
      <c r="U180" s="197"/>
      <c r="V180" s="2"/>
      <c r="W180" s="2"/>
      <c r="X180" s="2"/>
      <c r="Y180" s="2"/>
      <c r="Z180" s="197"/>
      <c r="AA180" s="197"/>
      <c r="AB180" s="197"/>
      <c r="AC180" s="197"/>
      <c r="AD180" s="197"/>
      <c r="AE180" s="197"/>
    </row>
    <row r="181" spans="2:31" s="193" customFormat="1" ht="16.5">
      <c r="B181" s="285"/>
      <c r="C181" s="197"/>
      <c r="D181" s="197"/>
      <c r="E181" s="197"/>
      <c r="F181" s="197"/>
      <c r="G181" s="197"/>
      <c r="H181" s="197"/>
      <c r="I181" s="197"/>
      <c r="J181" s="197"/>
      <c r="K181" s="299"/>
      <c r="L181" s="75"/>
      <c r="M181" s="75"/>
      <c r="N181" s="197"/>
      <c r="O181" s="197"/>
      <c r="P181" s="197"/>
      <c r="Q181" s="264"/>
      <c r="R181" s="197"/>
      <c r="S181" s="197"/>
      <c r="T181" s="197"/>
      <c r="U181" s="197"/>
      <c r="V181" s="2"/>
      <c r="W181" s="2"/>
      <c r="X181" s="2"/>
      <c r="Y181" s="2"/>
      <c r="Z181" s="197"/>
      <c r="AA181" s="197"/>
      <c r="AB181" s="197"/>
      <c r="AC181" s="197"/>
      <c r="AD181" s="197"/>
      <c r="AE181" s="197"/>
    </row>
    <row r="182" spans="2:31" s="193" customFormat="1" ht="16.5">
      <c r="B182" s="286"/>
      <c r="C182" s="197"/>
      <c r="D182" s="197"/>
      <c r="E182" s="197"/>
      <c r="F182" s="197"/>
      <c r="G182" s="197"/>
      <c r="H182" s="197"/>
      <c r="I182" s="197"/>
      <c r="J182" s="197"/>
      <c r="K182" s="299"/>
      <c r="L182" s="75"/>
      <c r="M182" s="75"/>
      <c r="N182" s="197"/>
      <c r="O182" s="197"/>
      <c r="P182" s="197"/>
      <c r="Q182" s="264"/>
      <c r="R182" s="197"/>
      <c r="S182" s="197"/>
      <c r="T182" s="197"/>
      <c r="U182" s="197"/>
      <c r="V182" s="2"/>
      <c r="W182" s="2"/>
      <c r="X182" s="2"/>
      <c r="Y182" s="2"/>
      <c r="Z182" s="197"/>
      <c r="AA182" s="197"/>
      <c r="AB182" s="197"/>
      <c r="AC182" s="197"/>
      <c r="AD182" s="197"/>
      <c r="AE182" s="197"/>
    </row>
    <row r="183" spans="2:31" s="193" customFormat="1" ht="16.5">
      <c r="B183" s="198"/>
      <c r="C183" s="197"/>
      <c r="D183" s="197"/>
      <c r="E183" s="197"/>
      <c r="F183" s="197"/>
      <c r="G183" s="197"/>
      <c r="H183" s="197"/>
      <c r="I183" s="197"/>
      <c r="J183" s="197"/>
      <c r="K183" s="299"/>
      <c r="L183" s="75"/>
      <c r="M183" s="75"/>
      <c r="N183" s="197"/>
      <c r="O183" s="197"/>
      <c r="P183" s="197"/>
      <c r="Q183" s="264"/>
      <c r="R183" s="197"/>
      <c r="S183" s="197"/>
      <c r="T183" s="197"/>
      <c r="U183" s="197"/>
      <c r="V183" s="2"/>
      <c r="W183" s="2"/>
      <c r="X183" s="2"/>
      <c r="Y183" s="2"/>
      <c r="Z183" s="197"/>
      <c r="AA183" s="197"/>
      <c r="AB183" s="197"/>
      <c r="AC183" s="197"/>
      <c r="AD183" s="197"/>
      <c r="AE183" s="197"/>
    </row>
    <row r="184" spans="2:31" s="193" customFormat="1" ht="16.5">
      <c r="B184" s="222"/>
      <c r="C184" s="271"/>
      <c r="D184" s="197"/>
      <c r="E184" s="197"/>
      <c r="F184" s="197"/>
      <c r="G184" s="197"/>
      <c r="H184" s="197"/>
      <c r="I184" s="197"/>
      <c r="J184" s="197"/>
      <c r="K184" s="299"/>
      <c r="L184" s="75"/>
      <c r="M184" s="75"/>
      <c r="N184" s="197"/>
      <c r="O184" s="197"/>
      <c r="P184" s="197"/>
      <c r="Q184" s="264"/>
      <c r="R184" s="197"/>
      <c r="S184" s="197"/>
      <c r="T184" s="197"/>
      <c r="U184" s="197"/>
      <c r="V184" s="2"/>
      <c r="W184" s="2"/>
      <c r="X184" s="2"/>
      <c r="Y184" s="2"/>
      <c r="Z184" s="197"/>
      <c r="AA184" s="197"/>
      <c r="AB184" s="197"/>
      <c r="AC184" s="197"/>
      <c r="AD184" s="197"/>
      <c r="AE184" s="197"/>
    </row>
    <row r="185" spans="2:31" s="193" customFormat="1" ht="16.5">
      <c r="B185" s="222"/>
      <c r="C185" s="271"/>
      <c r="D185" s="197"/>
      <c r="E185" s="197"/>
      <c r="F185" s="197"/>
      <c r="G185" s="197"/>
      <c r="H185" s="197"/>
      <c r="I185" s="197"/>
      <c r="J185" s="197"/>
      <c r="K185" s="299"/>
      <c r="L185" s="75"/>
      <c r="M185" s="75"/>
      <c r="N185" s="197"/>
      <c r="O185" s="197"/>
      <c r="P185" s="197"/>
      <c r="Q185" s="264"/>
      <c r="R185" s="197"/>
      <c r="S185" s="197"/>
      <c r="T185" s="197"/>
      <c r="U185" s="197"/>
      <c r="V185" s="2"/>
      <c r="W185" s="2"/>
      <c r="X185" s="2"/>
      <c r="Y185" s="2"/>
      <c r="Z185" s="197"/>
      <c r="AA185" s="197"/>
      <c r="AB185" s="197"/>
      <c r="AC185" s="197"/>
      <c r="AD185" s="197"/>
      <c r="AE185" s="197"/>
    </row>
    <row r="186" spans="2:31" s="193" customFormat="1" ht="16.5">
      <c r="B186" s="222"/>
      <c r="C186" s="271"/>
      <c r="D186" s="197"/>
      <c r="E186" s="197"/>
      <c r="F186" s="197"/>
      <c r="G186" s="197"/>
      <c r="H186" s="197"/>
      <c r="I186" s="197"/>
      <c r="J186" s="197"/>
      <c r="K186" s="299"/>
      <c r="L186" s="75"/>
      <c r="M186" s="75"/>
      <c r="N186" s="197"/>
      <c r="O186" s="197"/>
      <c r="P186" s="197"/>
      <c r="Q186" s="264"/>
      <c r="R186" s="197"/>
      <c r="S186" s="197"/>
      <c r="T186" s="197"/>
      <c r="U186" s="197"/>
      <c r="V186" s="2"/>
      <c r="W186" s="2"/>
      <c r="X186" s="2"/>
      <c r="Y186" s="2"/>
      <c r="Z186" s="197"/>
      <c r="AA186" s="197"/>
      <c r="AB186" s="197"/>
      <c r="AC186" s="197"/>
      <c r="AD186" s="197"/>
      <c r="AE186" s="197"/>
    </row>
    <row r="187" spans="2:31" s="193" customFormat="1" ht="16.5">
      <c r="B187" s="222"/>
      <c r="C187" s="197"/>
      <c r="D187" s="197"/>
      <c r="E187" s="197"/>
      <c r="F187" s="197"/>
      <c r="G187" s="197"/>
      <c r="H187" s="197"/>
      <c r="I187" s="197"/>
      <c r="J187" s="197"/>
      <c r="K187" s="299"/>
      <c r="L187" s="75"/>
      <c r="M187" s="75"/>
      <c r="N187" s="197"/>
      <c r="O187" s="197"/>
      <c r="P187" s="197"/>
      <c r="Q187" s="264"/>
      <c r="R187" s="197"/>
      <c r="S187" s="197"/>
      <c r="T187" s="197"/>
      <c r="U187" s="197"/>
      <c r="V187" s="2"/>
      <c r="W187" s="2"/>
      <c r="X187" s="2"/>
      <c r="Y187" s="2"/>
      <c r="Z187" s="197"/>
      <c r="AA187" s="197"/>
      <c r="AB187" s="197"/>
      <c r="AC187" s="197"/>
      <c r="AD187" s="197"/>
      <c r="AE187" s="197"/>
    </row>
    <row r="188" spans="2:31" s="193" customFormat="1" ht="16.5">
      <c r="B188" s="272"/>
      <c r="C188" s="197"/>
      <c r="D188" s="197"/>
      <c r="E188" s="197"/>
      <c r="F188" s="197"/>
      <c r="G188" s="197"/>
      <c r="H188" s="197"/>
      <c r="I188" s="197"/>
      <c r="J188" s="197"/>
      <c r="K188" s="299"/>
      <c r="L188" s="75"/>
      <c r="M188" s="75"/>
      <c r="N188" s="197"/>
      <c r="O188" s="197"/>
      <c r="P188" s="197"/>
      <c r="Q188" s="264"/>
      <c r="R188" s="197"/>
      <c r="S188" s="197"/>
      <c r="T188" s="197"/>
      <c r="U188" s="197"/>
      <c r="V188" s="2"/>
      <c r="W188" s="2"/>
      <c r="X188" s="2"/>
      <c r="Y188" s="2"/>
      <c r="Z188" s="197"/>
      <c r="AA188" s="197"/>
      <c r="AB188" s="197"/>
      <c r="AC188" s="197"/>
      <c r="AD188" s="197"/>
      <c r="AE188" s="197"/>
    </row>
    <row r="189" spans="2:31" s="193" customFormat="1" ht="16.5">
      <c r="B189" s="198"/>
      <c r="C189" s="197"/>
      <c r="D189" s="197"/>
      <c r="E189" s="197"/>
      <c r="F189" s="197"/>
      <c r="G189" s="197"/>
      <c r="H189" s="197"/>
      <c r="I189" s="197"/>
      <c r="J189" s="197"/>
      <c r="K189" s="299"/>
      <c r="L189" s="75"/>
      <c r="M189" s="75"/>
      <c r="N189" s="197"/>
      <c r="O189" s="197"/>
      <c r="P189" s="197"/>
      <c r="Q189" s="264"/>
      <c r="R189" s="197"/>
      <c r="S189" s="197"/>
      <c r="T189" s="197"/>
      <c r="U189" s="197"/>
      <c r="V189" s="2"/>
      <c r="W189" s="2"/>
      <c r="X189" s="2"/>
      <c r="Y189" s="2"/>
      <c r="Z189" s="197"/>
      <c r="AA189" s="197"/>
      <c r="AB189" s="197"/>
      <c r="AC189" s="197"/>
      <c r="AD189" s="197"/>
      <c r="AE189" s="197"/>
    </row>
    <row r="190" spans="2:31" s="193" customFormat="1" ht="16.5">
      <c r="B190" s="222"/>
      <c r="C190" s="271"/>
      <c r="D190" s="197"/>
      <c r="E190" s="197"/>
      <c r="F190" s="197"/>
      <c r="G190" s="197"/>
      <c r="H190" s="197"/>
      <c r="I190" s="197"/>
      <c r="J190" s="197"/>
      <c r="K190" s="299"/>
      <c r="L190" s="75"/>
      <c r="M190" s="75"/>
      <c r="N190" s="197"/>
      <c r="O190" s="197"/>
      <c r="P190" s="197"/>
      <c r="Q190" s="264"/>
      <c r="R190" s="197"/>
      <c r="S190" s="197"/>
      <c r="T190" s="197"/>
      <c r="U190" s="197"/>
      <c r="V190" s="2"/>
      <c r="W190" s="2"/>
      <c r="X190" s="2"/>
      <c r="Y190" s="2"/>
      <c r="Z190" s="197"/>
      <c r="AA190" s="197"/>
      <c r="AB190" s="197"/>
      <c r="AC190" s="197"/>
      <c r="AD190" s="197"/>
      <c r="AE190" s="197"/>
    </row>
    <row r="191" spans="2:31" s="193" customFormat="1" ht="16.5">
      <c r="B191" s="222"/>
      <c r="C191" s="271"/>
      <c r="D191" s="197"/>
      <c r="E191" s="197"/>
      <c r="F191" s="197"/>
      <c r="G191" s="197"/>
      <c r="H191" s="197"/>
      <c r="I191" s="197"/>
      <c r="J191" s="197"/>
      <c r="K191" s="299"/>
      <c r="L191" s="75"/>
      <c r="M191" s="75"/>
      <c r="N191" s="197"/>
      <c r="O191" s="197"/>
      <c r="P191" s="197"/>
      <c r="Q191" s="264"/>
      <c r="R191" s="197"/>
      <c r="S191" s="197"/>
      <c r="T191" s="197"/>
      <c r="U191" s="197"/>
      <c r="V191" s="2"/>
      <c r="W191" s="2"/>
      <c r="X191" s="2"/>
      <c r="Y191" s="2"/>
      <c r="Z191" s="197"/>
      <c r="AA191" s="197"/>
      <c r="AB191" s="197"/>
      <c r="AC191" s="197"/>
      <c r="AD191" s="197"/>
      <c r="AE191" s="197"/>
    </row>
    <row r="192" spans="2:31" s="193" customFormat="1" ht="16.5">
      <c r="B192" s="272"/>
      <c r="C192" s="197"/>
      <c r="D192" s="197"/>
      <c r="E192" s="197"/>
      <c r="F192" s="197"/>
      <c r="G192" s="197"/>
      <c r="H192" s="197"/>
      <c r="I192" s="197"/>
      <c r="J192" s="197"/>
      <c r="K192" s="299"/>
      <c r="L192" s="75"/>
      <c r="M192" s="75"/>
      <c r="N192" s="197"/>
      <c r="O192" s="197"/>
      <c r="P192" s="197"/>
      <c r="Q192" s="264"/>
      <c r="R192" s="197"/>
      <c r="S192" s="197"/>
      <c r="T192" s="197"/>
      <c r="U192" s="197"/>
      <c r="V192" s="2"/>
      <c r="W192" s="2"/>
      <c r="X192" s="2"/>
      <c r="Y192" s="2"/>
      <c r="Z192" s="197"/>
      <c r="AA192" s="197"/>
      <c r="AB192" s="197"/>
      <c r="AC192" s="197"/>
      <c r="AD192" s="197"/>
      <c r="AE192" s="197"/>
    </row>
    <row r="193" spans="2:31" s="193" customFormat="1" ht="16.5">
      <c r="B193" s="198"/>
      <c r="C193" s="197"/>
      <c r="D193" s="197"/>
      <c r="E193" s="197"/>
      <c r="F193" s="197"/>
      <c r="G193" s="197"/>
      <c r="H193" s="197"/>
      <c r="I193" s="197"/>
      <c r="J193" s="197"/>
      <c r="K193" s="299"/>
      <c r="L193" s="75"/>
      <c r="M193" s="75"/>
      <c r="N193" s="197"/>
      <c r="O193" s="197"/>
      <c r="P193" s="197"/>
      <c r="Q193" s="264"/>
      <c r="R193" s="197"/>
      <c r="S193" s="197"/>
      <c r="T193" s="197"/>
      <c r="U193" s="197"/>
      <c r="V193" s="2"/>
      <c r="W193" s="2"/>
      <c r="X193" s="2"/>
      <c r="Y193" s="2"/>
      <c r="Z193" s="197"/>
      <c r="AA193" s="197"/>
      <c r="AB193" s="197"/>
      <c r="AC193" s="197"/>
      <c r="AD193" s="197"/>
      <c r="AE193" s="197"/>
    </row>
    <row r="194" spans="2:31" s="193" customFormat="1" ht="16.5">
      <c r="B194" s="198"/>
      <c r="C194" s="197"/>
      <c r="D194" s="197"/>
      <c r="E194" s="197"/>
      <c r="F194" s="197"/>
      <c r="G194" s="197"/>
      <c r="H194" s="197"/>
      <c r="I194" s="197"/>
      <c r="J194" s="197"/>
      <c r="K194" s="299"/>
      <c r="L194" s="75"/>
      <c r="M194" s="75"/>
      <c r="N194" s="197"/>
      <c r="O194" s="197"/>
      <c r="P194" s="197"/>
      <c r="Q194" s="264"/>
      <c r="R194" s="197"/>
      <c r="S194" s="197"/>
      <c r="T194" s="197"/>
      <c r="U194" s="197"/>
      <c r="V194" s="2"/>
      <c r="W194" s="2"/>
      <c r="X194" s="2"/>
      <c r="Y194" s="2"/>
      <c r="Z194" s="197"/>
      <c r="AA194" s="197"/>
      <c r="AB194" s="197"/>
      <c r="AC194" s="197"/>
      <c r="AD194" s="197"/>
      <c r="AE194" s="197"/>
    </row>
    <row r="195" spans="2:31" s="193" customFormat="1" ht="16.5">
      <c r="B195" s="222"/>
      <c r="C195" s="271"/>
      <c r="D195" s="197"/>
      <c r="E195" s="197"/>
      <c r="F195" s="197"/>
      <c r="G195" s="197"/>
      <c r="H195" s="197"/>
      <c r="I195" s="197"/>
      <c r="J195" s="197"/>
      <c r="K195" s="299"/>
      <c r="L195" s="75"/>
      <c r="M195" s="75"/>
      <c r="N195" s="197"/>
      <c r="O195" s="197"/>
      <c r="P195" s="197"/>
      <c r="Q195" s="264"/>
      <c r="R195" s="197"/>
      <c r="S195" s="197"/>
      <c r="T195" s="197"/>
      <c r="U195" s="197"/>
      <c r="V195" s="2"/>
      <c r="W195" s="2"/>
      <c r="X195" s="2"/>
      <c r="Y195" s="2"/>
      <c r="Z195" s="197"/>
      <c r="AA195" s="197"/>
      <c r="AB195" s="197"/>
      <c r="AC195" s="197"/>
      <c r="AD195" s="197"/>
      <c r="AE195" s="197"/>
    </row>
    <row r="196" spans="2:31" s="193" customFormat="1" ht="16.5">
      <c r="B196" s="222"/>
      <c r="C196" s="271"/>
      <c r="D196" s="197"/>
      <c r="E196" s="197"/>
      <c r="F196" s="197"/>
      <c r="G196" s="197"/>
      <c r="H196" s="197"/>
      <c r="I196" s="197"/>
      <c r="J196" s="197"/>
      <c r="K196" s="299"/>
      <c r="L196" s="75"/>
      <c r="M196" s="75"/>
      <c r="N196" s="197"/>
      <c r="O196" s="197"/>
      <c r="P196" s="197"/>
      <c r="Q196" s="264"/>
      <c r="R196" s="197"/>
      <c r="S196" s="197"/>
      <c r="T196" s="197"/>
      <c r="U196" s="197"/>
      <c r="V196" s="2"/>
      <c r="W196" s="2"/>
      <c r="X196" s="2"/>
      <c r="Y196" s="2"/>
      <c r="Z196" s="197"/>
      <c r="AA196" s="197"/>
      <c r="AB196" s="197"/>
      <c r="AC196" s="197"/>
      <c r="AD196" s="197"/>
      <c r="AE196" s="197"/>
    </row>
    <row r="197" spans="2:31" s="193" customFormat="1" ht="16.5">
      <c r="B197" s="222"/>
      <c r="C197" s="271"/>
      <c r="D197" s="197"/>
      <c r="E197" s="197"/>
      <c r="F197" s="197"/>
      <c r="G197" s="197"/>
      <c r="H197" s="197"/>
      <c r="I197" s="197"/>
      <c r="J197" s="197"/>
      <c r="K197" s="299"/>
      <c r="L197" s="75"/>
      <c r="M197" s="75"/>
      <c r="N197" s="197"/>
      <c r="O197" s="197"/>
      <c r="P197" s="197"/>
      <c r="Q197" s="264"/>
      <c r="R197" s="197"/>
      <c r="S197" s="197"/>
      <c r="T197" s="197"/>
      <c r="U197" s="197"/>
      <c r="V197" s="2"/>
      <c r="W197" s="2"/>
      <c r="X197" s="2"/>
      <c r="Y197" s="2"/>
      <c r="Z197" s="197"/>
      <c r="AA197" s="197"/>
      <c r="AB197" s="197"/>
      <c r="AC197" s="197"/>
      <c r="AD197" s="197"/>
      <c r="AE197" s="197"/>
    </row>
    <row r="198" spans="2:31" s="193" customFormat="1" ht="16.5">
      <c r="B198" s="272"/>
      <c r="C198" s="197"/>
      <c r="D198" s="197"/>
      <c r="E198" s="197"/>
      <c r="F198" s="197"/>
      <c r="G198" s="197"/>
      <c r="H198" s="197"/>
      <c r="I198" s="197"/>
      <c r="J198" s="197"/>
      <c r="K198" s="299"/>
      <c r="L198" s="75"/>
      <c r="M198" s="75"/>
      <c r="N198" s="197"/>
      <c r="O198" s="197"/>
      <c r="P198" s="197"/>
      <c r="Q198" s="264"/>
      <c r="R198" s="197"/>
      <c r="S198" s="197"/>
      <c r="T198" s="197"/>
      <c r="U198" s="197"/>
      <c r="V198" s="2"/>
      <c r="W198" s="2"/>
      <c r="X198" s="2"/>
      <c r="Y198" s="2"/>
      <c r="Z198" s="197"/>
      <c r="AA198" s="197"/>
      <c r="AB198" s="197"/>
      <c r="AC198" s="197"/>
      <c r="AD198" s="197"/>
      <c r="AE198" s="197"/>
    </row>
    <row r="199" spans="2:31" s="193" customFormat="1" ht="16.5">
      <c r="B199" s="198"/>
      <c r="C199" s="197"/>
      <c r="D199" s="197"/>
      <c r="E199" s="197"/>
      <c r="F199" s="197"/>
      <c r="G199" s="197"/>
      <c r="H199" s="197"/>
      <c r="I199" s="197"/>
      <c r="J199" s="197"/>
      <c r="K199" s="299"/>
      <c r="L199" s="75"/>
      <c r="M199" s="75"/>
      <c r="N199" s="197"/>
      <c r="O199" s="197"/>
      <c r="P199" s="197"/>
      <c r="Q199" s="264"/>
      <c r="R199" s="197"/>
      <c r="S199" s="197"/>
      <c r="T199" s="197"/>
      <c r="U199" s="197"/>
      <c r="V199" s="2"/>
      <c r="W199" s="2"/>
      <c r="X199" s="2"/>
      <c r="Y199" s="2"/>
      <c r="Z199" s="197"/>
      <c r="AA199" s="197"/>
      <c r="AB199" s="197"/>
      <c r="AC199" s="197"/>
      <c r="AD199" s="197"/>
      <c r="AE199" s="197"/>
    </row>
    <row r="200" spans="2:31" s="193" customFormat="1" ht="16.5">
      <c r="B200" s="222"/>
      <c r="C200" s="197"/>
      <c r="D200" s="197"/>
      <c r="E200" s="197"/>
      <c r="F200" s="197"/>
      <c r="G200" s="197"/>
      <c r="H200" s="197"/>
      <c r="I200" s="197"/>
      <c r="J200" s="197"/>
      <c r="K200" s="299"/>
      <c r="L200" s="75"/>
      <c r="M200" s="75"/>
      <c r="N200" s="197"/>
      <c r="O200" s="197"/>
      <c r="P200" s="197"/>
      <c r="Q200" s="264"/>
      <c r="R200" s="197"/>
      <c r="S200" s="197"/>
      <c r="T200" s="197"/>
      <c r="U200" s="197"/>
      <c r="V200" s="2"/>
      <c r="W200" s="2"/>
      <c r="X200" s="2"/>
      <c r="Y200" s="2"/>
      <c r="Z200" s="197"/>
      <c r="AA200" s="197"/>
      <c r="AB200" s="197"/>
      <c r="AC200" s="197"/>
      <c r="AD200" s="197"/>
      <c r="AE200" s="197"/>
    </row>
    <row r="201" spans="2:31"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2:31">
      <c r="B202" s="287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2:31" s="193" customFormat="1" ht="16.5">
      <c r="B203" s="286"/>
      <c r="C203" s="197"/>
      <c r="D203" s="197"/>
      <c r="E203" s="197"/>
      <c r="F203" s="197"/>
      <c r="G203" s="197"/>
      <c r="H203" s="197"/>
      <c r="I203" s="197"/>
      <c r="J203" s="197"/>
      <c r="K203" s="299"/>
      <c r="L203" s="75"/>
      <c r="M203" s="75"/>
      <c r="N203" s="197"/>
      <c r="O203" s="197"/>
      <c r="P203" s="197"/>
      <c r="Q203" s="264"/>
      <c r="R203" s="197"/>
      <c r="S203" s="197"/>
      <c r="T203" s="197"/>
      <c r="U203" s="197"/>
      <c r="V203" s="2"/>
      <c r="W203" s="2"/>
      <c r="X203" s="2"/>
      <c r="Y203" s="2"/>
      <c r="Z203" s="197"/>
      <c r="AA203" s="197"/>
      <c r="AB203" s="197"/>
      <c r="AC203" s="197"/>
      <c r="AD203" s="197"/>
      <c r="AE203" s="197"/>
    </row>
    <row r="204" spans="2:31" s="193" customFormat="1" ht="16.5">
      <c r="B204" s="198"/>
      <c r="C204" s="197"/>
      <c r="D204" s="197"/>
      <c r="E204" s="197"/>
      <c r="F204" s="197"/>
      <c r="G204" s="197"/>
      <c r="H204" s="197"/>
      <c r="I204" s="197"/>
      <c r="J204" s="197"/>
      <c r="K204" s="299"/>
      <c r="L204" s="75"/>
      <c r="M204" s="75"/>
      <c r="N204" s="197"/>
      <c r="O204" s="197"/>
      <c r="P204" s="197"/>
      <c r="Q204" s="264"/>
      <c r="R204" s="197"/>
      <c r="S204" s="197"/>
      <c r="T204" s="197"/>
      <c r="U204" s="197"/>
      <c r="V204" s="2"/>
      <c r="W204" s="2"/>
      <c r="X204" s="2"/>
      <c r="Y204" s="2"/>
      <c r="Z204" s="197"/>
      <c r="AA204" s="197"/>
      <c r="AB204" s="197"/>
      <c r="AC204" s="197"/>
      <c r="AD204" s="197"/>
      <c r="AE204" s="197"/>
    </row>
    <row r="205" spans="2:31" s="193" customFormat="1" ht="16.5">
      <c r="B205" s="222"/>
      <c r="C205" s="271"/>
      <c r="D205" s="197"/>
      <c r="E205" s="197"/>
      <c r="F205" s="197"/>
      <c r="G205" s="197"/>
      <c r="H205" s="197"/>
      <c r="I205" s="197"/>
      <c r="J205" s="197"/>
      <c r="K205" s="299"/>
      <c r="L205" s="75"/>
      <c r="M205" s="75"/>
      <c r="N205" s="197"/>
      <c r="O205" s="197"/>
      <c r="P205" s="197"/>
      <c r="Q205" s="264"/>
      <c r="R205" s="197"/>
      <c r="S205" s="197"/>
      <c r="T205" s="197"/>
      <c r="U205" s="197"/>
      <c r="V205" s="2"/>
      <c r="W205" s="2"/>
      <c r="X205" s="2"/>
      <c r="Y205" s="2"/>
      <c r="Z205" s="197"/>
      <c r="AA205" s="197"/>
      <c r="AB205" s="197"/>
      <c r="AC205" s="197"/>
      <c r="AD205" s="197"/>
      <c r="AE205" s="197"/>
    </row>
    <row r="206" spans="2:31"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2:31" s="193" customFormat="1" ht="16.5">
      <c r="B207" s="272"/>
      <c r="C207" s="197"/>
      <c r="D207" s="197"/>
      <c r="E207" s="197"/>
      <c r="F207" s="197"/>
      <c r="G207" s="197"/>
      <c r="H207" s="197"/>
      <c r="I207" s="197"/>
      <c r="J207" s="197"/>
      <c r="K207" s="299"/>
      <c r="L207" s="75"/>
      <c r="M207" s="75"/>
      <c r="N207" s="197"/>
      <c r="O207" s="197"/>
      <c r="P207" s="197"/>
      <c r="Q207" s="264"/>
      <c r="R207" s="197"/>
      <c r="S207" s="197"/>
      <c r="T207" s="197"/>
      <c r="U207" s="197"/>
      <c r="V207" s="2"/>
      <c r="W207" s="2"/>
      <c r="X207" s="2"/>
      <c r="Y207" s="2"/>
      <c r="Z207" s="197"/>
      <c r="AA207" s="197"/>
      <c r="AB207" s="197"/>
      <c r="AC207" s="197"/>
      <c r="AD207" s="197"/>
      <c r="AE207" s="197"/>
    </row>
    <row r="208" spans="2:31" s="193" customFormat="1" ht="16.5">
      <c r="B208" s="198"/>
      <c r="C208" s="197"/>
      <c r="D208" s="197"/>
      <c r="E208" s="197"/>
      <c r="F208" s="197"/>
      <c r="G208" s="197"/>
      <c r="H208" s="197"/>
      <c r="I208" s="197"/>
      <c r="J208" s="197"/>
      <c r="K208" s="299"/>
      <c r="L208" s="75"/>
      <c r="M208" s="75"/>
      <c r="N208" s="197"/>
      <c r="O208" s="197"/>
      <c r="P208" s="197"/>
      <c r="Q208" s="264"/>
      <c r="R208" s="197"/>
      <c r="S208" s="197"/>
      <c r="T208" s="197"/>
      <c r="U208" s="197"/>
      <c r="V208" s="2"/>
      <c r="W208" s="2"/>
      <c r="X208" s="2"/>
      <c r="Y208" s="2"/>
      <c r="Z208" s="197"/>
      <c r="AA208" s="197"/>
      <c r="AB208" s="197"/>
      <c r="AC208" s="197"/>
      <c r="AD208" s="197"/>
      <c r="AE208" s="197"/>
    </row>
    <row r="209" spans="2:31" s="193" customFormat="1" ht="16.5">
      <c r="B209" s="222"/>
      <c r="C209" s="271"/>
      <c r="D209" s="197"/>
      <c r="E209" s="197"/>
      <c r="F209" s="197"/>
      <c r="G209" s="197"/>
      <c r="H209" s="197"/>
      <c r="I209" s="197"/>
      <c r="J209" s="197"/>
      <c r="K209" s="299"/>
      <c r="L209" s="75"/>
      <c r="M209" s="75"/>
      <c r="N209" s="197"/>
      <c r="O209" s="197"/>
      <c r="P209" s="197"/>
      <c r="Q209" s="264"/>
      <c r="R209" s="197"/>
      <c r="S209" s="197"/>
      <c r="T209" s="197"/>
      <c r="U209" s="197"/>
      <c r="V209" s="2"/>
      <c r="W209" s="2"/>
      <c r="X209" s="2"/>
      <c r="Y209" s="2"/>
      <c r="Z209" s="197"/>
      <c r="AA209" s="197"/>
      <c r="AB209" s="197"/>
      <c r="AC209" s="197"/>
      <c r="AD209" s="197"/>
      <c r="AE209" s="197"/>
    </row>
    <row r="217" spans="2:31">
      <c r="B217" s="575" t="s">
        <v>325</v>
      </c>
      <c r="C217" s="575"/>
      <c r="D217" s="575"/>
      <c r="E217" s="575"/>
      <c r="F217" s="575"/>
    </row>
    <row r="218" spans="2:31">
      <c r="B218" s="2"/>
      <c r="C218" s="2"/>
      <c r="D218" s="2"/>
      <c r="E218" s="2"/>
      <c r="G218" s="2"/>
    </row>
    <row r="219" spans="2:31" ht="30">
      <c r="B219" s="2"/>
      <c r="C219" s="2"/>
      <c r="D219" s="302" t="s">
        <v>326</v>
      </c>
      <c r="E219" s="302" t="s">
        <v>327</v>
      </c>
      <c r="G219" s="2"/>
    </row>
    <row r="220" spans="2:31">
      <c r="B220" s="2"/>
      <c r="C220" s="2"/>
      <c r="D220" s="302"/>
      <c r="E220" s="302"/>
      <c r="G220" s="2"/>
    </row>
    <row r="221" spans="2:31" ht="30">
      <c r="B221" s="187" t="s">
        <v>328</v>
      </c>
      <c r="C221" s="303" t="s">
        <v>329</v>
      </c>
      <c r="D221" s="302" t="s">
        <v>330</v>
      </c>
      <c r="E221" s="302" t="s">
        <v>331</v>
      </c>
      <c r="F221" s="187" t="s">
        <v>328</v>
      </c>
      <c r="G221" s="2"/>
    </row>
    <row r="222" spans="2:31">
      <c r="B222" s="189">
        <v>4</v>
      </c>
      <c r="C222" s="189">
        <v>0.06</v>
      </c>
      <c r="D222" s="189">
        <v>136</v>
      </c>
      <c r="E222" s="189">
        <v>44.48</v>
      </c>
      <c r="F222" s="189">
        <v>4</v>
      </c>
      <c r="G222" s="2">
        <f t="shared" ref="G222:G233" si="37">E222/25</f>
        <v>1.7791999999999999</v>
      </c>
    </row>
    <row r="223" spans="2:31">
      <c r="B223" s="189">
        <v>5</v>
      </c>
      <c r="C223" s="189">
        <v>0.06</v>
      </c>
      <c r="D223" s="212">
        <v>153</v>
      </c>
      <c r="E223" s="189">
        <v>55.3</v>
      </c>
      <c r="F223" s="189">
        <v>5</v>
      </c>
      <c r="G223" s="2">
        <f t="shared" si="37"/>
        <v>2.2119999999999997</v>
      </c>
    </row>
    <row r="224" spans="2:31">
      <c r="B224" s="189">
        <v>6</v>
      </c>
      <c r="C224" s="189">
        <v>7.0000000000000007E-2</v>
      </c>
      <c r="D224" s="212">
        <v>60</v>
      </c>
      <c r="E224" s="189">
        <v>46.27</v>
      </c>
      <c r="F224" s="189">
        <v>6</v>
      </c>
      <c r="G224" s="2">
        <f t="shared" si="37"/>
        <v>1.8508000000000002</v>
      </c>
    </row>
    <row r="225" spans="2:7">
      <c r="B225" s="189">
        <v>7</v>
      </c>
      <c r="C225" s="189">
        <v>7.0000000000000007E-2</v>
      </c>
      <c r="D225" s="212">
        <v>176</v>
      </c>
      <c r="E225" s="189">
        <v>59.94</v>
      </c>
      <c r="F225" s="189">
        <v>7</v>
      </c>
      <c r="G225" s="2">
        <f t="shared" si="37"/>
        <v>2.3975999999999997</v>
      </c>
    </row>
    <row r="226" spans="2:7">
      <c r="B226" s="189">
        <v>8</v>
      </c>
      <c r="C226" s="189">
        <v>0.08</v>
      </c>
      <c r="D226" s="212">
        <v>73</v>
      </c>
      <c r="E226" s="189">
        <v>56.06</v>
      </c>
      <c r="F226" s="189">
        <v>8</v>
      </c>
      <c r="G226" s="2">
        <f t="shared" si="37"/>
        <v>2.2423999999999999</v>
      </c>
    </row>
    <row r="227" spans="2:7">
      <c r="B227" s="189">
        <v>9</v>
      </c>
      <c r="C227" s="189">
        <v>0.08</v>
      </c>
      <c r="D227" s="212">
        <v>196</v>
      </c>
      <c r="E227" s="189">
        <v>61.85</v>
      </c>
      <c r="F227" s="189">
        <v>9</v>
      </c>
      <c r="G227" s="2">
        <f t="shared" si="37"/>
        <v>2.4740000000000002</v>
      </c>
    </row>
    <row r="228" spans="2:7">
      <c r="B228" s="189">
        <v>10</v>
      </c>
      <c r="C228" s="189">
        <v>0.09</v>
      </c>
      <c r="D228" s="212">
        <v>87</v>
      </c>
      <c r="E228" s="189">
        <v>75.63</v>
      </c>
      <c r="F228" s="189">
        <v>10</v>
      </c>
      <c r="G228" s="2">
        <f t="shared" si="37"/>
        <v>3.0251999999999999</v>
      </c>
    </row>
    <row r="229" spans="2:7">
      <c r="B229" s="189">
        <v>12</v>
      </c>
      <c r="C229" s="189">
        <v>0.1</v>
      </c>
      <c r="D229" s="212">
        <v>233</v>
      </c>
      <c r="E229" s="189">
        <v>80.08</v>
      </c>
      <c r="F229" s="189">
        <v>12</v>
      </c>
      <c r="G229" s="2">
        <f t="shared" si="37"/>
        <v>3.2031999999999998</v>
      </c>
    </row>
    <row r="230" spans="2:7">
      <c r="B230" s="189">
        <v>14</v>
      </c>
      <c r="C230" s="189">
        <v>0.11</v>
      </c>
      <c r="D230" s="189">
        <v>257</v>
      </c>
      <c r="E230" s="189">
        <v>129</v>
      </c>
      <c r="F230" s="189">
        <v>14</v>
      </c>
      <c r="G230" s="2">
        <f t="shared" si="37"/>
        <v>5.16</v>
      </c>
    </row>
    <row r="231" spans="2:7">
      <c r="B231" s="189">
        <v>16</v>
      </c>
      <c r="C231" s="189">
        <v>0.12</v>
      </c>
      <c r="D231" s="189">
        <v>288</v>
      </c>
      <c r="E231" s="189">
        <v>135</v>
      </c>
      <c r="F231" s="189">
        <v>16</v>
      </c>
      <c r="G231" s="2">
        <f t="shared" si="37"/>
        <v>5.4</v>
      </c>
    </row>
    <row r="232" spans="2:7">
      <c r="B232" s="189">
        <v>18</v>
      </c>
      <c r="C232" s="189">
        <v>0.13</v>
      </c>
      <c r="D232" s="189">
        <v>347</v>
      </c>
      <c r="E232" s="189">
        <v>169</v>
      </c>
      <c r="F232" s="189">
        <v>18</v>
      </c>
      <c r="G232" s="2">
        <f t="shared" si="37"/>
        <v>6.76</v>
      </c>
    </row>
    <row r="233" spans="2:7">
      <c r="B233" s="189">
        <v>20</v>
      </c>
      <c r="C233" s="189">
        <v>0.15</v>
      </c>
      <c r="D233" s="189">
        <v>409</v>
      </c>
      <c r="E233" s="189">
        <v>240</v>
      </c>
      <c r="F233" s="189">
        <v>20</v>
      </c>
      <c r="G233" s="2">
        <f t="shared" si="37"/>
        <v>9.6</v>
      </c>
    </row>
    <row r="234" spans="2:7">
      <c r="B234" s="280">
        <v>22</v>
      </c>
      <c r="C234" s="189">
        <v>0.17</v>
      </c>
      <c r="D234" s="2"/>
      <c r="E234" s="2"/>
      <c r="F234" s="280">
        <v>22</v>
      </c>
      <c r="G234" s="2">
        <v>7.5</v>
      </c>
    </row>
    <row r="235" spans="2:7">
      <c r="B235" s="280">
        <v>24</v>
      </c>
      <c r="C235" s="189">
        <v>0.18</v>
      </c>
      <c r="D235" s="2"/>
      <c r="E235" s="2"/>
      <c r="F235" s="280">
        <v>24</v>
      </c>
      <c r="G235" s="2">
        <v>8.5</v>
      </c>
    </row>
    <row r="236" spans="2:7">
      <c r="B236" s="280">
        <v>26</v>
      </c>
      <c r="C236" s="189">
        <v>0.2</v>
      </c>
      <c r="D236" s="2"/>
      <c r="E236" s="2"/>
      <c r="F236" s="280">
        <v>26</v>
      </c>
      <c r="G236" s="2">
        <v>9.5</v>
      </c>
    </row>
    <row r="237" spans="2:7">
      <c r="B237" s="280">
        <v>28</v>
      </c>
      <c r="C237" s="189">
        <v>0.22</v>
      </c>
      <c r="D237" s="2"/>
      <c r="E237" s="2"/>
      <c r="F237" s="280">
        <v>28</v>
      </c>
      <c r="G237" s="2">
        <v>11</v>
      </c>
    </row>
    <row r="253" spans="2:18" ht="21">
      <c r="B253" s="572" t="s">
        <v>315</v>
      </c>
      <c r="C253" s="572"/>
      <c r="D253" s="572"/>
      <c r="E253" s="572"/>
      <c r="F253" s="572"/>
      <c r="G253" s="572"/>
      <c r="H253" s="572"/>
      <c r="I253" s="572"/>
      <c r="J253" s="572"/>
      <c r="K253" s="572"/>
      <c r="L253" s="572"/>
      <c r="M253" s="572"/>
      <c r="N253" s="572"/>
      <c r="O253" s="572"/>
      <c r="P253" s="572"/>
      <c r="Q253" s="572"/>
    </row>
    <row r="254" spans="2:18">
      <c r="B254" s="573" t="s">
        <v>287</v>
      </c>
      <c r="C254" s="573"/>
      <c r="D254" s="573"/>
      <c r="E254" s="573"/>
      <c r="F254" s="573"/>
      <c r="G254" s="573"/>
      <c r="H254" s="573"/>
      <c r="I254" s="573"/>
      <c r="J254" s="573"/>
      <c r="K254" s="573"/>
      <c r="L254" s="573"/>
      <c r="M254" s="9"/>
      <c r="N254" s="1"/>
      <c r="O254" s="574" t="s">
        <v>286</v>
      </c>
      <c r="P254" s="574"/>
      <c r="Q254" s="574"/>
      <c r="R254" s="574"/>
    </row>
    <row r="255" spans="2:18">
      <c r="B255" s="211" t="s">
        <v>73</v>
      </c>
      <c r="C255" s="207" t="s">
        <v>74</v>
      </c>
      <c r="D255" s="206"/>
      <c r="E255" s="206"/>
      <c r="F255" s="206"/>
      <c r="G255" s="206"/>
      <c r="H255" s="205"/>
      <c r="I255" s="205"/>
      <c r="J255" s="205"/>
      <c r="K255" s="207" t="s">
        <v>73</v>
      </c>
      <c r="L255" s="207" t="s">
        <v>75</v>
      </c>
      <c r="M255" s="235"/>
      <c r="N255" s="47"/>
      <c r="O255" s="207" t="s">
        <v>73</v>
      </c>
      <c r="P255" s="207" t="s">
        <v>74</v>
      </c>
      <c r="Q255" s="207" t="s">
        <v>73</v>
      </c>
      <c r="R255" s="207" t="s">
        <v>75</v>
      </c>
    </row>
    <row r="256" spans="2:18">
      <c r="B256" s="288" t="s">
        <v>78</v>
      </c>
      <c r="C256" s="190">
        <v>3.1709999999999998</v>
      </c>
      <c r="D256" s="48"/>
      <c r="E256" s="48"/>
      <c r="F256" s="48"/>
      <c r="G256" s="289"/>
      <c r="H256" s="48"/>
      <c r="I256" s="48"/>
      <c r="J256" s="48"/>
      <c r="K256" s="291" t="s">
        <v>78</v>
      </c>
      <c r="L256" s="212">
        <v>4.8000000000000001E-2</v>
      </c>
      <c r="M256" s="48"/>
      <c r="N256" s="289"/>
      <c r="O256" s="188"/>
      <c r="P256" s="188"/>
      <c r="Q256" s="187"/>
      <c r="R256" s="188"/>
    </row>
    <row r="257" spans="2:18">
      <c r="B257" s="288" t="s">
        <v>81</v>
      </c>
      <c r="C257" s="190">
        <v>3.5069999999999997</v>
      </c>
      <c r="D257" s="48"/>
      <c r="E257" s="48"/>
      <c r="F257" s="48"/>
      <c r="G257" s="289"/>
      <c r="H257" s="48"/>
      <c r="I257" s="48"/>
      <c r="J257" s="48"/>
      <c r="K257" s="291" t="s">
        <v>81</v>
      </c>
      <c r="L257" s="212">
        <v>5.3999999999999999E-2</v>
      </c>
      <c r="M257" s="48"/>
      <c r="N257" s="289"/>
      <c r="O257" s="188"/>
      <c r="P257" s="188"/>
      <c r="Q257" s="187"/>
      <c r="R257" s="188"/>
    </row>
    <row r="258" spans="2:18">
      <c r="B258" s="288" t="s">
        <v>85</v>
      </c>
      <c r="C258" s="190">
        <v>3.9199999999999995</v>
      </c>
      <c r="D258" s="48"/>
      <c r="E258" s="48"/>
      <c r="F258" s="48"/>
      <c r="G258" s="289"/>
      <c r="H258" s="48"/>
      <c r="I258" s="48"/>
      <c r="J258" s="48"/>
      <c r="K258" s="291" t="s">
        <v>85</v>
      </c>
      <c r="L258" s="212">
        <v>0.06</v>
      </c>
      <c r="M258" s="48"/>
      <c r="N258" s="289"/>
      <c r="O258" s="188"/>
      <c r="P258" s="188"/>
      <c r="Q258" s="187"/>
      <c r="R258" s="188"/>
    </row>
    <row r="259" spans="2:18">
      <c r="B259" s="288" t="s">
        <v>88</v>
      </c>
      <c r="C259" s="190">
        <v>4.3330000000000002</v>
      </c>
      <c r="D259" s="48"/>
      <c r="E259" s="48"/>
      <c r="F259" s="48"/>
      <c r="G259" s="289"/>
      <c r="H259" s="48"/>
      <c r="I259" s="48"/>
      <c r="J259" s="48"/>
      <c r="K259" s="291" t="s">
        <v>88</v>
      </c>
      <c r="L259" s="212">
        <v>6.6000000000000003E-2</v>
      </c>
      <c r="M259" s="48"/>
      <c r="N259" s="289"/>
      <c r="O259" s="290">
        <v>2</v>
      </c>
      <c r="P259" s="290">
        <v>2.0369999999999999</v>
      </c>
      <c r="Q259" s="291">
        <v>2</v>
      </c>
      <c r="R259" s="212">
        <v>0.3</v>
      </c>
    </row>
    <row r="260" spans="2:18">
      <c r="B260" s="288" t="s">
        <v>91</v>
      </c>
      <c r="C260" s="190">
        <v>4.718</v>
      </c>
      <c r="D260" s="48"/>
      <c r="E260" s="48"/>
      <c r="F260" s="48"/>
      <c r="G260" s="289"/>
      <c r="H260" s="48"/>
      <c r="I260" s="48"/>
      <c r="J260" s="48"/>
      <c r="K260" s="291" t="s">
        <v>91</v>
      </c>
      <c r="L260" s="212">
        <v>7.1999999999999995E-2</v>
      </c>
      <c r="M260" s="48"/>
      <c r="N260" s="289"/>
      <c r="O260" s="212">
        <v>3</v>
      </c>
      <c r="P260" s="212">
        <v>2.0369999999999999</v>
      </c>
      <c r="Q260" s="212">
        <v>3</v>
      </c>
      <c r="R260" s="212">
        <v>0.3</v>
      </c>
    </row>
    <row r="261" spans="2:18">
      <c r="B261" s="288" t="s">
        <v>93</v>
      </c>
      <c r="C261" s="190">
        <v>5.0749999999999993</v>
      </c>
      <c r="D261" s="48"/>
      <c r="E261" s="48"/>
      <c r="F261" s="48"/>
      <c r="G261" s="289"/>
      <c r="H261" s="48"/>
      <c r="I261" s="48"/>
      <c r="J261" s="48"/>
      <c r="K261" s="291" t="s">
        <v>93</v>
      </c>
      <c r="L261" s="212">
        <v>7.8E-2</v>
      </c>
      <c r="M261" s="48"/>
      <c r="N261" s="289"/>
      <c r="O261" s="212">
        <v>4</v>
      </c>
      <c r="P261" s="212">
        <v>2.758</v>
      </c>
      <c r="Q261" s="212">
        <v>4</v>
      </c>
      <c r="R261" s="212">
        <v>4.1000000000000002E-2</v>
      </c>
    </row>
    <row r="262" spans="2:18">
      <c r="B262" s="288" t="s">
        <v>95</v>
      </c>
      <c r="C262" s="190">
        <v>5.4809999999999999</v>
      </c>
      <c r="D262" s="48"/>
      <c r="E262" s="48"/>
      <c r="F262" s="48"/>
      <c r="G262" s="289"/>
      <c r="H262" s="48"/>
      <c r="I262" s="48"/>
      <c r="J262" s="48"/>
      <c r="K262" s="291" t="s">
        <v>95</v>
      </c>
      <c r="L262" s="189">
        <v>8.4000000000000005E-2</v>
      </c>
      <c r="M262"/>
      <c r="N262" s="289"/>
      <c r="O262" s="212">
        <v>5</v>
      </c>
      <c r="P262" s="212">
        <v>3.4649999999999999</v>
      </c>
      <c r="Q262" s="212">
        <v>5</v>
      </c>
      <c r="R262" s="212">
        <v>5.0999999999999997E-2</v>
      </c>
    </row>
    <row r="263" spans="2:18">
      <c r="B263" s="288" t="s">
        <v>97</v>
      </c>
      <c r="C263" s="190">
        <v>5.88</v>
      </c>
      <c r="D263" s="48"/>
      <c r="E263" s="48"/>
      <c r="F263" s="48"/>
      <c r="G263" s="289"/>
      <c r="H263" s="48"/>
      <c r="I263" s="48"/>
      <c r="J263" s="48"/>
      <c r="K263" s="291" t="s">
        <v>97</v>
      </c>
      <c r="L263" s="189">
        <v>9.0999999999999998E-2</v>
      </c>
      <c r="M263"/>
      <c r="N263" s="289"/>
      <c r="O263" s="212">
        <v>6</v>
      </c>
      <c r="P263" s="212">
        <v>4.13</v>
      </c>
      <c r="Q263" s="212">
        <v>6</v>
      </c>
      <c r="R263" s="212">
        <v>6.0999999999999999E-2</v>
      </c>
    </row>
    <row r="264" spans="2:18">
      <c r="B264" s="288" t="s">
        <v>99</v>
      </c>
      <c r="C264" s="190">
        <v>6.2789999999999999</v>
      </c>
      <c r="D264" s="48"/>
      <c r="E264" s="48"/>
      <c r="F264" s="48"/>
      <c r="G264" s="289"/>
      <c r="H264" s="48"/>
      <c r="I264" s="48"/>
      <c r="J264" s="48"/>
      <c r="K264" s="291" t="s">
        <v>99</v>
      </c>
      <c r="L264" s="189">
        <v>9.7000000000000003E-2</v>
      </c>
      <c r="M264"/>
      <c r="N264" s="289"/>
      <c r="O264" s="212">
        <v>7</v>
      </c>
      <c r="P264" s="212">
        <v>4.794999999999999</v>
      </c>
      <c r="Q264" s="212">
        <v>7</v>
      </c>
      <c r="R264" s="212">
        <v>7.1999999999999995E-2</v>
      </c>
    </row>
    <row r="265" spans="2:18">
      <c r="B265" s="288" t="s">
        <v>100</v>
      </c>
      <c r="C265" s="278">
        <v>3.9199999999999995</v>
      </c>
      <c r="D265" s="289"/>
      <c r="E265" s="289"/>
      <c r="F265" s="289"/>
      <c r="G265" s="289"/>
      <c r="H265" s="289"/>
      <c r="I265" s="289"/>
      <c r="J265" s="289"/>
      <c r="K265" s="291" t="s">
        <v>100</v>
      </c>
      <c r="L265" s="189">
        <v>0.06</v>
      </c>
      <c r="M265"/>
      <c r="N265" s="289"/>
      <c r="O265" s="212">
        <v>8</v>
      </c>
      <c r="P265" s="212">
        <v>5.5019999999999998</v>
      </c>
      <c r="Q265" s="212">
        <v>8</v>
      </c>
      <c r="R265" s="212">
        <v>8.2000000000000003E-2</v>
      </c>
    </row>
    <row r="266" spans="2:18">
      <c r="B266" s="288" t="s">
        <v>101</v>
      </c>
      <c r="C266" s="278">
        <v>4.3330000000000002</v>
      </c>
      <c r="D266" s="289"/>
      <c r="E266" s="289"/>
      <c r="F266" s="289"/>
      <c r="G266" s="289"/>
      <c r="H266" s="289"/>
      <c r="I266" s="289"/>
      <c r="J266" s="289"/>
      <c r="K266" s="291" t="s">
        <v>101</v>
      </c>
      <c r="L266" s="189">
        <v>6.6000000000000003E-2</v>
      </c>
      <c r="M266"/>
      <c r="N266" s="289"/>
      <c r="O266" s="212">
        <v>9</v>
      </c>
      <c r="P266" s="189">
        <v>6.2089999999999987</v>
      </c>
      <c r="Q266" s="212">
        <v>9</v>
      </c>
      <c r="R266" s="189">
        <v>9.1999999999999998E-2</v>
      </c>
    </row>
    <row r="267" spans="2:18">
      <c r="B267" s="288" t="s">
        <v>102</v>
      </c>
      <c r="C267" s="278">
        <v>4.718</v>
      </c>
      <c r="D267" s="289"/>
      <c r="E267" s="289"/>
      <c r="F267" s="289"/>
      <c r="G267" s="289"/>
      <c r="H267" s="289"/>
      <c r="I267" s="289"/>
      <c r="J267" s="289"/>
      <c r="K267" s="291" t="s">
        <v>102</v>
      </c>
      <c r="L267" s="189">
        <v>7.1999999999999995E-2</v>
      </c>
      <c r="M267"/>
      <c r="N267" s="289"/>
      <c r="O267" s="212">
        <v>10</v>
      </c>
      <c r="P267" s="189">
        <v>6.8809999999999993</v>
      </c>
      <c r="Q267" s="212">
        <v>10</v>
      </c>
      <c r="R267" s="189">
        <v>0.10299999999999999</v>
      </c>
    </row>
    <row r="268" spans="2:18">
      <c r="B268" s="288" t="s">
        <v>103</v>
      </c>
      <c r="C268" s="278">
        <v>5.0749999999999993</v>
      </c>
      <c r="D268" s="289"/>
      <c r="E268" s="289"/>
      <c r="F268" s="289"/>
      <c r="G268" s="289"/>
      <c r="H268" s="289"/>
      <c r="I268" s="289"/>
      <c r="J268" s="289"/>
      <c r="K268" s="291" t="s">
        <v>103</v>
      </c>
      <c r="L268" s="189">
        <v>7.8E-2</v>
      </c>
      <c r="M268"/>
      <c r="N268" s="289"/>
      <c r="O268" s="212">
        <v>12</v>
      </c>
      <c r="P268" s="189">
        <v>8.19</v>
      </c>
      <c r="Q268" s="212">
        <v>12</v>
      </c>
      <c r="R268" s="189">
        <v>0.123</v>
      </c>
    </row>
    <row r="269" spans="2:18">
      <c r="B269" s="288" t="s">
        <v>105</v>
      </c>
      <c r="C269" s="278">
        <v>5.4809999999999999</v>
      </c>
      <c r="D269" s="289"/>
      <c r="E269" s="289"/>
      <c r="F269" s="289"/>
      <c r="G269" s="289"/>
      <c r="H269" s="289"/>
      <c r="I269" s="289"/>
      <c r="J269" s="289"/>
      <c r="K269" s="291" t="s">
        <v>105</v>
      </c>
      <c r="L269" s="189">
        <v>8.4000000000000005E-2</v>
      </c>
      <c r="M269"/>
      <c r="N269" s="289"/>
      <c r="O269" s="189">
        <v>14</v>
      </c>
      <c r="P269" s="189">
        <v>10.29</v>
      </c>
      <c r="Q269" s="189">
        <v>14</v>
      </c>
      <c r="R269" s="189">
        <v>0.17399999999999999</v>
      </c>
    </row>
    <row r="270" spans="2:18">
      <c r="B270" s="288" t="s">
        <v>106</v>
      </c>
      <c r="C270" s="278">
        <v>5.88</v>
      </c>
      <c r="D270" s="289"/>
      <c r="E270" s="289"/>
      <c r="F270" s="289"/>
      <c r="G270" s="289"/>
      <c r="H270" s="289"/>
      <c r="I270" s="289"/>
      <c r="J270" s="289"/>
      <c r="K270" s="291" t="s">
        <v>106</v>
      </c>
      <c r="L270" s="189">
        <v>9.0999999999999998E-2</v>
      </c>
      <c r="M270"/>
      <c r="N270" s="289"/>
      <c r="O270" s="189">
        <v>16</v>
      </c>
      <c r="P270" s="189">
        <v>10.29</v>
      </c>
      <c r="Q270" s="189">
        <v>16</v>
      </c>
      <c r="R270" s="189">
        <v>0.17399999999999999</v>
      </c>
    </row>
    <row r="271" spans="2:18">
      <c r="B271" s="288" t="s">
        <v>107</v>
      </c>
      <c r="C271" s="278">
        <v>6.2789999999999999</v>
      </c>
      <c r="D271" s="289"/>
      <c r="E271" s="289"/>
      <c r="F271" s="289"/>
      <c r="G271" s="289"/>
      <c r="H271" s="289"/>
      <c r="I271" s="289"/>
      <c r="J271" s="289"/>
      <c r="K271" s="291" t="s">
        <v>107</v>
      </c>
      <c r="L271" s="189">
        <v>9.7000000000000003E-2</v>
      </c>
      <c r="M271"/>
      <c r="N271" s="289"/>
      <c r="O271" s="189">
        <v>18</v>
      </c>
      <c r="P271" s="189">
        <v>13.089999999999998</v>
      </c>
      <c r="Q271" s="189">
        <v>18</v>
      </c>
      <c r="R271" s="189">
        <v>0.19500000000000001</v>
      </c>
    </row>
    <row r="272" spans="2:18">
      <c r="B272" s="288" t="s">
        <v>108</v>
      </c>
      <c r="C272" s="278">
        <v>6.6499999999999995</v>
      </c>
      <c r="D272" s="289"/>
      <c r="E272" s="289"/>
      <c r="F272" s="289"/>
      <c r="G272" s="289"/>
      <c r="H272" s="289"/>
      <c r="I272" s="289"/>
      <c r="J272" s="289"/>
      <c r="K272" s="291" t="s">
        <v>108</v>
      </c>
      <c r="L272" s="189">
        <v>0.10299999999999999</v>
      </c>
      <c r="M272"/>
      <c r="N272" s="289"/>
      <c r="O272" s="189">
        <v>20</v>
      </c>
      <c r="P272" s="189">
        <v>13.089999999999998</v>
      </c>
      <c r="Q272" s="189">
        <v>20</v>
      </c>
      <c r="R272" s="189">
        <v>0.19500000000000001</v>
      </c>
    </row>
    <row r="273" spans="2:18">
      <c r="B273" s="288" t="s">
        <v>109</v>
      </c>
      <c r="C273" s="278">
        <v>4.718</v>
      </c>
      <c r="D273" s="289"/>
      <c r="E273" s="289"/>
      <c r="F273" s="289"/>
      <c r="G273" s="289"/>
      <c r="H273" s="289"/>
      <c r="I273" s="289"/>
      <c r="J273" s="289"/>
      <c r="K273" s="291" t="s">
        <v>109</v>
      </c>
      <c r="L273" s="189">
        <v>7.1999999999999995E-2</v>
      </c>
      <c r="M273"/>
      <c r="N273" s="289"/>
      <c r="O273" s="189">
        <v>22</v>
      </c>
      <c r="P273" s="189">
        <v>15.889999999999999</v>
      </c>
      <c r="Q273" s="189">
        <v>22</v>
      </c>
      <c r="R273" s="189">
        <v>0.23599999999999999</v>
      </c>
    </row>
    <row r="274" spans="2:18">
      <c r="B274" s="288" t="s">
        <v>110</v>
      </c>
      <c r="C274" s="278">
        <v>5.0749999999999993</v>
      </c>
      <c r="D274" s="289"/>
      <c r="E274" s="289"/>
      <c r="F274" s="289"/>
      <c r="G274" s="289"/>
      <c r="H274" s="289"/>
      <c r="I274" s="289"/>
      <c r="J274" s="289"/>
      <c r="K274" s="291" t="s">
        <v>110</v>
      </c>
      <c r="L274" s="189">
        <v>7.8E-2</v>
      </c>
      <c r="M274"/>
      <c r="N274" s="289"/>
      <c r="O274" s="189">
        <v>24</v>
      </c>
      <c r="P274" s="189">
        <v>15.889999999999999</v>
      </c>
      <c r="Q274" s="189">
        <v>24</v>
      </c>
      <c r="R274" s="189">
        <v>0.23599999999999999</v>
      </c>
    </row>
    <row r="275" spans="2:18">
      <c r="B275" s="288" t="s">
        <v>111</v>
      </c>
      <c r="C275" s="278">
        <v>5.4809999999999999</v>
      </c>
      <c r="D275" s="289"/>
      <c r="E275" s="289"/>
      <c r="F275" s="289"/>
      <c r="G275" s="289"/>
      <c r="H275" s="289"/>
      <c r="I275" s="289"/>
      <c r="J275" s="289"/>
      <c r="K275" s="291" t="s">
        <v>111</v>
      </c>
      <c r="L275" s="189">
        <v>8.4000000000000005E-2</v>
      </c>
      <c r="M275"/>
      <c r="N275" s="289"/>
      <c r="O275" s="189">
        <v>26</v>
      </c>
      <c r="P275" s="189">
        <v>18.689999999999998</v>
      </c>
      <c r="Q275" s="189">
        <v>26</v>
      </c>
      <c r="R275" s="189">
        <v>0.27700000000000002</v>
      </c>
    </row>
    <row r="276" spans="2:18">
      <c r="B276" s="288" t="s">
        <v>112</v>
      </c>
      <c r="C276" s="278">
        <v>5.88</v>
      </c>
      <c r="D276" s="289"/>
      <c r="E276" s="289"/>
      <c r="F276" s="289"/>
      <c r="G276" s="289"/>
      <c r="H276" s="289"/>
      <c r="I276" s="289"/>
      <c r="J276" s="289"/>
      <c r="K276" s="291" t="s">
        <v>112</v>
      </c>
      <c r="L276" s="189">
        <v>9.0999999999999998E-2</v>
      </c>
      <c r="M276"/>
      <c r="N276" s="289"/>
      <c r="O276" s="189">
        <v>28</v>
      </c>
      <c r="P276" s="189">
        <v>18.689999999999998</v>
      </c>
      <c r="Q276" s="189">
        <v>28</v>
      </c>
      <c r="R276" s="189">
        <v>0.27700000000000002</v>
      </c>
    </row>
    <row r="277" spans="2:18">
      <c r="B277" s="288" t="s">
        <v>113</v>
      </c>
      <c r="C277" s="278">
        <v>6.2789999999999999</v>
      </c>
      <c r="D277" s="289"/>
      <c r="E277" s="289"/>
      <c r="F277" s="289"/>
      <c r="G277" s="289"/>
      <c r="H277" s="289"/>
      <c r="I277" s="289"/>
      <c r="J277" s="289"/>
      <c r="K277" s="291" t="s">
        <v>113</v>
      </c>
      <c r="L277" s="189">
        <v>9.7000000000000003E-2</v>
      </c>
      <c r="M277"/>
      <c r="N277" s="289"/>
      <c r="O277" s="189">
        <v>30</v>
      </c>
      <c r="P277" s="189">
        <v>21.63</v>
      </c>
      <c r="Q277" s="189">
        <v>30</v>
      </c>
      <c r="R277" s="189">
        <v>0.318</v>
      </c>
    </row>
    <row r="278" spans="2:18">
      <c r="B278" s="288" t="s">
        <v>114</v>
      </c>
      <c r="C278" s="278">
        <v>6.6499999999999995</v>
      </c>
      <c r="D278" s="289"/>
      <c r="E278" s="289"/>
      <c r="F278" s="289"/>
      <c r="G278" s="289"/>
      <c r="H278" s="289"/>
      <c r="I278" s="289"/>
      <c r="J278" s="289"/>
      <c r="K278" s="291" t="s">
        <v>114</v>
      </c>
      <c r="L278" s="189">
        <v>0.10299999999999999</v>
      </c>
      <c r="M278"/>
      <c r="N278" s="289"/>
      <c r="O278" s="189">
        <v>32</v>
      </c>
      <c r="P278" s="189">
        <v>21.63</v>
      </c>
      <c r="Q278" s="189">
        <v>32</v>
      </c>
      <c r="R278" s="189">
        <v>0.318</v>
      </c>
    </row>
    <row r="279" spans="2:18">
      <c r="B279" s="288" t="s">
        <v>115</v>
      </c>
      <c r="C279" s="278">
        <v>7.0699999999999994</v>
      </c>
      <c r="D279" s="289"/>
      <c r="E279" s="289"/>
      <c r="F279" s="289"/>
      <c r="G279" s="289"/>
      <c r="H279" s="289"/>
      <c r="I279" s="289"/>
      <c r="J279" s="289"/>
      <c r="K279" s="291" t="s">
        <v>115</v>
      </c>
      <c r="L279" s="189">
        <v>0.109</v>
      </c>
      <c r="M279"/>
      <c r="N279" s="289"/>
      <c r="O279" s="189">
        <v>34</v>
      </c>
      <c r="P279" s="189">
        <v>32.059999999999995</v>
      </c>
      <c r="Q279" s="189">
        <v>34</v>
      </c>
      <c r="R279" s="189">
        <v>0.47399999999999998</v>
      </c>
    </row>
    <row r="280" spans="2:18">
      <c r="B280" s="288" t="s">
        <v>116</v>
      </c>
      <c r="C280" s="278">
        <v>5.4809999999999999</v>
      </c>
      <c r="D280" s="289"/>
      <c r="E280" s="289"/>
      <c r="F280" s="289"/>
      <c r="G280" s="289"/>
      <c r="H280" s="289"/>
      <c r="I280" s="289"/>
      <c r="J280" s="289"/>
      <c r="K280" s="291" t="s">
        <v>116</v>
      </c>
      <c r="L280" s="189">
        <v>8.4000000000000005E-2</v>
      </c>
      <c r="M280"/>
      <c r="N280" s="289"/>
      <c r="O280" s="189">
        <v>36</v>
      </c>
      <c r="P280" s="189">
        <v>32.059999999999995</v>
      </c>
      <c r="Q280" s="189">
        <v>36</v>
      </c>
      <c r="R280" s="189">
        <v>0.47399999999999998</v>
      </c>
    </row>
    <row r="281" spans="2:18">
      <c r="B281" s="288" t="s">
        <v>117</v>
      </c>
      <c r="C281" s="278">
        <v>5.88</v>
      </c>
      <c r="D281" s="289"/>
      <c r="E281" s="289"/>
      <c r="F281" s="289"/>
      <c r="G281" s="289"/>
      <c r="H281" s="289"/>
      <c r="I281" s="289"/>
      <c r="J281" s="289"/>
      <c r="K281" s="291" t="s">
        <v>117</v>
      </c>
      <c r="L281" s="189">
        <v>9.0999999999999998E-2</v>
      </c>
      <c r="M281"/>
      <c r="N281" s="289"/>
      <c r="O281" s="289"/>
      <c r="P281" s="289"/>
      <c r="Q281" s="289"/>
    </row>
    <row r="282" spans="2:18">
      <c r="B282" s="288" t="s">
        <v>118</v>
      </c>
      <c r="C282" s="278">
        <v>6.2789999999999999</v>
      </c>
      <c r="D282" s="289"/>
      <c r="E282" s="289"/>
      <c r="F282" s="289"/>
      <c r="G282" s="289"/>
      <c r="H282" s="289"/>
      <c r="I282" s="289"/>
      <c r="J282" s="289"/>
      <c r="K282" s="291" t="s">
        <v>118</v>
      </c>
      <c r="L282" s="189">
        <v>9.7000000000000003E-2</v>
      </c>
      <c r="M282"/>
      <c r="N282" s="289"/>
      <c r="O282" s="289"/>
      <c r="P282" s="289"/>
      <c r="Q282" s="289"/>
    </row>
    <row r="283" spans="2:18">
      <c r="B283" s="288" t="s">
        <v>119</v>
      </c>
      <c r="C283" s="278">
        <v>6.6499999999999995</v>
      </c>
      <c r="D283" s="289"/>
      <c r="E283" s="289"/>
      <c r="F283" s="289"/>
      <c r="G283" s="289"/>
      <c r="H283" s="289"/>
      <c r="I283" s="289"/>
      <c r="J283" s="289"/>
      <c r="K283" s="291" t="s">
        <v>119</v>
      </c>
      <c r="L283" s="189">
        <v>0.10299999999999999</v>
      </c>
      <c r="M283"/>
      <c r="N283" s="289"/>
      <c r="O283" s="289"/>
      <c r="P283" s="289"/>
      <c r="Q283" s="289"/>
    </row>
    <row r="284" spans="2:18">
      <c r="B284" s="288" t="s">
        <v>120</v>
      </c>
      <c r="C284" s="278">
        <v>7.0699999999999994</v>
      </c>
      <c r="D284" s="289"/>
      <c r="E284" s="289"/>
      <c r="F284" s="289"/>
      <c r="G284" s="289"/>
      <c r="H284" s="289"/>
      <c r="I284" s="289"/>
      <c r="J284" s="289"/>
      <c r="K284" s="291" t="s">
        <v>120</v>
      </c>
      <c r="L284" s="189">
        <v>0.109</v>
      </c>
      <c r="M284"/>
      <c r="N284" s="289"/>
      <c r="O284" s="289"/>
      <c r="P284" s="289"/>
      <c r="Q284" s="289"/>
    </row>
    <row r="285" spans="2:18">
      <c r="B285" s="288" t="s">
        <v>121</v>
      </c>
      <c r="C285" s="278">
        <v>7.419999999999999</v>
      </c>
      <c r="D285" s="289"/>
      <c r="E285" s="289"/>
      <c r="F285" s="289"/>
      <c r="G285" s="289"/>
      <c r="H285" s="289"/>
      <c r="I285" s="289"/>
      <c r="J285" s="289"/>
      <c r="K285" s="291" t="s">
        <v>121</v>
      </c>
      <c r="L285" s="189">
        <v>0.115</v>
      </c>
      <c r="M285"/>
      <c r="N285" s="289"/>
      <c r="O285" s="289"/>
      <c r="P285" s="289"/>
      <c r="Q285" s="289"/>
    </row>
    <row r="286" spans="2:18">
      <c r="B286" s="288" t="s">
        <v>122</v>
      </c>
      <c r="C286" s="278">
        <v>6.2789999999999999</v>
      </c>
      <c r="D286" s="289"/>
      <c r="E286" s="289"/>
      <c r="F286" s="289"/>
      <c r="G286" s="289"/>
      <c r="H286" s="289"/>
      <c r="I286" s="289"/>
      <c r="J286" s="289"/>
      <c r="K286" s="291" t="s">
        <v>122</v>
      </c>
      <c r="L286" s="189">
        <v>9.7000000000000003E-2</v>
      </c>
      <c r="M286"/>
      <c r="N286" s="289"/>
      <c r="O286" s="289"/>
      <c r="P286" s="289"/>
      <c r="Q286" s="289"/>
    </row>
    <row r="287" spans="2:18">
      <c r="B287" s="288" t="s">
        <v>123</v>
      </c>
      <c r="C287" s="278">
        <v>6.6499999999999995</v>
      </c>
      <c r="D287" s="289"/>
      <c r="E287" s="289"/>
      <c r="F287" s="289"/>
      <c r="G287" s="289"/>
      <c r="H287" s="289"/>
      <c r="I287" s="289"/>
      <c r="J287" s="289"/>
      <c r="K287" s="291" t="s">
        <v>123</v>
      </c>
      <c r="L287" s="189">
        <v>0.10299999999999999</v>
      </c>
      <c r="M287"/>
      <c r="N287" s="289"/>
      <c r="O287" s="289"/>
      <c r="P287" s="289"/>
      <c r="Q287" s="289"/>
    </row>
    <row r="288" spans="2:18">
      <c r="B288" s="288" t="s">
        <v>67</v>
      </c>
      <c r="C288" s="278">
        <v>7.0699999999999994</v>
      </c>
      <c r="D288" s="289"/>
      <c r="E288" s="289"/>
      <c r="F288" s="289"/>
      <c r="G288" s="289"/>
      <c r="H288" s="289"/>
      <c r="I288" s="289"/>
      <c r="J288" s="289"/>
      <c r="K288" s="291" t="s">
        <v>67</v>
      </c>
      <c r="L288" s="189">
        <v>0.109</v>
      </c>
      <c r="M288"/>
      <c r="N288" s="289"/>
      <c r="O288" s="289"/>
      <c r="P288" s="289"/>
      <c r="Q288" s="289"/>
    </row>
    <row r="289" spans="2:17">
      <c r="B289" s="288" t="s">
        <v>124</v>
      </c>
      <c r="C289" s="278">
        <v>7.419999999999999</v>
      </c>
      <c r="D289" s="289"/>
      <c r="E289" s="289"/>
      <c r="F289" s="289"/>
      <c r="G289" s="289"/>
      <c r="H289" s="289"/>
      <c r="I289" s="289"/>
      <c r="J289" s="289"/>
      <c r="K289" s="291" t="s">
        <v>124</v>
      </c>
      <c r="L289" s="189">
        <v>0.115</v>
      </c>
      <c r="M289"/>
      <c r="N289" s="289"/>
      <c r="O289" s="289"/>
      <c r="P289" s="289"/>
      <c r="Q289" s="289"/>
    </row>
    <row r="290" spans="2:17">
      <c r="B290" s="288" t="s">
        <v>125</v>
      </c>
      <c r="C290" s="278">
        <v>7.77</v>
      </c>
      <c r="D290" s="289"/>
      <c r="E290" s="289"/>
      <c r="F290" s="289"/>
      <c r="G290" s="289"/>
      <c r="H290" s="289"/>
      <c r="I290" s="289"/>
      <c r="J290" s="289"/>
      <c r="K290" s="291" t="s">
        <v>125</v>
      </c>
      <c r="L290" s="189">
        <v>0.121</v>
      </c>
      <c r="M290"/>
      <c r="N290" s="289"/>
      <c r="O290" s="289"/>
      <c r="P290" s="289"/>
      <c r="Q290" s="289"/>
    </row>
    <row r="291" spans="2:17">
      <c r="B291" s="288" t="s">
        <v>126</v>
      </c>
      <c r="C291" s="278">
        <v>7.0699999999999994</v>
      </c>
      <c r="D291" s="289"/>
      <c r="E291" s="289"/>
      <c r="F291" s="289"/>
      <c r="G291" s="289"/>
      <c r="H291" s="289"/>
      <c r="I291" s="289"/>
      <c r="J291" s="289"/>
      <c r="K291" s="291" t="s">
        <v>126</v>
      </c>
      <c r="L291" s="189">
        <v>0.109</v>
      </c>
      <c r="M291"/>
      <c r="N291" s="289"/>
      <c r="O291" s="289"/>
      <c r="P291" s="289"/>
      <c r="Q291" s="289"/>
    </row>
    <row r="292" spans="2:17">
      <c r="B292" s="288" t="s">
        <v>127</v>
      </c>
      <c r="C292" s="278">
        <v>7.419999999999999</v>
      </c>
      <c r="D292" s="289"/>
      <c r="E292" s="289"/>
      <c r="F292" s="289"/>
      <c r="G292" s="289"/>
      <c r="H292" s="289"/>
      <c r="I292" s="289"/>
      <c r="J292" s="289"/>
      <c r="K292" s="291" t="s">
        <v>127</v>
      </c>
      <c r="L292" s="189">
        <v>0.115</v>
      </c>
      <c r="M292"/>
      <c r="N292" s="289"/>
      <c r="O292" s="289"/>
      <c r="P292" s="289"/>
      <c r="Q292" s="289"/>
    </row>
    <row r="293" spans="2:17">
      <c r="B293" s="288" t="s">
        <v>128</v>
      </c>
      <c r="C293" s="278">
        <v>7.77</v>
      </c>
      <c r="D293" s="289"/>
      <c r="E293" s="289"/>
      <c r="F293" s="289"/>
      <c r="G293" s="289"/>
      <c r="H293" s="289"/>
      <c r="I293" s="289"/>
      <c r="J293" s="289"/>
      <c r="K293" s="291" t="s">
        <v>128</v>
      </c>
      <c r="L293" s="189">
        <v>0.121</v>
      </c>
      <c r="M293"/>
      <c r="N293" s="289"/>
      <c r="O293" s="289"/>
      <c r="P293" s="289"/>
      <c r="Q293" s="289"/>
    </row>
    <row r="294" spans="2:17">
      <c r="B294" s="288" t="s">
        <v>129</v>
      </c>
      <c r="C294" s="278">
        <v>8.19</v>
      </c>
      <c r="D294" s="289"/>
      <c r="E294" s="289"/>
      <c r="F294" s="289"/>
      <c r="G294" s="289"/>
      <c r="H294" s="289"/>
      <c r="I294" s="289"/>
      <c r="J294" s="289"/>
      <c r="K294" s="291" t="s">
        <v>129</v>
      </c>
      <c r="L294" s="189">
        <v>0.127</v>
      </c>
      <c r="M294"/>
      <c r="N294" s="289"/>
      <c r="O294" s="289"/>
      <c r="P294" s="289"/>
      <c r="Q294" s="289"/>
    </row>
    <row r="295" spans="2:17">
      <c r="B295" s="288" t="s">
        <v>130</v>
      </c>
      <c r="C295" s="278">
        <v>7.77</v>
      </c>
      <c r="D295" s="289"/>
      <c r="E295" s="289"/>
      <c r="F295" s="289"/>
      <c r="G295" s="289"/>
      <c r="H295" s="289"/>
      <c r="I295" s="289"/>
      <c r="J295" s="289"/>
      <c r="K295" s="291" t="s">
        <v>130</v>
      </c>
      <c r="L295" s="189">
        <v>0.129</v>
      </c>
      <c r="M295"/>
      <c r="N295" s="289"/>
      <c r="O295" s="289"/>
      <c r="P295" s="289"/>
      <c r="Q295" s="289"/>
    </row>
    <row r="296" spans="2:17">
      <c r="B296" s="288" t="s">
        <v>131</v>
      </c>
      <c r="C296" s="278">
        <v>8.19</v>
      </c>
      <c r="D296" s="289"/>
      <c r="E296" s="289"/>
      <c r="F296" s="289"/>
      <c r="G296" s="289"/>
      <c r="H296" s="289"/>
      <c r="I296" s="289"/>
      <c r="J296" s="289"/>
      <c r="K296" s="291" t="s">
        <v>131</v>
      </c>
      <c r="L296" s="189">
        <v>0.127</v>
      </c>
      <c r="M296"/>
      <c r="N296" s="289"/>
      <c r="O296" s="289"/>
      <c r="P296" s="289"/>
      <c r="Q296" s="289"/>
    </row>
    <row r="297" spans="2:17">
      <c r="B297" s="288" t="s">
        <v>132</v>
      </c>
      <c r="C297" s="278">
        <v>8.5399999999999991</v>
      </c>
      <c r="D297" s="289"/>
      <c r="E297" s="289"/>
      <c r="F297" s="289"/>
      <c r="G297" s="289"/>
      <c r="H297" s="289"/>
      <c r="I297" s="289"/>
      <c r="J297" s="289"/>
      <c r="K297" s="291" t="s">
        <v>132</v>
      </c>
      <c r="L297" s="189">
        <v>0.13300000000000001</v>
      </c>
      <c r="M297"/>
      <c r="N297" s="289"/>
      <c r="O297" s="289"/>
      <c r="P297" s="289"/>
      <c r="Q297" s="289"/>
    </row>
    <row r="298" spans="2:17">
      <c r="B298" s="288" t="s">
        <v>133</v>
      </c>
      <c r="C298" s="278">
        <v>8.5399999999999991</v>
      </c>
      <c r="D298" s="289"/>
      <c r="E298" s="289"/>
      <c r="F298" s="289"/>
      <c r="G298" s="289"/>
      <c r="H298" s="289"/>
      <c r="I298" s="289"/>
      <c r="J298" s="289"/>
      <c r="K298" s="291" t="s">
        <v>133</v>
      </c>
      <c r="L298" s="189">
        <v>0.13300000000000001</v>
      </c>
      <c r="M298"/>
      <c r="N298" s="289"/>
      <c r="O298" s="289"/>
      <c r="P298" s="289"/>
      <c r="Q298" s="289"/>
    </row>
    <row r="299" spans="2:17">
      <c r="B299" s="288" t="s">
        <v>134</v>
      </c>
      <c r="C299" s="278">
        <v>8.8899999999999988</v>
      </c>
      <c r="D299" s="289"/>
      <c r="E299" s="289"/>
      <c r="F299" s="289"/>
      <c r="G299" s="289"/>
      <c r="H299" s="289"/>
      <c r="I299" s="289"/>
      <c r="J299" s="289"/>
      <c r="K299" s="291" t="s">
        <v>134</v>
      </c>
      <c r="L299" s="189">
        <v>0.13900000000000001</v>
      </c>
      <c r="M299"/>
      <c r="N299" s="289"/>
      <c r="O299" s="289"/>
      <c r="P299" s="289"/>
      <c r="Q299" s="289"/>
    </row>
    <row r="300" spans="2:17">
      <c r="B300" s="288" t="s">
        <v>135</v>
      </c>
      <c r="C300" s="278">
        <v>8.5399999999999991</v>
      </c>
      <c r="D300" s="289"/>
      <c r="E300" s="289"/>
      <c r="F300" s="289"/>
      <c r="G300" s="289"/>
      <c r="H300" s="289"/>
      <c r="I300" s="289"/>
      <c r="J300" s="289"/>
      <c r="K300" s="291" t="s">
        <v>135</v>
      </c>
      <c r="L300" s="189">
        <v>0.13300000000000001</v>
      </c>
      <c r="M300"/>
      <c r="N300" s="289"/>
      <c r="O300" s="289"/>
      <c r="P300" s="289"/>
      <c r="Q300" s="289"/>
    </row>
    <row r="301" spans="2:17">
      <c r="B301" s="288" t="s">
        <v>76</v>
      </c>
      <c r="C301" s="278">
        <v>9.2399999999999984</v>
      </c>
      <c r="D301" s="289"/>
      <c r="E301" s="289"/>
      <c r="F301" s="289"/>
      <c r="G301" s="289"/>
      <c r="H301" s="289"/>
      <c r="I301" s="289"/>
      <c r="J301" s="289"/>
      <c r="K301" s="291" t="s">
        <v>76</v>
      </c>
      <c r="L301" s="189">
        <v>0.14499999999999999</v>
      </c>
      <c r="M301"/>
      <c r="N301" s="289"/>
      <c r="O301" s="289"/>
      <c r="P301" s="289"/>
      <c r="Q301" s="289"/>
    </row>
    <row r="302" spans="2:17">
      <c r="B302" s="288" t="s">
        <v>136</v>
      </c>
      <c r="C302" s="278">
        <v>10.01</v>
      </c>
      <c r="D302" s="289"/>
      <c r="E302" s="289"/>
      <c r="F302" s="289"/>
      <c r="G302" s="289"/>
      <c r="H302" s="289"/>
      <c r="I302" s="289"/>
      <c r="J302" s="289"/>
      <c r="K302" s="291" t="s">
        <v>136</v>
      </c>
      <c r="L302" s="189">
        <v>0.154</v>
      </c>
      <c r="M302"/>
      <c r="N302" s="289"/>
      <c r="O302" s="289"/>
      <c r="P302" s="289"/>
      <c r="Q302" s="289"/>
    </row>
    <row r="303" spans="2:17">
      <c r="B303" s="288" t="s">
        <v>137</v>
      </c>
      <c r="C303" s="278">
        <v>10.989999999999998</v>
      </c>
      <c r="D303" s="289"/>
      <c r="E303" s="289"/>
      <c r="F303" s="289"/>
      <c r="G303" s="289"/>
      <c r="H303" s="289"/>
      <c r="I303" s="289"/>
      <c r="J303" s="289"/>
      <c r="K303" s="291" t="s">
        <v>137</v>
      </c>
      <c r="L303" s="189">
        <v>0.17</v>
      </c>
      <c r="M303"/>
      <c r="N303" s="289"/>
      <c r="O303" s="289"/>
      <c r="P303" s="289"/>
      <c r="Q303" s="289"/>
    </row>
    <row r="304" spans="2:17">
      <c r="B304" s="288" t="s">
        <v>70</v>
      </c>
      <c r="C304" s="278">
        <v>12.04</v>
      </c>
      <c r="D304" s="289"/>
      <c r="E304" s="289"/>
      <c r="F304" s="289"/>
      <c r="G304" s="289"/>
      <c r="H304" s="289"/>
      <c r="I304" s="289"/>
      <c r="J304" s="289"/>
      <c r="K304" s="291" t="s">
        <v>70</v>
      </c>
      <c r="L304" s="189">
        <v>0.184</v>
      </c>
      <c r="M304"/>
      <c r="N304" s="289"/>
      <c r="O304" s="289"/>
      <c r="P304" s="289"/>
      <c r="Q304" s="289"/>
    </row>
    <row r="305" spans="2:17">
      <c r="B305" s="288" t="s">
        <v>77</v>
      </c>
      <c r="C305" s="278">
        <v>13.089999999999998</v>
      </c>
      <c r="D305" s="289"/>
      <c r="E305" s="289"/>
      <c r="F305" s="289"/>
      <c r="G305" s="289"/>
      <c r="H305" s="289"/>
      <c r="I305" s="289"/>
      <c r="J305" s="289"/>
      <c r="K305" s="291" t="s">
        <v>77</v>
      </c>
      <c r="L305" s="189">
        <v>0.2</v>
      </c>
      <c r="M305"/>
      <c r="N305" s="289"/>
      <c r="O305" s="289"/>
      <c r="P305" s="289"/>
      <c r="Q305" s="289"/>
    </row>
    <row r="306" spans="2:17">
      <c r="B306" s="292" t="s">
        <v>79</v>
      </c>
      <c r="C306" s="278">
        <v>14.489999999999998</v>
      </c>
      <c r="D306" s="289"/>
      <c r="E306" s="289"/>
      <c r="F306" s="289"/>
      <c r="G306" s="293"/>
      <c r="H306" s="289"/>
      <c r="I306" s="289"/>
      <c r="J306" s="289"/>
      <c r="K306" s="290" t="s">
        <v>79</v>
      </c>
      <c r="L306" s="189">
        <v>0.223</v>
      </c>
      <c r="M306"/>
      <c r="N306" s="293"/>
      <c r="O306" s="293"/>
      <c r="P306" s="293"/>
      <c r="Q306" s="293"/>
    </row>
    <row r="307" spans="2:17">
      <c r="B307" s="292" t="s">
        <v>138</v>
      </c>
      <c r="C307" s="278">
        <v>14.489999999999998</v>
      </c>
      <c r="D307" s="289"/>
      <c r="E307" s="289"/>
      <c r="F307" s="289"/>
      <c r="G307" s="293"/>
      <c r="H307" s="289"/>
      <c r="I307" s="289"/>
      <c r="J307" s="289"/>
      <c r="K307" s="290" t="s">
        <v>138</v>
      </c>
      <c r="L307" s="189">
        <v>0.223</v>
      </c>
      <c r="M307"/>
      <c r="N307" s="293"/>
      <c r="O307" s="293"/>
      <c r="P307" s="293"/>
      <c r="Q307" s="293"/>
    </row>
    <row r="308" spans="2:17">
      <c r="B308" s="288" t="s">
        <v>139</v>
      </c>
      <c r="C308" s="278">
        <v>16.52</v>
      </c>
      <c r="D308" s="289"/>
      <c r="E308" s="289"/>
      <c r="F308" s="289"/>
      <c r="G308" s="289"/>
      <c r="H308" s="289"/>
      <c r="I308" s="289"/>
      <c r="J308" s="289"/>
      <c r="K308" s="291" t="s">
        <v>139</v>
      </c>
      <c r="L308" s="212">
        <v>0.254</v>
      </c>
      <c r="M308" s="48"/>
      <c r="N308" s="289"/>
      <c r="O308" s="289"/>
      <c r="P308" s="289"/>
      <c r="Q308" s="289"/>
    </row>
    <row r="309" spans="2:17">
      <c r="B309" s="288" t="s">
        <v>140</v>
      </c>
      <c r="C309" s="278">
        <v>16.52</v>
      </c>
      <c r="D309" s="289"/>
      <c r="E309" s="289"/>
      <c r="F309" s="289"/>
      <c r="G309" s="289"/>
      <c r="H309" s="289"/>
      <c r="I309" s="289"/>
      <c r="J309" s="289"/>
      <c r="K309" s="291" t="s">
        <v>140</v>
      </c>
      <c r="L309" s="212">
        <v>0.254</v>
      </c>
      <c r="M309" s="48"/>
      <c r="N309" s="289"/>
      <c r="O309" s="289"/>
      <c r="P309" s="289"/>
      <c r="Q309" s="289"/>
    </row>
    <row r="310" spans="2:17">
      <c r="B310" s="288" t="s">
        <v>141</v>
      </c>
      <c r="C310" s="278">
        <v>18.689999999999998</v>
      </c>
      <c r="D310" s="289"/>
      <c r="E310" s="289"/>
      <c r="F310" s="289"/>
      <c r="G310" s="289"/>
      <c r="H310" s="289"/>
      <c r="I310" s="289"/>
      <c r="J310" s="289"/>
      <c r="K310" s="291" t="s">
        <v>141</v>
      </c>
      <c r="L310" s="212">
        <v>0.28499999999999998</v>
      </c>
      <c r="M310" s="48"/>
      <c r="N310" s="289"/>
      <c r="O310" s="289"/>
      <c r="P310" s="289"/>
      <c r="Q310" s="289"/>
    </row>
    <row r="311" spans="2:17">
      <c r="B311" s="288" t="s">
        <v>142</v>
      </c>
      <c r="C311" s="278">
        <v>18.689999999999998</v>
      </c>
      <c r="D311" s="289"/>
      <c r="E311" s="289"/>
      <c r="F311" s="289"/>
      <c r="G311" s="289"/>
      <c r="H311" s="289"/>
      <c r="I311" s="289"/>
      <c r="J311" s="289"/>
      <c r="K311" s="291" t="s">
        <v>142</v>
      </c>
      <c r="L311" s="212">
        <v>0.28499999999999998</v>
      </c>
      <c r="M311" s="48"/>
      <c r="N311" s="289"/>
      <c r="O311" s="289"/>
      <c r="P311" s="289"/>
      <c r="Q311" s="289"/>
    </row>
    <row r="312" spans="2:17">
      <c r="B312" s="288" t="s">
        <v>143</v>
      </c>
      <c r="C312" s="278">
        <v>20.86</v>
      </c>
      <c r="D312" s="289"/>
      <c r="E312" s="289"/>
      <c r="F312" s="289"/>
      <c r="G312" s="289"/>
      <c r="H312" s="289"/>
      <c r="I312" s="289"/>
      <c r="J312" s="289"/>
      <c r="K312" s="291" t="s">
        <v>143</v>
      </c>
      <c r="L312" s="212">
        <v>0.316</v>
      </c>
      <c r="M312" s="48"/>
      <c r="N312" s="289"/>
      <c r="O312" s="289"/>
      <c r="P312" s="289"/>
      <c r="Q312" s="289"/>
    </row>
    <row r="313" spans="2:17">
      <c r="B313" s="288" t="s">
        <v>144</v>
      </c>
      <c r="C313" s="278">
        <v>20.86</v>
      </c>
      <c r="D313" s="289"/>
      <c r="E313" s="289"/>
      <c r="F313" s="289"/>
      <c r="G313" s="289"/>
      <c r="H313" s="289"/>
      <c r="I313" s="289"/>
      <c r="J313" s="289"/>
      <c r="K313" s="291" t="s">
        <v>144</v>
      </c>
      <c r="L313" s="212">
        <v>0.316</v>
      </c>
      <c r="M313" s="48"/>
      <c r="N313" s="289"/>
      <c r="O313" s="289"/>
      <c r="P313" s="289"/>
      <c r="Q313" s="289"/>
    </row>
    <row r="314" spans="2:17">
      <c r="B314" s="288" t="s">
        <v>145</v>
      </c>
      <c r="C314" s="278">
        <v>22.259999999999998</v>
      </c>
      <c r="D314" s="289"/>
      <c r="E314" s="289"/>
      <c r="F314" s="289"/>
      <c r="G314" s="289"/>
      <c r="H314" s="289"/>
      <c r="I314" s="289"/>
      <c r="J314" s="289"/>
      <c r="K314" s="291" t="s">
        <v>145</v>
      </c>
      <c r="L314" s="189">
        <v>0.33900000000000002</v>
      </c>
      <c r="M314"/>
      <c r="N314" s="289"/>
      <c r="O314" s="289"/>
      <c r="P314" s="289"/>
      <c r="Q314" s="289"/>
    </row>
    <row r="315" spans="2:17">
      <c r="B315" s="288" t="s">
        <v>146</v>
      </c>
      <c r="C315" s="278">
        <v>10.989999999999998</v>
      </c>
      <c r="D315" s="289"/>
      <c r="E315" s="289"/>
      <c r="F315" s="289"/>
      <c r="G315" s="289"/>
      <c r="H315" s="289"/>
      <c r="I315" s="289"/>
      <c r="J315" s="289"/>
      <c r="K315" s="291" t="s">
        <v>146</v>
      </c>
      <c r="L315" s="189">
        <v>0.17</v>
      </c>
      <c r="M315"/>
      <c r="N315" s="289"/>
      <c r="O315" s="289"/>
      <c r="P315" s="289"/>
      <c r="Q315" s="289"/>
    </row>
    <row r="316" spans="2:17">
      <c r="B316" s="288" t="s">
        <v>147</v>
      </c>
      <c r="C316" s="278">
        <v>12.04</v>
      </c>
      <c r="D316" s="289"/>
      <c r="E316" s="289"/>
      <c r="F316" s="289"/>
      <c r="G316" s="289"/>
      <c r="H316" s="289"/>
      <c r="I316" s="289"/>
      <c r="J316" s="289"/>
      <c r="K316" s="291" t="s">
        <v>147</v>
      </c>
      <c r="L316" s="189">
        <v>0.184</v>
      </c>
      <c r="M316"/>
      <c r="N316" s="289"/>
      <c r="O316" s="289"/>
      <c r="P316" s="289"/>
      <c r="Q316" s="289"/>
    </row>
    <row r="317" spans="2:17">
      <c r="B317" s="288" t="s">
        <v>69</v>
      </c>
      <c r="C317" s="278">
        <v>13.089999999999998</v>
      </c>
      <c r="D317" s="289"/>
      <c r="E317" s="289"/>
      <c r="F317" s="289"/>
      <c r="G317" s="289"/>
      <c r="H317" s="289"/>
      <c r="I317" s="289"/>
      <c r="J317" s="289"/>
      <c r="K317" s="291" t="s">
        <v>69</v>
      </c>
      <c r="L317" s="189">
        <v>0.2</v>
      </c>
      <c r="M317"/>
      <c r="N317" s="289"/>
      <c r="O317" s="289"/>
      <c r="P317" s="289"/>
      <c r="Q317" s="289"/>
    </row>
    <row r="318" spans="2:17">
      <c r="B318" s="288" t="s">
        <v>83</v>
      </c>
      <c r="C318" s="278">
        <v>14.209999999999999</v>
      </c>
      <c r="D318" s="289"/>
      <c r="E318" s="289"/>
      <c r="F318" s="289"/>
      <c r="G318" s="289"/>
      <c r="H318" s="289"/>
      <c r="I318" s="289"/>
      <c r="J318" s="289"/>
      <c r="K318" s="291" t="s">
        <v>83</v>
      </c>
      <c r="L318" s="189">
        <v>0.216</v>
      </c>
      <c r="M318"/>
      <c r="N318" s="289"/>
      <c r="O318" s="289"/>
      <c r="P318" s="289"/>
      <c r="Q318" s="289"/>
    </row>
    <row r="319" spans="2:17">
      <c r="B319" s="288" t="s">
        <v>50</v>
      </c>
      <c r="C319" s="278">
        <v>15.61</v>
      </c>
      <c r="D319" s="289"/>
      <c r="E319" s="289"/>
      <c r="F319" s="289"/>
      <c r="G319" s="289"/>
      <c r="H319" s="289"/>
      <c r="I319" s="289"/>
      <c r="J319" s="289"/>
      <c r="K319" s="291" t="s">
        <v>50</v>
      </c>
      <c r="L319" s="189">
        <v>0.23899999999999999</v>
      </c>
      <c r="M319"/>
      <c r="N319" s="289"/>
      <c r="O319" s="289"/>
      <c r="P319" s="289"/>
      <c r="Q319" s="289"/>
    </row>
    <row r="320" spans="2:17">
      <c r="B320" s="288" t="s">
        <v>52</v>
      </c>
      <c r="C320" s="278">
        <v>15.61</v>
      </c>
      <c r="D320" s="289"/>
      <c r="E320" s="289"/>
      <c r="F320" s="289"/>
      <c r="G320" s="289"/>
      <c r="H320" s="289"/>
      <c r="I320" s="289"/>
      <c r="J320" s="289"/>
      <c r="K320" s="291" t="s">
        <v>52</v>
      </c>
      <c r="L320" s="189">
        <v>0.23899999999999999</v>
      </c>
      <c r="M320"/>
      <c r="N320" s="289"/>
      <c r="O320" s="289"/>
      <c r="P320" s="289"/>
      <c r="Q320" s="289"/>
    </row>
    <row r="321" spans="2:17">
      <c r="B321" s="288" t="s">
        <v>148</v>
      </c>
      <c r="C321" s="278">
        <v>17.57</v>
      </c>
      <c r="D321" s="289"/>
      <c r="E321" s="289"/>
      <c r="F321" s="289"/>
      <c r="G321" s="289"/>
      <c r="H321" s="289"/>
      <c r="I321" s="289"/>
      <c r="J321" s="289"/>
      <c r="K321" s="291" t="s">
        <v>148</v>
      </c>
      <c r="L321" s="189">
        <v>0.26900000000000002</v>
      </c>
      <c r="M321"/>
      <c r="N321" s="289"/>
      <c r="O321" s="289"/>
      <c r="P321" s="289"/>
      <c r="Q321" s="289"/>
    </row>
    <row r="322" spans="2:17">
      <c r="B322" s="288" t="s">
        <v>149</v>
      </c>
      <c r="C322" s="278">
        <v>17.57</v>
      </c>
      <c r="D322" s="289"/>
      <c r="E322" s="289"/>
      <c r="F322" s="289"/>
      <c r="G322" s="289"/>
      <c r="H322" s="289"/>
      <c r="I322" s="289"/>
      <c r="J322" s="289"/>
      <c r="K322" s="291" t="s">
        <v>149</v>
      </c>
      <c r="L322" s="189">
        <v>0.26900000000000002</v>
      </c>
      <c r="M322"/>
      <c r="N322" s="289"/>
      <c r="O322" s="289"/>
      <c r="P322" s="289"/>
      <c r="Q322" s="289"/>
    </row>
    <row r="323" spans="2:17">
      <c r="B323" s="288" t="s">
        <v>150</v>
      </c>
      <c r="C323" s="278">
        <v>19.389999999999997</v>
      </c>
      <c r="D323" s="289"/>
      <c r="E323" s="289"/>
      <c r="F323" s="289"/>
      <c r="G323" s="289"/>
      <c r="H323" s="289"/>
      <c r="I323" s="289"/>
      <c r="J323" s="289"/>
      <c r="K323" s="291" t="s">
        <v>150</v>
      </c>
      <c r="L323" s="189">
        <v>0.3</v>
      </c>
      <c r="M323"/>
      <c r="N323" s="289"/>
      <c r="O323" s="289"/>
      <c r="P323" s="289"/>
      <c r="Q323" s="289"/>
    </row>
    <row r="324" spans="2:17">
      <c r="B324" s="288" t="s">
        <v>151</v>
      </c>
      <c r="C324" s="278">
        <v>19.389999999999997</v>
      </c>
      <c r="D324" s="289"/>
      <c r="E324" s="289"/>
      <c r="F324" s="289"/>
      <c r="G324" s="289"/>
      <c r="H324" s="289"/>
      <c r="I324" s="289"/>
      <c r="J324" s="289"/>
      <c r="K324" s="291" t="s">
        <v>151</v>
      </c>
      <c r="L324" s="189">
        <v>0.3</v>
      </c>
      <c r="M324"/>
      <c r="N324" s="289"/>
      <c r="O324" s="289"/>
      <c r="P324" s="289"/>
      <c r="Q324" s="289"/>
    </row>
    <row r="325" spans="2:17">
      <c r="B325" s="288" t="s">
        <v>152</v>
      </c>
      <c r="C325" s="278">
        <v>21.91</v>
      </c>
      <c r="D325" s="289"/>
      <c r="E325" s="289"/>
      <c r="F325" s="289"/>
      <c r="G325" s="289"/>
      <c r="H325" s="289"/>
      <c r="I325" s="289"/>
      <c r="J325" s="289"/>
      <c r="K325" s="291" t="s">
        <v>152</v>
      </c>
      <c r="L325" s="189">
        <v>0.33100000000000002</v>
      </c>
      <c r="M325"/>
      <c r="N325" s="289"/>
      <c r="O325" s="289"/>
      <c r="P325" s="289"/>
      <c r="Q325" s="289"/>
    </row>
    <row r="326" spans="2:17">
      <c r="B326" s="288" t="s">
        <v>153</v>
      </c>
      <c r="C326" s="278">
        <v>21.91</v>
      </c>
      <c r="D326" s="289"/>
      <c r="E326" s="289"/>
      <c r="F326" s="289"/>
      <c r="G326" s="289"/>
      <c r="H326" s="289"/>
      <c r="I326" s="289"/>
      <c r="J326" s="289"/>
      <c r="K326" s="291" t="s">
        <v>153</v>
      </c>
      <c r="L326" s="189">
        <v>0.33100000000000002</v>
      </c>
      <c r="M326"/>
      <c r="N326" s="289"/>
      <c r="O326" s="289"/>
      <c r="P326" s="289"/>
      <c r="Q326" s="289"/>
    </row>
    <row r="327" spans="2:17">
      <c r="B327" s="288" t="s">
        <v>154</v>
      </c>
      <c r="C327" s="278">
        <v>23.45</v>
      </c>
      <c r="D327" s="289"/>
      <c r="E327" s="289"/>
      <c r="F327" s="289"/>
      <c r="G327" s="289"/>
      <c r="H327" s="289"/>
      <c r="I327" s="289"/>
      <c r="J327" s="289"/>
      <c r="K327" s="291" t="s">
        <v>154</v>
      </c>
      <c r="L327" s="189">
        <v>0.35399999999999998</v>
      </c>
      <c r="M327"/>
      <c r="N327" s="289"/>
      <c r="O327" s="289"/>
      <c r="P327" s="289"/>
      <c r="Q327" s="289"/>
    </row>
    <row r="328" spans="2:17">
      <c r="B328" s="288" t="s">
        <v>155</v>
      </c>
      <c r="C328" s="278">
        <v>12.04</v>
      </c>
      <c r="D328" s="289"/>
      <c r="E328" s="289"/>
      <c r="F328" s="289"/>
      <c r="G328" s="289"/>
      <c r="H328" s="289"/>
      <c r="I328" s="289"/>
      <c r="J328" s="289"/>
      <c r="K328" s="291" t="s">
        <v>155</v>
      </c>
      <c r="L328" s="189">
        <v>0.184</v>
      </c>
      <c r="M328"/>
      <c r="N328" s="289"/>
      <c r="O328" s="289"/>
      <c r="P328" s="289"/>
      <c r="Q328" s="289"/>
    </row>
    <row r="329" spans="2:17">
      <c r="B329" s="288" t="s">
        <v>156</v>
      </c>
      <c r="C329" s="278">
        <v>13.089999999999998</v>
      </c>
      <c r="D329" s="289"/>
      <c r="E329" s="289"/>
      <c r="F329" s="289"/>
      <c r="G329" s="289"/>
      <c r="H329" s="289"/>
      <c r="I329" s="289"/>
      <c r="J329" s="289"/>
      <c r="K329" s="291" t="s">
        <v>156</v>
      </c>
      <c r="L329" s="189">
        <v>0.2</v>
      </c>
      <c r="M329"/>
      <c r="N329" s="289"/>
      <c r="O329" s="289"/>
      <c r="P329" s="289"/>
      <c r="Q329" s="289"/>
    </row>
    <row r="330" spans="2:17">
      <c r="B330" s="288" t="s">
        <v>157</v>
      </c>
      <c r="C330" s="278">
        <v>14.209999999999999</v>
      </c>
      <c r="D330" s="289"/>
      <c r="E330" s="289"/>
      <c r="F330" s="289"/>
      <c r="G330" s="289"/>
      <c r="H330" s="289"/>
      <c r="I330" s="289"/>
      <c r="J330" s="289"/>
      <c r="K330" s="291" t="s">
        <v>157</v>
      </c>
      <c r="L330" s="189">
        <v>0.216</v>
      </c>
      <c r="M330"/>
      <c r="N330" s="289"/>
      <c r="O330" s="289"/>
      <c r="P330" s="289"/>
      <c r="Q330" s="289"/>
    </row>
    <row r="331" spans="2:17">
      <c r="B331" s="288" t="s">
        <v>66</v>
      </c>
      <c r="C331" s="278">
        <v>15.049999999999999</v>
      </c>
      <c r="D331" s="289"/>
      <c r="E331" s="289"/>
      <c r="F331" s="289"/>
      <c r="G331" s="289"/>
      <c r="H331" s="289"/>
      <c r="I331" s="289"/>
      <c r="J331" s="289"/>
      <c r="K331" s="291" t="s">
        <v>66</v>
      </c>
      <c r="L331" s="189">
        <v>0.23100000000000001</v>
      </c>
      <c r="M331"/>
      <c r="N331" s="289"/>
      <c r="O331" s="289"/>
      <c r="P331" s="289"/>
      <c r="Q331" s="289"/>
    </row>
    <row r="332" spans="2:17">
      <c r="B332" s="288" t="s">
        <v>153</v>
      </c>
      <c r="C332" s="278">
        <v>21.91</v>
      </c>
      <c r="D332" s="289"/>
      <c r="E332" s="289"/>
      <c r="F332" s="289"/>
      <c r="G332" s="289"/>
      <c r="H332" s="289"/>
      <c r="I332" s="289"/>
      <c r="J332" s="289"/>
      <c r="K332" s="291" t="s">
        <v>153</v>
      </c>
      <c r="L332" s="189">
        <v>0.33100000000000002</v>
      </c>
      <c r="M332"/>
      <c r="N332" s="289"/>
      <c r="O332" s="289"/>
      <c r="P332" s="289"/>
      <c r="Q332" s="289"/>
    </row>
    <row r="333" spans="2:17">
      <c r="B333" s="288" t="s">
        <v>154</v>
      </c>
      <c r="C333" s="278">
        <v>23.45</v>
      </c>
      <c r="D333" s="289"/>
      <c r="E333" s="289"/>
      <c r="F333" s="289"/>
      <c r="G333" s="289"/>
      <c r="H333" s="289"/>
      <c r="I333" s="289"/>
      <c r="J333" s="289"/>
      <c r="K333" s="291" t="s">
        <v>154</v>
      </c>
      <c r="L333" s="189">
        <v>0.35399999999999998</v>
      </c>
      <c r="M333"/>
      <c r="N333" s="289"/>
      <c r="O333" s="289"/>
      <c r="P333" s="289"/>
      <c r="Q333" s="289"/>
    </row>
    <row r="334" spans="2:17">
      <c r="B334" s="288" t="s">
        <v>53</v>
      </c>
      <c r="C334" s="278">
        <v>18.689999999999998</v>
      </c>
      <c r="D334" s="289"/>
      <c r="E334" s="289"/>
      <c r="F334" s="289"/>
      <c r="G334" s="289"/>
      <c r="H334" s="289"/>
      <c r="I334" s="289"/>
      <c r="J334" s="289"/>
      <c r="K334" s="291" t="s">
        <v>53</v>
      </c>
      <c r="L334" s="189">
        <v>0.28499999999999998</v>
      </c>
      <c r="M334"/>
      <c r="N334" s="289"/>
      <c r="O334" s="289"/>
      <c r="P334" s="289"/>
      <c r="Q334" s="289"/>
    </row>
    <row r="335" spans="2:17">
      <c r="B335" s="288" t="s">
        <v>158</v>
      </c>
      <c r="C335" s="278">
        <v>18.689999999999998</v>
      </c>
      <c r="D335" s="289"/>
      <c r="E335" s="289"/>
      <c r="F335" s="289"/>
      <c r="G335" s="289"/>
      <c r="H335" s="289"/>
      <c r="I335" s="289"/>
      <c r="J335" s="289"/>
      <c r="K335" s="291" t="s">
        <v>158</v>
      </c>
      <c r="L335" s="189">
        <v>0.28499999999999998</v>
      </c>
      <c r="M335"/>
      <c r="N335" s="289"/>
      <c r="O335" s="289"/>
      <c r="P335" s="289"/>
      <c r="Q335" s="289"/>
    </row>
    <row r="336" spans="2:17">
      <c r="B336" s="288" t="s">
        <v>159</v>
      </c>
      <c r="C336" s="278">
        <v>20.86</v>
      </c>
      <c r="D336" s="289"/>
      <c r="E336" s="289"/>
      <c r="F336" s="289"/>
      <c r="G336" s="289"/>
      <c r="H336" s="289"/>
      <c r="I336" s="289"/>
      <c r="J336" s="289"/>
      <c r="K336" s="291" t="s">
        <v>159</v>
      </c>
      <c r="L336" s="189">
        <v>0.316</v>
      </c>
      <c r="M336"/>
      <c r="N336" s="289"/>
      <c r="O336" s="289"/>
      <c r="P336" s="289"/>
      <c r="Q336" s="289"/>
    </row>
    <row r="337" spans="2:17">
      <c r="B337" s="288" t="s">
        <v>160</v>
      </c>
      <c r="C337" s="278">
        <v>20.86</v>
      </c>
      <c r="D337" s="289"/>
      <c r="E337" s="289"/>
      <c r="F337" s="289"/>
      <c r="G337" s="289"/>
      <c r="H337" s="289"/>
      <c r="I337" s="289"/>
      <c r="J337" s="289"/>
      <c r="K337" s="291" t="s">
        <v>160</v>
      </c>
      <c r="L337" s="189">
        <v>0.316</v>
      </c>
      <c r="M337"/>
      <c r="N337" s="289"/>
      <c r="O337" s="289"/>
      <c r="P337" s="289"/>
      <c r="Q337" s="289"/>
    </row>
    <row r="338" spans="2:17">
      <c r="B338" s="288" t="s">
        <v>161</v>
      </c>
      <c r="C338" s="278">
        <v>22.47</v>
      </c>
      <c r="D338" s="289"/>
      <c r="E338" s="289"/>
      <c r="F338" s="289"/>
      <c r="G338" s="289"/>
      <c r="H338" s="289"/>
      <c r="I338" s="289"/>
      <c r="J338" s="289"/>
      <c r="K338" s="291" t="s">
        <v>161</v>
      </c>
      <c r="L338" s="189">
        <v>0.34599999999999997</v>
      </c>
      <c r="M338"/>
      <c r="N338" s="289"/>
      <c r="O338" s="289"/>
      <c r="P338" s="289"/>
      <c r="Q338" s="289"/>
    </row>
    <row r="339" spans="2:17">
      <c r="B339" s="288" t="s">
        <v>162</v>
      </c>
      <c r="C339" s="278">
        <v>22.47</v>
      </c>
      <c r="D339" s="289"/>
      <c r="E339" s="289"/>
      <c r="F339" s="289"/>
      <c r="G339" s="289"/>
      <c r="H339" s="289"/>
      <c r="I339" s="289"/>
      <c r="J339" s="289"/>
      <c r="K339" s="291" t="s">
        <v>162</v>
      </c>
      <c r="L339" s="189">
        <v>0.34599999999999997</v>
      </c>
      <c r="M339"/>
      <c r="N339" s="289"/>
      <c r="O339" s="289"/>
      <c r="P339" s="289"/>
      <c r="Q339" s="289"/>
    </row>
    <row r="340" spans="2:17">
      <c r="B340" s="288" t="s">
        <v>163</v>
      </c>
      <c r="C340" s="278">
        <v>24.29</v>
      </c>
      <c r="D340" s="289"/>
      <c r="E340" s="289"/>
      <c r="F340" s="289"/>
      <c r="G340" s="289"/>
      <c r="H340" s="289"/>
      <c r="I340" s="289"/>
      <c r="J340" s="289"/>
      <c r="K340" s="291" t="s">
        <v>163</v>
      </c>
      <c r="L340" s="189">
        <v>0.37</v>
      </c>
      <c r="M340"/>
      <c r="N340" s="289"/>
      <c r="O340" s="289"/>
      <c r="P340" s="289"/>
      <c r="Q340" s="289"/>
    </row>
    <row r="341" spans="2:17">
      <c r="B341" s="288" t="s">
        <v>164</v>
      </c>
      <c r="C341" s="278">
        <v>13.089999999999998</v>
      </c>
      <c r="D341" s="289"/>
      <c r="E341" s="289"/>
      <c r="F341" s="289"/>
      <c r="G341" s="289"/>
      <c r="H341" s="289"/>
      <c r="I341" s="289"/>
      <c r="J341" s="289"/>
      <c r="K341" s="291" t="s">
        <v>164</v>
      </c>
      <c r="L341" s="189">
        <v>0.2</v>
      </c>
      <c r="M341"/>
      <c r="N341" s="289"/>
      <c r="O341" s="289"/>
      <c r="P341" s="289"/>
      <c r="Q341" s="289"/>
    </row>
    <row r="342" spans="2:17">
      <c r="B342" s="288" t="s">
        <v>165</v>
      </c>
      <c r="C342" s="190">
        <v>13.02</v>
      </c>
      <c r="D342" s="48"/>
      <c r="E342" s="48"/>
      <c r="F342" s="48"/>
      <c r="G342" s="289"/>
      <c r="H342" s="48"/>
      <c r="I342" s="48"/>
      <c r="J342" s="48"/>
      <c r="K342" s="291" t="s">
        <v>165</v>
      </c>
      <c r="L342" s="189">
        <v>0.216</v>
      </c>
      <c r="M342"/>
      <c r="N342" s="289"/>
      <c r="O342" s="289"/>
      <c r="P342" s="289"/>
      <c r="Q342" s="289"/>
    </row>
    <row r="343" spans="2:17">
      <c r="B343" s="288" t="s">
        <v>71</v>
      </c>
      <c r="C343" s="190">
        <v>13.79</v>
      </c>
      <c r="D343" s="48"/>
      <c r="E343" s="48"/>
      <c r="F343" s="48"/>
      <c r="G343" s="289"/>
      <c r="H343" s="48"/>
      <c r="I343" s="48"/>
      <c r="J343" s="48"/>
      <c r="K343" s="291" t="s">
        <v>71</v>
      </c>
      <c r="L343" s="189">
        <v>0.23100000000000001</v>
      </c>
      <c r="M343"/>
      <c r="N343" s="289"/>
      <c r="O343" s="289"/>
      <c r="P343" s="289"/>
      <c r="Q343" s="289"/>
    </row>
    <row r="344" spans="2:17">
      <c r="B344" s="288" t="s">
        <v>166</v>
      </c>
      <c r="C344" s="190">
        <v>14.77</v>
      </c>
      <c r="D344" s="48"/>
      <c r="E344" s="48"/>
      <c r="F344" s="48"/>
      <c r="G344" s="289"/>
      <c r="H344" s="48"/>
      <c r="I344" s="48"/>
      <c r="J344" s="48"/>
      <c r="K344" s="291" t="s">
        <v>166</v>
      </c>
      <c r="L344" s="189">
        <v>0.247</v>
      </c>
      <c r="M344"/>
      <c r="N344" s="289"/>
      <c r="O344" s="289"/>
      <c r="P344" s="289"/>
      <c r="Q344" s="289"/>
    </row>
    <row r="345" spans="2:17">
      <c r="B345" s="288" t="s">
        <v>90</v>
      </c>
      <c r="C345" s="278">
        <v>16.099999999999998</v>
      </c>
      <c r="D345" s="289"/>
      <c r="E345" s="289"/>
      <c r="F345" s="289"/>
      <c r="G345" s="289"/>
      <c r="H345" s="289"/>
      <c r="I345" s="289"/>
      <c r="J345" s="289"/>
      <c r="K345" s="291" t="s">
        <v>90</v>
      </c>
      <c r="L345" s="189">
        <v>0.26900000000000002</v>
      </c>
      <c r="M345"/>
      <c r="N345" s="289"/>
      <c r="O345" s="289"/>
      <c r="P345" s="289"/>
      <c r="Q345" s="289"/>
    </row>
    <row r="346" spans="2:17">
      <c r="B346" s="288" t="s">
        <v>86</v>
      </c>
      <c r="C346" s="278">
        <v>16.099999999999998</v>
      </c>
      <c r="D346" s="289"/>
      <c r="E346" s="289"/>
      <c r="F346" s="289"/>
      <c r="G346" s="289"/>
      <c r="H346" s="289"/>
      <c r="I346" s="289"/>
      <c r="J346" s="289"/>
      <c r="K346" s="291" t="s">
        <v>86</v>
      </c>
      <c r="L346" s="189">
        <v>0.26900000000000002</v>
      </c>
      <c r="M346"/>
      <c r="N346" s="289"/>
      <c r="O346" s="289"/>
      <c r="P346" s="289"/>
      <c r="Q346" s="289"/>
    </row>
    <row r="347" spans="2:17">
      <c r="B347" s="288" t="s">
        <v>167</v>
      </c>
      <c r="C347" s="278">
        <v>19.389999999999997</v>
      </c>
      <c r="D347" s="289"/>
      <c r="E347" s="289"/>
      <c r="F347" s="289"/>
      <c r="G347" s="289"/>
      <c r="H347" s="289"/>
      <c r="I347" s="289"/>
      <c r="J347" s="289"/>
      <c r="K347" s="291" t="s">
        <v>167</v>
      </c>
      <c r="L347" s="189">
        <v>0.3</v>
      </c>
      <c r="M347"/>
      <c r="N347" s="289"/>
      <c r="O347" s="289"/>
      <c r="P347" s="289"/>
      <c r="Q347" s="289"/>
    </row>
    <row r="348" spans="2:17">
      <c r="B348" s="288" t="s">
        <v>168</v>
      </c>
      <c r="C348" s="278">
        <v>19.389999999999997</v>
      </c>
      <c r="D348" s="289"/>
      <c r="E348" s="289"/>
      <c r="F348" s="289"/>
      <c r="G348" s="289"/>
      <c r="H348" s="289"/>
      <c r="I348" s="289"/>
      <c r="J348" s="289"/>
      <c r="K348" s="291" t="s">
        <v>168</v>
      </c>
      <c r="L348" s="189">
        <v>0.3</v>
      </c>
      <c r="M348"/>
      <c r="N348" s="289"/>
      <c r="O348" s="289"/>
      <c r="P348" s="289"/>
      <c r="Q348" s="289"/>
    </row>
    <row r="349" spans="2:17">
      <c r="B349" s="288" t="s">
        <v>169</v>
      </c>
      <c r="C349" s="278">
        <v>21.91</v>
      </c>
      <c r="D349" s="289"/>
      <c r="E349" s="289"/>
      <c r="F349" s="289"/>
      <c r="G349" s="289"/>
      <c r="H349" s="289"/>
      <c r="I349" s="289"/>
      <c r="J349" s="289"/>
      <c r="K349" s="291" t="s">
        <v>169</v>
      </c>
      <c r="L349" s="189">
        <v>0.33100000000000002</v>
      </c>
      <c r="M349"/>
      <c r="N349" s="289"/>
      <c r="O349" s="289"/>
      <c r="P349" s="289"/>
      <c r="Q349" s="289"/>
    </row>
    <row r="350" spans="2:17">
      <c r="B350" s="288" t="s">
        <v>170</v>
      </c>
      <c r="C350" s="278">
        <v>21.91</v>
      </c>
      <c r="D350" s="289"/>
      <c r="E350" s="289"/>
      <c r="F350" s="289"/>
      <c r="G350" s="289"/>
      <c r="H350" s="289"/>
      <c r="I350" s="289"/>
      <c r="J350" s="289"/>
      <c r="K350" s="291" t="s">
        <v>170</v>
      </c>
      <c r="L350" s="189">
        <v>0.33100000000000002</v>
      </c>
      <c r="M350"/>
      <c r="N350" s="289"/>
      <c r="O350" s="289"/>
      <c r="P350" s="289"/>
      <c r="Q350" s="289"/>
    </row>
    <row r="351" spans="2:17">
      <c r="B351" s="288" t="s">
        <v>171</v>
      </c>
      <c r="C351" s="278">
        <v>23.87</v>
      </c>
      <c r="D351" s="289"/>
      <c r="E351" s="289"/>
      <c r="F351" s="289"/>
      <c r="G351" s="289"/>
      <c r="H351" s="289"/>
      <c r="I351" s="289"/>
      <c r="J351" s="289"/>
      <c r="K351" s="291" t="s">
        <v>171</v>
      </c>
      <c r="L351" s="189">
        <v>0.36199999999999999</v>
      </c>
      <c r="M351"/>
      <c r="N351" s="289"/>
      <c r="O351" s="289"/>
      <c r="P351" s="289"/>
      <c r="Q351" s="289"/>
    </row>
    <row r="352" spans="2:17">
      <c r="B352" s="288" t="s">
        <v>172</v>
      </c>
      <c r="C352" s="278">
        <v>23.87</v>
      </c>
      <c r="D352" s="289"/>
      <c r="E352" s="289"/>
      <c r="F352" s="289"/>
      <c r="G352" s="289"/>
      <c r="H352" s="289"/>
      <c r="I352" s="289"/>
      <c r="J352" s="289"/>
      <c r="K352" s="291" t="s">
        <v>172</v>
      </c>
      <c r="L352" s="189">
        <v>0.36199999999999999</v>
      </c>
      <c r="M352"/>
      <c r="N352" s="289"/>
      <c r="O352" s="289"/>
      <c r="P352" s="289"/>
      <c r="Q352" s="289"/>
    </row>
    <row r="353" spans="2:17">
      <c r="B353" s="288" t="s">
        <v>173</v>
      </c>
      <c r="C353" s="278">
        <v>25.2</v>
      </c>
      <c r="D353" s="289"/>
      <c r="E353" s="289"/>
      <c r="F353" s="289"/>
      <c r="G353" s="289"/>
      <c r="H353" s="289"/>
      <c r="I353" s="289"/>
      <c r="J353" s="289"/>
      <c r="K353" s="291" t="s">
        <v>173</v>
      </c>
      <c r="L353" s="189">
        <v>0.38500000000000001</v>
      </c>
      <c r="M353"/>
      <c r="N353" s="289"/>
      <c r="O353" s="289"/>
      <c r="P353" s="289"/>
      <c r="Q353" s="289"/>
    </row>
    <row r="354" spans="2:17">
      <c r="B354" s="288" t="s">
        <v>174</v>
      </c>
      <c r="C354" s="278">
        <v>14.209999999999999</v>
      </c>
      <c r="D354" s="289"/>
      <c r="E354" s="289"/>
      <c r="F354" s="289"/>
      <c r="G354" s="289"/>
      <c r="H354" s="289"/>
      <c r="I354" s="289"/>
      <c r="J354" s="289"/>
      <c r="K354" s="291" t="s">
        <v>174</v>
      </c>
      <c r="L354" s="189">
        <v>0.216</v>
      </c>
      <c r="M354"/>
      <c r="N354" s="289"/>
      <c r="O354" s="289"/>
      <c r="P354" s="289"/>
      <c r="Q354" s="289"/>
    </row>
    <row r="355" spans="2:17">
      <c r="B355" s="288" t="s">
        <v>175</v>
      </c>
      <c r="C355" s="278">
        <v>15.049999999999999</v>
      </c>
      <c r="D355" s="289"/>
      <c r="E355" s="289"/>
      <c r="F355" s="289"/>
      <c r="G355" s="289"/>
      <c r="H355" s="289"/>
      <c r="I355" s="289"/>
      <c r="J355" s="289"/>
      <c r="K355" s="291" t="s">
        <v>175</v>
      </c>
      <c r="L355" s="189">
        <v>0.23100000000000001</v>
      </c>
      <c r="M355"/>
      <c r="N355" s="289"/>
      <c r="O355" s="289"/>
      <c r="P355" s="289"/>
      <c r="Q355" s="289"/>
    </row>
    <row r="356" spans="2:17">
      <c r="B356" s="288" t="s">
        <v>176</v>
      </c>
      <c r="C356" s="278">
        <v>16.099999999999998</v>
      </c>
      <c r="D356" s="289"/>
      <c r="E356" s="289"/>
      <c r="F356" s="289"/>
      <c r="G356" s="289"/>
      <c r="H356" s="289"/>
      <c r="I356" s="289"/>
      <c r="J356" s="289"/>
      <c r="K356" s="291" t="s">
        <v>176</v>
      </c>
      <c r="L356" s="189">
        <v>0.247</v>
      </c>
      <c r="M356"/>
      <c r="N356" s="289"/>
      <c r="O356" s="289"/>
      <c r="P356" s="289"/>
      <c r="Q356" s="289"/>
    </row>
    <row r="357" spans="2:17">
      <c r="B357" s="288" t="s">
        <v>92</v>
      </c>
      <c r="C357" s="278">
        <v>17.079999999999998</v>
      </c>
      <c r="D357" s="289"/>
      <c r="E357" s="289"/>
      <c r="F357" s="289"/>
      <c r="G357" s="289"/>
      <c r="H357" s="289"/>
      <c r="I357" s="289"/>
      <c r="J357" s="289"/>
      <c r="K357" s="291" t="s">
        <v>92</v>
      </c>
      <c r="L357" s="189">
        <v>0.26200000000000001</v>
      </c>
      <c r="M357"/>
      <c r="N357" s="289"/>
      <c r="O357" s="289"/>
      <c r="P357" s="289"/>
      <c r="Q357" s="289"/>
    </row>
    <row r="358" spans="2:17">
      <c r="B358" s="288" t="s">
        <v>177</v>
      </c>
      <c r="C358" s="278">
        <v>18.689999999999998</v>
      </c>
      <c r="D358" s="289"/>
      <c r="E358" s="289"/>
      <c r="F358" s="289"/>
      <c r="G358" s="289"/>
      <c r="H358" s="289"/>
      <c r="I358" s="289"/>
      <c r="J358" s="289"/>
      <c r="K358" s="291" t="s">
        <v>177</v>
      </c>
      <c r="L358" s="189">
        <v>0.28499999999999998</v>
      </c>
      <c r="M358"/>
      <c r="N358" s="289"/>
      <c r="O358" s="289"/>
      <c r="P358" s="289"/>
      <c r="Q358" s="289"/>
    </row>
    <row r="359" spans="2:17">
      <c r="B359" s="288" t="s">
        <v>89</v>
      </c>
      <c r="C359" s="278">
        <v>18.689999999999998</v>
      </c>
      <c r="D359" s="289"/>
      <c r="E359" s="289"/>
      <c r="F359" s="289"/>
      <c r="G359" s="289"/>
      <c r="H359" s="289"/>
      <c r="I359" s="289"/>
      <c r="J359" s="289"/>
      <c r="K359" s="291" t="s">
        <v>89</v>
      </c>
      <c r="L359" s="189">
        <v>0.28499999999999998</v>
      </c>
      <c r="M359"/>
      <c r="N359" s="289"/>
      <c r="O359" s="289"/>
      <c r="P359" s="289"/>
      <c r="Q359" s="289"/>
    </row>
    <row r="360" spans="2:17">
      <c r="B360" s="288" t="s">
        <v>178</v>
      </c>
      <c r="C360" s="278">
        <v>20.86</v>
      </c>
      <c r="D360" s="289"/>
      <c r="E360" s="289"/>
      <c r="F360" s="289"/>
      <c r="G360" s="289"/>
      <c r="H360" s="289"/>
      <c r="I360" s="289"/>
      <c r="J360" s="289"/>
      <c r="K360" s="291" t="s">
        <v>178</v>
      </c>
      <c r="L360" s="189">
        <v>0.316</v>
      </c>
      <c r="M360"/>
      <c r="N360" s="289"/>
      <c r="O360" s="289"/>
      <c r="P360" s="289"/>
      <c r="Q360" s="289"/>
    </row>
    <row r="361" spans="2:17">
      <c r="B361" s="288" t="s">
        <v>179</v>
      </c>
      <c r="C361" s="278">
        <v>20.86</v>
      </c>
      <c r="D361" s="289"/>
      <c r="E361" s="289"/>
      <c r="F361" s="289"/>
      <c r="G361" s="289"/>
      <c r="H361" s="289"/>
      <c r="I361" s="289"/>
      <c r="J361" s="289"/>
      <c r="K361" s="291" t="s">
        <v>179</v>
      </c>
      <c r="L361" s="189">
        <v>0.316</v>
      </c>
      <c r="M361"/>
      <c r="N361" s="289"/>
      <c r="O361" s="289"/>
      <c r="P361" s="289"/>
      <c r="Q361" s="289"/>
    </row>
    <row r="362" spans="2:17">
      <c r="B362" s="288" t="s">
        <v>180</v>
      </c>
      <c r="C362" s="278">
        <v>22.47</v>
      </c>
      <c r="D362" s="289"/>
      <c r="E362" s="289"/>
      <c r="F362" s="289"/>
      <c r="G362" s="289"/>
      <c r="H362" s="289"/>
      <c r="I362" s="289"/>
      <c r="J362" s="289"/>
      <c r="K362" s="291" t="s">
        <v>180</v>
      </c>
      <c r="L362" s="189">
        <v>0.34599999999999997</v>
      </c>
      <c r="M362"/>
      <c r="N362" s="289"/>
      <c r="O362" s="289"/>
      <c r="P362" s="289"/>
      <c r="Q362" s="289"/>
    </row>
    <row r="363" spans="2:17">
      <c r="B363" s="288" t="s">
        <v>181</v>
      </c>
      <c r="C363" s="278">
        <v>22.47</v>
      </c>
      <c r="D363" s="289"/>
      <c r="E363" s="289"/>
      <c r="F363" s="289"/>
      <c r="G363" s="289"/>
      <c r="H363" s="289"/>
      <c r="I363" s="289"/>
      <c r="J363" s="289"/>
      <c r="K363" s="291" t="s">
        <v>181</v>
      </c>
      <c r="L363" s="189">
        <v>0.34599999999999997</v>
      </c>
      <c r="M363"/>
      <c r="N363" s="289"/>
      <c r="O363" s="289"/>
      <c r="P363" s="289"/>
      <c r="Q363" s="289"/>
    </row>
    <row r="364" spans="2:17">
      <c r="B364" s="288" t="s">
        <v>182</v>
      </c>
      <c r="C364" s="278">
        <v>24.990000000000002</v>
      </c>
      <c r="D364" s="289"/>
      <c r="E364" s="289"/>
      <c r="F364" s="289"/>
      <c r="G364" s="289"/>
      <c r="H364" s="289"/>
      <c r="I364" s="289"/>
      <c r="J364" s="289"/>
      <c r="K364" s="291" t="s">
        <v>182</v>
      </c>
      <c r="L364" s="189">
        <v>0.377</v>
      </c>
      <c r="M364"/>
      <c r="N364" s="289"/>
      <c r="O364" s="289"/>
      <c r="P364" s="289"/>
      <c r="Q364" s="289"/>
    </row>
    <row r="365" spans="2:17">
      <c r="B365" s="288" t="s">
        <v>183</v>
      </c>
      <c r="C365" s="278">
        <v>24.990000000000002</v>
      </c>
      <c r="D365" s="289"/>
      <c r="E365" s="289"/>
      <c r="F365" s="289"/>
      <c r="G365" s="289"/>
      <c r="H365" s="289"/>
      <c r="I365" s="289"/>
      <c r="J365" s="289"/>
      <c r="K365" s="291" t="s">
        <v>183</v>
      </c>
      <c r="L365" s="189">
        <v>0.377</v>
      </c>
      <c r="M365"/>
      <c r="N365" s="289"/>
      <c r="O365" s="289"/>
      <c r="P365" s="289"/>
      <c r="Q365" s="289"/>
    </row>
    <row r="366" spans="2:17">
      <c r="B366" s="288" t="s">
        <v>184</v>
      </c>
      <c r="C366" s="278">
        <v>26.25</v>
      </c>
      <c r="D366" s="289"/>
      <c r="E366" s="289"/>
      <c r="F366" s="289"/>
      <c r="G366" s="289"/>
      <c r="H366" s="289"/>
      <c r="I366" s="289"/>
      <c r="J366" s="289"/>
      <c r="K366" s="291" t="s">
        <v>184</v>
      </c>
      <c r="L366" s="189">
        <v>0.4</v>
      </c>
      <c r="M366"/>
      <c r="N366" s="289"/>
      <c r="O366" s="289"/>
      <c r="P366" s="289"/>
      <c r="Q366" s="289"/>
    </row>
    <row r="367" spans="2:17">
      <c r="B367" s="288" t="s">
        <v>185</v>
      </c>
      <c r="C367" s="278">
        <v>15.049999999999999</v>
      </c>
      <c r="D367" s="289"/>
      <c r="E367" s="289"/>
      <c r="F367" s="289"/>
      <c r="G367" s="289"/>
      <c r="H367" s="289"/>
      <c r="I367" s="289"/>
      <c r="J367" s="289"/>
      <c r="K367" s="291" t="s">
        <v>185</v>
      </c>
      <c r="L367" s="189">
        <v>0.23100000000000001</v>
      </c>
      <c r="M367"/>
      <c r="N367" s="289"/>
      <c r="O367" s="289"/>
      <c r="P367" s="289"/>
      <c r="Q367" s="289"/>
    </row>
    <row r="368" spans="2:17">
      <c r="B368" s="288" t="s">
        <v>186</v>
      </c>
      <c r="C368" s="278">
        <v>16.099999999999998</v>
      </c>
      <c r="D368" s="289"/>
      <c r="E368" s="289"/>
      <c r="F368" s="289"/>
      <c r="G368" s="289"/>
      <c r="H368" s="289"/>
      <c r="I368" s="289"/>
      <c r="J368" s="289"/>
      <c r="K368" s="291" t="s">
        <v>186</v>
      </c>
      <c r="L368" s="189">
        <v>0.247</v>
      </c>
      <c r="M368"/>
      <c r="N368" s="289"/>
      <c r="O368" s="289"/>
      <c r="P368" s="289"/>
      <c r="Q368" s="289"/>
    </row>
    <row r="369" spans="2:17">
      <c r="B369" s="288" t="s">
        <v>187</v>
      </c>
      <c r="C369" s="278">
        <v>17.079999999999998</v>
      </c>
      <c r="D369" s="289"/>
      <c r="E369" s="289"/>
      <c r="F369" s="289"/>
      <c r="G369" s="289"/>
      <c r="H369" s="289"/>
      <c r="I369" s="289"/>
      <c r="J369" s="289"/>
      <c r="K369" s="291" t="s">
        <v>187</v>
      </c>
      <c r="L369" s="189">
        <v>0.26200000000000001</v>
      </c>
      <c r="M369"/>
      <c r="N369" s="289"/>
      <c r="O369" s="289"/>
      <c r="P369" s="289"/>
      <c r="Q369" s="289"/>
    </row>
    <row r="370" spans="2:17">
      <c r="B370" s="288" t="s">
        <v>94</v>
      </c>
      <c r="C370" s="278">
        <v>18.13</v>
      </c>
      <c r="D370" s="289"/>
      <c r="E370" s="289"/>
      <c r="F370" s="289"/>
      <c r="G370" s="289"/>
      <c r="H370" s="289"/>
      <c r="I370" s="289"/>
      <c r="J370" s="289"/>
      <c r="K370" s="291" t="s">
        <v>94</v>
      </c>
      <c r="L370" s="189">
        <v>0.27800000000000002</v>
      </c>
      <c r="M370"/>
      <c r="N370" s="289"/>
      <c r="O370" s="289"/>
      <c r="P370" s="289"/>
      <c r="Q370" s="289"/>
    </row>
    <row r="371" spans="2:17">
      <c r="B371" s="288" t="s">
        <v>188</v>
      </c>
      <c r="C371" s="278">
        <v>19.389999999999997</v>
      </c>
      <c r="D371" s="289"/>
      <c r="E371" s="289"/>
      <c r="F371" s="289"/>
      <c r="G371" s="289"/>
      <c r="H371" s="289"/>
      <c r="I371" s="289"/>
      <c r="J371" s="289"/>
      <c r="K371" s="291" t="s">
        <v>188</v>
      </c>
      <c r="L371" s="189">
        <v>0.3</v>
      </c>
      <c r="M371"/>
      <c r="N371" s="289"/>
      <c r="O371" s="289"/>
      <c r="P371" s="289"/>
      <c r="Q371" s="289"/>
    </row>
    <row r="372" spans="2:17">
      <c r="B372" s="288" t="s">
        <v>96</v>
      </c>
      <c r="C372" s="278">
        <v>19.389999999999997</v>
      </c>
      <c r="D372" s="289"/>
      <c r="E372" s="289"/>
      <c r="F372" s="289"/>
      <c r="G372" s="289"/>
      <c r="H372" s="289"/>
      <c r="I372" s="289"/>
      <c r="J372" s="289"/>
      <c r="K372" s="291" t="s">
        <v>96</v>
      </c>
      <c r="L372" s="189">
        <v>0.3</v>
      </c>
      <c r="M372"/>
      <c r="N372" s="289"/>
      <c r="O372" s="289"/>
      <c r="P372" s="289"/>
      <c r="Q372" s="289"/>
    </row>
    <row r="373" spans="2:17">
      <c r="B373" s="288" t="s">
        <v>104</v>
      </c>
      <c r="C373" s="278">
        <v>21.91</v>
      </c>
      <c r="D373" s="289"/>
      <c r="E373" s="289"/>
      <c r="F373" s="289"/>
      <c r="G373" s="289"/>
      <c r="H373" s="289"/>
      <c r="I373" s="289"/>
      <c r="J373" s="289"/>
      <c r="K373" s="291" t="s">
        <v>104</v>
      </c>
      <c r="L373" s="189">
        <v>0.33100000000000002</v>
      </c>
      <c r="M373"/>
      <c r="N373" s="289"/>
      <c r="O373" s="289"/>
      <c r="P373" s="289"/>
      <c r="Q373" s="289"/>
    </row>
    <row r="374" spans="2:17">
      <c r="B374" s="288" t="s">
        <v>189</v>
      </c>
      <c r="C374" s="278">
        <v>21.91</v>
      </c>
      <c r="D374" s="289"/>
      <c r="E374" s="289"/>
      <c r="F374" s="289"/>
      <c r="G374" s="289"/>
      <c r="H374" s="289"/>
      <c r="I374" s="289"/>
      <c r="J374" s="289"/>
      <c r="K374" s="291" t="s">
        <v>189</v>
      </c>
      <c r="L374" s="189">
        <v>0.33100000000000002</v>
      </c>
      <c r="M374"/>
      <c r="N374" s="289"/>
      <c r="O374" s="289"/>
      <c r="P374" s="289"/>
      <c r="Q374" s="289"/>
    </row>
    <row r="375" spans="2:17">
      <c r="B375" s="288" t="s">
        <v>190</v>
      </c>
      <c r="C375" s="278">
        <v>23.87</v>
      </c>
      <c r="D375" s="289"/>
      <c r="E375" s="289"/>
      <c r="F375" s="289"/>
      <c r="G375" s="289"/>
      <c r="H375" s="289"/>
      <c r="I375" s="289"/>
      <c r="J375" s="289"/>
      <c r="K375" s="291" t="s">
        <v>190</v>
      </c>
      <c r="L375" s="189">
        <v>0.36199999999999999</v>
      </c>
      <c r="M375"/>
      <c r="N375" s="289"/>
      <c r="O375" s="289"/>
      <c r="P375" s="289"/>
      <c r="Q375" s="289"/>
    </row>
    <row r="376" spans="2:17">
      <c r="B376" s="288" t="s">
        <v>51</v>
      </c>
      <c r="C376" s="278">
        <v>23.87</v>
      </c>
      <c r="D376" s="289"/>
      <c r="E376" s="289"/>
      <c r="F376" s="289"/>
      <c r="G376" s="289"/>
      <c r="H376" s="289"/>
      <c r="I376" s="289"/>
      <c r="J376" s="289"/>
      <c r="K376" s="291" t="s">
        <v>51</v>
      </c>
      <c r="L376" s="189">
        <v>0.36199999999999999</v>
      </c>
      <c r="M376"/>
      <c r="N376" s="289"/>
      <c r="O376" s="289"/>
      <c r="P376" s="289"/>
      <c r="Q376" s="289"/>
    </row>
    <row r="377" spans="2:17">
      <c r="B377" s="288" t="s">
        <v>191</v>
      </c>
      <c r="C377" s="278">
        <v>25.69</v>
      </c>
      <c r="D377" s="289"/>
      <c r="E377" s="289"/>
      <c r="F377" s="289"/>
      <c r="G377" s="289"/>
      <c r="H377" s="289"/>
      <c r="I377" s="289"/>
      <c r="J377" s="289"/>
      <c r="K377" s="291" t="s">
        <v>191</v>
      </c>
      <c r="L377" s="189">
        <v>0.39200000000000002</v>
      </c>
      <c r="M377"/>
      <c r="N377" s="289"/>
      <c r="O377" s="289"/>
      <c r="P377" s="289"/>
      <c r="Q377" s="289"/>
    </row>
    <row r="378" spans="2:17">
      <c r="B378" s="288" t="s">
        <v>192</v>
      </c>
      <c r="C378" s="278">
        <v>25.69</v>
      </c>
      <c r="D378" s="289"/>
      <c r="E378" s="289"/>
      <c r="F378" s="289"/>
      <c r="G378" s="289"/>
      <c r="H378" s="289"/>
      <c r="I378" s="289"/>
      <c r="J378" s="289"/>
      <c r="K378" s="291" t="s">
        <v>192</v>
      </c>
      <c r="L378" s="189">
        <v>0.39200000000000002</v>
      </c>
      <c r="M378"/>
      <c r="N378" s="289"/>
      <c r="O378" s="289"/>
      <c r="P378" s="289"/>
      <c r="Q378" s="289"/>
    </row>
    <row r="379" spans="2:17">
      <c r="B379" s="288" t="s">
        <v>193</v>
      </c>
      <c r="C379" s="278">
        <v>27.229999999999997</v>
      </c>
      <c r="D379" s="289"/>
      <c r="E379" s="289"/>
      <c r="F379" s="289"/>
      <c r="G379" s="289"/>
      <c r="H379" s="289"/>
      <c r="I379" s="289"/>
      <c r="J379" s="289"/>
      <c r="K379" s="291" t="s">
        <v>193</v>
      </c>
      <c r="L379" s="189">
        <v>0.41499999999999998</v>
      </c>
      <c r="M379"/>
      <c r="N379" s="289"/>
      <c r="O379" s="289"/>
      <c r="P379" s="289"/>
      <c r="Q379" s="289"/>
    </row>
    <row r="380" spans="2:17">
      <c r="B380" s="294" t="s">
        <v>194</v>
      </c>
      <c r="C380" s="278">
        <v>7.77</v>
      </c>
      <c r="D380" s="289"/>
      <c r="E380" s="289"/>
      <c r="F380" s="289"/>
      <c r="G380" s="295"/>
      <c r="H380" s="289"/>
      <c r="I380" s="289"/>
      <c r="J380" s="289"/>
      <c r="K380" s="294" t="s">
        <v>194</v>
      </c>
      <c r="L380" s="212">
        <v>0.121</v>
      </c>
      <c r="M380" s="48"/>
      <c r="N380" s="295"/>
      <c r="O380" s="295"/>
      <c r="P380" s="295"/>
      <c r="Q380" s="295"/>
    </row>
    <row r="381" spans="2:17">
      <c r="B381" s="294" t="s">
        <v>195</v>
      </c>
      <c r="C381" s="278">
        <v>13.089999999999998</v>
      </c>
      <c r="D381" s="289"/>
      <c r="E381" s="289"/>
      <c r="F381" s="289"/>
      <c r="G381" s="295"/>
      <c r="H381" s="289"/>
      <c r="I381" s="289"/>
      <c r="J381" s="289"/>
      <c r="K381" s="294" t="s">
        <v>195</v>
      </c>
      <c r="L381" s="189">
        <v>0.2</v>
      </c>
      <c r="M381"/>
      <c r="N381" s="295"/>
      <c r="O381" s="295"/>
      <c r="P381" s="295"/>
      <c r="Q381" s="295"/>
    </row>
    <row r="382" spans="2:17">
      <c r="B382" s="288" t="s">
        <v>196</v>
      </c>
      <c r="C382" s="278">
        <v>16.099999999999998</v>
      </c>
      <c r="D382" s="289"/>
      <c r="E382" s="289"/>
      <c r="F382" s="289"/>
      <c r="G382" s="289"/>
      <c r="H382" s="289"/>
      <c r="I382" s="289"/>
      <c r="J382" s="289"/>
      <c r="K382" s="291" t="s">
        <v>196</v>
      </c>
      <c r="L382" s="189">
        <v>0.247</v>
      </c>
      <c r="M382"/>
      <c r="N382" s="289"/>
      <c r="O382" s="289"/>
      <c r="P382" s="289"/>
      <c r="Q382" s="289"/>
    </row>
    <row r="383" spans="2:17">
      <c r="B383" s="288" t="s">
        <v>197</v>
      </c>
      <c r="C383" s="278">
        <v>17.079999999999998</v>
      </c>
      <c r="D383" s="289"/>
      <c r="E383" s="289"/>
      <c r="F383" s="289"/>
      <c r="G383" s="289"/>
      <c r="H383" s="289"/>
      <c r="I383" s="289"/>
      <c r="J383" s="289"/>
      <c r="K383" s="189" t="s">
        <v>197</v>
      </c>
      <c r="L383" s="189">
        <v>0.26200000000000001</v>
      </c>
      <c r="M383"/>
    </row>
    <row r="384" spans="2:17">
      <c r="B384" s="288" t="s">
        <v>198</v>
      </c>
      <c r="C384" s="278">
        <v>18.13</v>
      </c>
      <c r="D384" s="289"/>
      <c r="E384" s="289"/>
      <c r="F384" s="289"/>
      <c r="G384" s="289"/>
      <c r="H384" s="289"/>
      <c r="I384" s="289"/>
      <c r="J384" s="289"/>
      <c r="K384" s="291" t="s">
        <v>198</v>
      </c>
      <c r="L384" s="189">
        <v>0.27800000000000002</v>
      </c>
      <c r="M384"/>
      <c r="N384" s="289"/>
      <c r="O384" s="289"/>
      <c r="P384" s="289"/>
      <c r="Q384" s="289"/>
    </row>
    <row r="385" spans="2:17">
      <c r="B385" s="288" t="s">
        <v>98</v>
      </c>
      <c r="C385" s="278">
        <v>19.11</v>
      </c>
      <c r="D385" s="289"/>
      <c r="E385" s="289"/>
      <c r="F385" s="289"/>
      <c r="G385" s="289"/>
      <c r="H385" s="289"/>
      <c r="I385" s="289"/>
      <c r="J385" s="289"/>
      <c r="K385" s="189" t="s">
        <v>98</v>
      </c>
      <c r="L385" s="189">
        <v>0.29199999999999998</v>
      </c>
      <c r="M385"/>
    </row>
    <row r="386" spans="2:17">
      <c r="B386" s="288" t="s">
        <v>199</v>
      </c>
      <c r="C386" s="278">
        <v>20.86</v>
      </c>
      <c r="D386" s="289"/>
      <c r="E386" s="289"/>
      <c r="F386" s="289"/>
      <c r="G386" s="289"/>
      <c r="H386" s="289"/>
      <c r="I386" s="289"/>
      <c r="J386" s="289"/>
      <c r="K386" s="291" t="s">
        <v>199</v>
      </c>
      <c r="L386" s="189">
        <v>0.316</v>
      </c>
      <c r="M386"/>
      <c r="N386" s="289"/>
      <c r="O386" s="289"/>
      <c r="P386" s="289"/>
      <c r="Q386" s="289"/>
    </row>
    <row r="387" spans="2:17">
      <c r="B387" s="288" t="s">
        <v>200</v>
      </c>
      <c r="C387" s="278">
        <v>20.86</v>
      </c>
      <c r="D387" s="289"/>
      <c r="E387" s="289"/>
      <c r="F387" s="289"/>
      <c r="G387" s="289"/>
      <c r="H387" s="289"/>
      <c r="I387" s="289"/>
      <c r="J387" s="289"/>
      <c r="K387" s="189" t="s">
        <v>200</v>
      </c>
      <c r="L387" s="189">
        <v>0.316</v>
      </c>
      <c r="M387"/>
    </row>
    <row r="388" spans="2:17">
      <c r="B388" s="288" t="s">
        <v>201</v>
      </c>
      <c r="C388" s="278">
        <v>22.47</v>
      </c>
      <c r="D388" s="289"/>
      <c r="E388" s="289"/>
      <c r="F388" s="289"/>
      <c r="G388" s="289"/>
      <c r="H388" s="289"/>
      <c r="I388" s="289"/>
      <c r="J388" s="289"/>
      <c r="K388" s="291" t="s">
        <v>201</v>
      </c>
      <c r="L388" s="189">
        <v>0.34599999999999997</v>
      </c>
      <c r="M388"/>
      <c r="N388" s="289"/>
      <c r="O388" s="289"/>
      <c r="P388" s="289"/>
      <c r="Q388" s="289"/>
    </row>
    <row r="389" spans="2:17">
      <c r="B389" s="288" t="s">
        <v>202</v>
      </c>
      <c r="C389" s="278">
        <v>22.47</v>
      </c>
      <c r="D389" s="289"/>
      <c r="E389" s="289"/>
      <c r="F389" s="289"/>
      <c r="G389" s="289"/>
      <c r="H389" s="289"/>
      <c r="I389" s="289"/>
      <c r="J389" s="289"/>
      <c r="K389" s="291" t="s">
        <v>202</v>
      </c>
      <c r="L389" s="189">
        <v>0.34599999999999997</v>
      </c>
      <c r="M389"/>
      <c r="N389" s="289"/>
      <c r="O389" s="289"/>
      <c r="P389" s="289"/>
      <c r="Q389" s="289"/>
    </row>
    <row r="390" spans="2:17">
      <c r="B390" s="288" t="s">
        <v>84</v>
      </c>
      <c r="C390" s="278">
        <v>24.990000000000002</v>
      </c>
      <c r="D390" s="289"/>
      <c r="E390" s="289"/>
      <c r="F390" s="289"/>
      <c r="G390" s="289"/>
      <c r="H390" s="289"/>
      <c r="I390" s="289"/>
      <c r="J390" s="289"/>
      <c r="K390" s="189" t="s">
        <v>84</v>
      </c>
      <c r="L390" s="189">
        <v>0.377</v>
      </c>
      <c r="M390"/>
    </row>
    <row r="391" spans="2:17">
      <c r="B391" s="288" t="s">
        <v>203</v>
      </c>
      <c r="C391" s="278">
        <v>24.990000000000002</v>
      </c>
      <c r="D391" s="289"/>
      <c r="E391" s="289"/>
      <c r="F391" s="289"/>
      <c r="G391" s="289"/>
      <c r="H391" s="289"/>
      <c r="I391" s="289"/>
      <c r="J391" s="289"/>
      <c r="K391" s="291" t="s">
        <v>203</v>
      </c>
      <c r="L391" s="189">
        <v>0.377</v>
      </c>
      <c r="M391"/>
      <c r="N391" s="289"/>
      <c r="O391" s="289"/>
      <c r="P391" s="289"/>
      <c r="Q391" s="289"/>
    </row>
    <row r="392" spans="2:17">
      <c r="B392" s="288" t="s">
        <v>204</v>
      </c>
      <c r="C392" s="278">
        <v>26.740000000000002</v>
      </c>
      <c r="D392" s="289"/>
      <c r="E392" s="289"/>
      <c r="F392" s="289"/>
      <c r="G392" s="289"/>
      <c r="H392" s="289"/>
      <c r="I392" s="289"/>
      <c r="J392" s="289"/>
      <c r="K392" s="291" t="s">
        <v>204</v>
      </c>
      <c r="L392" s="189">
        <v>0.40699999999999997</v>
      </c>
      <c r="M392"/>
      <c r="N392" s="289"/>
      <c r="O392" s="289"/>
      <c r="P392" s="289"/>
      <c r="Q392" s="289"/>
    </row>
    <row r="393" spans="2:17">
      <c r="B393" s="288" t="s">
        <v>205</v>
      </c>
      <c r="C393" s="278">
        <v>26.740000000000002</v>
      </c>
      <c r="D393" s="289"/>
      <c r="E393" s="289"/>
      <c r="F393" s="289"/>
      <c r="G393" s="289"/>
      <c r="H393" s="289"/>
      <c r="I393" s="289"/>
      <c r="J393" s="289"/>
      <c r="K393" s="291" t="s">
        <v>205</v>
      </c>
      <c r="L393" s="189">
        <v>0.40699999999999997</v>
      </c>
      <c r="M393"/>
      <c r="N393" s="289"/>
      <c r="O393" s="289"/>
      <c r="P393" s="289"/>
      <c r="Q393" s="289"/>
    </row>
    <row r="394" spans="2:17">
      <c r="B394" s="288" t="s">
        <v>206</v>
      </c>
      <c r="C394" s="278">
        <v>27.859999999999996</v>
      </c>
      <c r="D394" s="289"/>
      <c r="E394" s="289"/>
      <c r="F394" s="289"/>
      <c r="G394" s="289"/>
      <c r="H394" s="289"/>
      <c r="I394" s="289"/>
      <c r="J394" s="289"/>
      <c r="K394" s="291" t="s">
        <v>206</v>
      </c>
      <c r="L394" s="189">
        <v>0.43099999999999999</v>
      </c>
      <c r="M394"/>
      <c r="N394" s="289"/>
      <c r="O394" s="289"/>
      <c r="P394" s="289"/>
      <c r="Q394" s="289"/>
    </row>
    <row r="395" spans="2:17">
      <c r="B395" s="288" t="s">
        <v>207</v>
      </c>
      <c r="C395" s="278">
        <v>17.079999999999998</v>
      </c>
      <c r="D395" s="289"/>
      <c r="E395" s="289"/>
      <c r="F395" s="289"/>
      <c r="G395" s="289"/>
      <c r="H395" s="289"/>
      <c r="I395" s="289"/>
      <c r="J395" s="289"/>
      <c r="K395" s="291" t="s">
        <v>164</v>
      </c>
      <c r="L395" s="189">
        <v>0.26200000000000001</v>
      </c>
      <c r="M395"/>
      <c r="N395" s="289"/>
      <c r="O395" s="289"/>
      <c r="P395" s="289"/>
      <c r="Q395" s="289"/>
    </row>
    <row r="396" spans="2:17">
      <c r="B396" s="288" t="s">
        <v>208</v>
      </c>
      <c r="C396" s="278">
        <v>18.13</v>
      </c>
      <c r="D396" s="289"/>
      <c r="E396" s="289"/>
      <c r="F396" s="289"/>
      <c r="G396" s="289"/>
      <c r="H396" s="289"/>
      <c r="I396" s="289"/>
      <c r="J396" s="289"/>
      <c r="K396" s="291" t="s">
        <v>165</v>
      </c>
      <c r="L396" s="189">
        <v>0.27800000000000002</v>
      </c>
      <c r="M396"/>
      <c r="N396" s="289"/>
      <c r="O396" s="289"/>
      <c r="P396" s="289"/>
      <c r="Q396" s="289"/>
    </row>
    <row r="397" spans="2:17">
      <c r="B397" s="288" t="s">
        <v>209</v>
      </c>
      <c r="C397" s="278">
        <v>19.11</v>
      </c>
      <c r="D397" s="289"/>
      <c r="E397" s="289"/>
      <c r="F397" s="289"/>
      <c r="G397" s="289"/>
      <c r="H397" s="289"/>
      <c r="I397" s="289"/>
      <c r="J397" s="289"/>
      <c r="K397" s="291" t="s">
        <v>71</v>
      </c>
      <c r="L397" s="189">
        <v>0.29199999999999998</v>
      </c>
      <c r="M397"/>
      <c r="N397" s="289"/>
      <c r="O397" s="289"/>
      <c r="P397" s="289"/>
      <c r="Q397" s="289"/>
    </row>
    <row r="398" spans="2:17">
      <c r="B398" s="288" t="s">
        <v>87</v>
      </c>
      <c r="C398" s="278">
        <v>20.229999999999997</v>
      </c>
      <c r="D398" s="289"/>
      <c r="E398" s="289"/>
      <c r="F398" s="289"/>
      <c r="G398" s="289"/>
      <c r="H398" s="289"/>
      <c r="I398" s="289"/>
      <c r="J398" s="289"/>
      <c r="K398" s="291" t="s">
        <v>166</v>
      </c>
      <c r="L398" s="189">
        <v>0.308</v>
      </c>
      <c r="M398"/>
      <c r="N398" s="289"/>
      <c r="O398" s="289"/>
      <c r="P398" s="289"/>
      <c r="Q398" s="289"/>
    </row>
    <row r="399" spans="2:17">
      <c r="B399" s="288" t="s">
        <v>210</v>
      </c>
      <c r="C399" s="278">
        <v>21.91</v>
      </c>
      <c r="D399" s="289"/>
      <c r="E399" s="289"/>
      <c r="F399" s="289"/>
      <c r="G399" s="289"/>
      <c r="H399" s="289"/>
      <c r="I399" s="289"/>
      <c r="J399" s="289"/>
      <c r="K399" s="291" t="s">
        <v>90</v>
      </c>
      <c r="L399" s="189">
        <v>0.33100000000000002</v>
      </c>
      <c r="M399"/>
      <c r="N399" s="289"/>
      <c r="O399" s="289"/>
      <c r="P399" s="289"/>
      <c r="Q399" s="289"/>
    </row>
    <row r="400" spans="2:17">
      <c r="B400" s="288" t="s">
        <v>211</v>
      </c>
      <c r="C400" s="278">
        <v>21.91</v>
      </c>
      <c r="D400" s="289"/>
      <c r="E400" s="289"/>
      <c r="F400" s="289"/>
      <c r="G400" s="289"/>
      <c r="H400" s="289"/>
      <c r="I400" s="289"/>
      <c r="J400" s="289"/>
      <c r="K400" s="291" t="s">
        <v>86</v>
      </c>
      <c r="L400" s="189">
        <v>0.33100000000000002</v>
      </c>
      <c r="M400"/>
      <c r="N400" s="289"/>
      <c r="O400" s="289"/>
      <c r="P400" s="289"/>
      <c r="Q400" s="289"/>
    </row>
    <row r="401" spans="2:17">
      <c r="B401" s="288" t="s">
        <v>212</v>
      </c>
      <c r="C401" s="278">
        <v>23.87</v>
      </c>
      <c r="D401" s="289"/>
      <c r="E401" s="289"/>
      <c r="F401" s="289"/>
      <c r="G401" s="289"/>
      <c r="H401" s="289"/>
      <c r="I401" s="289"/>
      <c r="J401" s="289"/>
      <c r="K401" s="291" t="s">
        <v>167</v>
      </c>
      <c r="L401" s="189">
        <v>0.36199999999999999</v>
      </c>
      <c r="M401"/>
      <c r="N401" s="289"/>
      <c r="O401" s="289"/>
      <c r="P401" s="289"/>
      <c r="Q401" s="289"/>
    </row>
    <row r="402" spans="2:17">
      <c r="B402" s="288" t="s">
        <v>213</v>
      </c>
      <c r="C402" s="278">
        <v>23.87</v>
      </c>
      <c r="D402" s="289"/>
      <c r="E402" s="289"/>
      <c r="F402" s="289"/>
      <c r="G402" s="289"/>
      <c r="H402" s="289"/>
      <c r="I402" s="289"/>
      <c r="J402" s="289"/>
      <c r="K402" s="291" t="s">
        <v>168</v>
      </c>
      <c r="L402" s="189">
        <v>0.36199999999999999</v>
      </c>
      <c r="M402"/>
      <c r="N402" s="289"/>
      <c r="O402" s="289"/>
      <c r="P402" s="289"/>
      <c r="Q402" s="289"/>
    </row>
    <row r="403" spans="2:17">
      <c r="B403" s="288" t="s">
        <v>214</v>
      </c>
      <c r="C403" s="278">
        <v>25.69</v>
      </c>
      <c r="D403" s="289"/>
      <c r="E403" s="289"/>
      <c r="F403" s="289"/>
      <c r="G403" s="289"/>
      <c r="H403" s="289"/>
      <c r="I403" s="289"/>
      <c r="J403" s="289"/>
      <c r="K403" s="291" t="s">
        <v>169</v>
      </c>
      <c r="L403" s="189">
        <v>0.39200000000000002</v>
      </c>
      <c r="M403"/>
      <c r="N403" s="289"/>
      <c r="O403" s="289"/>
      <c r="P403" s="289"/>
      <c r="Q403" s="289"/>
    </row>
    <row r="404" spans="2:17">
      <c r="B404" s="288" t="s">
        <v>215</v>
      </c>
      <c r="C404" s="278">
        <v>25.69</v>
      </c>
      <c r="D404" s="289"/>
      <c r="E404" s="289"/>
      <c r="F404" s="289"/>
      <c r="G404" s="289"/>
      <c r="H404" s="289"/>
      <c r="I404" s="289"/>
      <c r="J404" s="289"/>
      <c r="K404" s="291" t="s">
        <v>170</v>
      </c>
      <c r="L404" s="189">
        <v>0.39200000000000002</v>
      </c>
      <c r="M404"/>
      <c r="N404" s="289"/>
      <c r="O404" s="289"/>
      <c r="P404" s="289"/>
      <c r="Q404" s="289"/>
    </row>
    <row r="405" spans="2:17">
      <c r="B405" s="288" t="s">
        <v>216</v>
      </c>
      <c r="C405" s="278">
        <v>27.65</v>
      </c>
      <c r="D405" s="289"/>
      <c r="E405" s="289"/>
      <c r="F405" s="289"/>
      <c r="G405" s="289"/>
      <c r="H405" s="289"/>
      <c r="I405" s="289"/>
      <c r="J405" s="289"/>
      <c r="K405" s="291" t="s">
        <v>171</v>
      </c>
      <c r="L405" s="189">
        <v>0.42299999999999999</v>
      </c>
      <c r="M405"/>
      <c r="N405" s="289"/>
      <c r="O405" s="289"/>
      <c r="P405" s="289"/>
      <c r="Q405" s="289"/>
    </row>
    <row r="406" spans="2:17">
      <c r="B406" s="288" t="s">
        <v>217</v>
      </c>
      <c r="C406" s="278">
        <v>27.65</v>
      </c>
      <c r="D406" s="289"/>
      <c r="E406" s="289"/>
      <c r="F406" s="289"/>
      <c r="G406" s="289"/>
      <c r="H406" s="289"/>
      <c r="I406" s="289"/>
      <c r="J406" s="289"/>
      <c r="K406" s="291" t="s">
        <v>172</v>
      </c>
      <c r="L406" s="189">
        <v>0.42299999999999999</v>
      </c>
      <c r="M406"/>
      <c r="N406" s="289"/>
      <c r="O406" s="289"/>
      <c r="P406" s="289"/>
      <c r="Q406" s="289"/>
    </row>
    <row r="407" spans="2:17">
      <c r="B407" s="288" t="s">
        <v>218</v>
      </c>
      <c r="C407" s="278">
        <v>29.47</v>
      </c>
      <c r="D407" s="289"/>
      <c r="E407" s="289"/>
      <c r="F407" s="289"/>
      <c r="G407" s="289"/>
      <c r="H407" s="289"/>
      <c r="I407" s="289"/>
      <c r="J407" s="289"/>
      <c r="K407" s="291" t="s">
        <v>173</v>
      </c>
      <c r="L407" s="189">
        <v>0.44800000000000001</v>
      </c>
      <c r="M407"/>
      <c r="N407" s="289"/>
      <c r="O407" s="289"/>
      <c r="P407" s="289"/>
      <c r="Q407" s="289"/>
    </row>
    <row r="408" spans="2:17">
      <c r="B408" s="288" t="s">
        <v>219</v>
      </c>
      <c r="C408" s="278">
        <v>18.13</v>
      </c>
      <c r="D408" s="289"/>
      <c r="E408" s="289"/>
      <c r="F408" s="289"/>
      <c r="G408" s="289"/>
      <c r="H408" s="289"/>
      <c r="I408" s="289"/>
      <c r="J408" s="289"/>
      <c r="K408" s="291" t="s">
        <v>219</v>
      </c>
      <c r="L408" s="291">
        <v>0.27800000000000002</v>
      </c>
      <c r="M408" s="289"/>
      <c r="N408" s="289"/>
      <c r="O408" s="289"/>
      <c r="P408" s="289"/>
      <c r="Q408" s="289"/>
    </row>
    <row r="409" spans="2:17">
      <c r="B409" s="288" t="s">
        <v>220</v>
      </c>
      <c r="C409" s="278">
        <v>19.11</v>
      </c>
      <c r="D409" s="289"/>
      <c r="E409" s="289"/>
      <c r="F409" s="289"/>
      <c r="G409" s="289"/>
      <c r="H409" s="289"/>
      <c r="I409" s="289"/>
      <c r="J409" s="289"/>
      <c r="K409" s="291" t="s">
        <v>220</v>
      </c>
      <c r="L409" s="291">
        <v>0.29199999999999998</v>
      </c>
      <c r="M409" s="289"/>
      <c r="N409" s="289"/>
      <c r="O409" s="289"/>
      <c r="P409" s="289"/>
      <c r="Q409" s="289"/>
    </row>
    <row r="410" spans="2:17">
      <c r="B410" s="288" t="s">
        <v>221</v>
      </c>
      <c r="C410" s="278">
        <v>20.229999999999997</v>
      </c>
      <c r="D410" s="289"/>
      <c r="E410" s="289"/>
      <c r="F410" s="289"/>
      <c r="G410" s="289"/>
      <c r="H410" s="289"/>
      <c r="I410" s="289"/>
      <c r="J410" s="289"/>
      <c r="K410" s="291" t="s">
        <v>221</v>
      </c>
      <c r="L410" s="291">
        <v>0.308</v>
      </c>
      <c r="M410" s="289"/>
      <c r="N410" s="289"/>
      <c r="O410" s="289"/>
      <c r="P410" s="289"/>
      <c r="Q410" s="289"/>
    </row>
    <row r="411" spans="2:17">
      <c r="B411" s="288" t="s">
        <v>222</v>
      </c>
      <c r="C411" s="278">
        <v>21.21</v>
      </c>
      <c r="D411" s="289"/>
      <c r="E411" s="289"/>
      <c r="F411" s="289"/>
      <c r="G411" s="289"/>
      <c r="H411" s="289"/>
      <c r="I411" s="289"/>
      <c r="J411" s="289"/>
      <c r="K411" s="291" t="s">
        <v>222</v>
      </c>
      <c r="L411" s="291">
        <v>0.32300000000000001</v>
      </c>
      <c r="M411" s="289"/>
      <c r="N411" s="289"/>
      <c r="O411" s="289"/>
      <c r="P411" s="289"/>
      <c r="Q411" s="289"/>
    </row>
    <row r="412" spans="2:17">
      <c r="B412" s="288" t="s">
        <v>223</v>
      </c>
      <c r="C412" s="278">
        <v>22.47</v>
      </c>
      <c r="D412" s="289"/>
      <c r="E412" s="289"/>
      <c r="F412" s="289"/>
      <c r="G412" s="289"/>
      <c r="H412" s="289"/>
      <c r="I412" s="289"/>
      <c r="J412" s="289"/>
      <c r="K412" s="291" t="s">
        <v>223</v>
      </c>
      <c r="L412" s="291">
        <v>0.34599999999999997</v>
      </c>
      <c r="M412" s="289"/>
      <c r="N412" s="289"/>
      <c r="O412" s="289"/>
      <c r="P412" s="289"/>
      <c r="Q412" s="289"/>
    </row>
    <row r="413" spans="2:17">
      <c r="B413" s="288" t="s">
        <v>224</v>
      </c>
      <c r="C413" s="278">
        <v>22.47</v>
      </c>
      <c r="D413" s="289"/>
      <c r="E413" s="289"/>
      <c r="F413" s="289"/>
      <c r="G413" s="289"/>
      <c r="H413" s="289"/>
      <c r="I413" s="289"/>
      <c r="J413" s="289"/>
      <c r="K413" s="291" t="s">
        <v>224</v>
      </c>
      <c r="L413" s="189">
        <v>0.34599999999999997</v>
      </c>
      <c r="M413"/>
      <c r="N413" s="289"/>
      <c r="O413" s="289"/>
      <c r="P413" s="289"/>
      <c r="Q413" s="289"/>
    </row>
    <row r="414" spans="2:17">
      <c r="B414" s="288" t="s">
        <v>225</v>
      </c>
      <c r="C414" s="278">
        <v>24.990000000000002</v>
      </c>
      <c r="D414" s="289"/>
      <c r="E414" s="289"/>
      <c r="F414" s="289"/>
      <c r="G414" s="289"/>
      <c r="H414" s="289"/>
      <c r="I414" s="289"/>
      <c r="J414" s="289"/>
      <c r="K414" s="291" t="s">
        <v>225</v>
      </c>
      <c r="L414" s="291">
        <v>0.377</v>
      </c>
      <c r="M414" s="289"/>
      <c r="N414" s="289"/>
      <c r="O414" s="289"/>
      <c r="P414" s="289"/>
      <c r="Q414" s="289"/>
    </row>
    <row r="415" spans="2:17">
      <c r="B415" s="288" t="s">
        <v>226</v>
      </c>
      <c r="C415" s="278">
        <v>24.990000000000002</v>
      </c>
      <c r="D415" s="289"/>
      <c r="E415" s="289"/>
      <c r="F415" s="289"/>
      <c r="G415" s="289"/>
      <c r="H415" s="289"/>
      <c r="I415" s="289"/>
      <c r="J415" s="289"/>
      <c r="K415" s="291" t="s">
        <v>226</v>
      </c>
      <c r="L415" s="189">
        <v>0.377</v>
      </c>
      <c r="M415"/>
      <c r="N415" s="289"/>
      <c r="O415" s="289"/>
      <c r="P415" s="289"/>
      <c r="Q415" s="289"/>
    </row>
    <row r="416" spans="2:17">
      <c r="B416" s="288" t="s">
        <v>227</v>
      </c>
      <c r="C416" s="278">
        <v>26.740000000000002</v>
      </c>
      <c r="D416" s="289"/>
      <c r="E416" s="289"/>
      <c r="F416" s="289"/>
      <c r="G416" s="289"/>
      <c r="H416" s="289"/>
      <c r="I416" s="289"/>
      <c r="J416" s="289"/>
      <c r="K416" s="291" t="s">
        <v>227</v>
      </c>
      <c r="L416" s="291">
        <v>0.40699999999999997</v>
      </c>
      <c r="M416" s="289"/>
      <c r="N416" s="289"/>
      <c r="O416" s="289"/>
      <c r="P416" s="289"/>
      <c r="Q416" s="289"/>
    </row>
    <row r="417" spans="2:17">
      <c r="B417" s="288" t="s">
        <v>228</v>
      </c>
      <c r="C417" s="278">
        <v>26.740000000000002</v>
      </c>
      <c r="D417" s="289"/>
      <c r="E417" s="289"/>
      <c r="F417" s="289"/>
      <c r="G417" s="289"/>
      <c r="H417" s="289"/>
      <c r="I417" s="289"/>
      <c r="J417" s="289"/>
      <c r="K417" s="291" t="s">
        <v>228</v>
      </c>
      <c r="L417" s="189">
        <v>0.40699999999999997</v>
      </c>
      <c r="M417"/>
      <c r="N417" s="289"/>
      <c r="O417" s="289"/>
      <c r="P417" s="289"/>
      <c r="Q417" s="289"/>
    </row>
    <row r="418" spans="2:17">
      <c r="B418" s="288" t="s">
        <v>229</v>
      </c>
      <c r="C418" s="278">
        <v>28.629999999999995</v>
      </c>
      <c r="D418" s="289"/>
      <c r="E418" s="289"/>
      <c r="F418" s="289"/>
      <c r="G418" s="289"/>
      <c r="H418" s="289"/>
      <c r="I418" s="289"/>
      <c r="J418" s="289"/>
      <c r="K418" s="291" t="s">
        <v>229</v>
      </c>
      <c r="L418" s="291">
        <v>0.44</v>
      </c>
      <c r="M418" s="289"/>
      <c r="N418" s="289"/>
      <c r="O418" s="289"/>
      <c r="P418" s="289"/>
      <c r="Q418" s="289"/>
    </row>
    <row r="419" spans="2:17">
      <c r="B419" s="288" t="s">
        <v>230</v>
      </c>
      <c r="C419" s="278">
        <v>28.629999999999995</v>
      </c>
      <c r="D419" s="289"/>
      <c r="E419" s="289"/>
      <c r="F419" s="289"/>
      <c r="G419" s="289"/>
      <c r="H419" s="289"/>
      <c r="I419" s="289"/>
      <c r="J419" s="289"/>
      <c r="K419" s="291" t="s">
        <v>230</v>
      </c>
      <c r="L419" s="189">
        <v>0.44</v>
      </c>
      <c r="M419"/>
      <c r="N419" s="289"/>
      <c r="O419" s="289"/>
      <c r="P419" s="289"/>
      <c r="Q419" s="289"/>
    </row>
    <row r="420" spans="2:17">
      <c r="B420" s="288" t="s">
        <v>231</v>
      </c>
      <c r="C420" s="278">
        <v>30.24</v>
      </c>
      <c r="D420" s="289"/>
      <c r="E420" s="289"/>
      <c r="F420" s="289"/>
      <c r="G420" s="289"/>
      <c r="H420" s="289"/>
      <c r="I420" s="289"/>
      <c r="J420" s="289"/>
      <c r="K420" s="291" t="s">
        <v>231</v>
      </c>
      <c r="L420" s="291">
        <v>0.46500000000000002</v>
      </c>
      <c r="M420" s="289"/>
      <c r="N420" s="289"/>
      <c r="O420" s="289"/>
      <c r="P420" s="289"/>
      <c r="Q420" s="289"/>
    </row>
    <row r="421" spans="2:17">
      <c r="B421" s="288" t="s">
        <v>232</v>
      </c>
      <c r="C421" s="278">
        <v>24.5</v>
      </c>
      <c r="D421" s="289"/>
      <c r="E421" s="289"/>
      <c r="F421" s="289"/>
      <c r="G421" s="289"/>
      <c r="H421" s="289"/>
      <c r="I421" s="289"/>
      <c r="J421" s="289"/>
      <c r="K421" s="291" t="s">
        <v>232</v>
      </c>
      <c r="L421" s="291">
        <v>0.374</v>
      </c>
      <c r="M421" s="289"/>
      <c r="N421" s="289"/>
      <c r="O421" s="289"/>
      <c r="P421" s="289"/>
      <c r="Q421" s="289"/>
    </row>
    <row r="422" spans="2:17">
      <c r="B422" s="288" t="s">
        <v>233</v>
      </c>
      <c r="C422" s="278">
        <v>25.69</v>
      </c>
      <c r="D422" s="289"/>
      <c r="E422" s="289"/>
      <c r="F422" s="289"/>
      <c r="G422" s="289"/>
      <c r="H422" s="289"/>
      <c r="I422" s="289"/>
      <c r="J422" s="289"/>
      <c r="K422" s="291" t="s">
        <v>233</v>
      </c>
      <c r="L422" s="291">
        <v>0.39300000000000002</v>
      </c>
      <c r="M422" s="289"/>
      <c r="N422" s="289"/>
      <c r="O422" s="289"/>
      <c r="P422" s="289"/>
      <c r="Q422" s="289"/>
    </row>
    <row r="423" spans="2:17">
      <c r="B423" s="288" t="s">
        <v>234</v>
      </c>
      <c r="C423" s="278">
        <v>26.88</v>
      </c>
      <c r="D423" s="289"/>
      <c r="E423" s="289"/>
      <c r="F423" s="289"/>
      <c r="G423" s="289"/>
      <c r="H423" s="289"/>
      <c r="I423" s="289"/>
      <c r="J423" s="289"/>
      <c r="K423" s="291" t="s">
        <v>234</v>
      </c>
      <c r="L423" s="291">
        <v>0.41199999999999998</v>
      </c>
      <c r="M423" s="289"/>
      <c r="N423" s="289"/>
      <c r="O423" s="289"/>
      <c r="P423" s="289"/>
      <c r="Q423" s="289"/>
    </row>
    <row r="424" spans="2:17">
      <c r="B424" s="288" t="s">
        <v>235</v>
      </c>
      <c r="C424" s="278">
        <v>28.909999999999997</v>
      </c>
      <c r="D424" s="289"/>
      <c r="E424" s="289"/>
      <c r="F424" s="289"/>
      <c r="G424" s="289"/>
      <c r="H424" s="289"/>
      <c r="I424" s="289"/>
      <c r="J424" s="289"/>
      <c r="K424" s="291" t="s">
        <v>235</v>
      </c>
      <c r="L424" s="291">
        <v>0.442</v>
      </c>
      <c r="M424" s="289"/>
      <c r="N424" s="289"/>
      <c r="O424" s="289"/>
      <c r="P424" s="289"/>
      <c r="Q424" s="289"/>
    </row>
    <row r="425" spans="2:17">
      <c r="B425" s="288" t="s">
        <v>236</v>
      </c>
      <c r="C425" s="278">
        <v>28.909999999999997</v>
      </c>
      <c r="D425" s="289"/>
      <c r="E425" s="289"/>
      <c r="F425" s="289"/>
      <c r="G425" s="289"/>
      <c r="H425" s="289"/>
      <c r="I425" s="289"/>
      <c r="J425" s="289"/>
      <c r="K425" s="291" t="s">
        <v>236</v>
      </c>
      <c r="L425" s="189">
        <v>0.442</v>
      </c>
      <c r="M425"/>
      <c r="N425" s="289"/>
      <c r="O425" s="289"/>
      <c r="P425" s="289"/>
      <c r="Q425" s="289"/>
    </row>
    <row r="426" spans="2:17">
      <c r="B426" s="288" t="s">
        <v>237</v>
      </c>
      <c r="C426" s="278">
        <v>31.429999999999996</v>
      </c>
      <c r="D426" s="289"/>
      <c r="E426" s="289"/>
      <c r="F426" s="289"/>
      <c r="G426" s="289"/>
      <c r="H426" s="289"/>
      <c r="I426" s="289"/>
      <c r="J426" s="289"/>
      <c r="K426" s="291" t="s">
        <v>237</v>
      </c>
      <c r="L426" s="291">
        <v>0.47799999999999998</v>
      </c>
      <c r="M426" s="289"/>
      <c r="N426" s="289"/>
      <c r="O426" s="289"/>
      <c r="P426" s="289"/>
      <c r="Q426" s="289"/>
    </row>
    <row r="427" spans="2:17">
      <c r="B427" s="288" t="s">
        <v>238</v>
      </c>
      <c r="C427" s="278">
        <v>31.429999999999996</v>
      </c>
      <c r="D427" s="289"/>
      <c r="E427" s="289"/>
      <c r="F427" s="289"/>
      <c r="G427" s="289"/>
      <c r="H427" s="289"/>
      <c r="I427" s="289"/>
      <c r="J427" s="289"/>
      <c r="K427" s="291" t="s">
        <v>238</v>
      </c>
      <c r="L427" s="189">
        <v>0.47799999999999998</v>
      </c>
      <c r="M427"/>
      <c r="N427" s="289"/>
      <c r="O427" s="289"/>
      <c r="P427" s="289"/>
      <c r="Q427" s="289"/>
    </row>
    <row r="428" spans="2:17">
      <c r="B428" s="288" t="s">
        <v>239</v>
      </c>
      <c r="C428" s="278">
        <v>33.809999999999995</v>
      </c>
      <c r="D428" s="289"/>
      <c r="E428" s="289"/>
      <c r="F428" s="289"/>
      <c r="G428" s="289"/>
      <c r="H428" s="289"/>
      <c r="I428" s="289"/>
      <c r="J428" s="289"/>
      <c r="K428" s="291" t="s">
        <v>239</v>
      </c>
      <c r="L428" s="291">
        <v>0.51700000000000002</v>
      </c>
      <c r="M428" s="289"/>
      <c r="N428" s="289"/>
      <c r="O428" s="289"/>
      <c r="P428" s="289"/>
      <c r="Q428" s="289"/>
    </row>
    <row r="429" spans="2:17">
      <c r="B429" s="288" t="s">
        <v>240</v>
      </c>
      <c r="C429" s="278">
        <v>33.809999999999995</v>
      </c>
      <c r="D429" s="289"/>
      <c r="E429" s="289"/>
      <c r="F429" s="289"/>
      <c r="G429" s="289"/>
      <c r="H429" s="289"/>
      <c r="I429" s="289"/>
      <c r="J429" s="289"/>
      <c r="K429" s="291" t="s">
        <v>240</v>
      </c>
      <c r="L429" s="189">
        <v>0.51700000000000002</v>
      </c>
      <c r="M429"/>
      <c r="N429" s="289"/>
      <c r="O429" s="289"/>
      <c r="P429" s="289"/>
      <c r="Q429" s="289"/>
    </row>
    <row r="430" spans="2:17">
      <c r="B430" s="288" t="s">
        <v>241</v>
      </c>
      <c r="C430" s="278">
        <v>36.119999999999997</v>
      </c>
      <c r="D430" s="289"/>
      <c r="E430" s="289"/>
      <c r="F430" s="289"/>
      <c r="G430" s="289"/>
      <c r="H430" s="289"/>
      <c r="I430" s="289"/>
      <c r="J430" s="289"/>
      <c r="K430" s="291" t="s">
        <v>241</v>
      </c>
      <c r="L430" s="291">
        <v>0.55300000000000005</v>
      </c>
      <c r="M430" s="289"/>
      <c r="N430" s="289"/>
      <c r="O430" s="289"/>
      <c r="P430" s="289"/>
      <c r="Q430" s="289"/>
    </row>
    <row r="431" spans="2:17">
      <c r="B431" s="288" t="s">
        <v>242</v>
      </c>
      <c r="C431" s="278">
        <v>36.119999999999997</v>
      </c>
      <c r="D431" s="289"/>
      <c r="E431" s="289"/>
      <c r="F431" s="289"/>
      <c r="G431" s="289"/>
      <c r="H431" s="289"/>
      <c r="I431" s="289"/>
      <c r="J431" s="289"/>
      <c r="K431" s="291" t="s">
        <v>242</v>
      </c>
      <c r="L431" s="189">
        <v>0.55300000000000005</v>
      </c>
      <c r="M431"/>
      <c r="N431" s="289"/>
      <c r="O431" s="289"/>
      <c r="P431" s="289"/>
      <c r="Q431" s="289"/>
    </row>
    <row r="432" spans="2:17">
      <c r="B432" s="288" t="s">
        <v>243</v>
      </c>
      <c r="C432" s="278">
        <v>38.709999999999994</v>
      </c>
      <c r="D432" s="289"/>
      <c r="E432" s="289"/>
      <c r="F432" s="289"/>
      <c r="G432" s="289"/>
      <c r="H432" s="289"/>
      <c r="I432" s="289"/>
      <c r="J432" s="289"/>
      <c r="K432" s="291" t="s">
        <v>243</v>
      </c>
      <c r="L432" s="291">
        <v>0.58899999999999997</v>
      </c>
      <c r="M432" s="289"/>
      <c r="N432" s="289"/>
      <c r="O432" s="289"/>
      <c r="P432" s="289"/>
      <c r="Q432" s="289"/>
    </row>
    <row r="433" spans="2:17">
      <c r="B433" s="288" t="s">
        <v>244</v>
      </c>
      <c r="C433" s="278">
        <v>38.709999999999994</v>
      </c>
      <c r="D433" s="289"/>
      <c r="E433" s="289"/>
      <c r="F433" s="289"/>
      <c r="G433" s="289"/>
      <c r="H433" s="289"/>
      <c r="I433" s="289"/>
      <c r="J433" s="289"/>
      <c r="K433" s="291" t="s">
        <v>244</v>
      </c>
      <c r="L433" s="189">
        <v>0.58899999999999997</v>
      </c>
      <c r="M433"/>
      <c r="N433" s="289"/>
      <c r="O433" s="289"/>
      <c r="P433" s="289"/>
      <c r="Q433" s="289"/>
    </row>
    <row r="434" spans="2:17">
      <c r="B434" s="288" t="s">
        <v>245</v>
      </c>
      <c r="C434" s="278">
        <v>41.089999999999996</v>
      </c>
      <c r="D434" s="289"/>
      <c r="E434" s="289"/>
      <c r="F434" s="289"/>
      <c r="G434" s="289"/>
      <c r="H434" s="289"/>
      <c r="I434" s="289"/>
      <c r="J434" s="289"/>
      <c r="K434" s="291" t="s">
        <v>245</v>
      </c>
      <c r="L434" s="291">
        <v>0.628</v>
      </c>
      <c r="M434" s="289"/>
      <c r="N434" s="289"/>
      <c r="O434" s="289"/>
      <c r="P434" s="289"/>
      <c r="Q434" s="289"/>
    </row>
    <row r="435" spans="2:17">
      <c r="B435" s="288" t="s">
        <v>246</v>
      </c>
      <c r="C435" s="278">
        <v>41.089999999999996</v>
      </c>
      <c r="D435" s="289"/>
      <c r="E435" s="289"/>
      <c r="F435" s="289"/>
      <c r="G435" s="289"/>
      <c r="H435" s="289"/>
      <c r="I435" s="289"/>
      <c r="J435" s="289"/>
      <c r="K435" s="291" t="s">
        <v>246</v>
      </c>
      <c r="L435" s="189">
        <v>0.628</v>
      </c>
      <c r="M435"/>
      <c r="N435" s="289"/>
      <c r="O435" s="289"/>
      <c r="P435" s="289"/>
      <c r="Q435" s="289"/>
    </row>
    <row r="436" spans="2:17">
      <c r="B436" s="288" t="s">
        <v>247</v>
      </c>
      <c r="C436" s="278">
        <v>43.609999999999992</v>
      </c>
      <c r="D436" s="289"/>
      <c r="E436" s="289"/>
      <c r="F436" s="289"/>
      <c r="G436" s="289"/>
      <c r="H436" s="289"/>
      <c r="I436" s="289"/>
      <c r="J436" s="289"/>
      <c r="K436" s="291" t="s">
        <v>247</v>
      </c>
      <c r="L436" s="291">
        <v>0.66400000000000003</v>
      </c>
      <c r="M436" s="289"/>
      <c r="N436" s="289"/>
      <c r="O436" s="289"/>
      <c r="P436" s="289"/>
      <c r="Q436" s="289"/>
    </row>
    <row r="437" spans="2:17">
      <c r="B437" s="288" t="s">
        <v>248</v>
      </c>
      <c r="C437" s="278">
        <v>43.609999999999992</v>
      </c>
      <c r="D437" s="289"/>
      <c r="E437" s="289"/>
      <c r="F437" s="289"/>
      <c r="G437" s="289"/>
      <c r="H437" s="289"/>
      <c r="I437" s="289"/>
      <c r="J437" s="289"/>
      <c r="K437" s="291" t="s">
        <v>248</v>
      </c>
      <c r="L437" s="189">
        <v>0.66400000000000003</v>
      </c>
      <c r="M437"/>
      <c r="N437" s="289"/>
      <c r="O437" s="289"/>
      <c r="P437" s="289"/>
      <c r="Q437" s="289"/>
    </row>
    <row r="438" spans="2:17">
      <c r="B438" s="288" t="s">
        <v>249</v>
      </c>
      <c r="C438" s="278">
        <v>45.709999999999994</v>
      </c>
      <c r="D438" s="289"/>
      <c r="E438" s="289"/>
      <c r="F438" s="289"/>
      <c r="G438" s="289"/>
      <c r="H438" s="289"/>
      <c r="I438" s="289"/>
      <c r="J438" s="289"/>
      <c r="K438" s="291" t="s">
        <v>249</v>
      </c>
      <c r="L438" s="291">
        <v>0.70199999999999996</v>
      </c>
      <c r="M438" s="289"/>
      <c r="N438" s="289"/>
      <c r="O438" s="289"/>
      <c r="P438" s="289"/>
      <c r="Q438" s="289"/>
    </row>
    <row r="439" spans="2:17">
      <c r="B439" s="288" t="s">
        <v>250</v>
      </c>
      <c r="C439" s="278">
        <v>45.709999999999994</v>
      </c>
      <c r="D439" s="289"/>
      <c r="E439" s="289"/>
      <c r="F439" s="289"/>
      <c r="G439" s="289"/>
      <c r="H439" s="289"/>
      <c r="I439" s="289"/>
      <c r="J439" s="289"/>
      <c r="K439" s="291" t="s">
        <v>250</v>
      </c>
      <c r="L439" s="189">
        <v>0.70199999999999996</v>
      </c>
      <c r="M439"/>
      <c r="N439" s="289"/>
      <c r="O439" s="289"/>
      <c r="P439" s="289"/>
      <c r="Q439" s="289"/>
    </row>
    <row r="440" spans="2:17">
      <c r="B440" s="288" t="s">
        <v>251</v>
      </c>
      <c r="C440" s="278">
        <v>48.3</v>
      </c>
      <c r="D440" s="289"/>
      <c r="E440" s="289"/>
      <c r="F440" s="289"/>
      <c r="G440" s="289"/>
      <c r="H440" s="289"/>
      <c r="I440" s="289"/>
      <c r="J440" s="289"/>
      <c r="K440" s="291" t="s">
        <v>251</v>
      </c>
      <c r="L440" s="291">
        <v>0.73899999999999999</v>
      </c>
      <c r="M440" s="289"/>
      <c r="N440" s="289"/>
      <c r="O440" s="289"/>
      <c r="P440" s="289"/>
      <c r="Q440" s="289"/>
    </row>
    <row r="441" spans="2:17">
      <c r="B441" s="288" t="s">
        <v>252</v>
      </c>
      <c r="C441" s="278">
        <v>48.3</v>
      </c>
      <c r="D441" s="289"/>
      <c r="E441" s="289"/>
      <c r="F441" s="289"/>
      <c r="G441" s="289"/>
      <c r="H441" s="289"/>
      <c r="I441" s="289"/>
      <c r="J441" s="289"/>
      <c r="K441" s="189" t="s">
        <v>252</v>
      </c>
      <c r="L441" s="189">
        <v>0.73899999999999999</v>
      </c>
      <c r="M441"/>
    </row>
    <row r="442" spans="2:17">
      <c r="B442" s="288" t="s">
        <v>253</v>
      </c>
      <c r="C442" s="278">
        <v>50.75</v>
      </c>
      <c r="D442" s="289"/>
      <c r="E442" s="289"/>
      <c r="F442" s="289"/>
      <c r="G442" s="289"/>
      <c r="H442" s="289"/>
      <c r="I442" s="289"/>
      <c r="J442" s="289"/>
      <c r="K442" s="189" t="s">
        <v>253</v>
      </c>
      <c r="L442" s="291">
        <v>0.77700000000000002</v>
      </c>
      <c r="M442" s="289"/>
    </row>
    <row r="443" spans="2:17">
      <c r="B443" s="288" t="s">
        <v>254</v>
      </c>
      <c r="C443" s="278">
        <v>50.75</v>
      </c>
      <c r="D443" s="289"/>
      <c r="E443" s="289"/>
      <c r="F443" s="289"/>
      <c r="G443" s="289"/>
      <c r="H443" s="289"/>
      <c r="I443" s="289"/>
      <c r="J443" s="289"/>
      <c r="K443" s="189" t="s">
        <v>254</v>
      </c>
      <c r="L443" s="189">
        <v>0.77700000000000002</v>
      </c>
      <c r="M443"/>
    </row>
    <row r="444" spans="2:17">
      <c r="B444" s="288" t="s">
        <v>255</v>
      </c>
      <c r="C444" s="278">
        <v>52.5</v>
      </c>
      <c r="D444" s="289"/>
      <c r="E444" s="289"/>
      <c r="F444" s="289"/>
      <c r="G444" s="289"/>
      <c r="H444" s="289"/>
      <c r="I444" s="289"/>
      <c r="J444" s="289"/>
      <c r="K444" s="189" t="s">
        <v>255</v>
      </c>
      <c r="L444" s="291">
        <v>0.80700000000000005</v>
      </c>
      <c r="M444" s="289"/>
    </row>
    <row r="445" spans="2:17">
      <c r="B445" s="288" t="s">
        <v>256</v>
      </c>
      <c r="C445" s="278">
        <v>25.69</v>
      </c>
      <c r="D445" s="289"/>
      <c r="E445" s="289"/>
      <c r="F445" s="289"/>
      <c r="G445" s="289"/>
      <c r="H445" s="289"/>
      <c r="I445" s="289"/>
      <c r="J445" s="289"/>
      <c r="K445" s="189" t="s">
        <v>256</v>
      </c>
      <c r="L445" s="291">
        <v>0.39300000000000002</v>
      </c>
      <c r="M445" s="289"/>
    </row>
    <row r="446" spans="2:17">
      <c r="B446" s="288" t="s">
        <v>257</v>
      </c>
      <c r="C446" s="278">
        <v>26.88</v>
      </c>
      <c r="D446" s="289"/>
      <c r="E446" s="289"/>
      <c r="F446" s="289"/>
      <c r="G446" s="289"/>
      <c r="H446" s="289"/>
      <c r="I446" s="289"/>
      <c r="J446" s="289"/>
      <c r="K446" s="189" t="s">
        <v>257</v>
      </c>
      <c r="L446" s="189">
        <v>0.41199999999999998</v>
      </c>
      <c r="M446"/>
    </row>
    <row r="447" spans="2:17">
      <c r="B447" s="288" t="s">
        <v>258</v>
      </c>
      <c r="C447" s="278">
        <v>27.859999999999996</v>
      </c>
      <c r="D447" s="289"/>
      <c r="E447" s="289"/>
      <c r="F447" s="289"/>
      <c r="G447" s="289"/>
      <c r="H447" s="289"/>
      <c r="I447" s="289"/>
      <c r="J447" s="289"/>
      <c r="K447" s="189" t="s">
        <v>258</v>
      </c>
      <c r="L447" s="291">
        <v>0.43099999999999999</v>
      </c>
      <c r="M447" s="289"/>
    </row>
    <row r="448" spans="2:17">
      <c r="B448" s="288" t="s">
        <v>259</v>
      </c>
      <c r="C448" s="278">
        <v>30.029999999999998</v>
      </c>
      <c r="D448" s="289"/>
      <c r="E448" s="289"/>
      <c r="F448" s="289"/>
      <c r="G448" s="289"/>
      <c r="H448" s="289"/>
      <c r="I448" s="289"/>
      <c r="J448" s="289"/>
      <c r="K448" s="189" t="s">
        <v>259</v>
      </c>
      <c r="L448" s="291">
        <v>0.46100000000000002</v>
      </c>
      <c r="M448" s="289"/>
    </row>
    <row r="449" spans="2:17">
      <c r="B449" s="288" t="s">
        <v>260</v>
      </c>
      <c r="C449" s="278">
        <v>30.029999999999998</v>
      </c>
      <c r="D449" s="289"/>
      <c r="E449" s="289"/>
      <c r="F449" s="289"/>
      <c r="G449" s="289"/>
      <c r="H449" s="289"/>
      <c r="I449" s="289"/>
      <c r="J449" s="289"/>
      <c r="K449" s="189" t="s">
        <v>260</v>
      </c>
      <c r="L449" s="189">
        <v>0.46100000000000002</v>
      </c>
      <c r="M449"/>
    </row>
    <row r="450" spans="2:17">
      <c r="B450" s="288" t="s">
        <v>261</v>
      </c>
      <c r="C450" s="278">
        <v>32.9</v>
      </c>
      <c r="D450" s="289"/>
      <c r="E450" s="289"/>
      <c r="F450" s="289"/>
      <c r="G450" s="289"/>
      <c r="H450" s="289"/>
      <c r="I450" s="289"/>
      <c r="J450" s="289"/>
      <c r="K450" s="189" t="s">
        <v>261</v>
      </c>
      <c r="L450" s="291">
        <v>0.497</v>
      </c>
      <c r="M450" s="289"/>
    </row>
    <row r="451" spans="2:17">
      <c r="B451" s="288" t="s">
        <v>262</v>
      </c>
      <c r="C451" s="278">
        <v>32.9</v>
      </c>
      <c r="D451" s="289"/>
      <c r="E451" s="289"/>
      <c r="F451" s="289"/>
      <c r="G451" s="289"/>
      <c r="H451" s="289"/>
      <c r="I451" s="289"/>
      <c r="J451" s="289"/>
      <c r="K451" s="189" t="s">
        <v>262</v>
      </c>
      <c r="L451" s="189">
        <v>0.497</v>
      </c>
      <c r="M451"/>
    </row>
    <row r="452" spans="2:17">
      <c r="B452" s="288" t="s">
        <v>263</v>
      </c>
      <c r="C452" s="278">
        <v>34.79</v>
      </c>
      <c r="D452" s="289"/>
      <c r="E452" s="289"/>
      <c r="F452" s="289"/>
      <c r="G452" s="289"/>
      <c r="H452" s="289"/>
      <c r="I452" s="289"/>
      <c r="J452" s="289"/>
      <c r="K452" s="189" t="s">
        <v>263</v>
      </c>
      <c r="L452" s="291">
        <v>0.53400000000000003</v>
      </c>
      <c r="M452" s="289"/>
    </row>
    <row r="453" spans="2:17">
      <c r="B453" s="288" t="s">
        <v>264</v>
      </c>
      <c r="C453" s="278">
        <v>34.79</v>
      </c>
      <c r="D453" s="289"/>
      <c r="E453" s="289"/>
      <c r="F453" s="289"/>
      <c r="G453" s="289"/>
      <c r="H453" s="289"/>
      <c r="I453" s="289"/>
      <c r="J453" s="289"/>
      <c r="K453" s="189" t="s">
        <v>264</v>
      </c>
      <c r="L453" s="291">
        <v>0.53400000000000003</v>
      </c>
      <c r="M453" s="289"/>
    </row>
    <row r="454" spans="2:17">
      <c r="B454" s="288" t="s">
        <v>265</v>
      </c>
      <c r="C454" s="278">
        <v>37.589999999999996</v>
      </c>
      <c r="D454" s="289"/>
      <c r="E454" s="289"/>
      <c r="F454" s="289"/>
      <c r="G454" s="289"/>
      <c r="H454" s="289"/>
      <c r="I454" s="289"/>
      <c r="J454" s="289"/>
      <c r="K454" s="291" t="s">
        <v>265</v>
      </c>
      <c r="L454" s="291">
        <v>0.57199999999999995</v>
      </c>
      <c r="M454" s="289"/>
      <c r="N454" s="289"/>
      <c r="O454" s="289"/>
      <c r="P454" s="289"/>
      <c r="Q454" s="289"/>
    </row>
    <row r="455" spans="2:17">
      <c r="B455" s="288" t="s">
        <v>266</v>
      </c>
      <c r="C455" s="278">
        <v>37.589999999999996</v>
      </c>
      <c r="D455" s="289"/>
      <c r="E455" s="289"/>
      <c r="F455" s="289"/>
      <c r="G455" s="289"/>
      <c r="H455" s="289"/>
      <c r="I455" s="289"/>
      <c r="J455" s="289"/>
      <c r="K455" s="189" t="s">
        <v>266</v>
      </c>
      <c r="L455" s="291">
        <v>0.57199999999999995</v>
      </c>
      <c r="M455" s="289"/>
    </row>
    <row r="456" spans="2:17">
      <c r="B456" s="288" t="s">
        <v>267</v>
      </c>
      <c r="C456" s="278">
        <v>39.76</v>
      </c>
      <c r="D456" s="289"/>
      <c r="E456" s="289"/>
      <c r="F456" s="289"/>
      <c r="G456" s="289"/>
      <c r="H456" s="289"/>
      <c r="I456" s="289"/>
      <c r="J456" s="289"/>
      <c r="K456" s="189" t="s">
        <v>267</v>
      </c>
      <c r="L456" s="291">
        <v>0.60799999999999998</v>
      </c>
      <c r="M456" s="289"/>
    </row>
    <row r="457" spans="2:17">
      <c r="B457" s="288" t="s">
        <v>268</v>
      </c>
      <c r="C457" s="278">
        <v>39.76</v>
      </c>
      <c r="D457" s="289"/>
      <c r="E457" s="289"/>
      <c r="F457" s="289"/>
      <c r="G457" s="289"/>
      <c r="H457" s="289"/>
      <c r="I457" s="289"/>
      <c r="J457" s="289"/>
      <c r="K457" s="189" t="s">
        <v>268</v>
      </c>
      <c r="L457" s="291">
        <v>0.60799999999999998</v>
      </c>
      <c r="M457" s="289"/>
    </row>
    <row r="458" spans="2:17">
      <c r="B458" s="288" t="s">
        <v>269</v>
      </c>
      <c r="C458" s="278">
        <v>42.42</v>
      </c>
      <c r="D458" s="289"/>
      <c r="E458" s="289"/>
      <c r="F458" s="289"/>
      <c r="G458" s="289"/>
      <c r="H458" s="289"/>
      <c r="I458" s="289"/>
      <c r="J458" s="289"/>
      <c r="K458" s="189" t="s">
        <v>269</v>
      </c>
      <c r="L458" s="291">
        <v>0.64500000000000002</v>
      </c>
      <c r="M458" s="289"/>
    </row>
    <row r="459" spans="2:17">
      <c r="B459" s="288" t="s">
        <v>270</v>
      </c>
      <c r="C459" s="278">
        <v>42.42</v>
      </c>
      <c r="D459" s="289"/>
      <c r="E459" s="289"/>
      <c r="F459" s="289"/>
      <c r="G459" s="289"/>
      <c r="H459" s="289"/>
      <c r="I459" s="289"/>
      <c r="J459" s="289"/>
      <c r="K459" s="189" t="s">
        <v>270</v>
      </c>
      <c r="L459" s="291">
        <v>0.64500000000000002</v>
      </c>
      <c r="M459" s="289"/>
    </row>
    <row r="460" spans="2:17">
      <c r="B460" s="288" t="s">
        <v>271</v>
      </c>
      <c r="C460" s="278">
        <v>44.589999999999996</v>
      </c>
      <c r="D460" s="289"/>
      <c r="E460" s="289"/>
      <c r="F460" s="289"/>
      <c r="G460" s="289"/>
      <c r="H460" s="289"/>
      <c r="I460" s="289"/>
      <c r="J460" s="289"/>
      <c r="K460" s="189" t="s">
        <v>271</v>
      </c>
      <c r="L460" s="291">
        <v>0.68300000000000005</v>
      </c>
      <c r="M460" s="289"/>
    </row>
    <row r="461" spans="2:17">
      <c r="B461" s="288" t="s">
        <v>272</v>
      </c>
      <c r="C461" s="278">
        <v>44.589999999999996</v>
      </c>
      <c r="D461" s="289"/>
      <c r="E461" s="289"/>
      <c r="F461" s="289"/>
      <c r="G461" s="289"/>
      <c r="H461" s="289"/>
      <c r="I461" s="289"/>
      <c r="J461" s="289"/>
      <c r="K461" s="291" t="s">
        <v>272</v>
      </c>
      <c r="L461" s="291">
        <v>0.68300000000000005</v>
      </c>
      <c r="M461" s="289"/>
      <c r="N461" s="289"/>
      <c r="O461" s="289"/>
      <c r="P461" s="289"/>
      <c r="Q461" s="289"/>
    </row>
    <row r="462" spans="2:17">
      <c r="B462" s="288" t="s">
        <v>273</v>
      </c>
      <c r="C462" s="278">
        <v>47.39</v>
      </c>
      <c r="D462" s="289"/>
      <c r="E462" s="289"/>
      <c r="F462" s="289"/>
      <c r="G462" s="289"/>
      <c r="H462" s="289"/>
      <c r="I462" s="289"/>
      <c r="J462" s="289"/>
      <c r="K462" s="189" t="s">
        <v>273</v>
      </c>
      <c r="L462" s="291">
        <v>0.72199999999999998</v>
      </c>
      <c r="M462" s="289"/>
    </row>
    <row r="463" spans="2:17">
      <c r="B463" s="288" t="s">
        <v>274</v>
      </c>
      <c r="C463" s="278">
        <v>47.39</v>
      </c>
      <c r="D463" s="289"/>
      <c r="E463" s="289"/>
      <c r="F463" s="289"/>
      <c r="G463" s="289"/>
      <c r="H463" s="289"/>
      <c r="I463" s="289"/>
      <c r="J463" s="289"/>
      <c r="K463" s="189" t="s">
        <v>274</v>
      </c>
      <c r="L463" s="291">
        <v>0.72199999999999998</v>
      </c>
      <c r="M463" s="289"/>
    </row>
    <row r="464" spans="2:17">
      <c r="B464" s="288" t="s">
        <v>275</v>
      </c>
      <c r="C464" s="278">
        <v>49.769999999999996</v>
      </c>
      <c r="D464" s="289"/>
      <c r="E464" s="289"/>
      <c r="F464" s="289"/>
      <c r="G464" s="289"/>
      <c r="H464" s="289"/>
      <c r="I464" s="289"/>
      <c r="J464" s="289"/>
      <c r="K464" s="189" t="s">
        <v>275</v>
      </c>
      <c r="L464" s="291">
        <v>0.75800000000000001</v>
      </c>
      <c r="M464" s="289"/>
    </row>
    <row r="465" spans="2:17">
      <c r="B465" s="288" t="s">
        <v>276</v>
      </c>
      <c r="C465" s="278">
        <v>49.769999999999996</v>
      </c>
      <c r="D465" s="289"/>
      <c r="E465" s="289"/>
      <c r="F465" s="289"/>
      <c r="G465" s="289"/>
      <c r="H465" s="289"/>
      <c r="I465" s="289"/>
      <c r="J465" s="289"/>
      <c r="K465" s="189" t="s">
        <v>276</v>
      </c>
      <c r="L465" s="291">
        <v>0.75800000000000001</v>
      </c>
      <c r="M465" s="289"/>
    </row>
    <row r="466" spans="2:17">
      <c r="B466" s="288" t="s">
        <v>277</v>
      </c>
      <c r="C466" s="278">
        <v>51.86999999999999</v>
      </c>
      <c r="D466" s="289"/>
      <c r="E466" s="289"/>
      <c r="F466" s="289"/>
      <c r="G466" s="289"/>
      <c r="H466" s="289"/>
      <c r="I466" s="289"/>
      <c r="J466" s="289"/>
      <c r="K466" s="189" t="s">
        <v>277</v>
      </c>
      <c r="L466" s="291">
        <v>0.79600000000000004</v>
      </c>
      <c r="M466" s="289"/>
    </row>
    <row r="467" spans="2:17">
      <c r="B467" s="288" t="s">
        <v>278</v>
      </c>
      <c r="C467" s="278">
        <v>51.86999999999999</v>
      </c>
      <c r="D467" s="289"/>
      <c r="E467" s="289"/>
      <c r="F467" s="289"/>
      <c r="G467" s="289"/>
      <c r="H467" s="289"/>
      <c r="I467" s="289"/>
      <c r="J467" s="289"/>
      <c r="K467" s="189" t="s">
        <v>278</v>
      </c>
      <c r="L467" s="291">
        <v>0.79600000000000004</v>
      </c>
      <c r="M467" s="289"/>
    </row>
    <row r="468" spans="2:17">
      <c r="B468" s="288" t="s">
        <v>279</v>
      </c>
      <c r="C468" s="278">
        <v>54.04</v>
      </c>
      <c r="D468" s="289"/>
      <c r="E468" s="289"/>
      <c r="F468" s="289"/>
      <c r="G468" s="289"/>
      <c r="H468" s="289"/>
      <c r="I468" s="289"/>
      <c r="J468" s="289"/>
      <c r="K468" s="189" t="s">
        <v>279</v>
      </c>
      <c r="L468" s="291">
        <v>0.82399999999999995</v>
      </c>
      <c r="M468" s="289"/>
    </row>
    <row r="469" spans="2:17">
      <c r="B469" s="288" t="s">
        <v>281</v>
      </c>
      <c r="C469" s="2">
        <v>5.4809999999999999</v>
      </c>
      <c r="G469" s="289"/>
      <c r="K469" s="291" t="s">
        <v>281</v>
      </c>
      <c r="L469" s="189">
        <v>8.4000000000000005E-2</v>
      </c>
      <c r="M469"/>
      <c r="N469" s="289"/>
      <c r="O469" s="289"/>
      <c r="P469" s="289"/>
      <c r="Q469" s="289"/>
    </row>
    <row r="470" spans="2:17">
      <c r="B470" s="288" t="s">
        <v>68</v>
      </c>
      <c r="C470" s="2">
        <v>7.0699999999999994</v>
      </c>
      <c r="G470" s="289"/>
      <c r="K470" s="291" t="s">
        <v>68</v>
      </c>
      <c r="L470" s="189">
        <v>0.109</v>
      </c>
      <c r="M470"/>
      <c r="N470" s="289"/>
      <c r="O470" s="289"/>
      <c r="P470" s="289"/>
      <c r="Q470" s="289"/>
    </row>
    <row r="471" spans="2:17">
      <c r="B471" s="288" t="s">
        <v>280</v>
      </c>
      <c r="C471" s="2">
        <v>6.2789999999999999</v>
      </c>
      <c r="G471" s="289"/>
      <c r="K471" s="291" t="s">
        <v>280</v>
      </c>
      <c r="L471" s="189">
        <v>0.97</v>
      </c>
      <c r="M471"/>
      <c r="N471" s="289"/>
      <c r="O471" s="289"/>
      <c r="P471" s="289"/>
      <c r="Q471" s="289"/>
    </row>
    <row r="472" spans="2:17">
      <c r="B472" s="288" t="s">
        <v>80</v>
      </c>
      <c r="C472" s="2">
        <v>16.52</v>
      </c>
      <c r="G472" s="289"/>
      <c r="K472" s="291" t="s">
        <v>80</v>
      </c>
      <c r="L472" s="189">
        <v>0.254</v>
      </c>
      <c r="M472"/>
      <c r="N472" s="289"/>
      <c r="O472" s="289"/>
      <c r="P472" s="289"/>
      <c r="Q472" s="289"/>
    </row>
    <row r="473" spans="2:17">
      <c r="B473" s="288" t="s">
        <v>82</v>
      </c>
      <c r="C473" s="2">
        <v>16.52</v>
      </c>
      <c r="G473" s="289"/>
      <c r="K473" s="291" t="s">
        <v>82</v>
      </c>
      <c r="L473" s="189">
        <v>0.254</v>
      </c>
      <c r="M473"/>
      <c r="N473" s="289"/>
      <c r="O473" s="289"/>
      <c r="P473" s="289"/>
      <c r="Q473" s="289"/>
    </row>
    <row r="474" spans="2:17">
      <c r="B474" s="288" t="s">
        <v>282</v>
      </c>
      <c r="C474" s="2">
        <v>33.809999999999995</v>
      </c>
      <c r="G474" s="289"/>
      <c r="K474" s="291" t="s">
        <v>282</v>
      </c>
      <c r="L474" s="189">
        <v>0.51700000000000002</v>
      </c>
      <c r="M474"/>
      <c r="N474" s="289"/>
      <c r="O474" s="289"/>
      <c r="P474" s="289"/>
      <c r="Q474" s="289"/>
    </row>
    <row r="475" spans="2:17">
      <c r="B475" s="288" t="s">
        <v>283</v>
      </c>
      <c r="C475" s="2">
        <v>27.859999999999996</v>
      </c>
      <c r="G475" s="289"/>
      <c r="K475" s="291" t="s">
        <v>283</v>
      </c>
      <c r="L475" s="189">
        <v>0.43099999999999999</v>
      </c>
      <c r="M475"/>
      <c r="N475" s="289"/>
      <c r="O475" s="289"/>
      <c r="P475" s="289"/>
      <c r="Q475" s="289"/>
    </row>
    <row r="476" spans="2:17">
      <c r="B476" s="288" t="s">
        <v>284</v>
      </c>
      <c r="C476" s="2">
        <v>32.97</v>
      </c>
      <c r="G476" s="289"/>
      <c r="K476" s="291" t="s">
        <v>284</v>
      </c>
      <c r="L476" s="189">
        <v>0.50800000000000001</v>
      </c>
      <c r="M476"/>
      <c r="N476" s="289"/>
      <c r="O476" s="289"/>
      <c r="P476" s="289"/>
      <c r="Q476" s="289"/>
    </row>
    <row r="477" spans="2:17">
      <c r="B477" s="288" t="s">
        <v>285</v>
      </c>
      <c r="C477" s="2">
        <v>39.199999999999996</v>
      </c>
      <c r="G477" s="289"/>
      <c r="K477" s="291" t="s">
        <v>285</v>
      </c>
      <c r="L477" s="189">
        <v>0.59799999999999998</v>
      </c>
      <c r="M477"/>
      <c r="N477" s="289"/>
      <c r="O477" s="289"/>
      <c r="P477" s="289"/>
      <c r="Q477" s="289"/>
    </row>
    <row r="478" spans="2:17">
      <c r="B478" s="288" t="s">
        <v>288</v>
      </c>
      <c r="C478" s="2">
        <v>51.86999999999999</v>
      </c>
      <c r="G478" s="289"/>
      <c r="K478" s="291" t="s">
        <v>288</v>
      </c>
      <c r="L478" s="189">
        <v>0.79800000000000004</v>
      </c>
      <c r="M478"/>
      <c r="N478" s="289"/>
      <c r="O478" s="289"/>
      <c r="P478" s="289"/>
      <c r="Q478" s="289"/>
    </row>
    <row r="479" spans="2:17">
      <c r="B479" s="288" t="s">
        <v>289</v>
      </c>
      <c r="C479" s="2">
        <v>62.859999999999992</v>
      </c>
      <c r="G479" s="289"/>
      <c r="K479" s="291" t="s">
        <v>289</v>
      </c>
      <c r="L479" s="189">
        <v>0.97599999999999998</v>
      </c>
      <c r="M479"/>
      <c r="N479" s="289"/>
      <c r="O479" s="289"/>
      <c r="P479" s="289"/>
      <c r="Q479" s="289"/>
    </row>
    <row r="480" spans="2:17">
      <c r="B480" s="288" t="s">
        <v>290</v>
      </c>
      <c r="C480" s="2">
        <v>227.49999999999997</v>
      </c>
      <c r="G480" s="289"/>
      <c r="K480" s="291" t="s">
        <v>290</v>
      </c>
      <c r="L480" s="189">
        <v>3</v>
      </c>
      <c r="M480"/>
      <c r="N480" s="289"/>
      <c r="O480" s="289"/>
      <c r="P480" s="289"/>
      <c r="Q480" s="289"/>
    </row>
    <row r="481" spans="2:17">
      <c r="B481" s="288" t="s">
        <v>291</v>
      </c>
      <c r="C481" s="278">
        <v>14.209999999999999</v>
      </c>
      <c r="D481" s="289"/>
      <c r="E481" s="289"/>
      <c r="F481" s="289"/>
      <c r="G481" s="289"/>
      <c r="H481" s="289"/>
      <c r="I481" s="289"/>
      <c r="J481" s="289"/>
      <c r="K481" s="291" t="s">
        <v>291</v>
      </c>
      <c r="L481" s="189">
        <v>0.216</v>
      </c>
      <c r="M481"/>
      <c r="N481" s="289"/>
      <c r="O481" s="289"/>
      <c r="P481" s="289"/>
      <c r="Q481" s="289"/>
    </row>
    <row r="482" spans="2:17">
      <c r="B482" s="288" t="s">
        <v>297</v>
      </c>
      <c r="C482" s="2">
        <v>8.9700000000000006</v>
      </c>
      <c r="K482" s="291" t="s">
        <v>297</v>
      </c>
      <c r="L482" s="189">
        <v>0.97</v>
      </c>
      <c r="M482"/>
    </row>
    <row r="483" spans="2:17">
      <c r="B483" s="288" t="s">
        <v>299</v>
      </c>
      <c r="C483" s="2">
        <v>29.75</v>
      </c>
      <c r="K483" s="288" t="s">
        <v>299</v>
      </c>
      <c r="L483" s="189">
        <v>0.45300000000000001</v>
      </c>
      <c r="M483"/>
    </row>
    <row r="484" spans="2:17">
      <c r="B484" s="288" t="s">
        <v>300</v>
      </c>
      <c r="C484" s="2">
        <v>31.43</v>
      </c>
      <c r="K484" s="288" t="s">
        <v>300</v>
      </c>
      <c r="L484" s="189">
        <v>0.47799999999999998</v>
      </c>
      <c r="M484"/>
    </row>
    <row r="485" spans="2:17">
      <c r="B485" s="288" t="s">
        <v>122</v>
      </c>
      <c r="C485" s="2">
        <v>6.2789999999999999</v>
      </c>
      <c r="K485" s="288" t="s">
        <v>122</v>
      </c>
      <c r="L485" s="189">
        <v>9.7000000000000003E-2</v>
      </c>
      <c r="M485"/>
    </row>
    <row r="486" spans="2:17">
      <c r="B486" s="366" t="s">
        <v>423</v>
      </c>
      <c r="C486" s="2">
        <v>33.81</v>
      </c>
      <c r="K486" s="366" t="s">
        <v>423</v>
      </c>
      <c r="L486" s="189">
        <v>0.51700000000000002</v>
      </c>
      <c r="M486"/>
    </row>
    <row r="487" spans="2:17">
      <c r="L487" s="43"/>
      <c r="M487"/>
    </row>
    <row r="488" spans="2:17">
      <c r="L488" s="43"/>
      <c r="M488"/>
    </row>
    <row r="489" spans="2:17">
      <c r="L489" s="43"/>
      <c r="M489"/>
    </row>
    <row r="490" spans="2:17">
      <c r="L490" s="43"/>
      <c r="M490"/>
    </row>
    <row r="491" spans="2:17">
      <c r="L491" s="43"/>
      <c r="M491"/>
    </row>
    <row r="492" spans="2:17">
      <c r="L492" s="43"/>
      <c r="M492"/>
    </row>
    <row r="529" spans="1:63">
      <c r="B529" s="272" t="s">
        <v>498</v>
      </c>
      <c r="F529" s="201"/>
      <c r="G529" s="201"/>
      <c r="K529"/>
      <c r="L529"/>
      <c r="M529"/>
      <c r="O529" s="43"/>
      <c r="AA529" s="43"/>
      <c r="AH529" s="43"/>
      <c r="AP529" s="43"/>
      <c r="AW529" s="43"/>
      <c r="BD529" s="43"/>
      <c r="BK529" s="43"/>
    </row>
    <row r="530" spans="1:63">
      <c r="B530"/>
      <c r="F530" s="201"/>
      <c r="G530" s="201"/>
      <c r="K530"/>
      <c r="L530"/>
      <c r="M530"/>
      <c r="O530" s="43"/>
      <c r="AA530" s="43"/>
      <c r="AH530" s="43"/>
      <c r="AP530" s="43"/>
      <c r="AW530" s="43"/>
      <c r="BD530" s="43"/>
      <c r="BK530" s="43"/>
    </row>
    <row r="531" spans="1:63" ht="15.75" thickBot="1">
      <c r="B531" s="494" t="s">
        <v>499</v>
      </c>
      <c r="C531" s="495" t="s">
        <v>65</v>
      </c>
      <c r="D531" s="495" t="s">
        <v>500</v>
      </c>
      <c r="E531" s="495" t="s">
        <v>501</v>
      </c>
      <c r="F531" s="496" t="s">
        <v>502</v>
      </c>
      <c r="G531" s="496"/>
      <c r="H531" s="495" t="s">
        <v>503</v>
      </c>
      <c r="K531"/>
      <c r="L531"/>
      <c r="M531"/>
      <c r="O531" s="495"/>
      <c r="AA531" s="497"/>
      <c r="AH531" s="497"/>
      <c r="AP531" s="497"/>
      <c r="AW531" s="497"/>
      <c r="BD531" s="497"/>
      <c r="BK531" s="497"/>
    </row>
    <row r="532" spans="1:63">
      <c r="A532" s="498" t="s">
        <v>504</v>
      </c>
      <c r="B532" s="499"/>
      <c r="C532" s="500"/>
      <c r="D532" s="500"/>
      <c r="E532" s="500"/>
      <c r="F532" s="501"/>
      <c r="G532" s="501"/>
      <c r="H532" s="502"/>
      <c r="K532"/>
      <c r="L532"/>
      <c r="M532"/>
      <c r="O532" s="500"/>
      <c r="AA532" s="503"/>
      <c r="AH532" s="503"/>
      <c r="AP532" s="503"/>
      <c r="AW532" s="503"/>
      <c r="BD532" s="503"/>
      <c r="BK532" s="503"/>
    </row>
    <row r="533" spans="1:63">
      <c r="A533" s="504"/>
      <c r="B533" s="505"/>
      <c r="C533" s="503"/>
      <c r="D533" s="503"/>
      <c r="E533" s="503"/>
      <c r="F533" s="506"/>
      <c r="G533" s="506"/>
      <c r="H533" s="507"/>
      <c r="K533"/>
      <c r="L533"/>
      <c r="M533"/>
      <c r="O533" s="503"/>
      <c r="AA533" s="503"/>
      <c r="AH533" s="503"/>
      <c r="AP533" s="503"/>
      <c r="AW533" s="503"/>
      <c r="BD533" s="503"/>
      <c r="BK533" s="503"/>
    </row>
    <row r="534" spans="1:63">
      <c r="A534" s="508" t="s">
        <v>505</v>
      </c>
      <c r="B534" s="505"/>
      <c r="C534" s="503"/>
      <c r="D534" s="503"/>
      <c r="E534" s="503"/>
      <c r="F534" s="506"/>
      <c r="G534" s="506"/>
      <c r="H534" s="507"/>
      <c r="K534"/>
      <c r="L534"/>
      <c r="M534"/>
      <c r="O534" s="503"/>
      <c r="AA534" s="503"/>
      <c r="AH534" s="503"/>
      <c r="AP534" s="503"/>
      <c r="AW534" s="503"/>
      <c r="BD534" s="503"/>
      <c r="BK534" s="503"/>
    </row>
    <row r="535" spans="1:63">
      <c r="A535" s="504"/>
      <c r="B535" s="505"/>
      <c r="C535" s="509"/>
      <c r="D535" s="509"/>
      <c r="E535" s="510">
        <v>1</v>
      </c>
      <c r="F535" s="511">
        <v>9.9000000000000005E-2</v>
      </c>
      <c r="G535" s="511"/>
      <c r="H535" s="512">
        <v>2.64</v>
      </c>
      <c r="K535"/>
      <c r="L535"/>
      <c r="M535"/>
      <c r="O535" s="509"/>
      <c r="AA535" s="509"/>
      <c r="AH535" s="509"/>
      <c r="AP535" s="509"/>
      <c r="AW535" s="509"/>
      <c r="BD535" s="509"/>
      <c r="BK535" s="509"/>
    </row>
    <row r="536" spans="1:63">
      <c r="A536" s="504"/>
      <c r="B536" s="513" t="s">
        <v>506</v>
      </c>
      <c r="C536" s="509">
        <v>2</v>
      </c>
      <c r="D536" s="509"/>
      <c r="E536" s="509"/>
      <c r="F536" s="511">
        <v>0.12</v>
      </c>
      <c r="G536" s="511"/>
      <c r="H536" s="512">
        <v>0.74</v>
      </c>
      <c r="K536"/>
      <c r="L536"/>
      <c r="M536"/>
      <c r="O536" s="509"/>
      <c r="AA536" s="509"/>
      <c r="AH536" s="509"/>
      <c r="AP536" s="509"/>
      <c r="AW536" s="509"/>
      <c r="BD536" s="509"/>
      <c r="BK536" s="509"/>
    </row>
    <row r="537" spans="1:63">
      <c r="A537" s="504"/>
      <c r="B537" s="513" t="s">
        <v>507</v>
      </c>
      <c r="C537" s="509">
        <v>1</v>
      </c>
      <c r="D537" s="509"/>
      <c r="E537" s="509"/>
      <c r="F537" s="511">
        <v>0.3</v>
      </c>
      <c r="G537" s="511"/>
      <c r="H537" s="512">
        <v>6.69</v>
      </c>
      <c r="K537"/>
      <c r="L537"/>
      <c r="M537"/>
      <c r="O537" s="509"/>
      <c r="AA537" s="509"/>
      <c r="AH537" s="509"/>
      <c r="AP537" s="509"/>
      <c r="AW537" s="509"/>
      <c r="BD537" s="509"/>
      <c r="BK537" s="509"/>
    </row>
    <row r="538" spans="1:63">
      <c r="A538" s="504"/>
      <c r="B538" s="513" t="s">
        <v>508</v>
      </c>
      <c r="C538" s="509">
        <v>1</v>
      </c>
      <c r="D538" s="509"/>
      <c r="E538" s="509"/>
      <c r="F538" s="511">
        <v>7.0000000000000007E-2</v>
      </c>
      <c r="G538" s="511"/>
      <c r="H538" s="512">
        <v>0.68</v>
      </c>
      <c r="K538"/>
      <c r="L538"/>
      <c r="M538"/>
      <c r="O538" s="509"/>
      <c r="AA538" s="509"/>
      <c r="AH538" s="509"/>
      <c r="AP538" s="509"/>
      <c r="AW538" s="509"/>
      <c r="BD538" s="509"/>
      <c r="BK538" s="509"/>
    </row>
    <row r="539" spans="1:63">
      <c r="A539" s="504"/>
      <c r="B539" s="505"/>
      <c r="C539" s="509"/>
      <c r="D539" s="509"/>
      <c r="E539" s="509"/>
      <c r="F539" s="511"/>
      <c r="G539" s="511"/>
      <c r="H539" s="512"/>
      <c r="K539"/>
      <c r="L539"/>
      <c r="M539"/>
      <c r="O539" s="509"/>
      <c r="AA539" s="509"/>
      <c r="AH539" s="509"/>
      <c r="AP539" s="509"/>
      <c r="AW539" s="509"/>
      <c r="BD539" s="509"/>
      <c r="BK539" s="509"/>
    </row>
    <row r="540" spans="1:63">
      <c r="A540" s="514" t="s">
        <v>509</v>
      </c>
      <c r="B540" s="505"/>
      <c r="C540" s="509"/>
      <c r="D540" s="509"/>
      <c r="E540" s="509"/>
      <c r="F540" s="511"/>
      <c r="G540" s="511"/>
      <c r="H540" s="512"/>
      <c r="K540"/>
      <c r="L540"/>
      <c r="M540"/>
      <c r="O540" s="509"/>
      <c r="AA540" s="509"/>
      <c r="AH540" s="509"/>
      <c r="AP540" s="509"/>
      <c r="AW540" s="509"/>
      <c r="BD540" s="509"/>
      <c r="BK540" s="509"/>
    </row>
    <row r="541" spans="1:63">
      <c r="A541" s="504"/>
      <c r="B541" s="505"/>
      <c r="C541" s="509"/>
      <c r="D541" s="509"/>
      <c r="E541" s="509"/>
      <c r="F541" s="511"/>
      <c r="G541" s="511"/>
      <c r="H541" s="512"/>
      <c r="K541"/>
      <c r="L541"/>
      <c r="M541"/>
      <c r="O541" s="509"/>
      <c r="AA541" s="509"/>
      <c r="AH541" s="509"/>
      <c r="AP541" s="509"/>
      <c r="AW541" s="509"/>
      <c r="BD541" s="509"/>
      <c r="BK541" s="509"/>
    </row>
    <row r="542" spans="1:63">
      <c r="A542" s="504"/>
      <c r="B542" s="515" t="s">
        <v>510</v>
      </c>
      <c r="C542" s="509"/>
      <c r="D542" s="509"/>
      <c r="E542" s="509" t="s">
        <v>511</v>
      </c>
      <c r="F542" s="511">
        <v>4.2000000000000003E-2</v>
      </c>
      <c r="G542" s="511"/>
      <c r="H542" s="512">
        <v>1.62</v>
      </c>
      <c r="K542"/>
      <c r="L542"/>
      <c r="M542"/>
      <c r="O542" s="509"/>
      <c r="AA542" s="509"/>
      <c r="AH542" s="509"/>
      <c r="AP542" s="509"/>
      <c r="AW542" s="509"/>
      <c r="BD542" s="509"/>
      <c r="BK542" s="509"/>
    </row>
    <row r="543" spans="1:63">
      <c r="A543" s="504"/>
      <c r="B543" s="505"/>
      <c r="C543" s="503"/>
      <c r="D543" s="503"/>
      <c r="E543" s="503"/>
      <c r="F543" s="506"/>
      <c r="G543" s="506"/>
      <c r="H543" s="507"/>
      <c r="K543"/>
      <c r="L543"/>
      <c r="M543"/>
      <c r="O543" s="503"/>
      <c r="AA543" s="503"/>
      <c r="AH543" s="503"/>
      <c r="AP543" s="503"/>
      <c r="AW543" s="503"/>
      <c r="BD543" s="503"/>
      <c r="BK543" s="503"/>
    </row>
    <row r="544" spans="1:63" ht="15.75" thickBot="1">
      <c r="A544" s="516"/>
      <c r="B544" s="517"/>
      <c r="C544" s="518"/>
      <c r="D544" s="519"/>
      <c r="E544" s="520"/>
      <c r="F544" s="521">
        <f>F535+F542+F536+F537+F538</f>
        <v>0.63100000000000001</v>
      </c>
      <c r="G544" s="521"/>
      <c r="H544" s="522">
        <f>H535+H542+H536+H537+H538</f>
        <v>12.370000000000001</v>
      </c>
      <c r="K544"/>
      <c r="L544"/>
      <c r="M544"/>
      <c r="O544" s="523"/>
      <c r="AA544" s="9"/>
      <c r="AH544" s="9"/>
      <c r="AP544" s="9"/>
      <c r="AW544" s="9"/>
      <c r="BD544" s="9"/>
      <c r="BK544" s="9"/>
    </row>
    <row r="545" spans="1:63" ht="15.75" thickBot="1">
      <c r="A545" s="504"/>
      <c r="B545" s="505"/>
      <c r="C545" s="524"/>
      <c r="D545" s="43"/>
      <c r="E545" s="503"/>
      <c r="F545" s="525"/>
      <c r="G545" s="525"/>
      <c r="H545" s="526"/>
      <c r="K545"/>
      <c r="L545"/>
      <c r="M545"/>
      <c r="O545" s="9"/>
      <c r="AA545" s="9"/>
      <c r="AH545" s="9"/>
      <c r="AP545" s="9"/>
      <c r="AW545" s="9"/>
      <c r="BD545" s="9"/>
      <c r="BK545" s="9"/>
    </row>
    <row r="546" spans="1:63">
      <c r="A546" s="498" t="s">
        <v>504</v>
      </c>
      <c r="B546" s="499"/>
      <c r="C546" s="500"/>
      <c r="D546" s="500"/>
      <c r="E546" s="500"/>
      <c r="F546" s="501"/>
      <c r="G546" s="501"/>
      <c r="H546" s="502"/>
      <c r="K546"/>
      <c r="L546"/>
      <c r="M546"/>
      <c r="O546" s="500"/>
      <c r="AA546" s="503"/>
      <c r="AH546" s="503"/>
      <c r="AP546" s="503"/>
      <c r="AW546" s="503"/>
      <c r="BD546" s="503"/>
      <c r="BK546" s="503"/>
    </row>
    <row r="547" spans="1:63">
      <c r="A547" s="504"/>
      <c r="B547" s="505"/>
      <c r="C547" s="503"/>
      <c r="D547" s="503"/>
      <c r="E547" s="503"/>
      <c r="F547" s="506"/>
      <c r="G547" s="506"/>
      <c r="H547" s="507"/>
      <c r="K547"/>
      <c r="L547"/>
      <c r="M547"/>
      <c r="O547" s="503"/>
      <c r="AA547" s="503"/>
      <c r="AH547" s="503"/>
      <c r="AP547" s="503"/>
      <c r="AW547" s="503"/>
      <c r="BD547" s="503"/>
      <c r="BK547" s="503"/>
    </row>
    <row r="548" spans="1:63">
      <c r="A548" s="508" t="s">
        <v>505</v>
      </c>
      <c r="B548" s="505"/>
      <c r="C548" s="503"/>
      <c r="D548" s="503"/>
      <c r="E548" s="503"/>
      <c r="F548" s="506"/>
      <c r="G548" s="506"/>
      <c r="H548" s="507"/>
      <c r="K548"/>
      <c r="L548"/>
      <c r="M548"/>
      <c r="O548" s="503"/>
      <c r="AA548" s="503"/>
      <c r="AH548" s="503"/>
      <c r="AP548" s="503"/>
      <c r="AW548" s="503"/>
      <c r="BD548" s="503"/>
      <c r="BK548" s="503"/>
    </row>
    <row r="549" spans="1:63">
      <c r="A549" s="504"/>
      <c r="B549" s="505"/>
      <c r="C549" s="509"/>
      <c r="D549" s="509"/>
      <c r="E549" s="510">
        <v>1</v>
      </c>
      <c r="F549" s="511">
        <v>9.9000000000000005E-2</v>
      </c>
      <c r="G549" s="511"/>
      <c r="H549" s="512">
        <v>2.64</v>
      </c>
      <c r="K549"/>
      <c r="L549"/>
      <c r="M549"/>
      <c r="O549" s="509"/>
      <c r="AA549" s="509"/>
      <c r="AH549" s="509"/>
      <c r="AP549" s="509"/>
      <c r="AW549" s="509"/>
      <c r="BD549" s="509"/>
      <c r="BK549" s="509"/>
    </row>
    <row r="550" spans="1:63">
      <c r="A550" s="504"/>
      <c r="B550" s="513" t="s">
        <v>506</v>
      </c>
      <c r="C550" s="509">
        <v>2</v>
      </c>
      <c r="D550" s="509"/>
      <c r="E550" s="509"/>
      <c r="F550" s="511">
        <v>0.12</v>
      </c>
      <c r="G550" s="511"/>
      <c r="H550" s="512">
        <v>0.74</v>
      </c>
      <c r="K550"/>
      <c r="L550"/>
      <c r="M550"/>
      <c r="O550" s="509"/>
      <c r="AA550" s="509"/>
      <c r="AH550" s="509"/>
      <c r="AP550" s="509"/>
      <c r="AW550" s="509"/>
      <c r="BD550" s="509"/>
      <c r="BK550" s="509"/>
    </row>
    <row r="551" spans="1:63">
      <c r="A551" s="504"/>
      <c r="B551" s="513" t="s">
        <v>507</v>
      </c>
      <c r="C551" s="509">
        <v>1</v>
      </c>
      <c r="D551" s="509"/>
      <c r="E551" s="509"/>
      <c r="F551" s="511">
        <v>0.3</v>
      </c>
      <c r="G551" s="511"/>
      <c r="H551" s="512">
        <v>6.69</v>
      </c>
      <c r="K551"/>
      <c r="L551"/>
      <c r="M551"/>
      <c r="O551" s="509"/>
      <c r="AA551" s="509"/>
      <c r="AH551" s="509"/>
      <c r="AP551" s="509"/>
      <c r="AW551" s="509"/>
      <c r="BD551" s="509"/>
      <c r="BK551" s="509"/>
    </row>
    <row r="552" spans="1:63">
      <c r="A552" s="504"/>
      <c r="B552" s="513" t="s">
        <v>508</v>
      </c>
      <c r="C552" s="509">
        <v>1</v>
      </c>
      <c r="D552" s="509"/>
      <c r="E552" s="509"/>
      <c r="F552" s="511">
        <v>7.0000000000000007E-2</v>
      </c>
      <c r="G552" s="511"/>
      <c r="H552" s="512">
        <v>0.68</v>
      </c>
      <c r="K552"/>
      <c r="L552"/>
      <c r="M552"/>
      <c r="O552" s="509"/>
      <c r="AA552" s="509"/>
      <c r="AH552" s="509"/>
      <c r="AP552" s="509"/>
      <c r="AW552" s="509"/>
      <c r="BD552" s="509"/>
      <c r="BK552" s="509"/>
    </row>
    <row r="553" spans="1:63">
      <c r="A553" s="504"/>
      <c r="B553" s="505"/>
      <c r="C553" s="509"/>
      <c r="D553" s="509"/>
      <c r="E553" s="509"/>
      <c r="F553" s="511"/>
      <c r="G553" s="511"/>
      <c r="H553" s="512"/>
      <c r="K553"/>
      <c r="L553"/>
      <c r="M553"/>
      <c r="O553" s="509"/>
      <c r="AA553" s="509"/>
      <c r="AH553" s="509"/>
      <c r="AP553" s="509"/>
      <c r="AW553" s="509"/>
      <c r="BD553" s="509"/>
      <c r="BK553" s="509"/>
    </row>
    <row r="554" spans="1:63">
      <c r="A554" s="514" t="s">
        <v>509</v>
      </c>
      <c r="B554" s="505"/>
      <c r="C554" s="509"/>
      <c r="D554" s="509"/>
      <c r="E554" s="509"/>
      <c r="F554" s="511"/>
      <c r="G554" s="511"/>
      <c r="H554" s="512"/>
      <c r="K554"/>
      <c r="L554"/>
      <c r="M554"/>
      <c r="O554" s="509"/>
      <c r="AA554" s="509"/>
      <c r="AH554" s="509"/>
      <c r="AP554" s="509"/>
      <c r="AW554" s="509"/>
      <c r="BD554" s="509"/>
      <c r="BK554" s="509"/>
    </row>
    <row r="555" spans="1:63">
      <c r="A555" s="504"/>
      <c r="B555" s="505"/>
      <c r="C555" s="509"/>
      <c r="D555" s="509"/>
      <c r="E555" s="509"/>
      <c r="F555" s="511"/>
      <c r="G555" s="511"/>
      <c r="H555" s="512"/>
      <c r="K555"/>
      <c r="L555"/>
      <c r="M555"/>
      <c r="O555" s="509"/>
      <c r="AA555" s="509"/>
      <c r="AH555" s="509"/>
      <c r="AP555" s="509"/>
      <c r="AW555" s="509"/>
      <c r="BD555" s="509"/>
      <c r="BK555" s="509"/>
    </row>
    <row r="556" spans="1:63">
      <c r="A556" s="504"/>
      <c r="B556" s="515" t="s">
        <v>510</v>
      </c>
      <c r="C556" s="509"/>
      <c r="D556" s="509"/>
      <c r="E556" s="509" t="s">
        <v>511</v>
      </c>
      <c r="F556" s="511">
        <v>3.9E-2</v>
      </c>
      <c r="G556" s="511"/>
      <c r="H556" s="512">
        <v>1.46</v>
      </c>
      <c r="K556"/>
      <c r="L556"/>
      <c r="M556"/>
      <c r="O556" s="509"/>
      <c r="AA556" s="509"/>
      <c r="AH556" s="509"/>
      <c r="AP556" s="509"/>
      <c r="AW556" s="509"/>
      <c r="BD556" s="509"/>
      <c r="BK556" s="509"/>
    </row>
    <row r="557" spans="1:63">
      <c r="A557" s="504"/>
      <c r="B557" s="505" t="s">
        <v>512</v>
      </c>
      <c r="C557" s="503">
        <v>1</v>
      </c>
      <c r="D557" s="503"/>
      <c r="E557" s="503"/>
      <c r="F557" s="506">
        <v>1</v>
      </c>
      <c r="G557" s="506"/>
      <c r="H557" s="507">
        <v>193.21</v>
      </c>
      <c r="K557"/>
      <c r="L557"/>
      <c r="M557"/>
      <c r="O557" s="503"/>
      <c r="AA557" s="503"/>
      <c r="AH557" s="503"/>
      <c r="AP557" s="503"/>
      <c r="AW557" s="503"/>
      <c r="BD557" s="503"/>
      <c r="BK557" s="503"/>
    </row>
    <row r="558" spans="1:63">
      <c r="A558" s="504"/>
      <c r="B558" s="505" t="s">
        <v>513</v>
      </c>
      <c r="C558" s="503">
        <v>1</v>
      </c>
      <c r="D558" s="503"/>
      <c r="E558" s="503"/>
      <c r="F558" s="506">
        <v>0.5</v>
      </c>
      <c r="G558" s="506"/>
      <c r="H558" s="507">
        <v>15.31</v>
      </c>
      <c r="K558"/>
      <c r="L558"/>
      <c r="M558"/>
      <c r="O558" s="503"/>
      <c r="AA558" s="503"/>
      <c r="AH558" s="503"/>
      <c r="AP558" s="503"/>
      <c r="AW558" s="503"/>
      <c r="BD558" s="503"/>
      <c r="BK558" s="503"/>
    </row>
    <row r="559" spans="1:63" ht="15.75" thickBot="1">
      <c r="A559" s="516"/>
      <c r="B559" s="517"/>
      <c r="C559" s="518"/>
      <c r="D559" s="519"/>
      <c r="E559" s="520"/>
      <c r="F559" s="521">
        <f>SUM(F549:F558)</f>
        <v>2.1280000000000001</v>
      </c>
      <c r="G559" s="521"/>
      <c r="H559" s="522">
        <f>SUM(H549:H558)</f>
        <v>220.73000000000002</v>
      </c>
      <c r="K559"/>
      <c r="L559"/>
      <c r="M559"/>
      <c r="O559" s="523"/>
      <c r="AA559" s="9"/>
      <c r="AH559" s="9"/>
      <c r="AP559" s="9"/>
      <c r="AW559" s="9"/>
      <c r="BD559" s="9"/>
      <c r="BK559" s="9"/>
    </row>
    <row r="560" spans="1:63" ht="15.75" thickBot="1">
      <c r="A560" s="504"/>
      <c r="B560" s="505"/>
      <c r="C560" s="524"/>
      <c r="D560" s="43"/>
      <c r="E560" s="503"/>
      <c r="F560" s="525"/>
      <c r="G560" s="525"/>
      <c r="H560" s="526"/>
      <c r="K560"/>
      <c r="L560"/>
      <c r="M560"/>
      <c r="O560" s="9"/>
      <c r="AA560" s="9"/>
      <c r="AH560" s="9"/>
      <c r="AP560" s="9"/>
      <c r="AW560" s="9"/>
      <c r="BD560" s="9"/>
      <c r="BK560" s="9"/>
    </row>
    <row r="561" spans="1:63">
      <c r="A561" s="498" t="s">
        <v>504</v>
      </c>
      <c r="B561" s="499"/>
      <c r="C561" s="500"/>
      <c r="D561" s="500"/>
      <c r="E561" s="500"/>
      <c r="F561" s="501"/>
      <c r="G561" s="501"/>
      <c r="H561" s="502"/>
      <c r="K561"/>
      <c r="L561"/>
      <c r="M561"/>
      <c r="O561" s="500"/>
      <c r="AA561" s="503"/>
      <c r="AH561" s="503"/>
      <c r="AP561" s="503"/>
      <c r="AW561" s="503"/>
      <c r="BD561" s="503"/>
      <c r="BK561" s="503"/>
    </row>
    <row r="562" spans="1:63">
      <c r="A562" s="504"/>
      <c r="B562" s="505"/>
      <c r="C562" s="503"/>
      <c r="D562" s="503"/>
      <c r="E562" s="503"/>
      <c r="F562" s="506"/>
      <c r="G562" s="506"/>
      <c r="H562" s="507"/>
      <c r="K562"/>
      <c r="L562"/>
      <c r="M562"/>
      <c r="O562" s="503"/>
      <c r="AA562" s="503"/>
      <c r="AH562" s="503"/>
      <c r="AP562" s="503"/>
      <c r="AW562" s="503"/>
      <c r="BD562" s="503"/>
      <c r="BK562" s="503"/>
    </row>
    <row r="563" spans="1:63">
      <c r="A563" s="508" t="s">
        <v>505</v>
      </c>
      <c r="B563" s="505"/>
      <c r="C563" s="503"/>
      <c r="D563" s="503"/>
      <c r="E563" s="503"/>
      <c r="F563" s="506"/>
      <c r="G563" s="506"/>
      <c r="H563" s="507"/>
      <c r="K563"/>
      <c r="L563"/>
      <c r="M563"/>
      <c r="O563" s="503"/>
      <c r="AA563" s="503"/>
      <c r="AH563" s="503"/>
      <c r="AP563" s="503"/>
      <c r="AW563" s="503"/>
      <c r="BD563" s="503"/>
      <c r="BK563" s="503"/>
    </row>
    <row r="564" spans="1:63">
      <c r="A564" s="504"/>
      <c r="B564" s="505"/>
      <c r="C564" s="509"/>
      <c r="D564" s="509"/>
      <c r="E564" s="510">
        <v>0.75</v>
      </c>
      <c r="F564" s="511">
        <v>9.0999999999999998E-2</v>
      </c>
      <c r="G564" s="511"/>
      <c r="H564" s="512">
        <v>2.52</v>
      </c>
      <c r="K564"/>
      <c r="L564"/>
      <c r="M564"/>
      <c r="O564" s="509"/>
      <c r="AA564" s="509"/>
      <c r="AH564" s="509"/>
      <c r="AP564" s="509"/>
      <c r="AW564" s="509"/>
      <c r="BD564" s="509"/>
      <c r="BK564" s="509"/>
    </row>
    <row r="565" spans="1:63">
      <c r="A565" s="504"/>
      <c r="B565" s="513" t="s">
        <v>506</v>
      </c>
      <c r="C565" s="509">
        <v>2</v>
      </c>
      <c r="D565" s="509"/>
      <c r="E565" s="509"/>
      <c r="F565" s="511">
        <v>0.115</v>
      </c>
      <c r="G565" s="511"/>
      <c r="H565" s="512">
        <v>0.96</v>
      </c>
      <c r="K565"/>
      <c r="L565"/>
      <c r="M565"/>
      <c r="O565" s="509"/>
      <c r="AA565" s="509"/>
      <c r="AH565" s="509"/>
      <c r="AP565" s="509"/>
      <c r="AW565" s="509"/>
      <c r="BD565" s="509"/>
      <c r="BK565" s="509"/>
    </row>
    <row r="566" spans="1:63">
      <c r="A566" s="504"/>
      <c r="B566" s="513" t="s">
        <v>507</v>
      </c>
      <c r="C566" s="509">
        <v>1</v>
      </c>
      <c r="D566" s="509"/>
      <c r="E566" s="509"/>
      <c r="F566" s="511">
        <v>0.3</v>
      </c>
      <c r="G566" s="511"/>
      <c r="H566" s="512">
        <v>6.69</v>
      </c>
      <c r="K566"/>
      <c r="L566"/>
      <c r="M566"/>
      <c r="O566" s="509"/>
      <c r="AA566" s="509"/>
      <c r="AH566" s="509"/>
      <c r="AP566" s="509"/>
      <c r="AW566" s="509"/>
      <c r="BD566" s="509"/>
      <c r="BK566" s="509"/>
    </row>
    <row r="567" spans="1:63">
      <c r="A567" s="504"/>
      <c r="B567" s="513" t="s">
        <v>508</v>
      </c>
      <c r="C567" s="509">
        <v>1</v>
      </c>
      <c r="D567" s="509"/>
      <c r="E567" s="509"/>
      <c r="F567" s="511">
        <v>7.0000000000000007E-2</v>
      </c>
      <c r="G567" s="511"/>
      <c r="H567" s="512">
        <v>0.68</v>
      </c>
      <c r="K567"/>
      <c r="L567"/>
      <c r="M567"/>
      <c r="O567" s="509"/>
      <c r="AA567" s="509"/>
      <c r="AH567" s="509"/>
      <c r="AP567" s="509"/>
      <c r="AW567" s="509"/>
      <c r="BD567" s="509"/>
      <c r="BK567" s="509"/>
    </row>
    <row r="568" spans="1:63">
      <c r="A568" s="504"/>
      <c r="B568" s="505"/>
      <c r="C568" s="509"/>
      <c r="D568" s="509"/>
      <c r="E568" s="509"/>
      <c r="F568" s="511"/>
      <c r="G568" s="511"/>
      <c r="H568" s="512"/>
      <c r="K568"/>
      <c r="L568"/>
      <c r="M568"/>
      <c r="O568" s="509"/>
      <c r="AA568" s="509"/>
      <c r="AH568" s="509"/>
      <c r="AP568" s="509"/>
      <c r="AW568" s="509"/>
      <c r="BD568" s="509"/>
      <c r="BK568" s="509"/>
    </row>
    <row r="569" spans="1:63">
      <c r="A569" s="514" t="s">
        <v>509</v>
      </c>
      <c r="B569" s="505"/>
      <c r="C569" s="509"/>
      <c r="D569" s="509"/>
      <c r="E569" s="509"/>
      <c r="F569" s="511"/>
      <c r="G569" s="511"/>
      <c r="H569" s="512"/>
      <c r="K569"/>
      <c r="L569"/>
      <c r="M569"/>
      <c r="O569" s="509"/>
      <c r="AA569" s="509"/>
      <c r="AH569" s="509"/>
      <c r="AP569" s="509"/>
      <c r="AW569" s="509"/>
      <c r="BD569" s="509"/>
      <c r="BK569" s="509"/>
    </row>
    <row r="570" spans="1:63">
      <c r="A570" s="504"/>
      <c r="B570" s="505"/>
      <c r="C570" s="509"/>
      <c r="D570" s="509"/>
      <c r="E570" s="509"/>
      <c r="F570" s="511"/>
      <c r="G570" s="511"/>
      <c r="H570" s="512"/>
      <c r="K570"/>
      <c r="L570"/>
      <c r="M570"/>
      <c r="O570" s="509"/>
      <c r="AA570" s="509"/>
      <c r="AH570" s="509"/>
      <c r="AP570" s="509"/>
      <c r="AW570" s="509"/>
      <c r="BD570" s="509"/>
      <c r="BK570" s="509"/>
    </row>
    <row r="571" spans="1:63">
      <c r="A571" s="504"/>
      <c r="B571" s="515" t="s">
        <v>510</v>
      </c>
      <c r="C571" s="509"/>
      <c r="D571" s="509"/>
      <c r="E571" s="509" t="s">
        <v>514</v>
      </c>
      <c r="F571" s="511">
        <v>4.2000000000000003E-2</v>
      </c>
      <c r="G571" s="511"/>
      <c r="H571" s="512">
        <v>1.62</v>
      </c>
      <c r="K571"/>
      <c r="L571"/>
      <c r="M571"/>
      <c r="O571" s="509"/>
      <c r="AA571" s="509"/>
      <c r="AH571" s="509"/>
      <c r="AP571" s="509"/>
      <c r="AW571" s="509"/>
      <c r="BD571" s="509"/>
      <c r="BK571" s="509"/>
    </row>
    <row r="572" spans="1:63" ht="15.75" thickBot="1">
      <c r="A572" s="516"/>
      <c r="B572" s="517"/>
      <c r="C572" s="518"/>
      <c r="D572" s="519"/>
      <c r="E572" s="520"/>
      <c r="F572" s="521">
        <f>SUM(F564:F571)</f>
        <v>0.6180000000000001</v>
      </c>
      <c r="G572" s="521">
        <f>F572/10</f>
        <v>6.1800000000000008E-2</v>
      </c>
      <c r="H572" s="522">
        <f>SUM(H564:H571)</f>
        <v>12.469999999999999</v>
      </c>
      <c r="I572">
        <f>H572/10</f>
        <v>1.2469999999999999</v>
      </c>
      <c r="K572"/>
      <c r="L572"/>
      <c r="M572"/>
      <c r="O572" s="523"/>
      <c r="AA572" s="9"/>
      <c r="AH572" s="9"/>
      <c r="AP572" s="9"/>
      <c r="AW572" s="9"/>
      <c r="BD572" s="9"/>
      <c r="BK572" s="9"/>
    </row>
    <row r="573" spans="1:63" ht="15.75" thickBot="1">
      <c r="A573" s="504"/>
      <c r="B573" s="505"/>
      <c r="C573" s="503"/>
      <c r="D573" s="503"/>
      <c r="E573" s="503"/>
      <c r="F573" s="506"/>
      <c r="G573" s="506"/>
      <c r="H573" s="507"/>
      <c r="K573"/>
      <c r="L573"/>
      <c r="M573"/>
      <c r="O573" s="503"/>
      <c r="AA573" s="503"/>
      <c r="AH573" s="503"/>
      <c r="AP573" s="503"/>
      <c r="AW573" s="503"/>
      <c r="BD573" s="503"/>
      <c r="BK573" s="503"/>
    </row>
    <row r="574" spans="1:63">
      <c r="A574" s="527" t="s">
        <v>505</v>
      </c>
      <c r="B574" s="528"/>
      <c r="C574" s="500"/>
      <c r="D574" s="500"/>
      <c r="E574" s="500"/>
      <c r="F574" s="501"/>
      <c r="G574" s="501"/>
      <c r="H574" s="502"/>
      <c r="K574"/>
      <c r="L574"/>
      <c r="M574"/>
      <c r="O574" s="500"/>
      <c r="AA574" s="503"/>
      <c r="AH574" s="503"/>
      <c r="AP574" s="503"/>
      <c r="AW574" s="503"/>
      <c r="BD574" s="503"/>
      <c r="BK574" s="503"/>
    </row>
    <row r="575" spans="1:63">
      <c r="A575" s="504"/>
      <c r="B575" s="505"/>
      <c r="C575" s="509"/>
      <c r="D575" s="509"/>
      <c r="E575" s="510">
        <v>0.75</v>
      </c>
      <c r="F575" s="511">
        <v>9.0999999999999998E-2</v>
      </c>
      <c r="G575" s="511"/>
      <c r="H575" s="512">
        <v>2.52</v>
      </c>
      <c r="K575"/>
      <c r="L575"/>
      <c r="M575"/>
      <c r="O575" s="509"/>
      <c r="AA575" s="509"/>
      <c r="AH575" s="509"/>
      <c r="AP575" s="509"/>
      <c r="AW575" s="509"/>
      <c r="BD575" s="509"/>
      <c r="BK575" s="509"/>
    </row>
    <row r="576" spans="1:63">
      <c r="A576" s="504"/>
      <c r="B576" s="513" t="s">
        <v>506</v>
      </c>
      <c r="C576" s="509">
        <v>2</v>
      </c>
      <c r="D576" s="509"/>
      <c r="E576" s="509"/>
      <c r="F576" s="511">
        <v>0.115</v>
      </c>
      <c r="G576" s="511"/>
      <c r="H576" s="512">
        <v>0.96</v>
      </c>
      <c r="K576"/>
      <c r="L576"/>
      <c r="M576"/>
      <c r="O576" s="509"/>
      <c r="AA576" s="509"/>
      <c r="AH576" s="509"/>
      <c r="AP576" s="509"/>
      <c r="AW576" s="509"/>
      <c r="BD576" s="509"/>
      <c r="BK576" s="509"/>
    </row>
    <row r="577" spans="1:63">
      <c r="A577" s="504"/>
      <c r="B577" s="513" t="s">
        <v>507</v>
      </c>
      <c r="C577" s="509">
        <v>1</v>
      </c>
      <c r="D577" s="509"/>
      <c r="E577" s="509"/>
      <c r="F577" s="511">
        <v>0.3</v>
      </c>
      <c r="G577" s="511"/>
      <c r="H577" s="512">
        <v>6.69</v>
      </c>
      <c r="K577"/>
      <c r="L577"/>
      <c r="M577"/>
      <c r="O577" s="509"/>
      <c r="AA577" s="509"/>
      <c r="AH577" s="509"/>
      <c r="AP577" s="509"/>
      <c r="AW577" s="509"/>
      <c r="BD577" s="509"/>
      <c r="BK577" s="509"/>
    </row>
    <row r="578" spans="1:63">
      <c r="A578" s="504"/>
      <c r="B578" s="513" t="s">
        <v>508</v>
      </c>
      <c r="C578" s="509">
        <v>1</v>
      </c>
      <c r="D578" s="509"/>
      <c r="E578" s="509"/>
      <c r="F578" s="511">
        <v>7.0000000000000007E-2</v>
      </c>
      <c r="G578" s="511"/>
      <c r="H578" s="512">
        <v>0.68</v>
      </c>
      <c r="K578"/>
      <c r="L578"/>
      <c r="M578"/>
      <c r="O578" s="509"/>
      <c r="AA578" s="509"/>
      <c r="AH578" s="509"/>
      <c r="AP578" s="509"/>
      <c r="AW578" s="509"/>
      <c r="BD578" s="509"/>
      <c r="BK578" s="509"/>
    </row>
    <row r="579" spans="1:63">
      <c r="A579" s="504"/>
      <c r="B579" s="505"/>
      <c r="C579" s="509"/>
      <c r="D579" s="509"/>
      <c r="E579" s="509"/>
      <c r="F579" s="511"/>
      <c r="G579" s="511"/>
      <c r="H579" s="512"/>
      <c r="K579"/>
      <c r="L579"/>
      <c r="M579"/>
      <c r="O579" s="509"/>
      <c r="AA579" s="509"/>
      <c r="AH579" s="509"/>
      <c r="AP579" s="509"/>
      <c r="AW579" s="509"/>
      <c r="BD579" s="509"/>
      <c r="BK579" s="509"/>
    </row>
    <row r="580" spans="1:63">
      <c r="A580" s="514" t="s">
        <v>509</v>
      </c>
      <c r="B580" s="505"/>
      <c r="C580" s="509"/>
      <c r="D580" s="509"/>
      <c r="E580" s="509"/>
      <c r="F580" s="511"/>
      <c r="G580" s="511"/>
      <c r="H580" s="512"/>
      <c r="K580"/>
      <c r="L580"/>
      <c r="M580"/>
      <c r="O580" s="509"/>
      <c r="AA580" s="509"/>
      <c r="AH580" s="509"/>
      <c r="AP580" s="509"/>
      <c r="AW580" s="509"/>
      <c r="BD580" s="509"/>
      <c r="BK580" s="509"/>
    </row>
    <row r="581" spans="1:63">
      <c r="A581" s="504"/>
      <c r="B581" s="505"/>
      <c r="C581" s="509"/>
      <c r="D581" s="509"/>
      <c r="E581" s="509"/>
      <c r="F581" s="511"/>
      <c r="G581" s="511"/>
      <c r="H581" s="512"/>
      <c r="K581"/>
      <c r="L581"/>
      <c r="M581"/>
      <c r="O581" s="509"/>
      <c r="AA581" s="509"/>
      <c r="AH581" s="509"/>
      <c r="AP581" s="509"/>
      <c r="AW581" s="509"/>
      <c r="BD581" s="509"/>
      <c r="BK581" s="509"/>
    </row>
    <row r="582" spans="1:63">
      <c r="A582" s="504"/>
      <c r="B582" s="515" t="s">
        <v>510</v>
      </c>
      <c r="C582" s="509"/>
      <c r="D582" s="509"/>
      <c r="E582" s="509" t="s">
        <v>514</v>
      </c>
      <c r="F582" s="511">
        <v>4.2000000000000003E-2</v>
      </c>
      <c r="G582" s="511"/>
      <c r="H582" s="512">
        <v>1.62</v>
      </c>
      <c r="K582"/>
      <c r="L582"/>
      <c r="M582"/>
      <c r="O582" s="509"/>
      <c r="AA582" s="509"/>
      <c r="AH582" s="509"/>
      <c r="AP582" s="509"/>
      <c r="AW582" s="509"/>
      <c r="BD582" s="509"/>
      <c r="BK582" s="509"/>
    </row>
    <row r="583" spans="1:63">
      <c r="A583" s="504"/>
      <c r="B583" s="505" t="s">
        <v>512</v>
      </c>
      <c r="C583" s="503">
        <v>1</v>
      </c>
      <c r="D583" s="503"/>
      <c r="E583" s="503"/>
      <c r="F583" s="506">
        <v>1</v>
      </c>
      <c r="G583" s="506"/>
      <c r="H583" s="507">
        <v>193.21</v>
      </c>
      <c r="K583"/>
      <c r="L583"/>
      <c r="M583"/>
      <c r="O583" s="503"/>
      <c r="AA583" s="503"/>
      <c r="AH583" s="503"/>
      <c r="AP583" s="503"/>
      <c r="AW583" s="503"/>
      <c r="BD583" s="503"/>
      <c r="BK583" s="503"/>
    </row>
    <row r="584" spans="1:63">
      <c r="A584" s="504"/>
      <c r="B584" s="505" t="s">
        <v>513</v>
      </c>
      <c r="C584" s="503">
        <v>1</v>
      </c>
      <c r="D584" s="503"/>
      <c r="E584" s="503"/>
      <c r="F584" s="506">
        <v>0.5</v>
      </c>
      <c r="G584" s="506"/>
      <c r="H584" s="507">
        <v>15.31</v>
      </c>
      <c r="I584" s="191">
        <f>SUM(F583:F584)</f>
        <v>1.5</v>
      </c>
      <c r="J584">
        <f>SUM(H583:H584)</f>
        <v>208.52</v>
      </c>
      <c r="K584"/>
      <c r="L584"/>
      <c r="M584"/>
      <c r="O584" s="503"/>
      <c r="AA584" s="503"/>
      <c r="AH584" s="503"/>
      <c r="AP584" s="503"/>
      <c r="AW584" s="503"/>
      <c r="BD584" s="503"/>
      <c r="BK584" s="503"/>
    </row>
    <row r="585" spans="1:63" ht="15.75" thickBot="1">
      <c r="A585" s="516"/>
      <c r="B585" s="517"/>
      <c r="C585" s="518"/>
      <c r="D585" s="519"/>
      <c r="E585" s="520"/>
      <c r="F585" s="521">
        <f>SUM(F575:F584)</f>
        <v>2.1180000000000003</v>
      </c>
      <c r="G585" s="521"/>
      <c r="H585" s="522">
        <f>SUM(H575:H584)</f>
        <v>220.99</v>
      </c>
      <c r="K585"/>
      <c r="L585"/>
      <c r="M585"/>
      <c r="O585" s="523"/>
      <c r="AA585" s="9"/>
      <c r="AH585" s="9"/>
      <c r="AP585" s="9"/>
      <c r="AW585" s="9"/>
      <c r="BD585" s="9"/>
      <c r="BK585" s="9"/>
    </row>
    <row r="586" spans="1:63" ht="15.75" thickBot="1">
      <c r="A586" s="504"/>
      <c r="B586" s="505"/>
      <c r="C586" s="524"/>
      <c r="D586" s="43"/>
      <c r="E586" s="503"/>
      <c r="F586" s="525"/>
      <c r="G586" s="525"/>
      <c r="H586" s="526"/>
      <c r="K586"/>
      <c r="L586"/>
      <c r="M586"/>
      <c r="O586" s="9"/>
      <c r="AA586" s="9"/>
      <c r="AH586" s="9"/>
      <c r="AP586" s="9"/>
      <c r="AW586" s="9"/>
      <c r="BD586" s="9"/>
      <c r="BK586" s="9"/>
    </row>
    <row r="587" spans="1:63">
      <c r="A587" s="498" t="s">
        <v>504</v>
      </c>
      <c r="B587" s="499"/>
      <c r="C587" s="500"/>
      <c r="D587" s="500"/>
      <c r="E587" s="500"/>
      <c r="F587" s="501"/>
      <c r="G587" s="501"/>
      <c r="H587" s="502"/>
      <c r="K587"/>
      <c r="L587"/>
      <c r="M587"/>
      <c r="O587" s="500"/>
      <c r="AA587" s="503"/>
      <c r="AH587" s="503"/>
      <c r="AP587" s="503"/>
      <c r="AW587" s="503"/>
      <c r="BD587" s="503"/>
      <c r="BK587" s="503"/>
    </row>
    <row r="588" spans="1:63">
      <c r="A588" s="504"/>
      <c r="B588" s="505"/>
      <c r="C588" s="503"/>
      <c r="D588" s="503"/>
      <c r="E588" s="503"/>
      <c r="F588" s="506"/>
      <c r="G588" s="506"/>
      <c r="H588" s="507"/>
      <c r="K588"/>
      <c r="L588"/>
      <c r="M588"/>
      <c r="O588" s="503"/>
      <c r="AA588" s="503"/>
      <c r="AH588" s="503"/>
      <c r="AP588" s="503"/>
      <c r="AW588" s="503"/>
      <c r="BD588" s="503"/>
      <c r="BK588" s="503"/>
    </row>
    <row r="589" spans="1:63">
      <c r="A589" s="508" t="s">
        <v>505</v>
      </c>
      <c r="B589" s="505"/>
      <c r="C589" s="503"/>
      <c r="D589" s="503"/>
      <c r="E589" s="503"/>
      <c r="F589" s="506"/>
      <c r="G589" s="506"/>
      <c r="H589" s="507"/>
      <c r="K589"/>
      <c r="L589"/>
      <c r="M589"/>
      <c r="O589" s="503"/>
      <c r="AA589" s="503"/>
      <c r="AH589" s="503"/>
      <c r="AP589" s="503"/>
      <c r="AW589" s="503"/>
      <c r="BD589" s="503"/>
      <c r="BK589" s="503"/>
    </row>
    <row r="590" spans="1:63">
      <c r="A590" s="504"/>
      <c r="B590" s="505"/>
      <c r="C590" s="509"/>
      <c r="D590" s="509"/>
      <c r="E590" s="510">
        <v>0.75</v>
      </c>
      <c r="F590" s="511">
        <v>9.0999999999999998E-2</v>
      </c>
      <c r="G590" s="511"/>
      <c r="H590" s="512">
        <v>2.52</v>
      </c>
      <c r="K590"/>
      <c r="L590"/>
      <c r="M590"/>
      <c r="O590" s="509"/>
      <c r="AA590" s="509"/>
      <c r="AH590" s="509"/>
      <c r="AP590" s="509"/>
      <c r="AW590" s="509"/>
      <c r="BD590" s="509"/>
      <c r="BK590" s="509"/>
    </row>
    <row r="591" spans="1:63">
      <c r="A591" s="504"/>
      <c r="B591" s="513" t="s">
        <v>506</v>
      </c>
      <c r="C591" s="509">
        <v>2</v>
      </c>
      <c r="D591" s="509"/>
      <c r="E591" s="509"/>
      <c r="F591" s="511">
        <v>0.115</v>
      </c>
      <c r="G591" s="511"/>
      <c r="H591" s="512">
        <v>0.96</v>
      </c>
      <c r="K591"/>
      <c r="L591"/>
      <c r="M591"/>
      <c r="O591" s="509"/>
      <c r="AA591" s="509"/>
      <c r="AH591" s="509"/>
      <c r="AP591" s="509"/>
      <c r="AW591" s="509"/>
      <c r="BD591" s="509"/>
      <c r="BK591" s="509"/>
    </row>
    <row r="592" spans="1:63">
      <c r="A592" s="504"/>
      <c r="B592" s="513" t="s">
        <v>507</v>
      </c>
      <c r="C592" s="509">
        <v>1</v>
      </c>
      <c r="D592" s="509"/>
      <c r="E592" s="509"/>
      <c r="F592" s="511">
        <v>0.3</v>
      </c>
      <c r="G592" s="511"/>
      <c r="H592" s="512">
        <v>6.69</v>
      </c>
      <c r="K592"/>
      <c r="L592"/>
      <c r="M592"/>
      <c r="O592" s="509"/>
      <c r="AA592" s="509"/>
      <c r="AH592" s="509"/>
      <c r="AP592" s="509"/>
      <c r="AW592" s="509"/>
      <c r="BD592" s="509"/>
      <c r="BK592" s="509"/>
    </row>
    <row r="593" spans="1:63">
      <c r="A593" s="504"/>
      <c r="B593" s="513" t="s">
        <v>508</v>
      </c>
      <c r="C593" s="509">
        <v>1</v>
      </c>
      <c r="D593" s="509"/>
      <c r="E593" s="509"/>
      <c r="F593" s="511">
        <v>7.0000000000000007E-2</v>
      </c>
      <c r="G593" s="511"/>
      <c r="H593" s="512">
        <v>0.68</v>
      </c>
      <c r="K593"/>
      <c r="L593"/>
      <c r="M593"/>
      <c r="O593" s="509"/>
      <c r="AA593" s="509"/>
      <c r="AH593" s="509"/>
      <c r="AP593" s="509"/>
      <c r="AW593" s="509"/>
      <c r="BD593" s="509"/>
      <c r="BK593" s="509"/>
    </row>
    <row r="594" spans="1:63">
      <c r="A594" s="504"/>
      <c r="B594" s="505"/>
      <c r="C594" s="509"/>
      <c r="D594" s="509"/>
      <c r="E594" s="509"/>
      <c r="F594" s="511"/>
      <c r="G594" s="511"/>
      <c r="H594" s="512"/>
      <c r="K594"/>
      <c r="L594"/>
      <c r="M594"/>
      <c r="O594" s="509"/>
      <c r="AA594" s="509"/>
      <c r="AH594" s="509"/>
      <c r="AP594" s="509"/>
      <c r="AW594" s="509"/>
      <c r="BD594" s="509"/>
      <c r="BK594" s="509"/>
    </row>
    <row r="595" spans="1:63">
      <c r="A595" s="514" t="s">
        <v>509</v>
      </c>
      <c r="B595" s="505"/>
      <c r="C595" s="509"/>
      <c r="D595" s="509"/>
      <c r="E595" s="509"/>
      <c r="F595" s="511"/>
      <c r="G595" s="511"/>
      <c r="H595" s="512"/>
      <c r="K595"/>
      <c r="L595"/>
      <c r="M595"/>
      <c r="O595" s="509"/>
      <c r="AA595" s="509"/>
      <c r="AH595" s="509"/>
      <c r="AP595" s="509"/>
      <c r="AW595" s="509"/>
      <c r="BD595" s="509"/>
      <c r="BK595" s="509"/>
    </row>
    <row r="596" spans="1:63">
      <c r="A596" s="504"/>
      <c r="B596" s="505"/>
      <c r="C596" s="509"/>
      <c r="D596" s="509"/>
      <c r="E596" s="509"/>
      <c r="F596" s="511"/>
      <c r="G596" s="511"/>
      <c r="H596" s="512"/>
      <c r="K596"/>
      <c r="L596"/>
      <c r="M596"/>
      <c r="O596" s="509"/>
      <c r="AA596" s="509"/>
      <c r="AH596" s="509"/>
      <c r="AP596" s="509"/>
      <c r="AW596" s="509"/>
      <c r="BD596" s="509"/>
      <c r="BK596" s="509"/>
    </row>
    <row r="597" spans="1:63">
      <c r="A597" s="504"/>
      <c r="B597" s="515" t="s">
        <v>510</v>
      </c>
      <c r="C597" s="509"/>
      <c r="D597" s="509"/>
      <c r="E597" s="509" t="s">
        <v>515</v>
      </c>
      <c r="F597" s="511">
        <v>3.9E-2</v>
      </c>
      <c r="G597" s="511"/>
      <c r="H597" s="512">
        <v>2.79</v>
      </c>
      <c r="K597"/>
      <c r="L597"/>
      <c r="M597"/>
      <c r="O597" s="509"/>
      <c r="AA597" s="509"/>
      <c r="AH597" s="509"/>
      <c r="AP597" s="509"/>
      <c r="AW597" s="509"/>
      <c r="BD597" s="509"/>
      <c r="BK597" s="509"/>
    </row>
    <row r="598" spans="1:63">
      <c r="A598" s="504"/>
      <c r="B598" s="505" t="s">
        <v>512</v>
      </c>
      <c r="C598" s="503">
        <v>1</v>
      </c>
      <c r="D598" s="503"/>
      <c r="E598" s="503"/>
      <c r="F598" s="506">
        <v>1</v>
      </c>
      <c r="G598" s="506"/>
      <c r="H598" s="507">
        <v>193.21</v>
      </c>
      <c r="K598"/>
      <c r="L598"/>
      <c r="M598"/>
      <c r="O598" s="503"/>
      <c r="AA598" s="503"/>
      <c r="AH598" s="503"/>
      <c r="AP598" s="503"/>
      <c r="AW598" s="503"/>
      <c r="BD598" s="503"/>
      <c r="BK598" s="503"/>
    </row>
    <row r="599" spans="1:63">
      <c r="A599" s="504"/>
      <c r="B599" s="505" t="s">
        <v>513</v>
      </c>
      <c r="C599" s="503">
        <v>1</v>
      </c>
      <c r="D599" s="503"/>
      <c r="E599" s="503"/>
      <c r="F599" s="506">
        <v>0.5</v>
      </c>
      <c r="G599" s="506"/>
      <c r="H599" s="507">
        <v>15.31</v>
      </c>
      <c r="K599"/>
      <c r="L599"/>
      <c r="M599"/>
      <c r="O599" s="503"/>
      <c r="AA599" s="503"/>
      <c r="AH599" s="503"/>
      <c r="AP599" s="503"/>
      <c r="AW599" s="503"/>
      <c r="BD599" s="503"/>
      <c r="BK599" s="503"/>
    </row>
    <row r="600" spans="1:63">
      <c r="A600" s="504"/>
      <c r="B600" s="505"/>
      <c r="C600" s="503"/>
      <c r="D600" s="503"/>
      <c r="E600" s="503"/>
      <c r="F600" s="506"/>
      <c r="G600" s="506"/>
      <c r="H600" s="507"/>
      <c r="K600"/>
      <c r="L600"/>
      <c r="M600"/>
      <c r="O600" s="503"/>
      <c r="AA600" s="503"/>
      <c r="AH600" s="503"/>
      <c r="AP600" s="503"/>
      <c r="AW600" s="503"/>
      <c r="BD600" s="503"/>
      <c r="BK600" s="503"/>
    </row>
    <row r="601" spans="1:63" ht="15.75" thickBot="1">
      <c r="A601" s="516"/>
      <c r="B601" s="517"/>
      <c r="C601" s="518">
        <v>1</v>
      </c>
      <c r="D601" s="519"/>
      <c r="E601" s="520"/>
      <c r="F601" s="521">
        <f>F590+F597+F591+F592+F593+F598+F599</f>
        <v>2.1150000000000002</v>
      </c>
      <c r="G601" s="521"/>
      <c r="H601" s="522">
        <f>H590+H597+H591+H592+H593+H598+H599</f>
        <v>222.16000000000003</v>
      </c>
      <c r="K601"/>
      <c r="L601"/>
      <c r="M601"/>
      <c r="O601" s="523"/>
      <c r="AA601" s="9"/>
      <c r="AH601" s="9"/>
      <c r="AP601" s="9"/>
      <c r="AW601" s="9"/>
      <c r="BD601" s="9"/>
      <c r="BK601" s="9"/>
    </row>
    <row r="602" spans="1:63">
      <c r="A602" s="504"/>
      <c r="B602" s="505"/>
      <c r="C602" s="524"/>
      <c r="D602" s="43"/>
      <c r="E602" s="503"/>
      <c r="F602" s="525"/>
      <c r="G602" s="525"/>
      <c r="H602" s="526"/>
      <c r="K602"/>
      <c r="L602"/>
      <c r="M602"/>
      <c r="O602" s="9"/>
      <c r="AA602" s="9"/>
      <c r="AH602" s="9"/>
      <c r="AP602" s="9"/>
      <c r="AW602" s="9"/>
      <c r="BD602" s="9"/>
      <c r="BK602" s="9"/>
    </row>
    <row r="603" spans="1:63" ht="15.75" thickBot="1">
      <c r="A603" s="504"/>
      <c r="B603" s="505"/>
      <c r="C603" s="503"/>
      <c r="D603" s="503"/>
      <c r="E603" s="503"/>
      <c r="F603" s="506"/>
      <c r="G603" s="506"/>
      <c r="H603" s="507"/>
      <c r="K603"/>
      <c r="L603"/>
      <c r="M603"/>
      <c r="O603" s="503"/>
      <c r="AA603" s="503"/>
      <c r="AH603" s="503"/>
      <c r="AP603" s="503"/>
      <c r="AW603" s="503"/>
      <c r="BD603" s="503"/>
      <c r="BK603" s="503"/>
    </row>
    <row r="604" spans="1:63">
      <c r="A604" s="527" t="s">
        <v>505</v>
      </c>
      <c r="B604" s="528"/>
      <c r="C604" s="500"/>
      <c r="D604" s="500"/>
      <c r="E604" s="500"/>
      <c r="F604" s="501"/>
      <c r="G604" s="501"/>
      <c r="H604" s="502"/>
      <c r="K604"/>
      <c r="L604"/>
      <c r="M604"/>
      <c r="O604" s="500"/>
      <c r="AA604" s="503"/>
      <c r="AH604" s="503"/>
      <c r="AP604" s="503"/>
      <c r="AW604" s="503"/>
      <c r="BD604" s="503"/>
      <c r="BK604" s="503"/>
    </row>
    <row r="605" spans="1:63">
      <c r="A605" s="504"/>
      <c r="B605" s="505"/>
      <c r="C605" s="509"/>
      <c r="D605" s="509"/>
      <c r="E605" s="510">
        <v>0.75</v>
      </c>
      <c r="F605" s="511">
        <v>9.0999999999999998E-2</v>
      </c>
      <c r="G605" s="511"/>
      <c r="H605" s="512">
        <v>2.52</v>
      </c>
      <c r="K605"/>
      <c r="L605"/>
      <c r="M605"/>
      <c r="O605" s="509"/>
      <c r="AA605" s="509"/>
      <c r="AH605" s="509"/>
      <c r="AP605" s="509"/>
      <c r="AW605" s="509"/>
      <c r="BD605" s="509"/>
      <c r="BK605" s="509"/>
    </row>
    <row r="606" spans="1:63">
      <c r="A606" s="504"/>
      <c r="B606" s="513" t="s">
        <v>506</v>
      </c>
      <c r="C606" s="509">
        <v>2</v>
      </c>
      <c r="D606" s="509"/>
      <c r="E606" s="509"/>
      <c r="F606" s="511">
        <v>0.115</v>
      </c>
      <c r="G606" s="511"/>
      <c r="H606" s="512">
        <v>0.96</v>
      </c>
      <c r="K606"/>
      <c r="L606"/>
      <c r="M606"/>
      <c r="O606" s="509"/>
      <c r="AA606" s="509"/>
      <c r="AH606" s="509"/>
      <c r="AP606" s="509"/>
      <c r="AW606" s="509"/>
      <c r="BD606" s="509"/>
      <c r="BK606" s="509"/>
    </row>
    <row r="607" spans="1:63">
      <c r="A607" s="504"/>
      <c r="B607" s="513" t="s">
        <v>507</v>
      </c>
      <c r="C607" s="509">
        <v>1</v>
      </c>
      <c r="D607" s="509"/>
      <c r="E607" s="509"/>
      <c r="F607" s="511">
        <v>0.3</v>
      </c>
      <c r="G607" s="511"/>
      <c r="H607" s="512">
        <v>6.69</v>
      </c>
      <c r="K607"/>
      <c r="L607"/>
      <c r="M607"/>
      <c r="O607" s="509"/>
      <c r="AA607" s="509"/>
      <c r="AH607" s="509"/>
      <c r="AP607" s="509"/>
      <c r="AW607" s="509"/>
      <c r="BD607" s="509"/>
      <c r="BK607" s="509"/>
    </row>
    <row r="608" spans="1:63">
      <c r="A608" s="504"/>
      <c r="B608" s="513" t="s">
        <v>508</v>
      </c>
      <c r="C608" s="509">
        <v>1</v>
      </c>
      <c r="D608" s="509"/>
      <c r="E608" s="509"/>
      <c r="F608" s="511">
        <v>7.0000000000000007E-2</v>
      </c>
      <c r="G608" s="511"/>
      <c r="H608" s="512">
        <v>0.68</v>
      </c>
      <c r="K608"/>
      <c r="L608"/>
      <c r="M608"/>
      <c r="O608" s="509"/>
      <c r="AA608" s="509"/>
      <c r="AH608" s="509"/>
      <c r="AP608" s="509"/>
      <c r="AW608" s="509"/>
      <c r="BD608" s="509"/>
      <c r="BK608" s="509"/>
    </row>
    <row r="609" spans="1:63">
      <c r="A609" s="504"/>
      <c r="B609" s="505"/>
      <c r="C609" s="509"/>
      <c r="D609" s="509"/>
      <c r="E609" s="509"/>
      <c r="F609" s="511"/>
      <c r="G609" s="511"/>
      <c r="H609" s="512"/>
      <c r="K609"/>
      <c r="L609"/>
      <c r="M609"/>
      <c r="O609" s="509"/>
      <c r="AA609" s="509"/>
      <c r="AH609" s="509"/>
      <c r="AP609" s="509"/>
      <c r="AW609" s="509"/>
      <c r="BD609" s="509"/>
      <c r="BK609" s="509"/>
    </row>
    <row r="610" spans="1:63">
      <c r="A610" s="514" t="s">
        <v>509</v>
      </c>
      <c r="B610" s="505"/>
      <c r="C610" s="509"/>
      <c r="D610" s="509"/>
      <c r="E610" s="509"/>
      <c r="F610" s="511"/>
      <c r="G610" s="511"/>
      <c r="H610" s="512"/>
      <c r="K610"/>
      <c r="L610"/>
      <c r="M610"/>
      <c r="O610" s="509"/>
      <c r="AA610" s="509"/>
      <c r="AH610" s="509"/>
      <c r="AP610" s="509"/>
      <c r="AW610" s="509"/>
      <c r="BD610" s="509"/>
      <c r="BK610" s="509"/>
    </row>
    <row r="611" spans="1:63">
      <c r="A611" s="504"/>
      <c r="B611" s="505"/>
      <c r="C611" s="509"/>
      <c r="D611" s="509"/>
      <c r="E611" s="509"/>
      <c r="F611" s="511"/>
      <c r="G611" s="511"/>
      <c r="H611" s="512"/>
      <c r="K611"/>
      <c r="L611"/>
      <c r="M611"/>
      <c r="O611" s="509"/>
      <c r="AA611" s="509"/>
      <c r="AH611" s="509"/>
      <c r="AP611" s="509"/>
      <c r="AW611" s="509"/>
      <c r="BD611" s="509"/>
      <c r="BK611" s="509"/>
    </row>
    <row r="612" spans="1:63">
      <c r="A612" s="504"/>
      <c r="B612" s="515" t="s">
        <v>510</v>
      </c>
      <c r="C612" s="509"/>
      <c r="D612" s="509"/>
      <c r="E612" s="509" t="s">
        <v>515</v>
      </c>
      <c r="F612" s="511">
        <v>3.9E-2</v>
      </c>
      <c r="G612" s="511"/>
      <c r="H612" s="512">
        <v>2.79</v>
      </c>
      <c r="K612"/>
      <c r="L612"/>
      <c r="M612"/>
      <c r="O612" s="509"/>
      <c r="AA612" s="509"/>
      <c r="AH612" s="509"/>
      <c r="AP612" s="509"/>
      <c r="AW612" s="509"/>
      <c r="BD612" s="509"/>
      <c r="BK612" s="509"/>
    </row>
    <row r="613" spans="1:63">
      <c r="A613" s="504"/>
      <c r="B613" s="505"/>
      <c r="C613" s="503"/>
      <c r="D613" s="503"/>
      <c r="E613" s="503"/>
      <c r="F613" s="506"/>
      <c r="G613" s="506"/>
      <c r="H613" s="507"/>
      <c r="K613"/>
      <c r="L613"/>
      <c r="M613"/>
      <c r="O613" s="503"/>
      <c r="AA613" s="503"/>
      <c r="AH613" s="503"/>
      <c r="AP613" s="503"/>
      <c r="AW613" s="503"/>
      <c r="BD613" s="503"/>
      <c r="BK613" s="503"/>
    </row>
    <row r="614" spans="1:63" ht="15.75" thickBot="1">
      <c r="A614" s="516"/>
      <c r="B614" s="517"/>
      <c r="C614" s="518">
        <v>1</v>
      </c>
      <c r="D614" s="519"/>
      <c r="E614" s="520"/>
      <c r="F614" s="521">
        <f>F605+F612+F606+F607+F608</f>
        <v>0.61499999999999999</v>
      </c>
      <c r="G614" s="521"/>
      <c r="H614" s="522">
        <f>H605+H612+H606+H607+H608</f>
        <v>13.64</v>
      </c>
      <c r="K614"/>
      <c r="L614"/>
      <c r="M614"/>
      <c r="O614" s="523"/>
      <c r="AA614" s="9"/>
      <c r="AH614" s="9"/>
      <c r="AP614" s="9"/>
      <c r="AW614" s="9"/>
      <c r="BD614" s="9"/>
      <c r="BK614" s="9"/>
    </row>
    <row r="615" spans="1:63" ht="15.75" thickBot="1">
      <c r="A615" s="504"/>
      <c r="B615" s="505"/>
      <c r="C615" s="524"/>
      <c r="D615" s="43"/>
      <c r="E615" s="503"/>
      <c r="F615" s="525"/>
      <c r="G615" s="525"/>
      <c r="H615" s="526"/>
      <c r="K615"/>
      <c r="L615"/>
      <c r="M615"/>
      <c r="O615" s="9"/>
      <c r="AA615" s="9"/>
      <c r="AH615" s="9"/>
      <c r="AP615" s="9"/>
      <c r="AW615" s="9"/>
      <c r="BD615" s="9"/>
      <c r="BK615" s="9"/>
    </row>
    <row r="616" spans="1:63">
      <c r="A616" s="529" t="s">
        <v>516</v>
      </c>
      <c r="B616" s="499"/>
      <c r="C616" s="500"/>
      <c r="D616" s="500"/>
      <c r="E616" s="500"/>
      <c r="F616" s="501"/>
      <c r="G616" s="501"/>
      <c r="H616" s="502"/>
      <c r="K616"/>
      <c r="L616"/>
      <c r="M616"/>
      <c r="O616" s="500"/>
      <c r="AA616" s="503"/>
      <c r="AH616" s="503"/>
      <c r="AP616" s="503"/>
      <c r="AW616" s="503"/>
      <c r="BD616" s="503"/>
      <c r="BK616" s="503"/>
    </row>
    <row r="617" spans="1:63">
      <c r="A617" s="504"/>
      <c r="B617" s="505"/>
      <c r="C617" s="503"/>
      <c r="D617" s="503"/>
      <c r="E617" s="503"/>
      <c r="F617" s="506"/>
      <c r="G617" s="506"/>
      <c r="H617" s="507"/>
      <c r="K617"/>
      <c r="L617"/>
      <c r="M617"/>
      <c r="O617" s="503"/>
      <c r="AA617" s="503"/>
      <c r="AH617" s="503"/>
      <c r="AP617" s="503"/>
      <c r="AW617" s="503"/>
      <c r="BD617" s="503"/>
      <c r="BK617" s="503"/>
    </row>
    <row r="618" spans="1:63">
      <c r="A618" s="504"/>
      <c r="B618" s="513" t="s">
        <v>517</v>
      </c>
      <c r="C618" s="530"/>
      <c r="D618" s="43"/>
      <c r="E618" s="531">
        <v>1.5</v>
      </c>
      <c r="F618" s="201">
        <v>0.183</v>
      </c>
      <c r="G618" s="201"/>
      <c r="H618" s="532">
        <v>13.4</v>
      </c>
      <c r="K618"/>
      <c r="L618"/>
      <c r="M618"/>
      <c r="O618" s="43"/>
      <c r="AA618" s="43"/>
      <c r="AH618" s="43"/>
      <c r="AP618" s="43"/>
      <c r="AW618" s="43"/>
      <c r="BD618" s="43"/>
      <c r="BK618" s="43"/>
    </row>
    <row r="619" spans="1:63">
      <c r="A619" s="504"/>
      <c r="B619"/>
      <c r="C619" s="43"/>
      <c r="D619" s="43"/>
      <c r="E619" s="43"/>
      <c r="F619" s="201"/>
      <c r="G619" s="201"/>
      <c r="H619" s="532"/>
      <c r="K619"/>
      <c r="L619"/>
      <c r="M619"/>
      <c r="O619" s="43"/>
      <c r="AA619" s="43"/>
      <c r="AH619" s="43"/>
      <c r="AP619" s="43"/>
      <c r="AW619" s="43"/>
      <c r="BD619" s="43"/>
      <c r="BK619" s="43"/>
    </row>
    <row r="620" spans="1:63">
      <c r="A620" s="504"/>
      <c r="B620" s="513" t="s">
        <v>506</v>
      </c>
      <c r="C620" s="530">
        <v>2</v>
      </c>
      <c r="D620" s="530"/>
      <c r="E620" s="43"/>
      <c r="F620" s="201">
        <v>0.33500000000000002</v>
      </c>
      <c r="G620" s="201"/>
      <c r="H620" s="532">
        <v>9.57</v>
      </c>
      <c r="K620"/>
      <c r="L620"/>
      <c r="M620"/>
      <c r="O620" s="43"/>
      <c r="AA620" s="43"/>
      <c r="AH620" s="43"/>
      <c r="AP620" s="43"/>
      <c r="AW620" s="43"/>
      <c r="BD620" s="43"/>
      <c r="BK620" s="43"/>
    </row>
    <row r="621" spans="1:63">
      <c r="A621" s="504"/>
      <c r="B621" s="513" t="s">
        <v>507</v>
      </c>
      <c r="C621" s="43">
        <v>1</v>
      </c>
      <c r="D621" s="43"/>
      <c r="E621" s="43"/>
      <c r="F621" s="201">
        <v>0.24</v>
      </c>
      <c r="G621" s="201"/>
      <c r="H621" s="532">
        <v>37.700000000000003</v>
      </c>
      <c r="K621"/>
      <c r="L621"/>
      <c r="M621"/>
      <c r="O621" s="43"/>
      <c r="AA621" s="43"/>
      <c r="AH621" s="43"/>
      <c r="AP621" s="43"/>
      <c r="AW621" s="43"/>
      <c r="BD621" s="43"/>
      <c r="BK621" s="43"/>
    </row>
    <row r="622" spans="1:63">
      <c r="A622" s="504"/>
      <c r="B622" s="513" t="s">
        <v>508</v>
      </c>
      <c r="C622" s="43">
        <v>1</v>
      </c>
      <c r="D622" s="43"/>
      <c r="E622" s="43"/>
      <c r="F622" s="201">
        <v>0.28000000000000003</v>
      </c>
      <c r="G622" s="201"/>
      <c r="H622" s="532">
        <v>35.6</v>
      </c>
      <c r="K622"/>
      <c r="L622"/>
      <c r="M622"/>
      <c r="O622" s="43"/>
      <c r="AA622" s="43"/>
      <c r="AH622" s="43"/>
      <c r="AP622" s="43"/>
      <c r="AW622" s="43"/>
      <c r="BD622" s="43"/>
      <c r="BK622" s="43"/>
    </row>
    <row r="623" spans="1:63">
      <c r="A623" s="504"/>
      <c r="B623"/>
      <c r="C623" s="43"/>
      <c r="D623" s="43"/>
      <c r="E623" s="43"/>
      <c r="F623" s="201"/>
      <c r="G623" s="201"/>
      <c r="H623" s="532"/>
      <c r="K623"/>
      <c r="L623"/>
      <c r="M623"/>
      <c r="O623" s="43"/>
      <c r="AA623" s="43"/>
      <c r="AH623" s="43"/>
      <c r="AP623" s="43"/>
      <c r="AW623" s="43"/>
      <c r="BD623" s="43"/>
      <c r="BK623" s="43"/>
    </row>
    <row r="624" spans="1:63">
      <c r="A624" s="514" t="s">
        <v>509</v>
      </c>
      <c r="B624"/>
      <c r="C624" s="43"/>
      <c r="D624" s="43"/>
      <c r="E624" s="43"/>
      <c r="F624" s="201"/>
      <c r="G624" s="201"/>
      <c r="H624" s="532"/>
      <c r="K624"/>
      <c r="L624"/>
      <c r="M624"/>
      <c r="O624" s="43"/>
      <c r="AA624" s="43"/>
      <c r="AH624" s="43"/>
      <c r="AP624" s="43"/>
      <c r="AW624" s="43"/>
      <c r="BD624" s="43"/>
      <c r="BK624" s="43"/>
    </row>
    <row r="625" spans="1:63">
      <c r="A625" s="514"/>
      <c r="B625"/>
      <c r="C625" s="43"/>
      <c r="D625" s="43"/>
      <c r="E625" s="43"/>
      <c r="F625" s="201"/>
      <c r="G625" s="201"/>
      <c r="H625" s="532"/>
      <c r="K625"/>
      <c r="L625"/>
      <c r="M625"/>
      <c r="O625" s="43"/>
      <c r="AA625" s="43"/>
      <c r="AH625" s="43"/>
      <c r="AP625" s="43"/>
      <c r="AW625" s="43"/>
      <c r="BD625" s="43"/>
      <c r="BK625" s="43"/>
    </row>
    <row r="626" spans="1:63">
      <c r="A626" s="504"/>
      <c r="B626" s="513" t="s">
        <v>518</v>
      </c>
      <c r="C626" s="43"/>
      <c r="D626" s="43"/>
      <c r="E626" s="43"/>
      <c r="F626" s="201"/>
      <c r="G626" s="201"/>
      <c r="H626" s="532"/>
      <c r="K626"/>
      <c r="L626"/>
      <c r="M626"/>
      <c r="O626" s="43"/>
      <c r="AA626" s="43"/>
      <c r="AH626" s="43"/>
      <c r="AP626" s="43"/>
      <c r="AW626" s="43"/>
      <c r="BD626" s="43"/>
      <c r="BK626" s="43"/>
    </row>
    <row r="627" spans="1:63">
      <c r="A627" s="504"/>
      <c r="B627" s="513" t="s">
        <v>519</v>
      </c>
      <c r="C627" s="43"/>
      <c r="D627" s="43"/>
      <c r="E627" s="43"/>
      <c r="F627" s="201"/>
      <c r="G627" s="201"/>
      <c r="H627" s="532"/>
      <c r="K627"/>
      <c r="L627"/>
      <c r="M627"/>
      <c r="O627" s="43"/>
      <c r="AA627" s="43"/>
      <c r="AH627" s="43"/>
      <c r="AP627" s="43"/>
      <c r="AW627" s="43"/>
      <c r="BD627" s="43"/>
      <c r="BK627" s="43"/>
    </row>
    <row r="628" spans="1:63">
      <c r="A628" s="504"/>
      <c r="B628"/>
      <c r="C628" s="43"/>
      <c r="D628" s="43"/>
      <c r="E628" s="530" t="s">
        <v>520</v>
      </c>
      <c r="F628" s="201">
        <v>0.04</v>
      </c>
      <c r="G628" s="201"/>
      <c r="H628" s="532">
        <v>6.64</v>
      </c>
      <c r="K628"/>
      <c r="L628"/>
      <c r="M628"/>
      <c r="O628" s="43"/>
      <c r="AA628" s="43"/>
      <c r="AH628" s="43"/>
      <c r="AP628" s="43"/>
      <c r="AW628" s="43"/>
      <c r="BD628" s="43"/>
      <c r="BK628" s="43"/>
    </row>
    <row r="629" spans="1:63">
      <c r="A629" s="504"/>
      <c r="B629"/>
      <c r="C629" s="43"/>
      <c r="D629" s="43"/>
      <c r="E629" s="43"/>
      <c r="F629" s="201"/>
      <c r="G629" s="201"/>
      <c r="H629" s="532"/>
      <c r="K629"/>
      <c r="L629"/>
      <c r="M629"/>
      <c r="O629" s="43"/>
      <c r="AA629" s="43"/>
      <c r="AH629" s="43"/>
      <c r="AP629" s="43"/>
      <c r="AW629" s="43"/>
      <c r="BD629" s="43"/>
      <c r="BK629" s="43"/>
    </row>
    <row r="630" spans="1:63" ht="15.75" thickBot="1">
      <c r="A630" s="516"/>
      <c r="B630" s="533"/>
      <c r="C630" s="518">
        <v>1</v>
      </c>
      <c r="D630" s="519">
        <f>C630*10</f>
        <v>10</v>
      </c>
      <c r="E630" s="519"/>
      <c r="F630" s="521">
        <f>F618+F628+F620+F621+F622</f>
        <v>1.0780000000000001</v>
      </c>
      <c r="G630" s="521"/>
      <c r="H630" s="522">
        <f>H618+H628+H620+H621+H622</f>
        <v>102.91</v>
      </c>
      <c r="K630"/>
      <c r="L630"/>
      <c r="M630"/>
      <c r="O630" s="523"/>
      <c r="AA630" s="9"/>
      <c r="AH630" s="9"/>
      <c r="AP630" s="9"/>
      <c r="AW630" s="9"/>
      <c r="BD630" s="9"/>
      <c r="BK630" s="9"/>
    </row>
    <row r="631" spans="1:63" ht="15.75" thickBot="1">
      <c r="A631" s="504"/>
      <c r="B631"/>
      <c r="C631" s="43"/>
      <c r="D631" s="43"/>
      <c r="E631" s="43"/>
      <c r="F631" s="201"/>
      <c r="G631" s="201"/>
      <c r="H631" s="532"/>
      <c r="K631"/>
      <c r="L631"/>
      <c r="M631"/>
      <c r="O631" s="43"/>
      <c r="AA631" s="43"/>
      <c r="AH631" s="43"/>
      <c r="AP631" s="43"/>
      <c r="AW631" s="43"/>
      <c r="BD631" s="43"/>
      <c r="BK631" s="43"/>
    </row>
    <row r="632" spans="1:63">
      <c r="A632" s="529" t="s">
        <v>516</v>
      </c>
      <c r="B632" s="499"/>
      <c r="C632" s="500"/>
      <c r="D632" s="500"/>
      <c r="E632" s="500"/>
      <c r="F632" s="501"/>
      <c r="G632" s="501"/>
      <c r="H632" s="502"/>
      <c r="K632"/>
      <c r="L632"/>
      <c r="M632"/>
      <c r="O632" s="500"/>
      <c r="AA632" s="503"/>
      <c r="AH632" s="503"/>
      <c r="AP632" s="503"/>
      <c r="AW632" s="503"/>
      <c r="BD632" s="503"/>
      <c r="BK632" s="503"/>
    </row>
    <row r="633" spans="1:63">
      <c r="A633" s="504"/>
      <c r="B633" s="505"/>
      <c r="C633" s="503"/>
      <c r="D633" s="503"/>
      <c r="E633" s="503"/>
      <c r="F633" s="506"/>
      <c r="G633" s="506"/>
      <c r="H633" s="507"/>
      <c r="K633"/>
      <c r="L633"/>
      <c r="M633"/>
      <c r="O633" s="503"/>
      <c r="AA633" s="503"/>
      <c r="AH633" s="503"/>
      <c r="AP633" s="503"/>
      <c r="AW633" s="503"/>
      <c r="BD633" s="503"/>
      <c r="BK633" s="503"/>
    </row>
    <row r="634" spans="1:63">
      <c r="A634" s="504"/>
      <c r="B634" s="513" t="s">
        <v>517</v>
      </c>
      <c r="C634" s="530"/>
      <c r="D634" s="43"/>
      <c r="E634" s="531">
        <v>1.25</v>
      </c>
      <c r="F634" s="201">
        <v>0.16300000000000001</v>
      </c>
      <c r="G634" s="201"/>
      <c r="H634" s="532">
        <v>11.8</v>
      </c>
      <c r="K634"/>
      <c r="L634"/>
      <c r="M634"/>
      <c r="O634" s="43"/>
      <c r="AA634" s="43"/>
      <c r="AH634" s="43"/>
      <c r="AP634" s="43"/>
      <c r="AW634" s="43"/>
      <c r="BD634" s="43"/>
      <c r="BK634" s="43"/>
    </row>
    <row r="635" spans="1:63">
      <c r="A635" s="504"/>
      <c r="B635"/>
      <c r="C635" s="43"/>
      <c r="D635" s="43"/>
      <c r="E635" s="43"/>
      <c r="F635" s="201"/>
      <c r="G635" s="201"/>
      <c r="H635" s="532"/>
      <c r="K635"/>
      <c r="L635"/>
      <c r="M635"/>
      <c r="O635" s="43"/>
      <c r="AA635" s="43"/>
      <c r="AH635" s="43"/>
      <c r="AP635" s="43"/>
      <c r="AW635" s="43"/>
      <c r="BD635" s="43"/>
      <c r="BK635" s="43"/>
    </row>
    <row r="636" spans="1:63">
      <c r="A636" s="504"/>
      <c r="B636" s="513" t="s">
        <v>506</v>
      </c>
      <c r="C636" s="530">
        <v>2</v>
      </c>
      <c r="D636" s="530"/>
      <c r="E636" s="43"/>
      <c r="F636" s="201">
        <v>0.28399999999999997</v>
      </c>
      <c r="G636" s="201"/>
      <c r="H636" s="532">
        <v>5.85</v>
      </c>
      <c r="K636"/>
      <c r="L636"/>
      <c r="M636"/>
      <c r="O636" s="43"/>
      <c r="AA636" s="43"/>
      <c r="AH636" s="43"/>
      <c r="AP636" s="43"/>
      <c r="AW636" s="43"/>
      <c r="BD636" s="43"/>
      <c r="BK636" s="43"/>
    </row>
    <row r="637" spans="1:63">
      <c r="A637" s="504"/>
      <c r="B637" s="513" t="s">
        <v>507</v>
      </c>
      <c r="C637" s="43">
        <v>1</v>
      </c>
      <c r="D637" s="43"/>
      <c r="E637" s="43"/>
      <c r="F637" s="201">
        <v>0.24</v>
      </c>
      <c r="G637" s="201"/>
      <c r="H637" s="532">
        <v>23.57</v>
      </c>
      <c r="K637"/>
      <c r="L637"/>
      <c r="M637"/>
      <c r="O637" s="43"/>
      <c r="AA637" s="43"/>
      <c r="AH637" s="43"/>
      <c r="AP637" s="43"/>
      <c r="AW637" s="43"/>
      <c r="BD637" s="43"/>
      <c r="BK637" s="43"/>
    </row>
    <row r="638" spans="1:63">
      <c r="A638" s="504"/>
      <c r="B638" s="513" t="s">
        <v>508</v>
      </c>
      <c r="C638" s="43">
        <v>1</v>
      </c>
      <c r="D638" s="43"/>
      <c r="E638" s="43"/>
      <c r="F638" s="201">
        <v>0.28000000000000003</v>
      </c>
      <c r="G638" s="201"/>
      <c r="H638" s="532">
        <v>13.12</v>
      </c>
      <c r="K638"/>
      <c r="L638"/>
      <c r="M638"/>
      <c r="O638" s="43"/>
      <c r="AA638" s="43"/>
      <c r="AH638" s="43"/>
      <c r="AP638" s="43"/>
      <c r="AW638" s="43"/>
      <c r="BD638" s="43"/>
      <c r="BK638" s="43"/>
    </row>
    <row r="639" spans="1:63">
      <c r="A639" s="504"/>
      <c r="B639"/>
      <c r="C639" s="43"/>
      <c r="D639" s="43"/>
      <c r="E639" s="43"/>
      <c r="F639" s="201"/>
      <c r="G639" s="201"/>
      <c r="H639" s="532"/>
      <c r="K639"/>
      <c r="L639"/>
      <c r="M639"/>
      <c r="O639" s="43"/>
      <c r="AA639" s="43"/>
      <c r="AH639" s="43"/>
      <c r="AP639" s="43"/>
      <c r="AW639" s="43"/>
      <c r="BD639" s="43"/>
      <c r="BK639" s="43"/>
    </row>
    <row r="640" spans="1:63">
      <c r="A640" s="514" t="s">
        <v>509</v>
      </c>
      <c r="B640"/>
      <c r="C640" s="43"/>
      <c r="D640" s="43"/>
      <c r="E640" s="43"/>
      <c r="F640" s="201"/>
      <c r="G640" s="201"/>
      <c r="H640" s="532"/>
      <c r="K640"/>
      <c r="L640"/>
      <c r="M640"/>
      <c r="O640" s="43"/>
      <c r="AA640" s="43"/>
      <c r="AH640" s="43"/>
      <c r="AP640" s="43"/>
      <c r="AW640" s="43"/>
      <c r="BD640" s="43"/>
      <c r="BK640" s="43"/>
    </row>
    <row r="641" spans="1:63">
      <c r="A641" s="514"/>
      <c r="B641"/>
      <c r="C641" s="43"/>
      <c r="D641" s="43"/>
      <c r="E641" s="43"/>
      <c r="F641" s="201"/>
      <c r="G641" s="201"/>
      <c r="H641" s="532"/>
      <c r="K641"/>
      <c r="L641"/>
      <c r="M641"/>
      <c r="O641" s="43"/>
      <c r="AA641" s="43"/>
      <c r="AH641" s="43"/>
      <c r="AP641" s="43"/>
      <c r="AW641" s="43"/>
      <c r="BD641" s="43"/>
      <c r="BK641" s="43"/>
    </row>
    <row r="642" spans="1:63">
      <c r="A642" s="504"/>
      <c r="B642" s="513" t="s">
        <v>518</v>
      </c>
      <c r="C642" s="43"/>
      <c r="D642" s="43"/>
      <c r="E642" s="43"/>
      <c r="F642" s="201"/>
      <c r="G642" s="201"/>
      <c r="H642" s="532"/>
      <c r="K642"/>
      <c r="L642"/>
      <c r="M642"/>
      <c r="O642" s="43"/>
      <c r="AA642" s="43"/>
      <c r="AH642" s="43"/>
      <c r="AP642" s="43"/>
      <c r="AW642" s="43"/>
      <c r="BD642" s="43"/>
      <c r="BK642" s="43"/>
    </row>
    <row r="643" spans="1:63">
      <c r="A643" s="504"/>
      <c r="B643" s="513" t="s">
        <v>519</v>
      </c>
      <c r="C643" s="43"/>
      <c r="D643" s="43"/>
      <c r="E643" s="43"/>
      <c r="F643" s="201"/>
      <c r="G643" s="201"/>
      <c r="H643" s="532"/>
      <c r="K643"/>
      <c r="L643"/>
      <c r="M643"/>
      <c r="O643" s="43"/>
      <c r="AA643" s="43"/>
      <c r="AH643" s="43"/>
      <c r="AP643" s="43"/>
      <c r="AW643" s="43"/>
      <c r="BD643" s="43"/>
      <c r="BK643" s="43"/>
    </row>
    <row r="644" spans="1:63">
      <c r="A644" s="504"/>
      <c r="B644"/>
      <c r="C644" s="43"/>
      <c r="D644" s="43"/>
      <c r="E644" s="530" t="s">
        <v>521</v>
      </c>
      <c r="F644" s="201">
        <v>0.04</v>
      </c>
      <c r="G644" s="201"/>
      <c r="H644" s="532">
        <v>7.11</v>
      </c>
      <c r="K644"/>
      <c r="L644"/>
      <c r="M644"/>
      <c r="O644" s="43"/>
      <c r="AA644" s="43"/>
      <c r="AH644" s="43"/>
      <c r="AP644" s="43"/>
      <c r="AW644" s="43"/>
      <c r="BD644" s="43"/>
      <c r="BK644" s="43"/>
    </row>
    <row r="645" spans="1:63">
      <c r="A645" s="504"/>
      <c r="B645"/>
      <c r="C645" s="43"/>
      <c r="D645" s="43"/>
      <c r="E645" s="43"/>
      <c r="F645" s="201"/>
      <c r="G645" s="201"/>
      <c r="H645" s="532"/>
      <c r="K645"/>
      <c r="L645"/>
      <c r="M645"/>
      <c r="O645" s="43"/>
      <c r="AA645" s="43"/>
      <c r="AH645" s="43"/>
      <c r="AP645" s="43"/>
      <c r="AW645" s="43"/>
      <c r="BD645" s="43"/>
      <c r="BK645" s="43"/>
    </row>
    <row r="646" spans="1:63" ht="15.75" thickBot="1">
      <c r="A646" s="516"/>
      <c r="B646" s="533"/>
      <c r="C646" s="518">
        <v>1</v>
      </c>
      <c r="D646" s="519">
        <f>C646*10</f>
        <v>10</v>
      </c>
      <c r="E646" s="519"/>
      <c r="F646" s="521">
        <f>F634+F644+F636+F637+F638</f>
        <v>1.0070000000000001</v>
      </c>
      <c r="G646" s="521"/>
      <c r="H646" s="522">
        <f>H634+H644+H636+H637+H638</f>
        <v>61.449999999999996</v>
      </c>
      <c r="K646"/>
      <c r="L646"/>
      <c r="M646"/>
      <c r="O646" s="523"/>
      <c r="AA646" s="9"/>
      <c r="AH646" s="9"/>
      <c r="AP646" s="9"/>
      <c r="AW646" s="9"/>
      <c r="BD646" s="9"/>
      <c r="BK646" s="9"/>
    </row>
    <row r="647" spans="1:63" ht="15.75" thickBot="1">
      <c r="A647" s="504"/>
      <c r="B647"/>
      <c r="C647" s="43"/>
      <c r="D647" s="43"/>
      <c r="E647" s="43"/>
      <c r="F647" s="201"/>
      <c r="G647" s="201"/>
      <c r="H647" s="532"/>
      <c r="K647"/>
      <c r="L647"/>
      <c r="M647"/>
      <c r="O647" s="43"/>
      <c r="AA647" s="43"/>
      <c r="AH647" s="43"/>
      <c r="AP647" s="43"/>
      <c r="AW647" s="43"/>
      <c r="BD647" s="43"/>
      <c r="BK647" s="43"/>
    </row>
    <row r="648" spans="1:63">
      <c r="A648" s="527" t="s">
        <v>505</v>
      </c>
      <c r="B648" s="528"/>
      <c r="C648" s="500"/>
      <c r="D648" s="500"/>
      <c r="E648" s="500"/>
      <c r="F648" s="501"/>
      <c r="G648" s="501"/>
      <c r="H648" s="502"/>
      <c r="K648"/>
      <c r="L648"/>
      <c r="M648"/>
      <c r="O648" s="500"/>
      <c r="AA648" s="503"/>
      <c r="AH648" s="503"/>
      <c r="AP648" s="503"/>
      <c r="AW648" s="503"/>
      <c r="BD648" s="503"/>
      <c r="BK648" s="503"/>
    </row>
    <row r="649" spans="1:63">
      <c r="A649" s="504"/>
      <c r="B649" s="505"/>
      <c r="C649" s="509"/>
      <c r="D649" s="509"/>
      <c r="E649" s="510">
        <v>1.25</v>
      </c>
      <c r="F649" s="511">
        <v>0.114</v>
      </c>
      <c r="G649" s="511"/>
      <c r="H649" s="512">
        <v>2.76</v>
      </c>
      <c r="K649"/>
      <c r="L649"/>
      <c r="M649"/>
      <c r="O649" s="509"/>
      <c r="AA649" s="509"/>
      <c r="AH649" s="509"/>
      <c r="AP649" s="509"/>
      <c r="AW649" s="509"/>
      <c r="BD649" s="509"/>
      <c r="BK649" s="509"/>
    </row>
    <row r="650" spans="1:63">
      <c r="A650" s="504"/>
      <c r="B650" s="513" t="s">
        <v>506</v>
      </c>
      <c r="C650" s="509">
        <v>2</v>
      </c>
      <c r="D650" s="509"/>
      <c r="E650" s="509"/>
      <c r="F650" s="511">
        <v>0.16</v>
      </c>
      <c r="G650" s="511"/>
      <c r="H650" s="512">
        <v>1.63</v>
      </c>
      <c r="K650"/>
      <c r="L650"/>
      <c r="M650"/>
      <c r="O650" s="509"/>
      <c r="AA650" s="509"/>
      <c r="AH650" s="509"/>
      <c r="AP650" s="509"/>
      <c r="AW650" s="509"/>
      <c r="BD650" s="509"/>
      <c r="BK650" s="509"/>
    </row>
    <row r="651" spans="1:63">
      <c r="A651" s="504"/>
      <c r="B651" s="513" t="s">
        <v>507</v>
      </c>
      <c r="C651" s="509">
        <v>1</v>
      </c>
      <c r="D651" s="509"/>
      <c r="E651" s="509"/>
      <c r="F651" s="511">
        <v>0.3</v>
      </c>
      <c r="G651" s="511"/>
      <c r="H651" s="512">
        <v>3.77</v>
      </c>
      <c r="K651"/>
      <c r="L651"/>
      <c r="M651"/>
      <c r="O651" s="509"/>
      <c r="AA651" s="509"/>
      <c r="AH651" s="509"/>
      <c r="AP651" s="509"/>
      <c r="AW651" s="509"/>
      <c r="BD651" s="509"/>
      <c r="BK651" s="509"/>
    </row>
    <row r="652" spans="1:63">
      <c r="A652" s="504"/>
      <c r="B652" s="513" t="s">
        <v>508</v>
      </c>
      <c r="C652" s="509">
        <v>1</v>
      </c>
      <c r="D652" s="509"/>
      <c r="E652" s="509"/>
      <c r="F652" s="511">
        <v>7.0000000000000007E-2</v>
      </c>
      <c r="G652" s="511"/>
      <c r="H652" s="512">
        <v>1.55</v>
      </c>
      <c r="K652"/>
      <c r="L652"/>
      <c r="M652"/>
      <c r="O652" s="509"/>
      <c r="AA652" s="509"/>
      <c r="AH652" s="509"/>
      <c r="AP652" s="509"/>
      <c r="AW652" s="509"/>
      <c r="BD652" s="509"/>
      <c r="BK652" s="509"/>
    </row>
    <row r="653" spans="1:63">
      <c r="A653" s="504"/>
      <c r="B653" s="505"/>
      <c r="C653" s="509"/>
      <c r="D653" s="509"/>
      <c r="E653" s="509"/>
      <c r="F653" s="511"/>
      <c r="G653" s="511"/>
      <c r="H653" s="512"/>
      <c r="K653"/>
      <c r="L653"/>
      <c r="M653"/>
      <c r="O653" s="509"/>
      <c r="AA653" s="509"/>
      <c r="AH653" s="509"/>
      <c r="AP653" s="509"/>
      <c r="AW653" s="509"/>
      <c r="BD653" s="509"/>
      <c r="BK653" s="509"/>
    </row>
    <row r="654" spans="1:63">
      <c r="A654" s="514" t="s">
        <v>509</v>
      </c>
      <c r="B654" s="505"/>
      <c r="C654" s="509"/>
      <c r="D654" s="509"/>
      <c r="E654" s="509"/>
      <c r="F654" s="511"/>
      <c r="G654" s="511"/>
      <c r="H654" s="512"/>
      <c r="K654"/>
      <c r="L654"/>
      <c r="M654"/>
      <c r="O654" s="509"/>
      <c r="AA654" s="509"/>
      <c r="AH654" s="509"/>
      <c r="AP654" s="509"/>
      <c r="AW654" s="509"/>
      <c r="BD654" s="509"/>
      <c r="BK654" s="509"/>
    </row>
    <row r="655" spans="1:63">
      <c r="A655" s="504"/>
      <c r="B655" s="505"/>
      <c r="C655" s="509"/>
      <c r="D655" s="509"/>
      <c r="E655" s="509"/>
      <c r="F655" s="511"/>
      <c r="G655" s="511"/>
      <c r="H655" s="512"/>
      <c r="K655"/>
      <c r="L655"/>
      <c r="M655"/>
      <c r="O655" s="509"/>
      <c r="AA655" s="509"/>
      <c r="AH655" s="509"/>
      <c r="AP655" s="509"/>
      <c r="AW655" s="509"/>
      <c r="BD655" s="509"/>
      <c r="BK655" s="509"/>
    </row>
    <row r="656" spans="1:63">
      <c r="A656" s="504"/>
      <c r="B656" s="515" t="s">
        <v>510</v>
      </c>
      <c r="C656" s="509"/>
      <c r="D656" s="509"/>
      <c r="E656" s="509" t="s">
        <v>522</v>
      </c>
      <c r="F656" s="511">
        <v>4.2000000000000003E-2</v>
      </c>
      <c r="G656" s="511"/>
      <c r="H656" s="512">
        <v>1.81</v>
      </c>
      <c r="K656"/>
      <c r="L656"/>
      <c r="M656"/>
      <c r="O656" s="509"/>
      <c r="AA656" s="509"/>
      <c r="AH656" s="509"/>
      <c r="AP656" s="509"/>
      <c r="AW656" s="509"/>
      <c r="BD656" s="509"/>
      <c r="BK656" s="509"/>
    </row>
    <row r="657" spans="1:63">
      <c r="A657" s="504"/>
      <c r="B657" s="505" t="s">
        <v>512</v>
      </c>
      <c r="C657" s="503">
        <v>1</v>
      </c>
      <c r="D657" s="503"/>
      <c r="E657" s="503"/>
      <c r="F657" s="506">
        <v>1</v>
      </c>
      <c r="G657" s="506"/>
      <c r="H657" s="507">
        <v>193.21</v>
      </c>
      <c r="K657"/>
      <c r="L657"/>
      <c r="M657"/>
      <c r="O657" s="503"/>
      <c r="AA657" s="503"/>
      <c r="AH657" s="503"/>
      <c r="AP657" s="503"/>
      <c r="AW657" s="503"/>
      <c r="BD657" s="503"/>
      <c r="BK657" s="503"/>
    </row>
    <row r="658" spans="1:63">
      <c r="A658" s="504"/>
      <c r="B658" s="505" t="s">
        <v>513</v>
      </c>
      <c r="C658" s="503">
        <v>1</v>
      </c>
      <c r="D658" s="503"/>
      <c r="E658" s="503"/>
      <c r="F658" s="506">
        <v>0.5</v>
      </c>
      <c r="G658" s="506"/>
      <c r="H658" s="507">
        <v>15.31</v>
      </c>
      <c r="K658"/>
      <c r="L658"/>
      <c r="M658"/>
      <c r="O658" s="503"/>
      <c r="AA658" s="503"/>
      <c r="AH658" s="503"/>
      <c r="AP658" s="503"/>
      <c r="AW658" s="503"/>
      <c r="BD658" s="503"/>
      <c r="BK658" s="503"/>
    </row>
    <row r="659" spans="1:63">
      <c r="A659" s="504"/>
      <c r="B659" s="505"/>
      <c r="C659" s="503"/>
      <c r="D659" s="503"/>
      <c r="E659" s="503"/>
      <c r="F659" s="506">
        <f>SUM(F649:F656)</f>
        <v>0.68600000000000017</v>
      </c>
      <c r="G659" s="506"/>
      <c r="H659" s="506">
        <f>SUM(H649:H656)</f>
        <v>11.520000000000001</v>
      </c>
      <c r="K659"/>
      <c r="L659"/>
      <c r="M659"/>
      <c r="O659" s="503"/>
      <c r="AA659" s="503"/>
      <c r="AH659" s="503"/>
      <c r="AP659" s="503"/>
      <c r="AW659" s="503"/>
      <c r="BD659" s="503"/>
      <c r="BK659" s="503"/>
    </row>
    <row r="660" spans="1:63" ht="15.75" thickBot="1">
      <c r="A660" s="516"/>
      <c r="B660" s="517"/>
      <c r="C660" s="518"/>
      <c r="D660" s="519"/>
      <c r="E660" s="520"/>
      <c r="F660" s="521">
        <f>F649+F656+F650+F651+F652+F657+F658</f>
        <v>2.1859999999999999</v>
      </c>
      <c r="G660" s="521"/>
      <c r="H660" s="522">
        <f>H649+H656+H650+H651+H652+H657+H658</f>
        <v>220.04000000000002</v>
      </c>
      <c r="K660"/>
      <c r="L660"/>
      <c r="M660"/>
      <c r="O660" s="523"/>
      <c r="AA660" s="9"/>
      <c r="AH660" s="9"/>
      <c r="AP660" s="9"/>
      <c r="AW660" s="9"/>
      <c r="BD660" s="9"/>
      <c r="BK660" s="9"/>
    </row>
    <row r="661" spans="1:63" ht="15.75" thickBot="1">
      <c r="A661" s="504"/>
      <c r="B661"/>
      <c r="C661" s="43"/>
      <c r="D661" s="43"/>
      <c r="E661" s="43"/>
      <c r="F661" s="201"/>
      <c r="G661" s="201"/>
      <c r="H661" s="532"/>
      <c r="K661"/>
      <c r="L661"/>
      <c r="M661"/>
      <c r="O661" s="43"/>
      <c r="AA661" s="43"/>
      <c r="AH661" s="43"/>
      <c r="AP661" s="43"/>
      <c r="AW661" s="43"/>
      <c r="BD661" s="43"/>
      <c r="BK661" s="43"/>
    </row>
    <row r="662" spans="1:63">
      <c r="A662" s="527" t="s">
        <v>505</v>
      </c>
      <c r="B662" s="528"/>
      <c r="C662" s="500"/>
      <c r="D662" s="500"/>
      <c r="E662" s="500"/>
      <c r="F662" s="501"/>
      <c r="G662" s="501"/>
      <c r="H662" s="502"/>
      <c r="K662"/>
      <c r="L662"/>
      <c r="M662"/>
      <c r="O662" s="500"/>
      <c r="AA662" s="503"/>
      <c r="AH662" s="503"/>
      <c r="AP662" s="503"/>
      <c r="AW662" s="503"/>
      <c r="BD662" s="503"/>
      <c r="BK662" s="503"/>
    </row>
    <row r="663" spans="1:63">
      <c r="A663" s="504"/>
      <c r="B663" s="505"/>
      <c r="C663" s="509"/>
      <c r="D663" s="509"/>
      <c r="E663" s="510">
        <v>1.25</v>
      </c>
      <c r="F663" s="511">
        <v>0.114</v>
      </c>
      <c r="G663" s="511"/>
      <c r="H663" s="512">
        <v>2.76</v>
      </c>
      <c r="K663"/>
      <c r="L663"/>
      <c r="M663"/>
      <c r="O663" s="509"/>
      <c r="AA663" s="509"/>
      <c r="AH663" s="509"/>
      <c r="AP663" s="509"/>
      <c r="AW663" s="509"/>
      <c r="BD663" s="509"/>
      <c r="BK663" s="509"/>
    </row>
    <row r="664" spans="1:63">
      <c r="A664" s="504"/>
      <c r="B664" s="513" t="s">
        <v>506</v>
      </c>
      <c r="C664" s="509">
        <v>2</v>
      </c>
      <c r="D664" s="509"/>
      <c r="E664" s="509"/>
      <c r="F664" s="511">
        <v>0.16</v>
      </c>
      <c r="G664" s="511"/>
      <c r="H664" s="512">
        <v>1.63</v>
      </c>
      <c r="K664"/>
      <c r="L664"/>
      <c r="M664"/>
      <c r="O664" s="509"/>
      <c r="AA664" s="509"/>
      <c r="AH664" s="509"/>
      <c r="AP664" s="509"/>
      <c r="AW664" s="509"/>
      <c r="BD664" s="509"/>
      <c r="BK664" s="509"/>
    </row>
    <row r="665" spans="1:63">
      <c r="A665" s="504"/>
      <c r="B665" s="513" t="s">
        <v>507</v>
      </c>
      <c r="C665" s="509">
        <v>1</v>
      </c>
      <c r="D665" s="509"/>
      <c r="E665" s="509"/>
      <c r="F665" s="511">
        <v>0.3</v>
      </c>
      <c r="G665" s="511"/>
      <c r="H665" s="512">
        <v>3.77</v>
      </c>
      <c r="K665"/>
      <c r="L665"/>
      <c r="M665"/>
      <c r="O665" s="509"/>
      <c r="AA665" s="509"/>
      <c r="AH665" s="509"/>
      <c r="AP665" s="509"/>
      <c r="AW665" s="509"/>
      <c r="BD665" s="509"/>
      <c r="BK665" s="509"/>
    </row>
    <row r="666" spans="1:63">
      <c r="A666" s="504"/>
      <c r="B666" s="513" t="s">
        <v>508</v>
      </c>
      <c r="C666" s="509">
        <v>1</v>
      </c>
      <c r="D666" s="509"/>
      <c r="E666" s="509"/>
      <c r="F666" s="511">
        <v>7.0000000000000007E-2</v>
      </c>
      <c r="G666" s="511"/>
      <c r="H666" s="512">
        <v>1.55</v>
      </c>
      <c r="K666"/>
      <c r="L666"/>
      <c r="M666"/>
      <c r="O666" s="509"/>
      <c r="AA666" s="509"/>
      <c r="AH666" s="509"/>
      <c r="AP666" s="509"/>
      <c r="AW666" s="509"/>
      <c r="BD666" s="509"/>
      <c r="BK666" s="509"/>
    </row>
    <row r="667" spans="1:63">
      <c r="A667" s="504"/>
      <c r="B667" s="505"/>
      <c r="C667" s="509"/>
      <c r="D667" s="509"/>
      <c r="E667" s="509"/>
      <c r="F667" s="511"/>
      <c r="G667" s="511"/>
      <c r="H667" s="512"/>
      <c r="K667"/>
      <c r="L667"/>
      <c r="M667"/>
      <c r="O667" s="509"/>
      <c r="AA667" s="509"/>
      <c r="AH667" s="509"/>
      <c r="AP667" s="509"/>
      <c r="AW667" s="509"/>
      <c r="BD667" s="509"/>
      <c r="BK667" s="509"/>
    </row>
    <row r="668" spans="1:63">
      <c r="A668" s="514" t="s">
        <v>509</v>
      </c>
      <c r="B668" s="505"/>
      <c r="C668" s="509"/>
      <c r="D668" s="509"/>
      <c r="E668" s="509"/>
      <c r="F668" s="511"/>
      <c r="G668" s="511"/>
      <c r="H668" s="512"/>
      <c r="K668"/>
      <c r="L668"/>
      <c r="M668"/>
      <c r="O668" s="509"/>
      <c r="AA668" s="509"/>
      <c r="AH668" s="509"/>
      <c r="AP668" s="509"/>
      <c r="AW668" s="509"/>
      <c r="BD668" s="509"/>
      <c r="BK668" s="509"/>
    </row>
    <row r="669" spans="1:63">
      <c r="A669" s="504"/>
      <c r="B669" s="505"/>
      <c r="C669" s="509"/>
      <c r="D669" s="509"/>
      <c r="E669" s="509"/>
      <c r="F669" s="511"/>
      <c r="G669" s="511"/>
      <c r="H669" s="512"/>
      <c r="K669"/>
      <c r="L669"/>
      <c r="M669"/>
      <c r="O669" s="509"/>
      <c r="AA669" s="509"/>
      <c r="AH669" s="509"/>
      <c r="AP669" s="509"/>
      <c r="AW669" s="509"/>
      <c r="BD669" s="509"/>
      <c r="BK669" s="509"/>
    </row>
    <row r="670" spans="1:63">
      <c r="A670" s="504"/>
      <c r="B670" s="515" t="s">
        <v>510</v>
      </c>
      <c r="C670" s="509"/>
      <c r="D670" s="509"/>
      <c r="E670" s="509" t="s">
        <v>522</v>
      </c>
      <c r="F670" s="511">
        <v>4.2000000000000003E-2</v>
      </c>
      <c r="G670" s="511"/>
      <c r="H670" s="512">
        <v>1.81</v>
      </c>
      <c r="K670"/>
      <c r="L670"/>
      <c r="M670"/>
      <c r="O670" s="509"/>
      <c r="AA670" s="509"/>
      <c r="AH670" s="509"/>
      <c r="AP670" s="509"/>
      <c r="AW670" s="509"/>
      <c r="BD670" s="509"/>
      <c r="BK670" s="509"/>
    </row>
    <row r="671" spans="1:63">
      <c r="A671" s="504"/>
      <c r="B671" s="505"/>
      <c r="C671" s="503"/>
      <c r="D671" s="503"/>
      <c r="E671" s="503"/>
      <c r="F671" s="506"/>
      <c r="G671" s="506"/>
      <c r="H671" s="507"/>
      <c r="K671"/>
      <c r="L671"/>
      <c r="M671"/>
      <c r="O671" s="503"/>
      <c r="AA671" s="503"/>
      <c r="AH671" s="503"/>
      <c r="AP671" s="503"/>
      <c r="AW671" s="503"/>
      <c r="BD671" s="503"/>
      <c r="BK671" s="503"/>
    </row>
    <row r="672" spans="1:63" ht="15.75" thickBot="1">
      <c r="A672" s="516"/>
      <c r="B672" s="517"/>
      <c r="C672" s="518"/>
      <c r="D672" s="519"/>
      <c r="E672" s="520"/>
      <c r="F672" s="521">
        <f>F663+F670+F664+F665+F666</f>
        <v>0.68599999999999994</v>
      </c>
      <c r="G672" s="521"/>
      <c r="H672" s="522">
        <f>H663+H670+H664+H665+H666</f>
        <v>11.520000000000001</v>
      </c>
      <c r="K672"/>
      <c r="L672"/>
      <c r="M672"/>
      <c r="O672" s="523"/>
      <c r="AA672" s="9"/>
      <c r="AH672" s="9"/>
      <c r="AP672" s="9"/>
      <c r="AW672" s="9"/>
      <c r="BD672" s="9"/>
      <c r="BK672" s="9"/>
    </row>
    <row r="673" spans="1:63" ht="15.75" thickBot="1">
      <c r="A673" s="504"/>
      <c r="B673"/>
      <c r="C673" s="43"/>
      <c r="D673" s="43"/>
      <c r="E673" s="43"/>
      <c r="F673" s="201"/>
      <c r="G673" s="201"/>
      <c r="H673" s="532"/>
      <c r="K673"/>
      <c r="L673"/>
      <c r="M673"/>
      <c r="O673" s="43"/>
      <c r="AA673" s="43"/>
      <c r="AH673" s="43"/>
      <c r="AP673" s="43"/>
      <c r="AW673" s="43"/>
      <c r="BD673" s="43"/>
      <c r="BK673" s="43"/>
    </row>
    <row r="674" spans="1:63">
      <c r="A674" s="529" t="s">
        <v>516</v>
      </c>
      <c r="B674" s="499"/>
      <c r="C674" s="500"/>
      <c r="D674" s="500"/>
      <c r="E674" s="500"/>
      <c r="F674" s="501"/>
      <c r="G674" s="501"/>
      <c r="H674" s="502"/>
      <c r="K674"/>
      <c r="L674"/>
      <c r="M674"/>
      <c r="O674" s="500"/>
      <c r="AA674" s="503"/>
      <c r="AH674" s="503"/>
      <c r="AP674" s="503"/>
      <c r="AW674" s="503"/>
      <c r="BD674" s="503"/>
      <c r="BK674" s="503"/>
    </row>
    <row r="675" spans="1:63">
      <c r="A675" s="504"/>
      <c r="B675" s="505"/>
      <c r="C675" s="503"/>
      <c r="D675" s="503"/>
      <c r="E675" s="503"/>
      <c r="F675" s="506"/>
      <c r="G675" s="506"/>
      <c r="H675" s="507"/>
      <c r="K675"/>
      <c r="L675"/>
      <c r="M675"/>
      <c r="O675" s="503"/>
      <c r="AA675" s="503"/>
      <c r="AH675" s="503"/>
      <c r="AP675" s="503"/>
      <c r="AW675" s="503"/>
      <c r="BD675" s="503"/>
      <c r="BK675" s="503"/>
    </row>
    <row r="676" spans="1:63">
      <c r="A676" s="504"/>
      <c r="B676" s="513" t="s">
        <v>517</v>
      </c>
      <c r="C676" s="530"/>
      <c r="D676" s="43"/>
      <c r="E676" s="531">
        <v>1.5</v>
      </c>
      <c r="F676" s="201">
        <v>0.183</v>
      </c>
      <c r="G676" s="201"/>
      <c r="H676" s="532">
        <v>13.4</v>
      </c>
      <c r="K676"/>
      <c r="L676"/>
      <c r="M676"/>
      <c r="O676" s="43"/>
      <c r="AA676" s="43"/>
      <c r="AH676" s="43"/>
      <c r="AP676" s="43"/>
      <c r="AW676" s="43"/>
      <c r="BD676" s="43"/>
      <c r="BK676" s="43"/>
    </row>
    <row r="677" spans="1:63">
      <c r="A677" s="504"/>
      <c r="B677"/>
      <c r="C677" s="43"/>
      <c r="D677" s="43"/>
      <c r="E677" s="43"/>
      <c r="F677" s="201"/>
      <c r="G677" s="201"/>
      <c r="H677" s="532"/>
      <c r="K677"/>
      <c r="L677"/>
      <c r="M677"/>
      <c r="O677" s="43"/>
      <c r="AA677" s="43"/>
      <c r="AH677" s="43"/>
      <c r="AP677" s="43"/>
      <c r="AW677" s="43"/>
      <c r="BD677" s="43"/>
      <c r="BK677" s="43"/>
    </row>
    <row r="678" spans="1:63">
      <c r="A678" s="504"/>
      <c r="B678" s="513" t="s">
        <v>506</v>
      </c>
      <c r="C678" s="530">
        <v>2</v>
      </c>
      <c r="D678" s="530"/>
      <c r="E678" s="43"/>
      <c r="F678" s="201">
        <v>0.33500000000000002</v>
      </c>
      <c r="G678" s="201"/>
      <c r="H678" s="532">
        <v>9.57</v>
      </c>
      <c r="K678"/>
      <c r="L678"/>
      <c r="M678"/>
      <c r="O678" s="43"/>
      <c r="AA678" s="43"/>
      <c r="AH678" s="43"/>
      <c r="AP678" s="43"/>
      <c r="AW678" s="43"/>
      <c r="BD678" s="43"/>
      <c r="BK678" s="43"/>
    </row>
    <row r="679" spans="1:63">
      <c r="A679" s="504"/>
      <c r="B679" s="513" t="s">
        <v>507</v>
      </c>
      <c r="C679" s="43">
        <v>1</v>
      </c>
      <c r="D679" s="43"/>
      <c r="E679" s="43"/>
      <c r="F679" s="201">
        <v>0.24</v>
      </c>
      <c r="G679" s="201"/>
      <c r="H679" s="532">
        <v>37.700000000000003</v>
      </c>
      <c r="K679"/>
      <c r="L679"/>
      <c r="M679"/>
      <c r="O679" s="43"/>
      <c r="AA679" s="43"/>
      <c r="AH679" s="43"/>
      <c r="AP679" s="43"/>
      <c r="AW679" s="43"/>
      <c r="BD679" s="43"/>
      <c r="BK679" s="43"/>
    </row>
    <row r="680" spans="1:63">
      <c r="A680" s="504"/>
      <c r="B680" s="513" t="s">
        <v>508</v>
      </c>
      <c r="C680" s="43">
        <v>1</v>
      </c>
      <c r="D680" s="43"/>
      <c r="E680" s="43"/>
      <c r="F680" s="201">
        <v>0.28000000000000003</v>
      </c>
      <c r="G680" s="201"/>
      <c r="H680" s="532">
        <v>35.6</v>
      </c>
      <c r="K680"/>
      <c r="L680"/>
      <c r="M680"/>
      <c r="O680" s="43"/>
      <c r="AA680" s="43"/>
      <c r="AH680" s="43"/>
      <c r="AP680" s="43"/>
      <c r="AW680" s="43"/>
      <c r="BD680" s="43"/>
      <c r="BK680" s="43"/>
    </row>
    <row r="681" spans="1:63">
      <c r="A681" s="504"/>
      <c r="B681"/>
      <c r="C681" s="43"/>
      <c r="D681" s="43"/>
      <c r="E681" s="43"/>
      <c r="F681" s="201"/>
      <c r="G681" s="201"/>
      <c r="H681" s="532"/>
      <c r="K681"/>
      <c r="L681"/>
      <c r="M681"/>
      <c r="O681" s="43"/>
      <c r="AA681" s="43"/>
      <c r="AH681" s="43"/>
      <c r="AP681" s="43"/>
      <c r="AW681" s="43"/>
      <c r="BD681" s="43"/>
      <c r="BK681" s="43"/>
    </row>
    <row r="682" spans="1:63">
      <c r="A682" s="514" t="s">
        <v>509</v>
      </c>
      <c r="B682"/>
      <c r="C682" s="43"/>
      <c r="D682" s="43"/>
      <c r="E682" s="43"/>
      <c r="F682" s="201"/>
      <c r="G682" s="201"/>
      <c r="H682" s="532"/>
      <c r="K682"/>
      <c r="L682"/>
      <c r="M682"/>
      <c r="O682" s="43"/>
      <c r="AA682" s="43"/>
      <c r="AH682" s="43"/>
      <c r="AP682" s="43"/>
      <c r="AW682" s="43"/>
      <c r="BD682" s="43"/>
      <c r="BK682" s="43"/>
    </row>
    <row r="683" spans="1:63">
      <c r="A683" s="514"/>
      <c r="B683"/>
      <c r="C683" s="43"/>
      <c r="D683" s="43"/>
      <c r="E683" s="43"/>
      <c r="F683" s="201"/>
      <c r="G683" s="201"/>
      <c r="H683" s="532"/>
      <c r="K683"/>
      <c r="L683"/>
      <c r="M683"/>
      <c r="O683" s="43"/>
      <c r="AA683" s="43"/>
      <c r="AH683" s="43"/>
      <c r="AP683" s="43"/>
      <c r="AW683" s="43"/>
      <c r="BD683" s="43"/>
      <c r="BK683" s="43"/>
    </row>
    <row r="684" spans="1:63">
      <c r="A684" s="504"/>
      <c r="B684" s="513" t="s">
        <v>518</v>
      </c>
      <c r="C684" s="43"/>
      <c r="D684" s="43"/>
      <c r="E684" s="43"/>
      <c r="F684" s="201"/>
      <c r="G684" s="201"/>
      <c r="H684" s="532"/>
      <c r="K684"/>
      <c r="L684"/>
      <c r="M684"/>
      <c r="O684" s="43"/>
      <c r="AA684" s="43"/>
      <c r="AH684" s="43"/>
      <c r="AP684" s="43"/>
      <c r="AW684" s="43"/>
      <c r="BD684" s="43"/>
      <c r="BK684" s="43"/>
    </row>
    <row r="685" spans="1:63">
      <c r="A685" s="504"/>
      <c r="B685" s="513" t="s">
        <v>519</v>
      </c>
      <c r="C685" s="43"/>
      <c r="D685" s="43"/>
      <c r="E685" s="43"/>
      <c r="F685" s="201"/>
      <c r="G685" s="201"/>
      <c r="H685" s="532"/>
      <c r="K685"/>
      <c r="L685"/>
      <c r="M685"/>
      <c r="O685" s="43"/>
      <c r="AA685" s="43"/>
      <c r="AH685" s="43"/>
      <c r="AP685" s="43"/>
      <c r="AW685" s="43"/>
      <c r="BD685" s="43"/>
      <c r="BK685" s="43"/>
    </row>
    <row r="686" spans="1:63">
      <c r="A686" s="504"/>
      <c r="B686"/>
      <c r="C686" s="43"/>
      <c r="D686" s="43"/>
      <c r="E686" s="530" t="s">
        <v>520</v>
      </c>
      <c r="F686" s="201">
        <v>0.04</v>
      </c>
      <c r="G686" s="201"/>
      <c r="H686" s="532">
        <v>6.64</v>
      </c>
      <c r="K686"/>
      <c r="L686"/>
      <c r="M686"/>
      <c r="O686" s="43"/>
      <c r="AA686" s="43"/>
      <c r="AH686" s="43"/>
      <c r="AP686" s="43"/>
      <c r="AW686" s="43"/>
      <c r="BD686" s="43"/>
      <c r="BK686" s="43"/>
    </row>
    <row r="687" spans="1:63">
      <c r="A687" s="504"/>
      <c r="B687" s="505" t="s">
        <v>512</v>
      </c>
      <c r="C687" s="503">
        <v>1</v>
      </c>
      <c r="D687" s="503"/>
      <c r="E687" s="503"/>
      <c r="F687" s="506">
        <v>1</v>
      </c>
      <c r="G687" s="506"/>
      <c r="H687" s="507">
        <v>193.21</v>
      </c>
      <c r="K687"/>
      <c r="L687"/>
      <c r="M687"/>
      <c r="O687" s="503"/>
      <c r="AA687" s="503"/>
      <c r="AH687" s="503"/>
      <c r="AP687" s="503"/>
      <c r="AW687" s="503"/>
      <c r="BD687" s="503"/>
      <c r="BK687" s="503"/>
    </row>
    <row r="688" spans="1:63">
      <c r="A688" s="504"/>
      <c r="B688" s="505" t="s">
        <v>513</v>
      </c>
      <c r="C688" s="503">
        <v>1</v>
      </c>
      <c r="D688" s="503"/>
      <c r="E688" s="503"/>
      <c r="F688" s="506">
        <v>0.5</v>
      </c>
      <c r="G688" s="506"/>
      <c r="H688" s="507">
        <v>15.31</v>
      </c>
      <c r="K688"/>
      <c r="L688"/>
      <c r="M688"/>
      <c r="O688" s="503"/>
      <c r="AA688" s="503"/>
      <c r="AH688" s="503"/>
      <c r="AP688" s="503"/>
      <c r="AW688" s="503"/>
      <c r="BD688" s="503"/>
      <c r="BK688" s="503"/>
    </row>
    <row r="689" spans="1:63">
      <c r="A689" s="504"/>
      <c r="B689"/>
      <c r="C689" s="43"/>
      <c r="D689" s="43"/>
      <c r="E689" s="43"/>
      <c r="F689" s="201"/>
      <c r="G689" s="201"/>
      <c r="H689" s="532"/>
      <c r="K689"/>
      <c r="L689"/>
      <c r="M689"/>
      <c r="O689" s="43"/>
      <c r="AA689" s="43"/>
      <c r="AH689" s="43"/>
      <c r="AP689" s="43"/>
      <c r="AW689" s="43"/>
      <c r="BD689" s="43"/>
      <c r="BK689" s="43"/>
    </row>
    <row r="690" spans="1:63" ht="15.75" thickBot="1">
      <c r="A690" s="516"/>
      <c r="B690" s="533"/>
      <c r="C690" s="518"/>
      <c r="D690" s="519"/>
      <c r="E690" s="519"/>
      <c r="F690" s="521">
        <f>SUM(F675:F689)</f>
        <v>2.5780000000000003</v>
      </c>
      <c r="G690" s="521"/>
      <c r="H690" s="522">
        <f>SUM(H675:H689)</f>
        <v>311.43</v>
      </c>
      <c r="K690"/>
      <c r="L690"/>
      <c r="M690"/>
      <c r="O690" s="523"/>
      <c r="AA690" s="9"/>
      <c r="AH690" s="9"/>
      <c r="AP690" s="9"/>
      <c r="AW690" s="9"/>
      <c r="BD690" s="9"/>
      <c r="BK690" s="9"/>
    </row>
    <row r="691" spans="1:63">
      <c r="A691" s="504"/>
      <c r="B691"/>
      <c r="C691" s="43"/>
      <c r="D691" s="43"/>
      <c r="E691" s="43"/>
      <c r="F691" s="201"/>
      <c r="G691" s="201"/>
      <c r="H691" s="532"/>
      <c r="K691"/>
      <c r="L691"/>
      <c r="M691"/>
      <c r="O691" s="43"/>
      <c r="AA691" s="43"/>
      <c r="AH691" s="43"/>
      <c r="AP691" s="43"/>
      <c r="AW691" s="43"/>
      <c r="BD691" s="43"/>
      <c r="BK691" s="43"/>
    </row>
    <row r="692" spans="1:63">
      <c r="A692" s="534" t="s">
        <v>516</v>
      </c>
      <c r="B692"/>
      <c r="C692" s="503"/>
      <c r="D692" s="503"/>
      <c r="E692" s="503"/>
      <c r="F692" s="506"/>
      <c r="G692" s="506"/>
      <c r="H692" s="507"/>
      <c r="K692"/>
      <c r="L692"/>
      <c r="M692"/>
      <c r="O692" s="503"/>
      <c r="AA692" s="503"/>
      <c r="AH692" s="503"/>
      <c r="AP692" s="503"/>
      <c r="AW692" s="503"/>
      <c r="BD692" s="503"/>
      <c r="BK692" s="503"/>
    </row>
    <row r="693" spans="1:63">
      <c r="A693" s="504"/>
      <c r="B693" s="505"/>
      <c r="C693" s="503"/>
      <c r="D693" s="503"/>
      <c r="E693" s="503"/>
      <c r="F693" s="506"/>
      <c r="G693" s="506"/>
      <c r="H693" s="507"/>
      <c r="K693"/>
      <c r="L693"/>
      <c r="M693"/>
      <c r="O693" s="503"/>
      <c r="AA693" s="503"/>
      <c r="AH693" s="503"/>
      <c r="AP693" s="503"/>
      <c r="AW693" s="503"/>
      <c r="BD693" s="503"/>
      <c r="BK693" s="503"/>
    </row>
    <row r="694" spans="1:63">
      <c r="A694" s="504"/>
      <c r="B694" s="513" t="s">
        <v>523</v>
      </c>
      <c r="C694" s="530"/>
      <c r="D694" s="43"/>
      <c r="E694" s="531">
        <v>1</v>
      </c>
      <c r="F694" s="201">
        <v>0.14599999999999999</v>
      </c>
      <c r="G694" s="201"/>
      <c r="H694" s="532">
        <v>7.45</v>
      </c>
      <c r="K694"/>
      <c r="L694"/>
      <c r="M694"/>
      <c r="O694" s="43"/>
      <c r="AA694" s="43"/>
      <c r="AH694" s="43"/>
      <c r="AP694" s="43"/>
      <c r="AW694" s="43"/>
      <c r="BD694" s="43"/>
      <c r="BK694" s="43"/>
    </row>
    <row r="695" spans="1:63">
      <c r="A695" s="504"/>
      <c r="B695"/>
      <c r="C695" s="43"/>
      <c r="D695" s="43"/>
      <c r="E695" s="43"/>
      <c r="F695" s="201"/>
      <c r="G695" s="201"/>
      <c r="H695" s="532"/>
      <c r="K695"/>
      <c r="L695"/>
      <c r="M695"/>
      <c r="O695" s="43"/>
      <c r="AA695" s="43"/>
      <c r="AH695" s="43"/>
      <c r="AP695" s="43"/>
      <c r="AW695" s="43"/>
      <c r="BD695" s="43"/>
      <c r="BK695" s="43"/>
    </row>
    <row r="696" spans="1:63">
      <c r="A696" s="504"/>
      <c r="B696" s="513" t="s">
        <v>506</v>
      </c>
      <c r="C696" s="530">
        <v>2</v>
      </c>
      <c r="D696" s="530"/>
      <c r="E696" s="43"/>
      <c r="F696" s="201">
        <v>0.28399999999999997</v>
      </c>
      <c r="G696" s="201"/>
      <c r="H696" s="512">
        <v>0.74</v>
      </c>
      <c r="K696"/>
      <c r="L696"/>
      <c r="M696"/>
      <c r="O696" s="43"/>
      <c r="AA696" s="43"/>
      <c r="AH696" s="43"/>
      <c r="AP696" s="43"/>
      <c r="AW696" s="43"/>
      <c r="BD696" s="43"/>
      <c r="BK696" s="43"/>
    </row>
    <row r="697" spans="1:63">
      <c r="A697" s="504"/>
      <c r="B697" s="513" t="s">
        <v>507</v>
      </c>
      <c r="C697" s="43">
        <v>1</v>
      </c>
      <c r="D697" s="43"/>
      <c r="E697" s="43"/>
      <c r="F697" s="201">
        <v>0.24</v>
      </c>
      <c r="G697" s="201"/>
      <c r="H697" s="512">
        <v>6.69</v>
      </c>
      <c r="K697"/>
      <c r="L697"/>
      <c r="M697"/>
      <c r="O697" s="43"/>
      <c r="AA697" s="43"/>
      <c r="AH697" s="43"/>
      <c r="AP697" s="43"/>
      <c r="AW697" s="43"/>
      <c r="BD697" s="43"/>
      <c r="BK697" s="43"/>
    </row>
    <row r="698" spans="1:63">
      <c r="A698" s="504"/>
      <c r="B698" s="513" t="s">
        <v>508</v>
      </c>
      <c r="C698" s="43">
        <v>1</v>
      </c>
      <c r="D698" s="43"/>
      <c r="E698" s="43"/>
      <c r="F698" s="201">
        <v>0.28000000000000003</v>
      </c>
      <c r="G698" s="201"/>
      <c r="H698" s="512">
        <v>0.68</v>
      </c>
      <c r="K698"/>
      <c r="L698"/>
      <c r="M698"/>
      <c r="O698" s="43"/>
      <c r="AA698" s="43"/>
      <c r="AH698" s="43"/>
      <c r="AP698" s="43"/>
      <c r="AW698" s="43"/>
      <c r="BD698" s="43"/>
      <c r="BK698" s="43"/>
    </row>
    <row r="699" spans="1:63">
      <c r="A699" s="504"/>
      <c r="B699"/>
      <c r="C699" s="43"/>
      <c r="D699" s="43"/>
      <c r="E699" s="43"/>
      <c r="F699" s="201"/>
      <c r="G699" s="201"/>
      <c r="H699" s="532"/>
      <c r="K699"/>
      <c r="L699"/>
      <c r="M699"/>
      <c r="O699" s="43"/>
      <c r="AA699" s="43"/>
      <c r="AH699" s="43"/>
      <c r="AP699" s="43"/>
      <c r="AW699" s="43"/>
      <c r="BD699" s="43"/>
      <c r="BK699" s="43"/>
    </row>
    <row r="700" spans="1:63">
      <c r="A700" s="514" t="s">
        <v>509</v>
      </c>
      <c r="B700"/>
      <c r="C700" s="43"/>
      <c r="D700" s="43"/>
      <c r="E700" s="43"/>
      <c r="F700" s="201"/>
      <c r="G700" s="201"/>
      <c r="H700" s="532"/>
      <c r="K700"/>
      <c r="L700"/>
      <c r="M700"/>
      <c r="O700" s="43"/>
      <c r="AA700" s="43"/>
      <c r="AH700" s="43"/>
      <c r="AP700" s="43"/>
      <c r="AW700" s="43"/>
      <c r="BD700" s="43"/>
      <c r="BK700" s="43"/>
    </row>
    <row r="701" spans="1:63">
      <c r="A701" s="514"/>
      <c r="B701"/>
      <c r="C701" s="43"/>
      <c r="D701" s="43"/>
      <c r="E701" s="43"/>
      <c r="F701" s="201"/>
      <c r="G701" s="201"/>
      <c r="H701" s="532"/>
      <c r="K701"/>
      <c r="L701"/>
      <c r="M701"/>
      <c r="O701" s="43"/>
      <c r="AA701" s="43"/>
      <c r="AH701" s="43"/>
      <c r="AP701" s="43"/>
      <c r="AW701" s="43"/>
      <c r="BD701" s="43"/>
      <c r="BK701" s="43"/>
    </row>
    <row r="702" spans="1:63">
      <c r="A702" s="504"/>
      <c r="B702" s="513"/>
      <c r="C702" s="43"/>
      <c r="D702" s="43"/>
      <c r="E702" s="43"/>
      <c r="F702" s="201"/>
      <c r="G702" s="201"/>
      <c r="H702" s="532"/>
      <c r="K702"/>
      <c r="L702"/>
      <c r="M702"/>
      <c r="O702" s="43"/>
      <c r="AA702" s="43"/>
      <c r="AH702" s="43"/>
      <c r="AP702" s="43"/>
      <c r="AW702" s="43"/>
      <c r="BD702" s="43"/>
      <c r="BK702" s="43"/>
    </row>
    <row r="703" spans="1:63">
      <c r="A703" s="504"/>
      <c r="B703" s="513"/>
      <c r="C703" s="43"/>
      <c r="D703" s="43"/>
      <c r="E703" s="43"/>
      <c r="F703" s="201"/>
      <c r="G703" s="201"/>
      <c r="H703" s="532"/>
      <c r="K703"/>
      <c r="L703"/>
      <c r="M703"/>
      <c r="O703" s="43"/>
      <c r="AA703" s="43"/>
      <c r="AH703" s="43"/>
      <c r="AP703" s="43"/>
      <c r="AW703" s="43"/>
      <c r="BD703" s="43"/>
      <c r="BK703" s="43"/>
    </row>
    <row r="704" spans="1:63">
      <c r="A704" s="504"/>
      <c r="B704"/>
      <c r="C704" s="43"/>
      <c r="D704" s="43"/>
      <c r="E704" s="530" t="s">
        <v>511</v>
      </c>
      <c r="F704" s="201">
        <v>0.04</v>
      </c>
      <c r="G704" s="201"/>
      <c r="H704" s="532">
        <v>1.62</v>
      </c>
      <c r="K704"/>
      <c r="L704"/>
      <c r="M704"/>
      <c r="O704" s="43"/>
      <c r="AA704" s="43"/>
      <c r="AH704" s="43"/>
      <c r="AP704" s="43"/>
      <c r="AW704" s="43"/>
      <c r="BD704" s="43"/>
      <c r="BK704" s="43"/>
    </row>
    <row r="705" spans="1:63">
      <c r="A705" s="504"/>
      <c r="B705" s="505" t="s">
        <v>512</v>
      </c>
      <c r="C705" s="503">
        <v>1</v>
      </c>
      <c r="D705" s="503"/>
      <c r="E705" s="503"/>
      <c r="F705" s="506">
        <v>1</v>
      </c>
      <c r="G705" s="506"/>
      <c r="H705" s="507">
        <v>193.21</v>
      </c>
      <c r="K705"/>
      <c r="L705"/>
      <c r="M705"/>
      <c r="O705" s="503"/>
      <c r="AA705" s="503"/>
      <c r="AH705" s="503"/>
      <c r="AP705" s="503"/>
      <c r="AW705" s="503"/>
      <c r="BD705" s="503"/>
      <c r="BK705" s="503"/>
    </row>
    <row r="706" spans="1:63">
      <c r="A706" s="504"/>
      <c r="B706" s="505" t="s">
        <v>513</v>
      </c>
      <c r="C706" s="503">
        <v>1</v>
      </c>
      <c r="D706" s="503"/>
      <c r="E706" s="503"/>
      <c r="F706" s="506">
        <v>0.5</v>
      </c>
      <c r="G706" s="506"/>
      <c r="H706" s="507">
        <v>15.31</v>
      </c>
      <c r="K706"/>
      <c r="L706"/>
      <c r="M706"/>
      <c r="O706" s="503"/>
      <c r="AA706" s="503"/>
      <c r="AH706" s="503"/>
      <c r="AP706" s="503"/>
      <c r="AW706" s="503"/>
      <c r="BD706" s="503"/>
      <c r="BK706" s="503"/>
    </row>
    <row r="707" spans="1:63">
      <c r="A707" s="504"/>
      <c r="B707"/>
      <c r="C707" s="43"/>
      <c r="D707" s="43"/>
      <c r="E707" s="43"/>
      <c r="F707" s="201"/>
      <c r="G707" s="201"/>
      <c r="H707" s="532"/>
      <c r="K707"/>
      <c r="L707"/>
      <c r="M707"/>
      <c r="O707" s="43"/>
      <c r="AA707" s="43"/>
      <c r="AH707" s="43"/>
      <c r="AP707" s="43"/>
      <c r="AW707" s="43"/>
      <c r="BD707" s="43"/>
      <c r="BK707" s="43"/>
    </row>
    <row r="708" spans="1:63">
      <c r="A708" s="504"/>
      <c r="B708"/>
      <c r="C708" s="524">
        <v>1</v>
      </c>
      <c r="D708" s="43"/>
      <c r="E708" s="43"/>
      <c r="F708" s="525">
        <f>F694+F704+F696+F697+F698</f>
        <v>0.99</v>
      </c>
      <c r="G708" s="525"/>
      <c r="H708" s="526">
        <f>H694+H704+H696+H697+H698</f>
        <v>17.18</v>
      </c>
      <c r="K708"/>
      <c r="L708"/>
      <c r="M708"/>
      <c r="O708" s="9"/>
      <c r="AA708" s="9"/>
      <c r="AH708" s="9"/>
      <c r="AP708" s="9"/>
      <c r="AW708" s="9"/>
      <c r="BD708" s="9"/>
      <c r="BK708" s="9"/>
    </row>
    <row r="709" spans="1:63">
      <c r="A709" s="504"/>
      <c r="B709"/>
      <c r="C709" s="43"/>
      <c r="D709" s="43"/>
      <c r="E709" s="43"/>
      <c r="F709" s="201"/>
      <c r="G709" s="201"/>
      <c r="H709" s="532"/>
      <c r="K709"/>
      <c r="L709"/>
      <c r="M709"/>
      <c r="O709" s="43"/>
      <c r="AA709" s="43"/>
      <c r="AH709" s="43"/>
      <c r="AP709" s="43"/>
      <c r="AW709" s="43"/>
      <c r="BD709" s="43"/>
      <c r="BK709" s="43"/>
    </row>
    <row r="710" spans="1:63" ht="15.75" thickBot="1">
      <c r="A710" s="516"/>
      <c r="B710" s="533"/>
      <c r="C710" s="519"/>
      <c r="D710" s="519"/>
      <c r="E710" s="519"/>
      <c r="F710" s="521">
        <f>SUM(F694:F706)</f>
        <v>2.4900000000000002</v>
      </c>
      <c r="G710" s="521"/>
      <c r="H710" s="522">
        <f>SUM(H694:H706)</f>
        <v>225.70000000000002</v>
      </c>
      <c r="K710"/>
      <c r="L710"/>
      <c r="M710"/>
      <c r="O710" s="523"/>
      <c r="AA710" s="9"/>
      <c r="AH710" s="9"/>
      <c r="AP710" s="9"/>
      <c r="AW710" s="9"/>
      <c r="BD710" s="9"/>
      <c r="BK710" s="9"/>
    </row>
    <row r="711" spans="1:63" ht="15.75" thickBot="1">
      <c r="B711"/>
      <c r="F711" s="201"/>
      <c r="G711" s="201"/>
      <c r="K711"/>
      <c r="L711"/>
      <c r="M711"/>
      <c r="O711" s="43"/>
      <c r="AA711" s="43"/>
      <c r="AH711" s="43"/>
      <c r="AP711" s="43"/>
      <c r="AW711" s="43"/>
      <c r="BD711" s="43"/>
      <c r="BK711" s="43"/>
    </row>
    <row r="712" spans="1:63">
      <c r="A712" s="498" t="s">
        <v>504</v>
      </c>
      <c r="B712" s="499"/>
      <c r="C712" s="500"/>
      <c r="D712" s="500"/>
      <c r="E712" s="500"/>
      <c r="F712" s="501"/>
      <c r="G712" s="501"/>
      <c r="H712" s="502"/>
      <c r="K712"/>
      <c r="L712"/>
      <c r="M712"/>
      <c r="O712" s="500"/>
      <c r="AA712" s="503"/>
      <c r="AH712" s="503"/>
      <c r="AP712" s="503"/>
      <c r="AW712" s="503"/>
      <c r="BD712" s="503"/>
      <c r="BK712" s="503"/>
    </row>
    <row r="713" spans="1:63">
      <c r="A713" s="504"/>
      <c r="B713" s="505"/>
      <c r="C713" s="503"/>
      <c r="D713" s="503"/>
      <c r="E713" s="503"/>
      <c r="F713" s="506"/>
      <c r="G713" s="506"/>
      <c r="H713" s="507"/>
      <c r="K713"/>
      <c r="L713"/>
      <c r="M713"/>
      <c r="O713" s="503"/>
      <c r="AA713" s="503"/>
      <c r="AH713" s="503"/>
      <c r="AP713" s="503"/>
      <c r="AW713" s="503"/>
      <c r="BD713" s="503"/>
      <c r="BK713" s="503"/>
    </row>
    <row r="714" spans="1:63">
      <c r="A714" s="508" t="s">
        <v>505</v>
      </c>
      <c r="B714" s="505"/>
      <c r="C714" s="503"/>
      <c r="D714" s="503"/>
      <c r="E714" s="503"/>
      <c r="F714" s="506"/>
      <c r="G714" s="506"/>
      <c r="H714" s="507"/>
      <c r="K714"/>
      <c r="L714"/>
      <c r="M714"/>
      <c r="O714" s="503"/>
      <c r="AA714" s="503"/>
      <c r="AH714" s="503"/>
      <c r="AP714" s="503"/>
      <c r="AW714" s="503"/>
      <c r="BD714" s="503"/>
      <c r="BK714" s="503"/>
    </row>
    <row r="715" spans="1:63">
      <c r="A715" s="504"/>
      <c r="B715" s="505"/>
      <c r="C715" s="509"/>
      <c r="D715" s="509"/>
      <c r="E715" s="510">
        <v>0.75</v>
      </c>
      <c r="F715" s="511">
        <v>9.0999999999999998E-2</v>
      </c>
      <c r="G715" s="511"/>
      <c r="H715" s="512">
        <v>2.52</v>
      </c>
      <c r="K715"/>
      <c r="L715"/>
      <c r="M715"/>
      <c r="O715" s="509"/>
      <c r="AA715" s="509"/>
      <c r="AH715" s="509"/>
      <c r="AP715" s="509"/>
      <c r="AW715" s="509"/>
      <c r="BD715" s="509"/>
      <c r="BK715" s="509"/>
    </row>
    <row r="716" spans="1:63">
      <c r="A716" s="504"/>
      <c r="B716" s="513" t="s">
        <v>506</v>
      </c>
      <c r="C716" s="509">
        <v>2</v>
      </c>
      <c r="D716" s="509"/>
      <c r="E716" s="509"/>
      <c r="F716" s="511">
        <v>0.115</v>
      </c>
      <c r="G716" s="511"/>
      <c r="H716" s="512">
        <v>0.96</v>
      </c>
      <c r="K716"/>
      <c r="L716"/>
      <c r="M716"/>
      <c r="O716" s="509"/>
      <c r="AA716" s="509"/>
      <c r="AH716" s="509"/>
      <c r="AP716" s="509"/>
      <c r="AW716" s="509"/>
      <c r="BD716" s="509"/>
      <c r="BK716" s="509"/>
    </row>
    <row r="717" spans="1:63">
      <c r="A717" s="504"/>
      <c r="B717" s="513" t="s">
        <v>507</v>
      </c>
      <c r="C717" s="509">
        <v>1</v>
      </c>
      <c r="D717" s="509"/>
      <c r="E717" s="509"/>
      <c r="F717" s="511">
        <v>0.3</v>
      </c>
      <c r="G717" s="511"/>
      <c r="H717" s="512">
        <v>6.69</v>
      </c>
      <c r="K717"/>
      <c r="L717"/>
      <c r="M717"/>
      <c r="O717" s="509"/>
      <c r="AA717" s="509"/>
      <c r="AH717" s="509"/>
      <c r="AP717" s="509"/>
      <c r="AW717" s="509"/>
      <c r="BD717" s="509"/>
      <c r="BK717" s="509"/>
    </row>
    <row r="718" spans="1:63">
      <c r="A718" s="504"/>
      <c r="B718" s="513" t="s">
        <v>508</v>
      </c>
      <c r="C718" s="509">
        <v>1</v>
      </c>
      <c r="D718" s="509"/>
      <c r="E718" s="509"/>
      <c r="F718" s="511">
        <v>7.0000000000000007E-2</v>
      </c>
      <c r="G718" s="511"/>
      <c r="H718" s="512">
        <v>0.68</v>
      </c>
      <c r="K718"/>
      <c r="L718"/>
      <c r="M718"/>
      <c r="O718" s="509"/>
      <c r="AA718" s="509"/>
      <c r="AH718" s="509"/>
      <c r="AP718" s="509"/>
      <c r="AW718" s="509"/>
      <c r="BD718" s="509"/>
      <c r="BK718" s="509"/>
    </row>
    <row r="719" spans="1:63">
      <c r="A719" s="504"/>
      <c r="B719" s="505"/>
      <c r="C719" s="509"/>
      <c r="D719" s="509"/>
      <c r="E719" s="509"/>
      <c r="F719" s="511"/>
      <c r="G719" s="511"/>
      <c r="H719" s="512"/>
      <c r="K719"/>
      <c r="L719"/>
      <c r="M719"/>
      <c r="O719" s="509"/>
      <c r="AA719" s="509"/>
      <c r="AH719" s="509"/>
      <c r="AP719" s="509"/>
      <c r="AW719" s="509"/>
      <c r="BD719" s="509"/>
      <c r="BK719" s="509"/>
    </row>
    <row r="720" spans="1:63">
      <c r="A720" s="514" t="s">
        <v>509</v>
      </c>
      <c r="B720" s="505"/>
      <c r="C720" s="509"/>
      <c r="D720" s="509"/>
      <c r="E720" s="509"/>
      <c r="F720" s="511"/>
      <c r="G720" s="511"/>
      <c r="H720" s="512"/>
      <c r="K720"/>
      <c r="L720"/>
      <c r="M720"/>
      <c r="O720" s="509"/>
      <c r="AA720" s="509"/>
      <c r="AH720" s="509"/>
      <c r="AP720" s="509"/>
      <c r="AW720" s="509"/>
      <c r="BD720" s="509"/>
      <c r="BK720" s="509"/>
    </row>
    <row r="721" spans="1:63">
      <c r="A721" s="504"/>
      <c r="B721" s="505"/>
      <c r="C721" s="509"/>
      <c r="D721" s="509"/>
      <c r="E721" s="509"/>
      <c r="F721" s="511"/>
      <c r="G721" s="511"/>
      <c r="H721" s="512"/>
      <c r="K721"/>
      <c r="L721"/>
      <c r="M721"/>
      <c r="O721" s="509"/>
      <c r="AA721" s="509"/>
      <c r="AH721" s="509"/>
      <c r="AP721" s="509"/>
      <c r="AW721" s="509"/>
      <c r="BD721" s="509"/>
      <c r="BK721" s="509"/>
    </row>
    <row r="722" spans="1:63">
      <c r="A722" s="504"/>
      <c r="B722" s="515" t="s">
        <v>518</v>
      </c>
      <c r="C722" s="509"/>
      <c r="D722" s="509"/>
      <c r="E722" s="509" t="s">
        <v>514</v>
      </c>
      <c r="F722" s="511">
        <v>3.7999999999999999E-2</v>
      </c>
      <c r="G722" s="511"/>
      <c r="H722" s="512">
        <v>2.4529999999999998</v>
      </c>
      <c r="K722"/>
      <c r="L722"/>
      <c r="M722"/>
      <c r="O722" s="509"/>
      <c r="AA722" s="509"/>
      <c r="AH722" s="509"/>
      <c r="AP722" s="509"/>
      <c r="AW722" s="509"/>
      <c r="BD722" s="509"/>
      <c r="BK722" s="509"/>
    </row>
    <row r="723" spans="1:63" ht="15.75" thickBot="1">
      <c r="A723" s="516"/>
      <c r="B723" s="517"/>
      <c r="C723" s="518"/>
      <c r="D723" s="519"/>
      <c r="E723" s="520"/>
      <c r="F723" s="521">
        <f>SUM(F715:F722)</f>
        <v>0.6140000000000001</v>
      </c>
      <c r="G723" s="521">
        <f>F723/10</f>
        <v>6.140000000000001E-2</v>
      </c>
      <c r="H723" s="522">
        <f>SUM(H715:H722)</f>
        <v>13.302999999999999</v>
      </c>
      <c r="I723">
        <f>H723/10</f>
        <v>1.3302999999999998</v>
      </c>
      <c r="K723"/>
      <c r="L723"/>
      <c r="M723"/>
      <c r="O723" s="523"/>
      <c r="AA723" s="9"/>
      <c r="AH723" s="9"/>
      <c r="AP723" s="9"/>
      <c r="AW723" s="9"/>
      <c r="BD723" s="9"/>
      <c r="BK723" s="9"/>
    </row>
    <row r="724" spans="1:63">
      <c r="K724"/>
      <c r="L724" s="191"/>
    </row>
    <row r="725" spans="1:63">
      <c r="K725"/>
      <c r="L725" s="191"/>
    </row>
    <row r="726" spans="1:63">
      <c r="K726"/>
      <c r="L726" s="191"/>
    </row>
  </sheetData>
  <protectedRanges>
    <protectedRange algorithmName="SHA-512" hashValue="uefw5GMA2lnYcchkMSSaWYfz52GQJvxy9NgAOvEvzVuddsXyOEgccM+WeeO52b6CoHj5Cn3enj3+q4Zb6n6Bog==" saltValue="RIRgn1G00iQ9ehd27D7Hzw==" spinCount="100000" sqref="Y175:Y176" name="Range1_1_2"/>
    <protectedRange algorithmName="SHA-512" hashValue="uefw5GMA2lnYcchkMSSaWYfz52GQJvxy9NgAOvEvzVuddsXyOEgccM+WeeO52b6CoHj5Cn3enj3+q4Zb6n6Bog==" saltValue="RIRgn1G00iQ9ehd27D7Hzw==" spinCount="100000" sqref="Y212:Y213" name="Range1_3_1"/>
    <protectedRange algorithmName="SHA-512" hashValue="uefw5GMA2lnYcchkMSSaWYfz52GQJvxy9NgAOvEvzVuddsXyOEgccM+WeeO52b6CoHj5Cn3enj3+q4Zb6n6Bog==" saltValue="RIRgn1G00iQ9ehd27D7Hzw==" spinCount="100000" sqref="Z1" name="Range1_1"/>
    <protectedRange algorithmName="SHA-512" hashValue="uefw5GMA2lnYcchkMSSaWYfz52GQJvxy9NgAOvEvzVuddsXyOEgccM+WeeO52b6CoHj5Cn3enj3+q4Zb6n6Bog==" saltValue="RIRgn1G00iQ9ehd27D7Hzw==" spinCount="100000" sqref="AA1:AB1" name="Range1_1_1"/>
    <protectedRange algorithmName="SHA-512" hashValue="uefw5GMA2lnYcchkMSSaWYfz52GQJvxy9NgAOvEvzVuddsXyOEgccM+WeeO52b6CoHj5Cn3enj3+q4Zb6n6Bog==" saltValue="RIRgn1G00iQ9ehd27D7Hzw==" spinCount="100000" sqref="AC1:AD1" name="Range1_1_3"/>
  </protectedRanges>
  <mergeCells count="4">
    <mergeCell ref="B253:Q253"/>
    <mergeCell ref="B254:L254"/>
    <mergeCell ref="O254:R254"/>
    <mergeCell ref="B217:F217"/>
  </mergeCells>
  <phoneticPr fontId="84" type="noConversion"/>
  <conditionalFormatting sqref="B430:K430">
    <cfRule type="expression" dxfId="2" priority="2">
      <formula>"column A &lt;&gt; 0"</formula>
    </cfRule>
  </conditionalFormatting>
  <conditionalFormatting sqref="N430:Q430">
    <cfRule type="expression" dxfId="1" priority="3">
      <formula>"column A &lt;&gt; 0"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6794-6F9C-48BC-9CED-6E29CFC27605}">
  <sheetPr>
    <tabColor theme="2"/>
  </sheetPr>
  <dimension ref="A1:DH1805"/>
  <sheetViews>
    <sheetView zoomScale="69" zoomScaleNormal="69" workbookViewId="0">
      <selection activeCell="B19" sqref="B19"/>
    </sheetView>
  </sheetViews>
  <sheetFormatPr defaultColWidth="8.7109375" defaultRowHeight="14.25"/>
  <cols>
    <col min="1" max="1" width="46.5703125" style="45" customWidth="1"/>
    <col min="2" max="2" width="70.28515625" style="45" customWidth="1"/>
    <col min="3" max="7" width="8.7109375" style="45"/>
    <col min="8" max="8" width="59.5703125" style="45" customWidth="1"/>
    <col min="9" max="10" width="8.7109375" style="45"/>
    <col min="11" max="11" width="10.42578125" style="45" customWidth="1"/>
    <col min="12" max="13" width="15.42578125" style="45" customWidth="1"/>
    <col min="14" max="14" width="15.42578125" style="49" customWidth="1"/>
    <col min="15" max="15" width="15.42578125" style="45" customWidth="1"/>
    <col min="16" max="17" width="15.42578125" style="49" customWidth="1"/>
    <col min="18" max="19" width="15.42578125" style="45" customWidth="1"/>
    <col min="20" max="20" width="22.5703125" style="45" customWidth="1"/>
    <col min="21" max="21" width="66.140625" style="45" customWidth="1"/>
    <col min="22" max="22" width="20.140625" style="253" customWidth="1"/>
    <col min="23" max="24" width="20.140625" style="45" customWidth="1"/>
    <col min="25" max="25" width="15.7109375" style="45" customWidth="1"/>
    <col min="26" max="26" width="35.7109375" style="253" customWidth="1"/>
    <col min="27" max="27" width="58.7109375" style="253" customWidth="1"/>
    <col min="28" max="29" width="15.7109375" style="253" customWidth="1"/>
    <col min="30" max="30" width="8.7109375" style="253"/>
    <col min="31" max="37" width="8.7109375" style="45"/>
    <col min="38" max="38" width="9.140625" style="45" customWidth="1"/>
    <col min="39" max="39" width="20.140625" style="45" customWidth="1"/>
    <col min="40" max="40" width="81.85546875" style="45" customWidth="1"/>
    <col min="41" max="47" width="13.7109375" style="49" customWidth="1"/>
    <col min="48" max="48" width="16.5703125" style="49" customWidth="1"/>
    <col min="49" max="51" width="8.7109375" style="45"/>
    <col min="52" max="52" width="27.140625" style="239" customWidth="1"/>
    <col min="53" max="53" width="43.42578125" style="45" customWidth="1"/>
    <col min="54" max="54" width="31.140625" style="45" customWidth="1"/>
    <col min="55" max="55" width="13.7109375" style="45" customWidth="1"/>
    <col min="56" max="58" width="8.7109375" style="45"/>
    <col min="59" max="59" width="55" style="45" customWidth="1"/>
    <col min="60" max="60" width="10.42578125" style="45" customWidth="1"/>
    <col min="61" max="63" width="8.7109375" style="45"/>
    <col min="64" max="64" width="61.28515625" style="45" customWidth="1"/>
    <col min="65" max="65" width="10.42578125" style="45" customWidth="1"/>
    <col min="66" max="68" width="8.7109375" style="45"/>
    <col min="69" max="69" width="33.5703125" style="45" customWidth="1"/>
    <col min="70" max="70" width="10.42578125" style="45" customWidth="1"/>
    <col min="71" max="73" width="8.7109375" style="45"/>
    <col min="74" max="74" width="60.5703125" style="45" customWidth="1"/>
    <col min="75" max="75" width="10.42578125" style="45" customWidth="1"/>
    <col min="76" max="80" width="8.7109375" style="45"/>
    <col min="81" max="81" width="55.7109375" style="45" customWidth="1"/>
    <col min="82" max="82" width="10.42578125" style="45" customWidth="1"/>
    <col min="83" max="85" width="8.7109375" style="45"/>
    <col min="86" max="86" width="59.85546875" style="45" customWidth="1"/>
    <col min="87" max="89" width="8.7109375" style="45"/>
    <col min="90" max="90" width="10.140625" style="45" customWidth="1"/>
    <col min="91" max="91" width="59.7109375" style="45" customWidth="1"/>
    <col min="92" max="92" width="11.42578125" style="45" customWidth="1"/>
    <col min="93" max="106" width="8.7109375" style="45"/>
    <col min="107" max="107" width="12.28515625" style="176" customWidth="1"/>
    <col min="108" max="108" width="20.28515625" style="176" customWidth="1"/>
    <col min="109" max="109" width="83" style="176" customWidth="1"/>
    <col min="110" max="110" width="6.5703125" style="176" customWidth="1"/>
    <col min="111" max="111" width="5.85546875" style="176" customWidth="1"/>
    <col min="112" max="112" width="8.7109375" style="176"/>
    <col min="113" max="16384" width="8.7109375" style="45"/>
  </cols>
  <sheetData>
    <row r="1" spans="1:111" ht="15">
      <c r="A1" s="236" t="s">
        <v>301</v>
      </c>
      <c r="B1" s="236" t="s">
        <v>302</v>
      </c>
      <c r="C1" s="236" t="s">
        <v>12</v>
      </c>
      <c r="D1" s="236" t="s">
        <v>303</v>
      </c>
      <c r="H1" s="216" t="s">
        <v>316</v>
      </c>
      <c r="L1" s="216"/>
      <c r="M1" s="216"/>
      <c r="N1" s="237"/>
      <c r="O1" s="216"/>
      <c r="T1" s="216"/>
      <c r="V1" s="238"/>
      <c r="W1" s="239"/>
      <c r="X1" s="239"/>
      <c r="Y1" s="240"/>
      <c r="Z1" s="241"/>
      <c r="AA1" s="241"/>
      <c r="AB1" s="241"/>
      <c r="AC1" s="241"/>
      <c r="AD1" s="241"/>
      <c r="AW1" s="237"/>
      <c r="AZ1" s="45"/>
      <c r="BS1" s="239"/>
      <c r="BX1" s="239"/>
      <c r="CE1" s="239"/>
      <c r="DC1" s="242"/>
      <c r="DD1" s="242"/>
      <c r="DE1" s="242"/>
      <c r="DF1" s="242"/>
      <c r="DG1" s="242"/>
    </row>
    <row r="2" spans="1:111" ht="15">
      <c r="A2" s="330" t="s">
        <v>337</v>
      </c>
      <c r="B2" s="330" t="s">
        <v>338</v>
      </c>
      <c r="C2" s="330">
        <v>59.53</v>
      </c>
      <c r="D2" s="330" t="s">
        <v>305</v>
      </c>
      <c r="H2" s="296" t="str" cm="1">
        <f t="array" ref="H2:I70">_xlfn.GROUPBY(B1:B70,C1:C70,_xleta.SUM)</f>
        <v>AIR CURTAIN; X0702_ MARS STD242</v>
      </c>
      <c r="I2" s="45">
        <v>1</v>
      </c>
      <c r="K2" s="176"/>
      <c r="L2" s="243"/>
      <c r="M2" s="244"/>
      <c r="N2" s="244"/>
      <c r="O2" s="242"/>
      <c r="P2" s="50"/>
      <c r="Q2" s="50"/>
      <c r="R2" s="216"/>
      <c r="S2" s="216"/>
      <c r="T2" s="176"/>
      <c r="V2" s="238"/>
      <c r="W2" s="238"/>
      <c r="X2" s="238"/>
      <c r="Y2" s="245"/>
      <c r="Z2" s="246"/>
      <c r="AA2" s="246"/>
      <c r="AB2" s="246"/>
      <c r="AC2" s="246"/>
      <c r="AD2" s="246"/>
      <c r="AE2" s="50"/>
      <c r="AF2" s="247"/>
      <c r="AJ2" s="247"/>
      <c r="AO2" s="50"/>
      <c r="AP2" s="50"/>
      <c r="AQ2" s="50"/>
      <c r="AR2" s="50"/>
      <c r="AS2" s="50"/>
      <c r="AT2" s="50"/>
      <c r="AU2" s="50"/>
      <c r="AV2" s="50"/>
      <c r="AW2" s="237"/>
      <c r="AZ2" s="45"/>
      <c r="BA2" s="248"/>
      <c r="BC2" s="247"/>
      <c r="BD2" s="248"/>
      <c r="BK2" s="247"/>
      <c r="BM2" s="247"/>
      <c r="BN2" s="248"/>
      <c r="BP2" s="247"/>
      <c r="BR2" s="247"/>
      <c r="BS2" s="249"/>
      <c r="BU2" s="247"/>
      <c r="BW2" s="247"/>
      <c r="BX2" s="249"/>
      <c r="CB2" s="247"/>
      <c r="CD2" s="247"/>
      <c r="CE2" s="249"/>
    </row>
    <row r="3" spans="1:111" ht="15">
      <c r="A3" s="330" t="s">
        <v>337</v>
      </c>
      <c r="B3" s="330" t="s">
        <v>339</v>
      </c>
      <c r="C3" s="330">
        <v>3</v>
      </c>
      <c r="D3" s="330" t="s">
        <v>304</v>
      </c>
      <c r="H3" s="253" t="str">
        <v>BAROMETRIC RELIEF</v>
      </c>
      <c r="I3" s="45">
        <v>3</v>
      </c>
      <c r="K3" s="176"/>
      <c r="L3" s="243"/>
      <c r="M3" s="244"/>
      <c r="N3" s="244"/>
      <c r="O3" s="242"/>
      <c r="P3" s="50"/>
      <c r="Q3" s="50"/>
      <c r="R3" s="216"/>
      <c r="S3" s="216"/>
      <c r="T3" s="176"/>
      <c r="V3" s="238"/>
      <c r="W3" s="239"/>
      <c r="X3" s="239"/>
      <c r="Y3" s="245"/>
      <c r="Z3" s="246"/>
      <c r="AA3" s="246"/>
      <c r="AB3" s="246"/>
      <c r="AC3" s="246"/>
      <c r="AD3" s="246"/>
      <c r="AE3" s="50"/>
      <c r="AF3" s="247"/>
      <c r="AO3" s="50"/>
      <c r="AP3" s="50"/>
      <c r="AQ3" s="50"/>
      <c r="AR3" s="50"/>
      <c r="AS3" s="50"/>
      <c r="AT3" s="50"/>
      <c r="AU3" s="50"/>
      <c r="AV3" s="50"/>
      <c r="AW3" s="237"/>
      <c r="AZ3" s="45"/>
      <c r="BA3" s="248"/>
      <c r="BC3" s="247"/>
      <c r="BD3" s="248"/>
      <c r="BF3" s="247"/>
      <c r="BH3" s="247"/>
      <c r="BI3" s="248"/>
      <c r="BK3" s="247"/>
      <c r="BM3" s="247"/>
      <c r="BN3" s="248"/>
      <c r="BP3" s="247"/>
      <c r="BR3" s="247"/>
      <c r="BS3" s="249"/>
      <c r="BU3" s="247"/>
      <c r="BW3" s="247"/>
      <c r="BX3" s="249"/>
      <c r="CB3" s="247"/>
      <c r="CD3" s="247"/>
      <c r="CE3" s="249"/>
    </row>
    <row r="4" spans="1:111" ht="15">
      <c r="A4" s="330" t="s">
        <v>337</v>
      </c>
      <c r="B4" s="330" t="s">
        <v>340</v>
      </c>
      <c r="C4" s="330">
        <v>3</v>
      </c>
      <c r="D4" s="330" t="s">
        <v>304</v>
      </c>
      <c r="H4" s="253" t="str">
        <v>CARBON MONOXIDE DETECTOR</v>
      </c>
      <c r="I4" s="45">
        <v>1</v>
      </c>
      <c r="K4" s="176"/>
      <c r="L4" s="243"/>
      <c r="M4" s="244"/>
      <c r="N4" s="244"/>
      <c r="O4" s="242"/>
      <c r="P4" s="50"/>
      <c r="Q4" s="50"/>
      <c r="R4" s="216"/>
      <c r="S4" s="216"/>
      <c r="T4" s="176"/>
      <c r="V4" s="238"/>
      <c r="W4" s="239"/>
      <c r="X4" s="239"/>
      <c r="Y4" s="245"/>
      <c r="Z4" s="246"/>
      <c r="AA4" s="246"/>
      <c r="AB4" s="246"/>
      <c r="AC4" s="246"/>
      <c r="AD4" s="246"/>
      <c r="AE4" s="50"/>
      <c r="AF4" s="247"/>
      <c r="AO4" s="50"/>
      <c r="AP4" s="50"/>
      <c r="AQ4" s="50"/>
      <c r="AR4" s="50"/>
      <c r="AS4" s="50"/>
      <c r="AT4" s="50"/>
      <c r="AU4" s="50"/>
      <c r="AV4" s="50"/>
      <c r="AW4" s="237"/>
      <c r="AZ4" s="45"/>
      <c r="BA4" s="248"/>
      <c r="BC4" s="247"/>
      <c r="BD4" s="248"/>
      <c r="BF4" s="247"/>
      <c r="BH4" s="247"/>
      <c r="BI4" s="248"/>
      <c r="BK4" s="247"/>
      <c r="BM4" s="247"/>
      <c r="BN4" s="248"/>
      <c r="BP4" s="247"/>
      <c r="BR4" s="247"/>
      <c r="BS4" s="249"/>
      <c r="BU4" s="247"/>
      <c r="BW4" s="247"/>
      <c r="BX4" s="249"/>
      <c r="CB4" s="247"/>
      <c r="CD4" s="247"/>
      <c r="CE4" s="249"/>
    </row>
    <row r="5" spans="1:111" ht="15">
      <c r="A5" s="330" t="s">
        <v>337</v>
      </c>
      <c r="B5" s="330" t="s">
        <v>341</v>
      </c>
      <c r="C5" s="330">
        <v>2</v>
      </c>
      <c r="D5" s="330" t="s">
        <v>304</v>
      </c>
      <c r="H5" s="45" t="str">
        <v>CO2 SENSOR</v>
      </c>
      <c r="I5" s="45">
        <v>2</v>
      </c>
      <c r="K5" s="176"/>
      <c r="L5" s="243"/>
      <c r="M5" s="244"/>
      <c r="N5" s="244"/>
      <c r="O5" s="242"/>
      <c r="P5" s="50"/>
      <c r="Q5" s="50"/>
      <c r="R5" s="216"/>
      <c r="S5" s="216"/>
      <c r="T5" s="176"/>
      <c r="V5" s="238"/>
      <c r="W5" s="239"/>
      <c r="X5" s="239"/>
      <c r="Y5" s="245"/>
      <c r="Z5" s="246"/>
      <c r="AA5" s="246"/>
      <c r="AB5" s="246"/>
      <c r="AC5" s="246"/>
      <c r="AD5" s="246"/>
      <c r="AE5" s="250"/>
      <c r="AF5" s="250"/>
      <c r="AH5" s="247"/>
      <c r="AO5" s="50"/>
      <c r="AP5" s="50"/>
      <c r="AQ5" s="50"/>
      <c r="AR5" s="50"/>
      <c r="AS5" s="50"/>
      <c r="AT5" s="50"/>
      <c r="AU5" s="50"/>
      <c r="AV5" s="50"/>
      <c r="AW5" s="237"/>
      <c r="AZ5" s="45"/>
      <c r="BA5" s="248"/>
      <c r="BC5" s="247"/>
      <c r="BD5" s="248"/>
      <c r="BF5" s="247"/>
      <c r="BH5" s="247"/>
      <c r="BI5" s="248"/>
      <c r="BK5" s="247"/>
      <c r="BM5" s="247"/>
      <c r="BN5" s="248"/>
      <c r="BP5" s="247"/>
      <c r="BR5" s="247"/>
      <c r="BS5" s="249"/>
      <c r="BU5" s="247"/>
      <c r="BW5" s="247"/>
      <c r="BX5" s="249"/>
      <c r="CB5" s="247"/>
      <c r="CD5" s="247"/>
      <c r="CE5" s="249"/>
    </row>
    <row r="6" spans="1:111" ht="15">
      <c r="A6" s="330" t="s">
        <v>342</v>
      </c>
      <c r="B6" s="330" t="s">
        <v>343</v>
      </c>
      <c r="C6" s="330">
        <v>30.76</v>
      </c>
      <c r="D6" s="330" t="s">
        <v>305</v>
      </c>
      <c r="H6" s="296" t="str">
        <v>DAMPER_MANUAL VOLUME(SA); 10" DIA</v>
      </c>
      <c r="I6" s="45">
        <v>10</v>
      </c>
      <c r="K6" s="176"/>
      <c r="L6" s="243"/>
      <c r="M6" s="244"/>
      <c r="N6" s="244"/>
      <c r="O6" s="242"/>
      <c r="P6" s="50"/>
      <c r="Q6" s="50"/>
      <c r="R6" s="216"/>
      <c r="S6" s="216"/>
      <c r="T6" s="176"/>
      <c r="V6" s="238"/>
      <c r="W6" s="239"/>
      <c r="X6" s="239"/>
      <c r="Y6" s="245"/>
      <c r="Z6" s="246"/>
      <c r="AA6" s="246"/>
      <c r="AB6" s="246"/>
      <c r="AC6" s="246"/>
      <c r="AD6" s="246"/>
      <c r="AF6" s="50"/>
      <c r="AO6" s="50"/>
      <c r="AP6" s="50"/>
      <c r="AQ6" s="50"/>
      <c r="AR6" s="50"/>
      <c r="AS6" s="50"/>
      <c r="AT6" s="50"/>
      <c r="AU6" s="50"/>
      <c r="AV6" s="50"/>
      <c r="AW6" s="237"/>
      <c r="AZ6" s="45"/>
      <c r="BA6" s="248"/>
      <c r="BC6" s="247"/>
      <c r="BD6" s="248"/>
      <c r="BF6" s="247"/>
      <c r="BH6" s="247"/>
      <c r="BI6" s="248"/>
      <c r="BK6" s="247"/>
      <c r="BM6" s="247"/>
      <c r="BN6" s="248"/>
      <c r="BP6" s="247"/>
      <c r="BR6" s="247"/>
      <c r="BS6" s="249"/>
      <c r="BU6" s="247"/>
      <c r="BW6" s="247"/>
      <c r="BX6" s="249"/>
      <c r="CB6" s="247"/>
      <c r="CD6" s="247"/>
      <c r="CE6" s="249"/>
    </row>
    <row r="7" spans="1:111" ht="15">
      <c r="A7" s="330" t="s">
        <v>342</v>
      </c>
      <c r="B7" s="330" t="s">
        <v>344</v>
      </c>
      <c r="C7" s="330">
        <v>9.06</v>
      </c>
      <c r="D7" s="330" t="s">
        <v>305</v>
      </c>
      <c r="H7" s="296" t="str">
        <v>DAMPER_MANUAL VOLUME(SA); 12" DIA</v>
      </c>
      <c r="I7" s="45">
        <v>5</v>
      </c>
      <c r="K7" s="176"/>
      <c r="L7" s="243"/>
      <c r="M7" s="244"/>
      <c r="N7" s="244"/>
      <c r="O7" s="242"/>
      <c r="P7" s="50"/>
      <c r="Q7" s="50"/>
      <c r="R7" s="216"/>
      <c r="S7" s="216"/>
      <c r="T7" s="176"/>
      <c r="V7" s="238"/>
      <c r="W7" s="239"/>
      <c r="X7" s="239"/>
      <c r="Y7" s="245"/>
      <c r="Z7" s="246"/>
      <c r="AA7" s="246"/>
      <c r="AB7" s="246"/>
      <c r="AC7" s="246"/>
      <c r="AD7" s="246"/>
      <c r="AO7" s="50"/>
      <c r="AP7" s="50"/>
      <c r="AQ7" s="50"/>
      <c r="AR7" s="50"/>
      <c r="AS7" s="50"/>
      <c r="AT7" s="50"/>
      <c r="AU7" s="50"/>
      <c r="AV7" s="50"/>
      <c r="AW7" s="237"/>
      <c r="AZ7" s="45"/>
      <c r="BA7" s="248"/>
      <c r="BC7" s="247"/>
      <c r="BD7" s="248"/>
      <c r="BF7" s="247"/>
      <c r="BH7" s="247"/>
      <c r="BI7" s="248"/>
      <c r="BK7" s="247"/>
      <c r="BM7" s="247"/>
      <c r="BN7" s="248"/>
      <c r="BP7" s="247"/>
      <c r="BR7" s="247"/>
      <c r="BS7" s="249"/>
      <c r="BU7" s="247"/>
      <c r="BW7" s="247"/>
      <c r="BX7" s="249"/>
      <c r="CB7" s="247"/>
      <c r="CD7" s="247"/>
      <c r="CE7" s="249"/>
    </row>
    <row r="8" spans="1:111" ht="15">
      <c r="A8" s="330" t="s">
        <v>342</v>
      </c>
      <c r="B8" s="330" t="s">
        <v>345</v>
      </c>
      <c r="C8" s="330">
        <v>15.17</v>
      </c>
      <c r="D8" s="330" t="s">
        <v>305</v>
      </c>
      <c r="H8" s="296" t="str">
        <v>DAMPER_MANUAL VOLUME(SA); 6" DIA</v>
      </c>
      <c r="I8" s="45">
        <v>3</v>
      </c>
      <c r="K8" s="176"/>
      <c r="L8" s="243"/>
      <c r="M8" s="244"/>
      <c r="N8" s="244"/>
      <c r="O8" s="242"/>
      <c r="P8" s="50"/>
      <c r="Q8" s="50"/>
      <c r="R8" s="216"/>
      <c r="S8" s="216"/>
      <c r="T8" s="176"/>
      <c r="V8" s="238"/>
      <c r="W8" s="239"/>
      <c r="X8" s="239"/>
      <c r="Y8" s="245"/>
      <c r="Z8" s="246"/>
      <c r="AA8" s="246"/>
      <c r="AB8" s="246"/>
      <c r="AC8" s="246"/>
      <c r="AD8" s="246"/>
      <c r="AO8" s="50"/>
      <c r="AP8" s="50"/>
      <c r="AQ8" s="50"/>
      <c r="AR8" s="50"/>
      <c r="AS8" s="50"/>
      <c r="AT8" s="50"/>
      <c r="AU8" s="50"/>
      <c r="AV8" s="50"/>
      <c r="AW8" s="237"/>
      <c r="AZ8" s="45"/>
      <c r="BA8" s="248"/>
      <c r="BC8" s="247"/>
      <c r="BD8" s="248"/>
      <c r="BF8" s="247"/>
      <c r="BH8" s="247"/>
      <c r="BI8" s="248"/>
      <c r="BK8" s="247"/>
      <c r="BM8" s="247"/>
      <c r="BN8" s="248"/>
      <c r="BP8" s="247"/>
      <c r="BR8" s="247"/>
      <c r="BS8" s="249"/>
      <c r="BU8" s="247"/>
      <c r="BW8" s="247"/>
      <c r="BX8" s="249"/>
      <c r="CB8" s="247"/>
      <c r="CD8" s="247"/>
      <c r="CE8" s="249"/>
    </row>
    <row r="9" spans="1:111" ht="15">
      <c r="A9" s="330" t="s">
        <v>342</v>
      </c>
      <c r="B9" s="330" t="s">
        <v>346</v>
      </c>
      <c r="C9" s="330">
        <v>50.11</v>
      </c>
      <c r="D9" s="330" t="s">
        <v>305</v>
      </c>
      <c r="H9" s="296" t="str">
        <v>DEFLECTION GRILLES(SA); X2010_TITUS 300RS_18X6</v>
      </c>
      <c r="I9" s="45">
        <v>5</v>
      </c>
      <c r="K9" s="176"/>
      <c r="L9" s="243"/>
      <c r="M9" s="244"/>
      <c r="N9" s="244"/>
      <c r="O9" s="242"/>
      <c r="P9" s="50"/>
      <c r="Q9" s="50"/>
      <c r="R9" s="216"/>
      <c r="S9" s="216"/>
      <c r="T9" s="176"/>
      <c r="V9" s="238"/>
      <c r="W9" s="239"/>
      <c r="X9" s="239"/>
      <c r="Y9" s="245"/>
      <c r="Z9" s="246"/>
      <c r="AA9" s="246"/>
      <c r="AB9" s="246"/>
      <c r="AC9" s="246"/>
      <c r="AD9" s="246"/>
      <c r="AO9" s="50"/>
      <c r="AP9" s="50"/>
      <c r="AQ9" s="50"/>
      <c r="AR9" s="50"/>
      <c r="AS9" s="50"/>
      <c r="AT9" s="50"/>
      <c r="AU9" s="50"/>
      <c r="AV9" s="50"/>
      <c r="AW9" s="237"/>
      <c r="AZ9" s="45"/>
      <c r="BA9" s="248"/>
      <c r="BC9" s="247"/>
      <c r="BD9" s="248"/>
      <c r="BF9" s="247"/>
      <c r="BH9" s="247"/>
      <c r="BI9" s="248"/>
      <c r="BK9" s="247"/>
      <c r="BM9" s="247"/>
      <c r="BN9" s="248"/>
      <c r="BP9" s="247"/>
      <c r="BR9" s="247"/>
      <c r="BS9" s="249"/>
      <c r="BU9" s="247"/>
      <c r="BW9" s="247"/>
      <c r="BX9" s="249"/>
      <c r="CB9" s="247"/>
      <c r="CD9" s="247"/>
      <c r="CE9" s="249"/>
    </row>
    <row r="10" spans="1:111" ht="15">
      <c r="A10" s="330" t="s">
        <v>342</v>
      </c>
      <c r="B10" s="330" t="s">
        <v>347</v>
      </c>
      <c r="C10" s="330">
        <v>95.95</v>
      </c>
      <c r="D10" s="330" t="s">
        <v>305</v>
      </c>
      <c r="H10" s="296" t="str">
        <v>DIFFUSER(SA); X2020_ TITUS TDC_24X24</v>
      </c>
      <c r="I10" s="45">
        <v>4</v>
      </c>
      <c r="K10" s="176"/>
      <c r="L10" s="243"/>
      <c r="M10" s="244"/>
      <c r="N10" s="244"/>
      <c r="O10" s="242"/>
      <c r="P10" s="50"/>
      <c r="Q10" s="50"/>
      <c r="R10" s="216"/>
      <c r="S10" s="216"/>
      <c r="T10" s="176"/>
      <c r="V10" s="238"/>
      <c r="W10" s="239"/>
      <c r="X10" s="239"/>
      <c r="Y10" s="245"/>
      <c r="Z10" s="246"/>
      <c r="AA10" s="246"/>
      <c r="AB10" s="246"/>
      <c r="AC10" s="246"/>
      <c r="AD10" s="246"/>
      <c r="AM10" s="251"/>
      <c r="AO10" s="50"/>
      <c r="AP10" s="50"/>
      <c r="AQ10" s="50"/>
      <c r="AR10" s="50"/>
      <c r="AS10" s="50"/>
      <c r="AT10" s="50"/>
      <c r="AU10" s="50"/>
      <c r="AV10" s="50"/>
      <c r="AW10" s="237"/>
      <c r="AZ10" s="45"/>
      <c r="BA10" s="248"/>
      <c r="BC10" s="247"/>
      <c r="BD10" s="248"/>
      <c r="BF10" s="247"/>
      <c r="BH10" s="247"/>
      <c r="BI10" s="248"/>
      <c r="BK10" s="247"/>
      <c r="BM10" s="247"/>
      <c r="BN10" s="248"/>
      <c r="BP10" s="247"/>
      <c r="BR10" s="247"/>
      <c r="BS10" s="249"/>
      <c r="BU10" s="247"/>
      <c r="BW10" s="247"/>
      <c r="BX10" s="249"/>
      <c r="CB10" s="247"/>
      <c r="CD10" s="247"/>
      <c r="CE10" s="249"/>
    </row>
    <row r="11" spans="1:111" ht="15">
      <c r="A11" s="330" t="s">
        <v>342</v>
      </c>
      <c r="B11" s="330" t="s">
        <v>348</v>
      </c>
      <c r="C11" s="330">
        <v>10</v>
      </c>
      <c r="D11" s="330" t="s">
        <v>304</v>
      </c>
      <c r="H11" s="296" t="str">
        <v>DIFFUSER(SA); X2030_TITUS OMN_24X24</v>
      </c>
      <c r="I11" s="45">
        <v>11</v>
      </c>
      <c r="K11" s="176"/>
      <c r="L11" s="243"/>
      <c r="M11" s="244"/>
      <c r="N11" s="244"/>
      <c r="O11" s="242"/>
      <c r="P11" s="50"/>
      <c r="Q11" s="50"/>
      <c r="R11" s="216"/>
      <c r="S11" s="216"/>
      <c r="T11" s="176"/>
      <c r="V11" s="238"/>
      <c r="W11" s="239"/>
      <c r="X11" s="239"/>
      <c r="Y11" s="245"/>
      <c r="Z11" s="246"/>
      <c r="AA11" s="246"/>
      <c r="AB11" s="246"/>
      <c r="AC11" s="246"/>
      <c r="AD11" s="246"/>
      <c r="AM11" s="251"/>
      <c r="AO11" s="50"/>
      <c r="AP11" s="50"/>
      <c r="AQ11" s="50"/>
      <c r="AR11" s="50"/>
      <c r="AS11" s="50"/>
      <c r="AT11" s="50"/>
      <c r="AU11" s="50"/>
      <c r="AV11" s="50"/>
      <c r="AW11" s="237"/>
      <c r="AZ11" s="45"/>
      <c r="BA11" s="248"/>
      <c r="BC11" s="247"/>
      <c r="BD11" s="248"/>
      <c r="BF11" s="247"/>
      <c r="BH11" s="247"/>
      <c r="BI11" s="248"/>
      <c r="BK11" s="247"/>
      <c r="BM11" s="247"/>
      <c r="BN11" s="248"/>
      <c r="BP11" s="247"/>
      <c r="BR11" s="247"/>
      <c r="BS11" s="249"/>
      <c r="BU11" s="247"/>
      <c r="BW11" s="247"/>
      <c r="BX11" s="249"/>
      <c r="CB11" s="247"/>
      <c r="CD11" s="247"/>
      <c r="CE11" s="249"/>
    </row>
    <row r="12" spans="1:111" ht="15">
      <c r="A12" s="330" t="s">
        <v>342</v>
      </c>
      <c r="B12" s="330" t="s">
        <v>349</v>
      </c>
      <c r="C12" s="330">
        <v>2</v>
      </c>
      <c r="D12" s="330" t="s">
        <v>304</v>
      </c>
      <c r="H12" s="296" t="str">
        <v>DIFFUSER(SA); X2070_ TITUS OMNI_12X12</v>
      </c>
      <c r="I12" s="45">
        <v>3</v>
      </c>
      <c r="K12" s="176"/>
      <c r="L12" s="243"/>
      <c r="M12" s="244"/>
      <c r="N12" s="244"/>
      <c r="O12" s="242"/>
      <c r="P12" s="50"/>
      <c r="Q12" s="50"/>
      <c r="R12" s="216"/>
      <c r="S12" s="216"/>
      <c r="T12" s="176"/>
      <c r="V12" s="238"/>
      <c r="W12" s="239"/>
      <c r="X12" s="239"/>
      <c r="Y12" s="245"/>
      <c r="Z12" s="246"/>
      <c r="AA12" s="246"/>
      <c r="AB12" s="246"/>
      <c r="AC12" s="246"/>
      <c r="AD12" s="246"/>
      <c r="AM12" s="251"/>
      <c r="AO12" s="50"/>
      <c r="AP12" s="50"/>
      <c r="AQ12" s="50"/>
      <c r="AR12" s="50"/>
      <c r="AS12" s="50"/>
      <c r="AT12" s="50"/>
      <c r="AU12" s="50"/>
      <c r="AV12" s="50"/>
      <c r="AW12" s="237"/>
      <c r="AZ12" s="45"/>
      <c r="BA12" s="248"/>
      <c r="BC12" s="247"/>
      <c r="BD12" s="248"/>
      <c r="BF12" s="247"/>
      <c r="BH12" s="247"/>
      <c r="BI12" s="248"/>
      <c r="BK12" s="247"/>
      <c r="BM12" s="247"/>
      <c r="BN12" s="248"/>
      <c r="BP12" s="247"/>
      <c r="BR12" s="247"/>
      <c r="BS12" s="249"/>
      <c r="BU12" s="247"/>
      <c r="BW12" s="247"/>
      <c r="BX12" s="249"/>
      <c r="CB12" s="247"/>
      <c r="CD12" s="247"/>
      <c r="CE12" s="249"/>
    </row>
    <row r="13" spans="1:111" ht="15">
      <c r="A13" s="330" t="s">
        <v>342</v>
      </c>
      <c r="B13" s="330" t="s">
        <v>350</v>
      </c>
      <c r="C13" s="330">
        <v>18</v>
      </c>
      <c r="D13" s="330" t="s">
        <v>304</v>
      </c>
      <c r="H13" s="296" t="str">
        <v>DUCTBOOTS 90DEG(SA); 10" DIA TO 24X24</v>
      </c>
      <c r="I13" s="45">
        <v>10</v>
      </c>
      <c r="K13" s="176"/>
      <c r="L13" s="243"/>
      <c r="M13" s="244"/>
      <c r="N13" s="244"/>
      <c r="O13" s="242"/>
      <c r="P13" s="50"/>
      <c r="Q13" s="50"/>
      <c r="R13" s="216"/>
      <c r="S13" s="216"/>
      <c r="T13" s="176"/>
      <c r="V13" s="238"/>
      <c r="W13" s="239"/>
      <c r="X13" s="239"/>
      <c r="Y13" s="245"/>
      <c r="Z13" s="246"/>
      <c r="AA13" s="246"/>
      <c r="AB13" s="246"/>
      <c r="AC13" s="246"/>
      <c r="AD13" s="246"/>
      <c r="AM13" s="251"/>
      <c r="AO13" s="50"/>
      <c r="AP13" s="50"/>
      <c r="AQ13" s="50"/>
      <c r="AR13" s="50"/>
      <c r="AS13" s="50"/>
      <c r="AT13" s="50"/>
      <c r="AU13" s="50"/>
      <c r="AV13" s="50"/>
      <c r="AW13" s="237"/>
      <c r="AZ13" s="45"/>
      <c r="BA13" s="248"/>
      <c r="BC13" s="247"/>
      <c r="BD13" s="248"/>
      <c r="BF13" s="247"/>
      <c r="BH13" s="247"/>
      <c r="BI13" s="248"/>
      <c r="BK13" s="247"/>
      <c r="BM13" s="247"/>
      <c r="BN13" s="248"/>
      <c r="BP13" s="247"/>
      <c r="BR13" s="247"/>
      <c r="BS13" s="249"/>
      <c r="BU13" s="247"/>
      <c r="BW13" s="247"/>
      <c r="BX13" s="249"/>
      <c r="CB13" s="247"/>
      <c r="CD13" s="247"/>
      <c r="CE13" s="249"/>
    </row>
    <row r="14" spans="1:111" ht="15">
      <c r="A14" s="330" t="s">
        <v>342</v>
      </c>
      <c r="B14" s="330" t="s">
        <v>351</v>
      </c>
      <c r="C14" s="330">
        <v>11</v>
      </c>
      <c r="D14" s="330" t="s">
        <v>304</v>
      </c>
      <c r="H14" s="296" t="str">
        <v>DUCTBOOTS 90DEG(SA); 12" DIA to 24X24</v>
      </c>
      <c r="I14" s="45">
        <v>5</v>
      </c>
      <c r="K14" s="176"/>
      <c r="L14" s="243"/>
      <c r="M14" s="244"/>
      <c r="N14" s="244"/>
      <c r="O14" s="242"/>
      <c r="P14" s="50"/>
      <c r="Q14" s="50"/>
      <c r="R14" s="216"/>
      <c r="S14" s="216"/>
      <c r="T14" s="176"/>
      <c r="V14" s="238"/>
      <c r="W14" s="239"/>
      <c r="X14" s="239"/>
      <c r="Y14" s="245"/>
      <c r="Z14" s="246"/>
      <c r="AA14" s="246"/>
      <c r="AB14" s="246"/>
      <c r="AC14" s="246"/>
      <c r="AD14" s="246"/>
      <c r="AM14" s="251"/>
      <c r="AO14" s="50"/>
      <c r="AP14" s="50"/>
      <c r="AQ14" s="50"/>
      <c r="AR14" s="50"/>
      <c r="AS14" s="50"/>
      <c r="AT14" s="50"/>
      <c r="AU14" s="50"/>
      <c r="AV14" s="50"/>
      <c r="AW14" s="237"/>
      <c r="AZ14" s="45"/>
      <c r="BA14" s="248"/>
      <c r="BC14" s="247"/>
      <c r="BD14" s="248"/>
      <c r="BF14" s="247"/>
      <c r="BH14" s="247"/>
      <c r="BI14" s="248"/>
      <c r="BK14" s="247"/>
      <c r="BM14" s="247"/>
      <c r="BN14" s="248"/>
      <c r="BP14" s="247"/>
      <c r="BR14" s="247"/>
      <c r="BS14" s="249"/>
      <c r="BU14" s="247"/>
      <c r="BW14" s="247"/>
      <c r="BX14" s="249"/>
      <c r="CB14" s="247"/>
      <c r="CD14" s="247"/>
      <c r="CE14" s="249"/>
    </row>
    <row r="15" spans="1:111" ht="15">
      <c r="A15" s="330" t="s">
        <v>342</v>
      </c>
      <c r="B15" s="370" t="s">
        <v>352</v>
      </c>
      <c r="C15" s="330">
        <v>10</v>
      </c>
      <c r="D15" s="330" t="s">
        <v>304</v>
      </c>
      <c r="H15" s="296" t="str">
        <v>DUCTBOOTS 90DEG(SA); 6" DIA TO 12X12</v>
      </c>
      <c r="I15" s="45">
        <v>3</v>
      </c>
      <c r="K15" s="176"/>
      <c r="L15" s="243"/>
      <c r="M15" s="244"/>
      <c r="N15" s="244"/>
      <c r="O15" s="242"/>
      <c r="P15" s="50"/>
      <c r="Q15" s="50"/>
      <c r="R15" s="216"/>
      <c r="S15" s="216"/>
      <c r="T15" s="176"/>
      <c r="V15" s="238"/>
      <c r="W15" s="239"/>
      <c r="X15" s="239"/>
      <c r="Y15" s="245"/>
      <c r="Z15" s="246"/>
      <c r="AA15" s="246"/>
      <c r="AB15" s="246"/>
      <c r="AC15" s="246"/>
      <c r="AD15" s="246"/>
      <c r="AM15" s="251"/>
      <c r="AO15" s="50"/>
      <c r="AP15" s="50"/>
      <c r="AQ15" s="50"/>
      <c r="AR15" s="50"/>
      <c r="AS15" s="50"/>
      <c r="AT15" s="50"/>
      <c r="AU15" s="50"/>
      <c r="AV15" s="50"/>
      <c r="AW15" s="237"/>
      <c r="AZ15" s="45"/>
      <c r="BA15" s="248"/>
      <c r="BC15" s="247"/>
      <c r="BD15" s="248"/>
      <c r="BF15" s="247"/>
      <c r="BH15" s="247"/>
      <c r="BI15" s="248"/>
      <c r="BK15" s="247"/>
      <c r="BM15" s="247"/>
      <c r="BN15" s="248"/>
      <c r="BP15" s="247"/>
      <c r="BR15" s="247"/>
      <c r="BS15" s="249"/>
      <c r="BU15" s="247"/>
      <c r="BW15" s="247"/>
      <c r="BX15" s="249"/>
      <c r="CB15" s="247"/>
      <c r="CD15" s="247"/>
      <c r="CE15" s="249"/>
    </row>
    <row r="16" spans="1:111" ht="15">
      <c r="A16" s="330" t="s">
        <v>342</v>
      </c>
      <c r="B16" s="330" t="s">
        <v>353</v>
      </c>
      <c r="C16" s="330">
        <v>48.29</v>
      </c>
      <c r="D16" s="330" t="s">
        <v>305</v>
      </c>
      <c r="H16" s="328" t="str">
        <v>EXHAUST FAN; X0632_GREENHECK G-090-VG_300 CFM</v>
      </c>
      <c r="I16" s="45">
        <v>1</v>
      </c>
      <c r="K16" s="176"/>
      <c r="L16" s="243"/>
      <c r="M16" s="244"/>
      <c r="N16" s="244"/>
      <c r="O16" s="242"/>
      <c r="P16" s="50"/>
      <c r="Q16" s="50"/>
      <c r="R16" s="216"/>
      <c r="S16" s="216"/>
      <c r="T16" s="176"/>
      <c r="V16" s="238"/>
      <c r="W16" s="239"/>
      <c r="X16" s="239"/>
      <c r="Y16" s="245"/>
      <c r="Z16" s="246"/>
      <c r="AA16" s="246"/>
      <c r="AB16" s="246"/>
      <c r="AC16" s="246"/>
      <c r="AD16" s="246"/>
      <c r="AM16" s="251"/>
      <c r="AO16" s="50"/>
      <c r="AP16" s="50"/>
      <c r="AQ16" s="50"/>
      <c r="AR16" s="50"/>
      <c r="AS16" s="50"/>
      <c r="AT16" s="50"/>
      <c r="AU16" s="50"/>
      <c r="AV16" s="50"/>
      <c r="AW16" s="237"/>
      <c r="AZ16" s="45"/>
      <c r="BA16" s="248"/>
      <c r="BC16" s="247"/>
      <c r="BD16" s="248"/>
      <c r="BF16" s="247"/>
      <c r="BH16" s="247"/>
      <c r="BI16" s="248"/>
      <c r="BK16" s="247"/>
      <c r="BM16" s="247"/>
      <c r="BN16" s="248"/>
      <c r="BP16" s="247"/>
      <c r="BR16" s="247"/>
      <c r="BS16" s="249"/>
      <c r="BU16" s="247"/>
      <c r="BW16" s="247"/>
      <c r="BX16" s="249"/>
      <c r="CB16" s="247"/>
      <c r="CD16" s="247"/>
      <c r="CE16" s="249"/>
    </row>
    <row r="17" spans="1:83" ht="15">
      <c r="A17" s="330" t="s">
        <v>342</v>
      </c>
      <c r="B17" s="330" t="s">
        <v>354</v>
      </c>
      <c r="C17" s="330">
        <v>9.44</v>
      </c>
      <c r="D17" s="330" t="s">
        <v>305</v>
      </c>
      <c r="H17" s="328" t="str">
        <v xml:space="preserve">EXHAUST FAN; X0633_ GREENHECK G-080-VG_150 CFM </v>
      </c>
      <c r="I17" s="45">
        <v>1</v>
      </c>
      <c r="K17" s="237"/>
      <c r="L17" s="243"/>
      <c r="M17" s="244"/>
      <c r="N17" s="244"/>
      <c r="O17" s="242"/>
      <c r="P17" s="50"/>
      <c r="Q17" s="50"/>
      <c r="R17" s="216"/>
      <c r="S17" s="216"/>
      <c r="T17" s="237"/>
      <c r="V17" s="238"/>
      <c r="W17" s="239"/>
      <c r="X17" s="239"/>
      <c r="Y17" s="245"/>
      <c r="Z17" s="246"/>
      <c r="AA17" s="246"/>
      <c r="AB17" s="246"/>
      <c r="AC17" s="246"/>
      <c r="AD17" s="246"/>
      <c r="AM17" s="251"/>
      <c r="AO17" s="50"/>
      <c r="AP17" s="50"/>
      <c r="AQ17" s="50"/>
      <c r="AR17" s="50"/>
      <c r="AS17" s="50"/>
      <c r="AT17" s="50"/>
      <c r="AU17" s="50"/>
      <c r="AV17" s="50"/>
      <c r="AW17" s="237"/>
      <c r="AZ17" s="45"/>
      <c r="BA17" s="248"/>
      <c r="BC17" s="247"/>
      <c r="BD17" s="248"/>
      <c r="BF17" s="247"/>
      <c r="BH17" s="247"/>
      <c r="BI17" s="248"/>
      <c r="BK17" s="247"/>
      <c r="BM17" s="247"/>
      <c r="BN17" s="248"/>
      <c r="BP17" s="247"/>
      <c r="BR17" s="247"/>
      <c r="BS17" s="249"/>
      <c r="BU17" s="247"/>
      <c r="BW17" s="247"/>
      <c r="BX17" s="249"/>
      <c r="CB17" s="247"/>
      <c r="CD17" s="247"/>
      <c r="CE17" s="249"/>
    </row>
    <row r="18" spans="1:83" ht="15">
      <c r="A18" s="330" t="s">
        <v>342</v>
      </c>
      <c r="B18" s="330" t="s">
        <v>355</v>
      </c>
      <c r="C18" s="330">
        <v>1</v>
      </c>
      <c r="D18" s="330" t="s">
        <v>304</v>
      </c>
      <c r="H18" s="328" t="str">
        <v>EXHAUST ROOF CURB</v>
      </c>
      <c r="I18" s="45">
        <v>2</v>
      </c>
      <c r="L18" s="252"/>
      <c r="M18" s="244"/>
      <c r="N18" s="244"/>
      <c r="O18" s="176"/>
      <c r="P18" s="50"/>
      <c r="Q18" s="50"/>
      <c r="R18" s="216"/>
      <c r="S18" s="216"/>
      <c r="V18" s="238"/>
      <c r="W18" s="239"/>
      <c r="X18" s="239"/>
      <c r="Y18" s="245"/>
      <c r="Z18" s="246"/>
      <c r="AA18" s="246"/>
      <c r="AB18" s="246"/>
      <c r="AC18" s="246"/>
      <c r="AD18" s="246"/>
      <c r="AM18" s="251"/>
      <c r="AO18" s="50"/>
      <c r="AP18" s="50"/>
      <c r="AQ18" s="50"/>
      <c r="AR18" s="50"/>
      <c r="AS18" s="50"/>
      <c r="AT18" s="50"/>
      <c r="AU18" s="50"/>
      <c r="AV18" s="50"/>
      <c r="AW18" s="237"/>
      <c r="AZ18" s="45"/>
      <c r="BA18" s="248"/>
      <c r="BC18" s="247"/>
      <c r="BD18" s="248"/>
      <c r="BF18" s="247"/>
      <c r="BH18" s="247"/>
      <c r="BI18" s="248"/>
      <c r="BK18" s="247"/>
      <c r="BM18" s="247"/>
      <c r="BN18" s="248"/>
      <c r="BP18" s="247"/>
      <c r="BR18" s="247"/>
      <c r="BS18" s="249"/>
      <c r="BU18" s="247"/>
      <c r="BW18" s="247"/>
      <c r="BX18" s="249"/>
      <c r="CB18" s="247"/>
      <c r="CD18" s="247"/>
      <c r="CE18" s="249"/>
    </row>
    <row r="19" spans="1:83" ht="15">
      <c r="A19" s="330" t="s">
        <v>342</v>
      </c>
      <c r="B19" s="330" t="s">
        <v>356</v>
      </c>
      <c r="C19" s="330">
        <v>2</v>
      </c>
      <c r="D19" s="330" t="s">
        <v>304</v>
      </c>
      <c r="H19" s="354" t="str">
        <v>EXISTING EXHAUST FAN TO BE DEMOLISHED</v>
      </c>
      <c r="I19" s="45">
        <v>1</v>
      </c>
      <c r="K19" s="216"/>
      <c r="L19" s="252"/>
      <c r="M19" s="244"/>
      <c r="N19" s="244"/>
      <c r="O19" s="176"/>
      <c r="P19" s="50"/>
      <c r="Q19" s="50"/>
      <c r="R19" s="216"/>
      <c r="S19" s="216"/>
      <c r="T19" s="216"/>
      <c r="V19" s="238"/>
      <c r="W19" s="239"/>
      <c r="X19" s="239"/>
      <c r="Y19" s="245"/>
      <c r="Z19" s="246"/>
      <c r="AA19" s="246"/>
      <c r="AB19" s="246"/>
      <c r="AC19" s="246"/>
      <c r="AD19" s="246"/>
      <c r="AM19" s="251"/>
      <c r="AO19" s="50"/>
      <c r="AP19" s="50"/>
      <c r="AQ19" s="50"/>
      <c r="AR19" s="50"/>
      <c r="AS19" s="50"/>
      <c r="AT19" s="50"/>
      <c r="AU19" s="50"/>
      <c r="AV19" s="50"/>
      <c r="AW19" s="237"/>
      <c r="AZ19" s="45"/>
      <c r="BA19" s="248"/>
      <c r="BC19" s="247"/>
      <c r="BD19" s="248"/>
      <c r="BF19" s="247"/>
      <c r="BH19" s="247"/>
      <c r="BI19" s="248"/>
      <c r="BK19" s="247"/>
      <c r="BM19" s="247"/>
      <c r="BN19" s="248"/>
      <c r="BP19" s="247"/>
      <c r="BR19" s="247"/>
      <c r="BS19" s="249"/>
      <c r="BU19" s="247"/>
      <c r="BW19" s="247"/>
      <c r="BX19" s="249"/>
      <c r="CB19" s="247"/>
      <c r="CD19" s="247"/>
      <c r="CE19" s="249"/>
    </row>
    <row r="20" spans="1:83" ht="15">
      <c r="A20" s="330" t="s">
        <v>342</v>
      </c>
      <c r="B20" s="330" t="s">
        <v>357</v>
      </c>
      <c r="C20" s="330">
        <v>5</v>
      </c>
      <c r="D20" s="330" t="s">
        <v>304</v>
      </c>
      <c r="H20" s="354" t="str">
        <v>EXISTING ROOFTOP UNIT TO BE DEMOLISHED</v>
      </c>
      <c r="I20" s="45">
        <v>3</v>
      </c>
      <c r="K20" s="176"/>
      <c r="L20" s="252"/>
      <c r="M20" s="244"/>
      <c r="N20" s="244"/>
      <c r="O20" s="176"/>
      <c r="P20" s="50"/>
      <c r="Q20" s="50"/>
      <c r="R20" s="216"/>
      <c r="S20" s="216"/>
      <c r="T20" s="176"/>
      <c r="V20" s="238"/>
      <c r="W20" s="239"/>
      <c r="X20" s="239"/>
      <c r="Y20" s="245"/>
      <c r="Z20" s="246"/>
      <c r="AA20" s="246"/>
      <c r="AB20" s="246"/>
      <c r="AC20" s="246"/>
      <c r="AD20" s="246"/>
      <c r="AM20" s="251"/>
      <c r="AO20" s="50"/>
      <c r="AP20" s="50"/>
      <c r="AQ20" s="50"/>
      <c r="AR20" s="50"/>
      <c r="AS20" s="50"/>
      <c r="AT20" s="50"/>
      <c r="AU20" s="50"/>
      <c r="AV20" s="50"/>
      <c r="AW20" s="237"/>
      <c r="AZ20" s="45"/>
      <c r="BC20" s="247"/>
      <c r="BD20" s="248"/>
      <c r="BS20" s="239"/>
      <c r="BX20" s="239"/>
      <c r="CE20" s="239"/>
    </row>
    <row r="21" spans="1:83" ht="15">
      <c r="A21" s="330" t="s">
        <v>342</v>
      </c>
      <c r="B21" s="330" t="s">
        <v>358</v>
      </c>
      <c r="C21" s="330">
        <v>2.95</v>
      </c>
      <c r="D21" s="330" t="s">
        <v>305</v>
      </c>
      <c r="H21" s="296" t="str">
        <v>FLEX DUCT(SA); 10" DIA</v>
      </c>
      <c r="I21" s="45">
        <v>30.76</v>
      </c>
      <c r="K21" s="176"/>
      <c r="L21" s="252"/>
      <c r="M21" s="244"/>
      <c r="N21" s="244"/>
      <c r="O21" s="176"/>
      <c r="P21" s="50"/>
      <c r="Q21" s="50"/>
      <c r="R21" s="216"/>
      <c r="S21" s="216"/>
      <c r="T21" s="176"/>
      <c r="V21" s="238"/>
      <c r="W21" s="239"/>
      <c r="X21" s="239"/>
      <c r="Y21" s="245"/>
      <c r="Z21" s="246"/>
      <c r="AA21" s="246"/>
      <c r="AB21" s="246"/>
      <c r="AC21" s="246"/>
      <c r="AD21" s="246"/>
      <c r="AM21" s="251"/>
      <c r="AO21" s="50"/>
      <c r="AP21" s="50"/>
      <c r="AQ21" s="50"/>
      <c r="AR21" s="50"/>
      <c r="AS21" s="50"/>
      <c r="AT21" s="50"/>
      <c r="AU21" s="50"/>
      <c r="AV21" s="50"/>
      <c r="AW21" s="237"/>
      <c r="AZ21" s="45"/>
      <c r="BC21" s="247"/>
      <c r="BD21" s="248"/>
      <c r="BS21" s="239"/>
      <c r="BX21" s="239"/>
      <c r="CE21" s="239"/>
    </row>
    <row r="22" spans="1:83" ht="15">
      <c r="A22" s="330" t="s">
        <v>342</v>
      </c>
      <c r="B22" s="330" t="s">
        <v>359</v>
      </c>
      <c r="C22" s="330">
        <v>5</v>
      </c>
      <c r="D22" s="330" t="s">
        <v>304</v>
      </c>
      <c r="H22" s="296" t="str">
        <v>FLEX DUCT(SA); 12" DIA</v>
      </c>
      <c r="I22" s="45">
        <v>15.17</v>
      </c>
      <c r="K22" s="176"/>
      <c r="L22" s="252"/>
      <c r="M22" s="244"/>
      <c r="N22" s="244"/>
      <c r="O22" s="176"/>
      <c r="P22" s="50"/>
      <c r="Q22" s="50"/>
      <c r="R22" s="216"/>
      <c r="S22" s="216"/>
      <c r="T22" s="176"/>
      <c r="V22" s="238"/>
      <c r="W22" s="239"/>
      <c r="X22" s="239"/>
      <c r="Y22" s="245"/>
      <c r="Z22" s="246"/>
      <c r="AA22" s="246"/>
      <c r="AB22" s="246"/>
      <c r="AC22" s="246"/>
      <c r="AD22" s="246"/>
      <c r="AM22" s="251"/>
      <c r="AO22" s="50"/>
      <c r="AP22" s="50"/>
      <c r="AQ22" s="50"/>
      <c r="AR22" s="50"/>
      <c r="AS22" s="50"/>
      <c r="AT22" s="50"/>
      <c r="AU22" s="50"/>
      <c r="AV22" s="50"/>
      <c r="AW22" s="237"/>
      <c r="AZ22" s="45"/>
      <c r="BC22" s="247"/>
      <c r="BD22" s="248"/>
      <c r="BS22" s="239"/>
      <c r="BX22" s="239"/>
      <c r="CE22" s="239"/>
    </row>
    <row r="23" spans="1:83" ht="15">
      <c r="A23" s="330" t="s">
        <v>342</v>
      </c>
      <c r="B23" s="330" t="s">
        <v>360</v>
      </c>
      <c r="C23" s="330">
        <v>1</v>
      </c>
      <c r="D23" s="330" t="s">
        <v>304</v>
      </c>
      <c r="H23" s="296" t="str">
        <v>FLEX DUCT(SA); 6" DIA</v>
      </c>
      <c r="I23" s="45">
        <v>9.06</v>
      </c>
      <c r="K23" s="176"/>
      <c r="L23" s="252"/>
      <c r="M23" s="244"/>
      <c r="N23" s="244"/>
      <c r="O23" s="176"/>
      <c r="P23" s="50"/>
      <c r="Q23" s="50"/>
      <c r="R23" s="216"/>
      <c r="S23" s="216"/>
      <c r="T23" s="176"/>
      <c r="V23" s="238"/>
      <c r="W23" s="239"/>
      <c r="X23" s="239"/>
      <c r="Y23" s="245"/>
      <c r="Z23" s="246"/>
      <c r="AA23" s="246"/>
      <c r="AB23" s="246"/>
      <c r="AC23" s="246"/>
      <c r="AD23" s="246"/>
      <c r="AM23" s="251"/>
      <c r="AO23" s="50"/>
      <c r="AP23" s="50"/>
      <c r="AQ23" s="50"/>
      <c r="AR23" s="50"/>
      <c r="AS23" s="50"/>
      <c r="AT23" s="50"/>
      <c r="AU23" s="50"/>
      <c r="AV23" s="50"/>
      <c r="AW23" s="237"/>
      <c r="AZ23" s="45"/>
      <c r="BC23" s="247"/>
      <c r="BD23" s="248"/>
      <c r="BS23" s="239"/>
      <c r="BX23" s="239"/>
      <c r="CE23" s="239"/>
    </row>
    <row r="24" spans="1:83" ht="15">
      <c r="A24" s="330" t="s">
        <v>342</v>
      </c>
      <c r="B24" s="330" t="s">
        <v>361</v>
      </c>
      <c r="C24" s="330">
        <v>1</v>
      </c>
      <c r="D24" s="330" t="s">
        <v>304</v>
      </c>
      <c r="H24" s="328" t="str">
        <v>GRAVITY BACKDRAFT DAMPER; 8X8</v>
      </c>
      <c r="I24" s="45">
        <v>2</v>
      </c>
      <c r="K24" s="176"/>
      <c r="L24" s="252"/>
      <c r="M24" s="244"/>
      <c r="N24" s="244"/>
      <c r="O24" s="176"/>
      <c r="P24" s="50"/>
      <c r="Q24" s="50"/>
      <c r="R24" s="216"/>
      <c r="S24" s="216"/>
      <c r="T24" s="176"/>
      <c r="V24" s="238"/>
      <c r="W24" s="239"/>
      <c r="X24" s="239"/>
      <c r="Y24" s="245"/>
      <c r="Z24" s="246"/>
      <c r="AA24" s="246"/>
      <c r="AB24" s="246"/>
      <c r="AC24" s="246"/>
      <c r="AD24" s="246"/>
      <c r="AM24" s="251"/>
      <c r="AO24" s="50"/>
      <c r="AP24" s="50"/>
      <c r="AQ24" s="50"/>
      <c r="AR24" s="50"/>
      <c r="AS24" s="50"/>
      <c r="AT24" s="50"/>
      <c r="AU24" s="50"/>
      <c r="AV24" s="50"/>
      <c r="AW24" s="237"/>
      <c r="AZ24" s="45"/>
      <c r="BC24" s="247"/>
      <c r="BD24" s="248"/>
      <c r="BS24" s="239"/>
      <c r="BX24" s="239"/>
      <c r="CE24" s="239"/>
    </row>
    <row r="25" spans="1:83" ht="15">
      <c r="A25" s="330" t="s">
        <v>342</v>
      </c>
      <c r="B25" s="330" t="s">
        <v>362</v>
      </c>
      <c r="C25" s="330">
        <v>2</v>
      </c>
      <c r="D25" s="330" t="s">
        <v>304</v>
      </c>
      <c r="H25" s="296" t="str">
        <v>GRILLES(EA); X1001_TITUS 350_12X12</v>
      </c>
      <c r="I25" s="45">
        <v>3</v>
      </c>
      <c r="K25" s="176"/>
      <c r="L25" s="252"/>
      <c r="M25" s="244"/>
      <c r="N25" s="244"/>
      <c r="O25" s="176"/>
      <c r="P25" s="50"/>
      <c r="Q25" s="50"/>
      <c r="R25" s="216"/>
      <c r="S25" s="216"/>
      <c r="T25" s="176"/>
      <c r="V25" s="238"/>
      <c r="W25" s="239"/>
      <c r="X25" s="239"/>
      <c r="Y25" s="245"/>
      <c r="Z25" s="246"/>
      <c r="AA25" s="246"/>
      <c r="AB25" s="246"/>
      <c r="AC25" s="246"/>
      <c r="AD25" s="246"/>
      <c r="AM25" s="251"/>
      <c r="AO25" s="50"/>
      <c r="AP25" s="50"/>
      <c r="AQ25" s="50"/>
      <c r="AR25" s="50"/>
      <c r="AS25" s="50"/>
      <c r="AT25" s="50"/>
      <c r="AU25" s="50"/>
      <c r="AV25" s="50"/>
      <c r="AW25" s="237"/>
      <c r="AZ25" s="45"/>
      <c r="BC25" s="247"/>
      <c r="BD25" s="248"/>
      <c r="BS25" s="239"/>
      <c r="BX25" s="239"/>
      <c r="CE25" s="239"/>
    </row>
    <row r="26" spans="1:83" ht="15">
      <c r="A26" s="330" t="s">
        <v>342</v>
      </c>
      <c r="B26" s="330" t="s">
        <v>363</v>
      </c>
      <c r="C26" s="330">
        <v>1</v>
      </c>
      <c r="D26" s="330" t="s">
        <v>304</v>
      </c>
      <c r="H26" s="296" t="str">
        <v>GRILLES(RA); X1010_ TITUS 50F_24X24</v>
      </c>
      <c r="I26" s="45">
        <v>1</v>
      </c>
      <c r="K26" s="176"/>
      <c r="L26" s="252"/>
      <c r="M26" s="244"/>
      <c r="N26" s="244"/>
      <c r="O26" s="176"/>
      <c r="P26" s="50"/>
      <c r="Q26" s="50"/>
      <c r="R26" s="216"/>
      <c r="S26" s="216"/>
      <c r="T26" s="176"/>
      <c r="V26" s="238"/>
      <c r="W26" s="239"/>
      <c r="X26" s="239"/>
      <c r="Y26" s="245"/>
      <c r="Z26" s="246"/>
      <c r="AA26" s="246"/>
      <c r="AB26" s="246"/>
      <c r="AC26" s="246"/>
      <c r="AD26" s="246"/>
      <c r="AM26" s="251"/>
      <c r="AO26" s="50"/>
      <c r="AP26" s="50"/>
      <c r="AQ26" s="50"/>
      <c r="AR26" s="50"/>
      <c r="AS26" s="50"/>
      <c r="AT26" s="50"/>
      <c r="AU26" s="50"/>
      <c r="AV26" s="50"/>
      <c r="AW26" s="237"/>
      <c r="AZ26" s="45"/>
      <c r="BC26" s="247"/>
      <c r="BD26" s="248"/>
      <c r="BS26" s="239"/>
      <c r="BX26" s="239"/>
      <c r="CE26" s="239"/>
    </row>
    <row r="27" spans="1:83" ht="15">
      <c r="A27" s="330" t="s">
        <v>342</v>
      </c>
      <c r="B27" s="330" t="s">
        <v>364</v>
      </c>
      <c r="C27" s="330">
        <v>3</v>
      </c>
      <c r="D27" s="330" t="s">
        <v>304</v>
      </c>
      <c r="H27" s="296" t="str">
        <v>GRILLES(RA); X1020_ TITUS 50F_18X22</v>
      </c>
      <c r="I27" s="45">
        <v>2</v>
      </c>
      <c r="K27" s="176"/>
      <c r="L27" s="252"/>
      <c r="M27" s="244"/>
      <c r="N27" s="244"/>
      <c r="O27" s="176"/>
      <c r="P27" s="50"/>
      <c r="Q27" s="50"/>
      <c r="R27" s="216"/>
      <c r="S27" s="216"/>
      <c r="T27" s="176"/>
      <c r="V27" s="238"/>
      <c r="W27" s="239"/>
      <c r="X27" s="239"/>
      <c r="Y27" s="245"/>
      <c r="Z27" s="246"/>
      <c r="AA27" s="246"/>
      <c r="AB27" s="246"/>
      <c r="AC27" s="246"/>
      <c r="AD27" s="246"/>
      <c r="AM27" s="251"/>
      <c r="AO27" s="50"/>
      <c r="AP27" s="50"/>
      <c r="AQ27" s="50"/>
      <c r="AR27" s="50"/>
      <c r="AS27" s="50"/>
      <c r="AT27" s="50"/>
      <c r="AU27" s="50"/>
      <c r="AV27" s="50"/>
      <c r="AW27" s="237"/>
      <c r="AZ27" s="45"/>
      <c r="BC27" s="247"/>
      <c r="BD27" s="248"/>
      <c r="BS27" s="239"/>
      <c r="BX27" s="239"/>
      <c r="CE27" s="239"/>
    </row>
    <row r="28" spans="1:83" ht="15">
      <c r="A28" s="330" t="s">
        <v>342</v>
      </c>
      <c r="B28" s="330" t="s">
        <v>365</v>
      </c>
      <c r="C28" s="330">
        <v>2</v>
      </c>
      <c r="D28" s="330" t="s">
        <v>304</v>
      </c>
      <c r="H28" s="45" t="str">
        <v>HAIL GUARDS</v>
      </c>
      <c r="I28" s="45">
        <v>3</v>
      </c>
      <c r="K28" s="176"/>
      <c r="L28" s="252"/>
      <c r="M28" s="244"/>
      <c r="N28" s="244"/>
      <c r="O28" s="176"/>
      <c r="P28" s="50"/>
      <c r="Q28" s="50"/>
      <c r="R28" s="216"/>
      <c r="S28" s="216"/>
      <c r="T28" s="176"/>
      <c r="V28" s="238"/>
      <c r="W28" s="239"/>
      <c r="X28" s="239"/>
      <c r="Y28" s="245"/>
      <c r="Z28" s="246"/>
      <c r="AA28" s="246"/>
      <c r="AB28" s="246"/>
      <c r="AC28" s="246"/>
      <c r="AD28" s="246"/>
      <c r="AM28" s="251"/>
      <c r="AO28" s="50"/>
      <c r="AP28" s="50"/>
      <c r="AQ28" s="50"/>
      <c r="AR28" s="50"/>
      <c r="AS28" s="50"/>
      <c r="AT28" s="50"/>
      <c r="AU28" s="50"/>
      <c r="AV28" s="50"/>
      <c r="AW28" s="237"/>
      <c r="AZ28" s="45"/>
      <c r="BC28" s="247"/>
      <c r="BD28" s="248"/>
      <c r="BS28" s="239"/>
      <c r="BX28" s="239"/>
      <c r="CE28" s="239"/>
    </row>
    <row r="29" spans="1:83" ht="15">
      <c r="A29" s="330" t="s">
        <v>342</v>
      </c>
      <c r="B29" s="330" t="s">
        <v>366</v>
      </c>
      <c r="C29" s="330">
        <v>3</v>
      </c>
      <c r="D29" s="330" t="s">
        <v>304</v>
      </c>
      <c r="H29" s="296" t="str">
        <v>PLENUM DUCTBOOTS(EA); 8X8 TO 12X12</v>
      </c>
      <c r="I29" s="45">
        <v>3</v>
      </c>
      <c r="K29" s="176"/>
      <c r="L29" s="252"/>
      <c r="M29" s="244"/>
      <c r="N29" s="244"/>
      <c r="O29" s="176"/>
      <c r="P29" s="50"/>
      <c r="Q29" s="50"/>
      <c r="R29" s="216"/>
      <c r="S29" s="216"/>
      <c r="T29" s="176"/>
      <c r="V29" s="238"/>
      <c r="W29" s="239"/>
      <c r="X29" s="239"/>
      <c r="Y29" s="245"/>
      <c r="Z29" s="246"/>
      <c r="AA29" s="246"/>
      <c r="AB29" s="246"/>
      <c r="AC29" s="246"/>
      <c r="AD29" s="246"/>
      <c r="AM29" s="251"/>
      <c r="AO29" s="50"/>
      <c r="AP29" s="50"/>
      <c r="AQ29" s="50"/>
      <c r="AR29" s="50"/>
      <c r="AS29" s="50"/>
      <c r="AT29" s="50"/>
      <c r="AU29" s="50"/>
      <c r="AV29" s="50"/>
      <c r="AW29" s="237"/>
      <c r="AZ29" s="45"/>
      <c r="BC29" s="247"/>
      <c r="BD29" s="248"/>
      <c r="BS29" s="239"/>
      <c r="BX29" s="239"/>
      <c r="CE29" s="239"/>
    </row>
    <row r="30" spans="1:83" ht="15">
      <c r="A30" s="330" t="s">
        <v>342</v>
      </c>
      <c r="B30" s="330" t="s">
        <v>367</v>
      </c>
      <c r="C30" s="330">
        <v>3</v>
      </c>
      <c r="D30" s="330" t="s">
        <v>304</v>
      </c>
      <c r="H30" s="296" t="str">
        <v>PLENUM DUCTBOOTS(RA); 20X16 TO 24X24</v>
      </c>
      <c r="I30" s="45">
        <v>1</v>
      </c>
      <c r="K30" s="176"/>
      <c r="L30" s="252"/>
      <c r="M30" s="244"/>
      <c r="N30" s="244"/>
      <c r="O30" s="176"/>
      <c r="P30" s="50"/>
      <c r="Q30" s="50"/>
      <c r="R30" s="216"/>
      <c r="S30" s="216"/>
      <c r="T30" s="176"/>
      <c r="V30" s="238"/>
      <c r="W30" s="239"/>
      <c r="X30" s="239"/>
      <c r="Y30" s="245"/>
      <c r="Z30" s="246"/>
      <c r="AA30" s="246"/>
      <c r="AB30" s="246"/>
      <c r="AC30" s="246"/>
      <c r="AD30" s="246"/>
      <c r="AM30" s="251"/>
      <c r="AO30" s="50"/>
      <c r="AP30" s="50"/>
      <c r="AQ30" s="50"/>
      <c r="AR30" s="50"/>
      <c r="AS30" s="50"/>
      <c r="AT30" s="50"/>
      <c r="AU30" s="50"/>
      <c r="AV30" s="50"/>
      <c r="AW30" s="237"/>
      <c r="AZ30" s="45"/>
      <c r="BC30" s="247"/>
      <c r="BD30" s="248"/>
      <c r="BS30" s="239"/>
      <c r="BX30" s="239"/>
      <c r="CE30" s="239"/>
    </row>
    <row r="31" spans="1:83" ht="15">
      <c r="A31" s="330" t="s">
        <v>342</v>
      </c>
      <c r="B31" s="330" t="s">
        <v>368</v>
      </c>
      <c r="C31" s="330">
        <v>3</v>
      </c>
      <c r="D31" s="330" t="s">
        <v>304</v>
      </c>
      <c r="H31" s="328" t="str">
        <v>REC DUCT 90EL(EA); 8X8</v>
      </c>
      <c r="I31" s="45">
        <v>2</v>
      </c>
      <c r="K31" s="176"/>
      <c r="L31" s="252"/>
      <c r="M31" s="244"/>
      <c r="N31" s="244"/>
      <c r="O31" s="176"/>
      <c r="P31" s="50"/>
      <c r="Q31" s="50"/>
      <c r="R31" s="216"/>
      <c r="S31" s="216"/>
      <c r="T31" s="176"/>
      <c r="V31" s="238"/>
      <c r="W31" s="239"/>
      <c r="X31" s="239"/>
      <c r="Y31" s="245"/>
      <c r="Z31" s="246"/>
      <c r="AA31" s="246"/>
      <c r="AB31" s="246"/>
      <c r="AC31" s="246"/>
      <c r="AD31" s="246"/>
      <c r="AM31" s="251"/>
      <c r="AO31" s="50"/>
      <c r="AP31" s="50"/>
      <c r="AQ31" s="50"/>
      <c r="AR31" s="50"/>
      <c r="AS31" s="50"/>
      <c r="AT31" s="50"/>
      <c r="AU31" s="50"/>
      <c r="AV31" s="50"/>
      <c r="AW31" s="237"/>
      <c r="AZ31" s="45"/>
      <c r="BC31" s="247"/>
      <c r="BD31" s="248"/>
      <c r="BS31" s="239"/>
      <c r="BX31" s="239"/>
      <c r="CE31" s="239"/>
    </row>
    <row r="32" spans="1:83" ht="15">
      <c r="A32" s="330" t="s">
        <v>342</v>
      </c>
      <c r="B32" s="330" t="s">
        <v>369</v>
      </c>
      <c r="C32" s="330">
        <v>1</v>
      </c>
      <c r="D32" s="330" t="s">
        <v>304</v>
      </c>
      <c r="H32" s="296" t="str">
        <v>REC DUCT 90EL(SA); 20X16</v>
      </c>
      <c r="I32" s="45">
        <v>1</v>
      </c>
      <c r="K32" s="176"/>
      <c r="L32" s="252"/>
      <c r="M32" s="244"/>
      <c r="N32" s="244"/>
      <c r="O32" s="176"/>
      <c r="P32" s="50"/>
      <c r="Q32" s="50"/>
      <c r="R32" s="216"/>
      <c r="S32" s="216"/>
      <c r="T32" s="176"/>
      <c r="V32" s="238"/>
      <c r="W32" s="239"/>
      <c r="X32" s="239"/>
      <c r="Y32" s="245"/>
      <c r="Z32" s="246"/>
      <c r="AA32" s="246"/>
      <c r="AB32" s="246"/>
      <c r="AC32" s="246"/>
      <c r="AD32" s="246"/>
      <c r="AM32" s="251"/>
      <c r="AO32" s="50"/>
      <c r="AP32" s="50"/>
      <c r="AQ32" s="50"/>
      <c r="AR32" s="50"/>
      <c r="AS32" s="50"/>
      <c r="AT32" s="50"/>
      <c r="AU32" s="50"/>
      <c r="AV32" s="50"/>
      <c r="AW32" s="237"/>
      <c r="AZ32" s="45"/>
      <c r="BC32" s="247"/>
      <c r="BD32" s="248"/>
      <c r="BS32" s="239"/>
      <c r="BX32" s="239"/>
      <c r="CE32" s="239"/>
    </row>
    <row r="33" spans="1:83" ht="15">
      <c r="A33" s="330" t="s">
        <v>342</v>
      </c>
      <c r="B33" s="330" t="s">
        <v>370</v>
      </c>
      <c r="C33" s="330">
        <v>18.8</v>
      </c>
      <c r="D33" s="330" t="s">
        <v>305</v>
      </c>
      <c r="H33" s="296" t="str">
        <v>REC DUCT 90EL(SA); 34X20</v>
      </c>
      <c r="I33" s="45">
        <v>1</v>
      </c>
      <c r="K33" s="176"/>
      <c r="L33" s="252"/>
      <c r="M33" s="244"/>
      <c r="N33" s="244"/>
      <c r="O33" s="176"/>
      <c r="P33" s="50"/>
      <c r="Q33" s="50"/>
      <c r="R33" s="216"/>
      <c r="S33" s="216"/>
      <c r="T33" s="176"/>
      <c r="V33" s="238"/>
      <c r="W33" s="239"/>
      <c r="X33" s="239"/>
      <c r="Y33" s="245"/>
      <c r="Z33" s="246"/>
      <c r="AA33" s="246"/>
      <c r="AB33" s="246"/>
      <c r="AC33" s="246"/>
      <c r="AD33" s="246"/>
      <c r="AM33" s="251"/>
      <c r="AO33" s="50"/>
      <c r="AP33" s="50"/>
      <c r="AQ33" s="50"/>
      <c r="AR33" s="50"/>
      <c r="AS33" s="50"/>
      <c r="AT33" s="50"/>
      <c r="AU33" s="50"/>
      <c r="AV33" s="50"/>
      <c r="AW33" s="237"/>
      <c r="AZ33" s="45"/>
      <c r="BC33" s="247"/>
      <c r="BD33" s="248"/>
      <c r="BS33" s="239"/>
      <c r="BX33" s="239"/>
      <c r="CE33" s="239"/>
    </row>
    <row r="34" spans="1:83" ht="15">
      <c r="A34" s="330" t="s">
        <v>342</v>
      </c>
      <c r="B34" s="330" t="s">
        <v>371</v>
      </c>
      <c r="C34" s="330">
        <v>1</v>
      </c>
      <c r="D34" s="330" t="s">
        <v>304</v>
      </c>
      <c r="H34" s="296" t="str">
        <v>REC DUCT 90EL(SA); 35X20</v>
      </c>
      <c r="I34" s="45">
        <v>1</v>
      </c>
      <c r="K34" s="176"/>
      <c r="L34" s="252"/>
      <c r="M34" s="244"/>
      <c r="N34" s="244"/>
      <c r="O34" s="176"/>
      <c r="P34" s="50"/>
      <c r="Q34" s="50"/>
      <c r="R34" s="216"/>
      <c r="S34" s="216"/>
      <c r="T34" s="176"/>
      <c r="V34" s="238"/>
      <c r="W34" s="239"/>
      <c r="X34" s="239"/>
      <c r="Y34" s="245"/>
      <c r="Z34" s="246"/>
      <c r="AA34" s="246"/>
      <c r="AB34" s="246"/>
      <c r="AC34" s="246"/>
      <c r="AD34" s="246"/>
      <c r="AM34" s="251"/>
      <c r="AO34" s="50"/>
      <c r="AP34" s="50"/>
      <c r="AQ34" s="50"/>
      <c r="AR34" s="50"/>
      <c r="AS34" s="50"/>
      <c r="AT34" s="50"/>
      <c r="AU34" s="50"/>
      <c r="AV34" s="50"/>
      <c r="AW34" s="237"/>
      <c r="AZ34" s="45"/>
      <c r="BC34" s="247"/>
      <c r="BD34" s="248"/>
      <c r="BS34" s="239"/>
      <c r="BX34" s="239"/>
      <c r="CE34" s="239"/>
    </row>
    <row r="35" spans="1:83" ht="15">
      <c r="A35" s="330" t="s">
        <v>342</v>
      </c>
      <c r="B35" s="330" t="s">
        <v>372</v>
      </c>
      <c r="C35" s="330">
        <v>14.29</v>
      </c>
      <c r="D35" s="330" t="s">
        <v>305</v>
      </c>
      <c r="H35" s="296" t="str">
        <v>REC DUCT COLLAR(SA); 18X6</v>
      </c>
      <c r="I35" s="45">
        <v>5</v>
      </c>
      <c r="K35" s="176"/>
      <c r="L35" s="252"/>
      <c r="M35" s="244"/>
      <c r="N35" s="244"/>
      <c r="O35" s="176"/>
      <c r="P35" s="50"/>
      <c r="Q35" s="50"/>
      <c r="R35" s="216"/>
      <c r="S35" s="216"/>
      <c r="T35" s="176"/>
      <c r="V35" s="238"/>
      <c r="W35" s="239"/>
      <c r="X35" s="239"/>
      <c r="Y35" s="245"/>
      <c r="Z35" s="246"/>
      <c r="AA35" s="246"/>
      <c r="AB35" s="246"/>
      <c r="AC35" s="246"/>
      <c r="AD35" s="246"/>
      <c r="AM35" s="251"/>
      <c r="AO35" s="50"/>
      <c r="AP35" s="50"/>
      <c r="AQ35" s="50"/>
      <c r="AR35" s="50"/>
      <c r="AS35" s="50"/>
      <c r="AT35" s="50"/>
      <c r="AU35" s="50"/>
      <c r="AV35" s="50"/>
      <c r="AW35" s="237"/>
      <c r="AZ35" s="45"/>
      <c r="BS35" s="239"/>
      <c r="BX35" s="239"/>
      <c r="CE35" s="239"/>
    </row>
    <row r="36" spans="1:83" ht="15">
      <c r="A36" s="330" t="s">
        <v>342</v>
      </c>
      <c r="B36" s="330" t="s">
        <v>373</v>
      </c>
      <c r="C36" s="330">
        <v>1</v>
      </c>
      <c r="D36" s="330" t="s">
        <v>304</v>
      </c>
      <c r="H36" s="296" t="str">
        <v>REC DUCT W/ DUCT WRAP(SA); 18X6</v>
      </c>
      <c r="I36" s="45">
        <v>2.95</v>
      </c>
      <c r="K36" s="176"/>
      <c r="L36" s="252"/>
      <c r="M36" s="244"/>
      <c r="N36" s="244"/>
      <c r="O36" s="176"/>
      <c r="P36" s="50"/>
      <c r="Q36" s="50"/>
      <c r="R36" s="216"/>
      <c r="S36" s="216"/>
      <c r="T36" s="176"/>
      <c r="V36" s="238"/>
      <c r="W36" s="239"/>
      <c r="X36" s="239"/>
      <c r="Y36" s="245"/>
      <c r="Z36" s="246"/>
      <c r="AA36" s="246"/>
      <c r="AB36" s="246"/>
      <c r="AC36" s="246"/>
      <c r="AD36" s="246"/>
      <c r="AM36" s="251"/>
      <c r="AO36" s="50"/>
      <c r="AP36" s="50"/>
      <c r="AQ36" s="50"/>
      <c r="AR36" s="50"/>
      <c r="AS36" s="50"/>
      <c r="AT36" s="50"/>
      <c r="AU36" s="50"/>
      <c r="AV36" s="50"/>
      <c r="AW36" s="237"/>
      <c r="AZ36" s="45"/>
      <c r="BS36" s="239"/>
      <c r="BX36" s="239"/>
      <c r="CE36" s="239"/>
    </row>
    <row r="37" spans="1:83" ht="15">
      <c r="A37" s="330" t="s">
        <v>342</v>
      </c>
      <c r="B37" s="330" t="s">
        <v>374</v>
      </c>
      <c r="C37" s="330">
        <v>15.24</v>
      </c>
      <c r="D37" s="330" t="s">
        <v>305</v>
      </c>
      <c r="H37" s="296" t="str">
        <v>REC DUCT W/ LINE(SA); 34X20</v>
      </c>
      <c r="I37" s="45">
        <v>18.8</v>
      </c>
      <c r="K37" s="176"/>
      <c r="L37" s="252"/>
      <c r="M37" s="244"/>
      <c r="N37" s="244"/>
      <c r="O37" s="176"/>
      <c r="P37" s="50"/>
      <c r="Q37" s="50"/>
      <c r="R37" s="216"/>
      <c r="S37" s="216"/>
      <c r="T37" s="176"/>
      <c r="V37" s="238"/>
      <c r="W37" s="239"/>
      <c r="X37" s="239"/>
      <c r="Y37" s="245"/>
      <c r="Z37" s="246"/>
      <c r="AA37" s="246"/>
      <c r="AB37" s="246"/>
      <c r="AC37" s="246"/>
      <c r="AD37" s="246"/>
      <c r="AM37" s="251"/>
      <c r="AO37" s="50"/>
      <c r="AP37" s="50"/>
      <c r="AQ37" s="50"/>
      <c r="AR37" s="50"/>
      <c r="AS37" s="50"/>
      <c r="AT37" s="50"/>
      <c r="AU37" s="50"/>
      <c r="AV37" s="50"/>
      <c r="AW37" s="237"/>
      <c r="AZ37" s="45"/>
      <c r="BS37" s="239"/>
      <c r="BX37" s="239"/>
      <c r="CE37" s="239"/>
    </row>
    <row r="38" spans="1:83" ht="15">
      <c r="A38" s="330" t="s">
        <v>342</v>
      </c>
      <c r="B38" s="330" t="s">
        <v>375</v>
      </c>
      <c r="C38" s="330">
        <v>8.9499999999999993</v>
      </c>
      <c r="D38" s="330" t="s">
        <v>305</v>
      </c>
      <c r="H38" s="296" t="str">
        <v>REC DUCT W/ LINED(RA); 20X16</v>
      </c>
      <c r="I38" s="45">
        <v>10.18</v>
      </c>
      <c r="K38" s="176"/>
      <c r="L38" s="252"/>
      <c r="M38" s="244"/>
      <c r="N38" s="244"/>
      <c r="O38" s="176"/>
      <c r="P38" s="50"/>
      <c r="Q38" s="50"/>
      <c r="R38" s="216"/>
      <c r="S38" s="216"/>
      <c r="T38" s="176"/>
      <c r="V38" s="238"/>
      <c r="W38" s="239"/>
      <c r="X38" s="239"/>
      <c r="Y38" s="245"/>
      <c r="Z38" s="246"/>
      <c r="AA38" s="246"/>
      <c r="AB38" s="246"/>
      <c r="AC38" s="246"/>
      <c r="AD38" s="246"/>
      <c r="AZ38" s="45"/>
      <c r="BS38" s="239"/>
      <c r="BX38" s="239"/>
      <c r="CE38" s="239"/>
    </row>
    <row r="39" spans="1:83" ht="15">
      <c r="A39" s="330" t="s">
        <v>342</v>
      </c>
      <c r="B39" s="330" t="s">
        <v>376</v>
      </c>
      <c r="C39" s="330">
        <v>9</v>
      </c>
      <c r="D39" s="330" t="s">
        <v>304</v>
      </c>
      <c r="H39" s="296" t="str">
        <v>REC DUCT W/ LINED(SA); 35X20</v>
      </c>
      <c r="I39" s="45">
        <v>8.5</v>
      </c>
      <c r="K39" s="176"/>
      <c r="L39" s="252"/>
      <c r="M39" s="244"/>
      <c r="N39" s="244"/>
      <c r="O39" s="176"/>
      <c r="P39" s="50"/>
      <c r="Q39" s="50"/>
      <c r="R39" s="216"/>
      <c r="S39" s="216"/>
      <c r="T39" s="176"/>
      <c r="V39" s="238"/>
      <c r="W39" s="239"/>
      <c r="X39" s="239"/>
      <c r="Y39" s="245"/>
      <c r="Z39" s="246"/>
      <c r="AA39" s="246"/>
      <c r="AB39" s="246"/>
      <c r="AC39" s="246"/>
      <c r="AD39" s="246"/>
      <c r="AZ39" s="45"/>
      <c r="BS39" s="239"/>
      <c r="BX39" s="239"/>
      <c r="CE39" s="239"/>
    </row>
    <row r="40" spans="1:83" ht="15">
      <c r="A40" s="330" t="s">
        <v>342</v>
      </c>
      <c r="B40" s="330" t="s">
        <v>377</v>
      </c>
      <c r="C40" s="330">
        <v>6</v>
      </c>
      <c r="D40" s="330" t="s">
        <v>304</v>
      </c>
      <c r="H40" s="328" t="str">
        <v>REC DUCT(EA); 8X8</v>
      </c>
      <c r="I40" s="45">
        <v>59.53</v>
      </c>
      <c r="K40" s="176"/>
      <c r="L40" s="252"/>
      <c r="M40" s="244"/>
      <c r="N40" s="244"/>
      <c r="O40" s="176"/>
      <c r="P40" s="50"/>
      <c r="Q40" s="50"/>
      <c r="R40" s="216"/>
      <c r="S40" s="216"/>
      <c r="T40" s="176"/>
      <c r="V40" s="238"/>
      <c r="W40" s="239"/>
      <c r="X40" s="239"/>
      <c r="Y40" s="245"/>
      <c r="Z40" s="246"/>
      <c r="AA40" s="246"/>
      <c r="AB40" s="246"/>
      <c r="AC40" s="246"/>
      <c r="AD40" s="246"/>
      <c r="AZ40" s="45"/>
      <c r="BS40" s="239"/>
      <c r="BX40" s="239"/>
      <c r="CE40" s="239"/>
    </row>
    <row r="41" spans="1:83" ht="15">
      <c r="A41" s="330" t="s">
        <v>342</v>
      </c>
      <c r="B41" s="330" t="s">
        <v>378</v>
      </c>
      <c r="C41" s="330">
        <v>5</v>
      </c>
      <c r="D41" s="330" t="s">
        <v>304</v>
      </c>
      <c r="H41" s="296" t="str">
        <v>RND DUCT 45DEG EL(SA); 10" DIA</v>
      </c>
      <c r="I41" s="45">
        <v>2</v>
      </c>
      <c r="K41" s="176"/>
      <c r="L41" s="252"/>
      <c r="M41" s="244"/>
      <c r="N41" s="244"/>
      <c r="O41" s="176"/>
      <c r="P41" s="50"/>
      <c r="Q41" s="50"/>
      <c r="R41" s="216"/>
      <c r="S41" s="216"/>
      <c r="T41" s="176"/>
      <c r="V41" s="238"/>
      <c r="W41" s="239"/>
      <c r="X41" s="239"/>
      <c r="Y41" s="245"/>
      <c r="Z41" s="246"/>
      <c r="AA41" s="246"/>
      <c r="AB41" s="246"/>
      <c r="AC41" s="246"/>
      <c r="AD41" s="246"/>
      <c r="AZ41" s="45"/>
      <c r="BS41" s="239"/>
      <c r="BX41" s="239"/>
      <c r="CE41" s="239"/>
    </row>
    <row r="42" spans="1:83" ht="15">
      <c r="A42" s="330" t="s">
        <v>342</v>
      </c>
      <c r="B42" s="330" t="s">
        <v>379</v>
      </c>
      <c r="C42" s="330">
        <v>3</v>
      </c>
      <c r="D42" s="330" t="s">
        <v>304</v>
      </c>
      <c r="H42" s="296" t="str">
        <v>RND DUCT 90EL(SA); 20" DIA</v>
      </c>
      <c r="I42" s="45">
        <v>1</v>
      </c>
      <c r="K42" s="176"/>
      <c r="L42" s="252"/>
      <c r="M42" s="244"/>
      <c r="N42" s="244"/>
      <c r="O42" s="176"/>
      <c r="P42" s="50"/>
      <c r="Q42" s="50"/>
      <c r="R42" s="216"/>
      <c r="S42" s="216"/>
      <c r="T42" s="176"/>
      <c r="V42" s="238"/>
      <c r="W42" s="239"/>
      <c r="X42" s="239"/>
      <c r="Y42" s="245"/>
      <c r="Z42" s="246"/>
      <c r="AA42" s="246"/>
      <c r="AB42" s="246"/>
      <c r="AC42" s="246"/>
      <c r="AD42" s="246"/>
      <c r="AZ42" s="45"/>
      <c r="BS42" s="239"/>
      <c r="BX42" s="239"/>
      <c r="CE42" s="239"/>
    </row>
    <row r="43" spans="1:83" ht="15">
      <c r="A43" s="330" t="s">
        <v>342</v>
      </c>
      <c r="B43" s="330" t="s">
        <v>380</v>
      </c>
      <c r="C43" s="330">
        <v>3</v>
      </c>
      <c r="D43" s="330" t="s">
        <v>304</v>
      </c>
      <c r="H43" s="296" t="str">
        <v>RND DUCT COLLAR(SA); 10" DIA</v>
      </c>
      <c r="I43" s="45">
        <v>18</v>
      </c>
      <c r="K43" s="176"/>
      <c r="L43" s="252"/>
      <c r="M43" s="244"/>
      <c r="N43" s="244"/>
      <c r="O43" s="176"/>
      <c r="P43" s="50"/>
      <c r="Q43" s="50"/>
      <c r="R43" s="216"/>
      <c r="S43" s="216"/>
      <c r="T43" s="176"/>
      <c r="V43" s="238"/>
      <c r="W43" s="239"/>
      <c r="X43" s="239"/>
      <c r="Y43" s="245"/>
      <c r="Z43" s="246"/>
      <c r="AA43" s="246"/>
      <c r="AB43" s="246"/>
      <c r="AC43" s="246"/>
      <c r="AD43" s="246"/>
      <c r="AZ43" s="45"/>
      <c r="BS43" s="239"/>
      <c r="BX43" s="239"/>
      <c r="CE43" s="239"/>
    </row>
    <row r="44" spans="1:83" ht="15">
      <c r="A44" s="330" t="s">
        <v>342</v>
      </c>
      <c r="B44" s="330" t="s">
        <v>381</v>
      </c>
      <c r="C44" s="330">
        <v>5</v>
      </c>
      <c r="D44" s="330" t="s">
        <v>304</v>
      </c>
      <c r="H44" s="296" t="str">
        <v>RND DUCT COLLAR(SA); 12" DIA</v>
      </c>
      <c r="I44" s="45">
        <v>9</v>
      </c>
      <c r="K44" s="176"/>
      <c r="L44" s="252"/>
      <c r="M44" s="244"/>
      <c r="N44" s="244"/>
      <c r="O44" s="176"/>
      <c r="P44" s="50"/>
      <c r="Q44" s="50"/>
      <c r="R44" s="216"/>
      <c r="S44" s="216"/>
      <c r="T44" s="176"/>
      <c r="V44" s="238"/>
      <c r="W44" s="239"/>
      <c r="X44" s="239"/>
      <c r="Y44" s="245"/>
      <c r="Z44" s="246"/>
      <c r="AA44" s="246"/>
      <c r="AB44" s="246"/>
      <c r="AC44" s="246"/>
      <c r="AD44" s="246"/>
      <c r="AZ44" s="45"/>
      <c r="BS44" s="239"/>
      <c r="BX44" s="239"/>
      <c r="CE44" s="239"/>
    </row>
    <row r="45" spans="1:83" ht="15">
      <c r="A45" s="330" t="s">
        <v>342</v>
      </c>
      <c r="B45" s="330" t="s">
        <v>382</v>
      </c>
      <c r="C45" s="330">
        <v>3</v>
      </c>
      <c r="D45" s="330" t="s">
        <v>304</v>
      </c>
      <c r="H45" s="296" t="str">
        <v>RND DUCT COLLAR(SA); 16" DIA</v>
      </c>
      <c r="I45" s="45">
        <v>2</v>
      </c>
      <c r="K45" s="176"/>
      <c r="L45" s="252"/>
      <c r="M45" s="244"/>
      <c r="N45" s="244"/>
      <c r="O45" s="176"/>
      <c r="P45" s="50"/>
      <c r="Q45" s="50"/>
      <c r="R45" s="216"/>
      <c r="S45" s="216"/>
      <c r="T45" s="176"/>
      <c r="V45" s="238"/>
      <c r="W45" s="239"/>
      <c r="X45" s="239"/>
      <c r="Y45" s="245"/>
      <c r="Z45" s="246"/>
      <c r="AA45" s="246"/>
      <c r="AB45" s="246"/>
      <c r="AC45" s="246"/>
      <c r="AD45" s="246"/>
      <c r="AZ45" s="45"/>
      <c r="BS45" s="239"/>
      <c r="BX45" s="239"/>
      <c r="CE45" s="239"/>
    </row>
    <row r="46" spans="1:83" ht="15">
      <c r="A46" s="330" t="s">
        <v>342</v>
      </c>
      <c r="B46" s="330" t="s">
        <v>383</v>
      </c>
      <c r="C46" s="330">
        <v>1</v>
      </c>
      <c r="D46" s="330" t="s">
        <v>304</v>
      </c>
      <c r="H46" s="296" t="str">
        <v>RND DUCT COLLAR(SA); 18" DIA</v>
      </c>
      <c r="I46" s="45">
        <v>1</v>
      </c>
      <c r="K46" s="176"/>
      <c r="L46" s="252"/>
      <c r="M46" s="244"/>
      <c r="N46" s="244"/>
      <c r="O46" s="176"/>
      <c r="P46" s="50"/>
      <c r="Q46" s="50"/>
      <c r="R46" s="216"/>
      <c r="S46" s="216"/>
      <c r="T46" s="176"/>
      <c r="V46" s="238"/>
      <c r="W46" s="239"/>
      <c r="X46" s="239"/>
      <c r="Y46" s="245"/>
      <c r="Z46" s="246"/>
      <c r="AA46" s="246"/>
      <c r="AB46" s="246"/>
      <c r="AC46" s="246"/>
      <c r="AD46" s="246"/>
      <c r="AZ46" s="45"/>
      <c r="BS46" s="239"/>
      <c r="BX46" s="239"/>
      <c r="CE46" s="239"/>
    </row>
    <row r="47" spans="1:83" ht="15">
      <c r="A47" s="330" t="s">
        <v>342</v>
      </c>
      <c r="B47" s="330" t="s">
        <v>384</v>
      </c>
      <c r="C47" s="330">
        <v>1</v>
      </c>
      <c r="D47" s="330" t="s">
        <v>304</v>
      </c>
      <c r="H47" s="296" t="str">
        <v>RND DUCT COLLAR(SA); 20" DIA</v>
      </c>
      <c r="I47" s="45">
        <v>2</v>
      </c>
      <c r="K47" s="176"/>
      <c r="L47" s="252"/>
      <c r="M47" s="244"/>
      <c r="N47" s="244"/>
      <c r="O47" s="176"/>
      <c r="P47" s="50"/>
      <c r="Q47" s="50"/>
      <c r="R47" s="216"/>
      <c r="S47" s="216"/>
      <c r="T47" s="176"/>
      <c r="V47" s="238"/>
      <c r="W47" s="239"/>
      <c r="X47" s="239"/>
      <c r="Y47" s="245"/>
      <c r="Z47" s="246"/>
      <c r="AA47" s="246"/>
      <c r="AB47" s="246"/>
      <c r="AC47" s="246"/>
      <c r="AD47" s="246"/>
      <c r="AZ47" s="45"/>
      <c r="BS47" s="239"/>
      <c r="BX47" s="239"/>
      <c r="CE47" s="239"/>
    </row>
    <row r="48" spans="1:83" ht="15">
      <c r="A48" s="330" t="s">
        <v>342</v>
      </c>
      <c r="B48" s="330" t="s">
        <v>385</v>
      </c>
      <c r="C48" s="330">
        <v>2</v>
      </c>
      <c r="D48" s="330" t="s">
        <v>304</v>
      </c>
      <c r="H48" s="296" t="str">
        <v>RND DUCT COLLAR(SA); 6" DIA</v>
      </c>
      <c r="I48" s="45">
        <v>6</v>
      </c>
      <c r="K48" s="176"/>
      <c r="L48" s="252"/>
      <c r="M48" s="244"/>
      <c r="N48" s="244"/>
      <c r="O48" s="176"/>
      <c r="P48" s="50"/>
      <c r="Q48" s="50"/>
      <c r="R48" s="216"/>
      <c r="S48" s="216"/>
      <c r="T48" s="176"/>
      <c r="V48" s="238"/>
      <c r="W48" s="239"/>
      <c r="X48" s="239"/>
      <c r="Y48" s="245"/>
      <c r="Z48" s="246"/>
      <c r="AA48" s="246"/>
      <c r="AB48" s="246"/>
      <c r="AC48" s="246"/>
      <c r="AD48" s="246"/>
      <c r="AZ48" s="45"/>
      <c r="BS48" s="239"/>
      <c r="BX48" s="239"/>
      <c r="CE48" s="239"/>
    </row>
    <row r="49" spans="1:83" ht="15">
      <c r="A49" s="330" t="s">
        <v>342</v>
      </c>
      <c r="B49" s="330" t="s">
        <v>386</v>
      </c>
      <c r="C49" s="330">
        <v>3</v>
      </c>
      <c r="D49" s="330" t="s">
        <v>304</v>
      </c>
      <c r="H49" s="296" t="str">
        <v>RND DUCT REDUCER(SA); 14 TO 10</v>
      </c>
      <c r="I49" s="45">
        <v>1</v>
      </c>
      <c r="K49" s="176"/>
      <c r="L49" s="252"/>
      <c r="M49" s="244"/>
      <c r="N49" s="244"/>
      <c r="O49" s="176"/>
      <c r="P49" s="50"/>
      <c r="Q49" s="50"/>
      <c r="R49" s="216"/>
      <c r="S49" s="216"/>
      <c r="T49" s="176"/>
      <c r="V49" s="238"/>
      <c r="W49" s="239"/>
      <c r="X49" s="239"/>
      <c r="Y49" s="245"/>
      <c r="Z49" s="246"/>
      <c r="AA49" s="246"/>
      <c r="AB49" s="246"/>
      <c r="AC49" s="246"/>
      <c r="AD49" s="246"/>
      <c r="AZ49" s="45"/>
      <c r="BS49" s="239"/>
      <c r="BX49" s="239"/>
      <c r="CE49" s="239"/>
    </row>
    <row r="50" spans="1:83" ht="15">
      <c r="A50" s="330" t="s">
        <v>342</v>
      </c>
      <c r="B50" s="330" t="s">
        <v>387</v>
      </c>
      <c r="C50" s="330">
        <v>8.5</v>
      </c>
      <c r="D50" s="330" t="s">
        <v>305</v>
      </c>
      <c r="H50" s="296" t="str">
        <v>RND DUCT REDUCER(SA); 16 TO 10</v>
      </c>
      <c r="I50" s="45">
        <v>1</v>
      </c>
      <c r="K50" s="176"/>
      <c r="L50" s="252"/>
      <c r="M50" s="244"/>
      <c r="N50" s="244"/>
      <c r="O50" s="176"/>
      <c r="P50" s="50"/>
      <c r="Q50" s="50"/>
      <c r="R50" s="216"/>
      <c r="S50" s="216"/>
      <c r="T50" s="176"/>
      <c r="V50" s="238"/>
      <c r="W50" s="239"/>
      <c r="X50" s="239"/>
      <c r="Y50" s="245"/>
      <c r="Z50" s="246"/>
      <c r="AA50" s="246"/>
      <c r="AB50" s="246"/>
      <c r="AC50" s="246"/>
      <c r="AD50" s="246"/>
      <c r="AZ50" s="45"/>
      <c r="BS50" s="239"/>
      <c r="BX50" s="239"/>
      <c r="CE50" s="239"/>
    </row>
    <row r="51" spans="1:83" ht="15">
      <c r="A51" s="330" t="s">
        <v>342</v>
      </c>
      <c r="B51" s="330" t="s">
        <v>388</v>
      </c>
      <c r="C51" s="330">
        <v>1</v>
      </c>
      <c r="D51" s="330" t="s">
        <v>304</v>
      </c>
      <c r="H51" s="296" t="str">
        <v>RND DUCT REDUCER(SA); 16 TO 12</v>
      </c>
      <c r="I51" s="45">
        <v>1</v>
      </c>
      <c r="K51" s="176"/>
      <c r="L51" s="252"/>
      <c r="M51" s="244"/>
      <c r="N51" s="244"/>
      <c r="O51" s="176"/>
      <c r="P51" s="50"/>
      <c r="Q51" s="50"/>
      <c r="R51" s="216"/>
      <c r="S51" s="216"/>
      <c r="T51" s="176"/>
      <c r="V51" s="238"/>
      <c r="W51" s="239"/>
      <c r="X51" s="239"/>
      <c r="Y51" s="245"/>
      <c r="Z51" s="246"/>
      <c r="AA51" s="246"/>
      <c r="AB51" s="246"/>
      <c r="AC51" s="246"/>
      <c r="AD51" s="246"/>
      <c r="AZ51" s="45"/>
      <c r="BS51" s="239"/>
      <c r="BX51" s="239"/>
      <c r="CE51" s="239"/>
    </row>
    <row r="52" spans="1:83" ht="15">
      <c r="A52" s="330" t="s">
        <v>342</v>
      </c>
      <c r="B52" s="330" t="s">
        <v>389</v>
      </c>
      <c r="C52" s="330">
        <v>10.18</v>
      </c>
      <c r="D52" s="330" t="s">
        <v>305</v>
      </c>
      <c r="H52" s="296" t="str">
        <v>RND DUCT REDUCER(SA); 16 TO 14</v>
      </c>
      <c r="I52" s="45">
        <v>1</v>
      </c>
      <c r="K52" s="176"/>
      <c r="L52" s="252"/>
      <c r="M52" s="244"/>
      <c r="N52" s="244"/>
      <c r="O52" s="176"/>
      <c r="P52" s="50"/>
      <c r="Q52" s="50"/>
      <c r="R52" s="216"/>
      <c r="S52" s="216"/>
      <c r="T52" s="176"/>
      <c r="V52" s="238"/>
      <c r="W52" s="239"/>
      <c r="X52" s="239"/>
      <c r="Y52" s="245"/>
      <c r="Z52" s="246"/>
      <c r="AA52" s="246"/>
      <c r="AB52" s="246"/>
      <c r="AC52" s="246"/>
      <c r="AD52" s="246"/>
      <c r="AZ52" s="45"/>
      <c r="BS52" s="239"/>
      <c r="BX52" s="239"/>
      <c r="CE52" s="239"/>
    </row>
    <row r="53" spans="1:83" ht="15">
      <c r="A53" s="330" t="s">
        <v>342</v>
      </c>
      <c r="B53" s="330" t="s">
        <v>390</v>
      </c>
      <c r="C53" s="330">
        <v>1</v>
      </c>
      <c r="D53" s="330" t="s">
        <v>304</v>
      </c>
      <c r="H53" s="296" t="str">
        <v>RND DUCT REDUCER(SA); 20 TO 16</v>
      </c>
      <c r="I53" s="45">
        <v>1</v>
      </c>
      <c r="K53" s="176"/>
      <c r="L53" s="252"/>
      <c r="M53" s="244"/>
      <c r="N53" s="244"/>
      <c r="O53" s="176"/>
      <c r="P53" s="50"/>
      <c r="Q53" s="50"/>
      <c r="R53" s="216"/>
      <c r="S53" s="216"/>
      <c r="T53" s="176"/>
      <c r="V53" s="238"/>
      <c r="W53" s="239"/>
      <c r="X53" s="239"/>
      <c r="Y53" s="245"/>
      <c r="Z53" s="246"/>
      <c r="AA53" s="246"/>
      <c r="AB53" s="246"/>
      <c r="AC53" s="246"/>
      <c r="AD53" s="246"/>
      <c r="AZ53" s="45"/>
      <c r="BS53" s="239"/>
      <c r="BX53" s="239"/>
      <c r="CE53" s="239"/>
    </row>
    <row r="54" spans="1:83" ht="15">
      <c r="A54" s="330" t="s">
        <v>342</v>
      </c>
      <c r="B54" s="330" t="s">
        <v>391</v>
      </c>
      <c r="C54" s="330">
        <v>9.25</v>
      </c>
      <c r="D54" s="330" t="s">
        <v>305</v>
      </c>
      <c r="H54" s="296" t="str">
        <v>RND DUCT W/ DCUT WRAP(SA); 10" DIA</v>
      </c>
      <c r="I54" s="45">
        <v>95.95</v>
      </c>
      <c r="K54" s="176"/>
      <c r="L54" s="252"/>
      <c r="M54" s="244"/>
      <c r="N54" s="244"/>
      <c r="O54" s="176"/>
      <c r="P54" s="50"/>
      <c r="Q54" s="50"/>
      <c r="R54" s="216"/>
      <c r="S54" s="216"/>
      <c r="T54" s="176"/>
      <c r="V54" s="238"/>
      <c r="W54" s="239"/>
      <c r="X54" s="239"/>
      <c r="Y54" s="245"/>
      <c r="Z54" s="246"/>
      <c r="AA54" s="246"/>
      <c r="AB54" s="246"/>
      <c r="AC54" s="246"/>
      <c r="AD54" s="246"/>
      <c r="AZ54" s="45"/>
      <c r="BS54" s="239"/>
      <c r="BX54" s="239"/>
      <c r="CE54" s="239"/>
    </row>
    <row r="55" spans="1:83" ht="15">
      <c r="A55" s="330" t="s">
        <v>342</v>
      </c>
      <c r="B55" s="330" t="s">
        <v>392</v>
      </c>
      <c r="C55" s="330">
        <v>1</v>
      </c>
      <c r="D55" s="330" t="s">
        <v>304</v>
      </c>
      <c r="H55" s="296" t="str">
        <v>RND DUCT W/ DCUT WRAP(SA); 12" DIA</v>
      </c>
      <c r="I55" s="45">
        <v>9.44</v>
      </c>
      <c r="K55" s="176"/>
      <c r="L55" s="252"/>
      <c r="M55" s="244"/>
      <c r="N55" s="244"/>
      <c r="O55" s="176"/>
      <c r="P55" s="50"/>
      <c r="Q55" s="50"/>
      <c r="R55" s="216"/>
      <c r="S55" s="216"/>
      <c r="T55" s="176"/>
      <c r="V55" s="238"/>
      <c r="W55" s="239"/>
      <c r="X55" s="239"/>
      <c r="Y55" s="245"/>
      <c r="Z55" s="246"/>
      <c r="AA55" s="246"/>
      <c r="AB55" s="246"/>
      <c r="AC55" s="246"/>
      <c r="AD55" s="246"/>
      <c r="AZ55" s="45"/>
      <c r="BS55" s="239"/>
      <c r="BX55" s="239"/>
      <c r="CE55" s="239"/>
    </row>
    <row r="56" spans="1:83" ht="15">
      <c r="A56" s="330" t="s">
        <v>342</v>
      </c>
      <c r="B56" s="330" t="s">
        <v>393</v>
      </c>
      <c r="C56" s="330">
        <v>1</v>
      </c>
      <c r="D56" s="330" t="s">
        <v>304</v>
      </c>
      <c r="H56" s="296" t="str">
        <v>RND DUCT W/ DCUT WRAP(SA); 16" DIA</v>
      </c>
      <c r="I56" s="45">
        <v>48.29</v>
      </c>
      <c r="K56" s="176"/>
      <c r="L56" s="252"/>
      <c r="M56" s="244"/>
      <c r="N56" s="244"/>
      <c r="O56" s="176"/>
      <c r="P56" s="50"/>
      <c r="Q56" s="50"/>
      <c r="R56" s="216"/>
      <c r="S56" s="216"/>
      <c r="T56" s="176"/>
      <c r="V56" s="238"/>
      <c r="W56" s="239"/>
      <c r="X56" s="239"/>
      <c r="Y56" s="245"/>
      <c r="Z56" s="246"/>
      <c r="AA56" s="246"/>
      <c r="AB56" s="246"/>
      <c r="AC56" s="246"/>
      <c r="AD56" s="246"/>
      <c r="AZ56" s="45"/>
      <c r="BS56" s="239"/>
      <c r="BX56" s="239"/>
      <c r="CE56" s="239"/>
    </row>
    <row r="57" spans="1:83" ht="15">
      <c r="A57" s="330" t="s">
        <v>342</v>
      </c>
      <c r="B57" s="330" t="s">
        <v>394</v>
      </c>
      <c r="C57" s="330">
        <v>4</v>
      </c>
      <c r="D57" s="330" t="s">
        <v>304</v>
      </c>
      <c r="H57" s="296" t="str">
        <v>RND DUCT W/ DCUT WRAP(SA); 20" DIA</v>
      </c>
      <c r="I57" s="45">
        <v>50.11</v>
      </c>
      <c r="K57" s="176"/>
      <c r="L57" s="252"/>
      <c r="M57" s="244"/>
      <c r="N57" s="244"/>
      <c r="O57" s="176"/>
      <c r="P57" s="50"/>
      <c r="Q57" s="50"/>
      <c r="R57" s="216"/>
      <c r="S57" s="216"/>
      <c r="T57" s="176"/>
      <c r="V57" s="238"/>
      <c r="W57" s="239"/>
      <c r="X57" s="239"/>
      <c r="Y57" s="245"/>
      <c r="Z57" s="246"/>
      <c r="AA57" s="246"/>
      <c r="AB57" s="246"/>
      <c r="AC57" s="246"/>
      <c r="AD57" s="246"/>
      <c r="AZ57" s="45"/>
      <c r="BS57" s="239"/>
      <c r="BX57" s="239"/>
      <c r="CE57" s="239"/>
    </row>
    <row r="58" spans="1:83" ht="15">
      <c r="A58" s="330" t="s">
        <v>342</v>
      </c>
      <c r="B58" s="330" t="s">
        <v>395</v>
      </c>
      <c r="C58" s="330">
        <v>1</v>
      </c>
      <c r="D58" s="330" t="s">
        <v>304</v>
      </c>
      <c r="H58" s="296" t="str">
        <v>RND DUCT W/ DUCT WRAP(SA); 12" DIA</v>
      </c>
      <c r="I58" s="45">
        <v>15.24</v>
      </c>
      <c r="K58" s="176"/>
      <c r="L58" s="252"/>
      <c r="M58" s="244"/>
      <c r="N58" s="244"/>
      <c r="O58" s="176"/>
      <c r="P58" s="50"/>
      <c r="Q58" s="50"/>
      <c r="R58" s="216"/>
      <c r="S58" s="216"/>
      <c r="T58" s="176"/>
      <c r="V58" s="238"/>
      <c r="W58" s="239"/>
      <c r="X58" s="239"/>
      <c r="Y58" s="245"/>
      <c r="Z58" s="246"/>
      <c r="AA58" s="246"/>
      <c r="AB58" s="246"/>
      <c r="AC58" s="246"/>
      <c r="AD58" s="246"/>
      <c r="AZ58" s="45"/>
      <c r="BS58" s="239"/>
      <c r="BX58" s="239"/>
      <c r="CE58" s="239"/>
    </row>
    <row r="59" spans="1:83" ht="15">
      <c r="A59" s="330" t="s">
        <v>342</v>
      </c>
      <c r="B59" s="330" t="s">
        <v>396</v>
      </c>
      <c r="C59" s="330">
        <v>1</v>
      </c>
      <c r="D59" s="330" t="s">
        <v>304</v>
      </c>
      <c r="H59" s="296" t="str">
        <v>RND DUCT W/ DUCT WRAP(SA); 14" DIA</v>
      </c>
      <c r="I59" s="45">
        <v>9.25</v>
      </c>
      <c r="K59" s="176"/>
      <c r="L59" s="252"/>
      <c r="M59" s="244"/>
      <c r="N59" s="244"/>
      <c r="O59" s="176"/>
      <c r="P59" s="50"/>
      <c r="Q59" s="50"/>
      <c r="R59" s="216"/>
      <c r="S59" s="216"/>
      <c r="T59" s="176"/>
      <c r="V59" s="238"/>
      <c r="W59" s="239"/>
      <c r="X59" s="239"/>
      <c r="Y59" s="245"/>
      <c r="Z59" s="246"/>
      <c r="AA59" s="246"/>
      <c r="AB59" s="246"/>
      <c r="AC59" s="246"/>
      <c r="AD59" s="246"/>
      <c r="AZ59" s="45"/>
      <c r="BS59" s="239"/>
      <c r="BX59" s="239"/>
      <c r="CE59" s="239"/>
    </row>
    <row r="60" spans="1:83" ht="15">
      <c r="A60" s="330" t="s">
        <v>342</v>
      </c>
      <c r="B60" s="330" t="s">
        <v>397</v>
      </c>
      <c r="C60" s="330">
        <v>1</v>
      </c>
      <c r="D60" s="330" t="s">
        <v>304</v>
      </c>
      <c r="H60" s="296" t="str">
        <v>RND DUCT W/ DUCT WRAP(SA); 18" DIA</v>
      </c>
      <c r="I60" s="45">
        <v>14.29</v>
      </c>
      <c r="K60" s="176"/>
      <c r="L60" s="252"/>
      <c r="M60" s="244"/>
      <c r="N60" s="244"/>
      <c r="O60" s="176"/>
      <c r="P60" s="50"/>
      <c r="Q60" s="50"/>
      <c r="R60" s="216"/>
      <c r="S60" s="216"/>
      <c r="T60" s="176"/>
      <c r="U60" s="176"/>
      <c r="V60" s="238"/>
      <c r="W60" s="239"/>
      <c r="X60" s="239"/>
      <c r="Y60" s="245"/>
      <c r="Z60" s="246"/>
      <c r="AA60" s="246"/>
      <c r="AB60" s="246"/>
      <c r="AC60" s="246"/>
      <c r="AD60" s="246"/>
      <c r="AZ60" s="45"/>
      <c r="BS60" s="239"/>
      <c r="BX60" s="239"/>
      <c r="CE60" s="239"/>
    </row>
    <row r="61" spans="1:83" ht="15">
      <c r="A61" s="330" t="s">
        <v>342</v>
      </c>
      <c r="B61" s="330" t="s">
        <v>410</v>
      </c>
      <c r="C61" s="330">
        <v>1</v>
      </c>
      <c r="D61" s="330" t="s">
        <v>304</v>
      </c>
      <c r="H61" s="296" t="str">
        <v>RND DUCT W/ DUCT WRAP(SA); 6" DIA</v>
      </c>
      <c r="I61" s="45">
        <v>8.9499999999999993</v>
      </c>
      <c r="K61" s="176"/>
      <c r="L61" s="252"/>
      <c r="M61" s="244"/>
      <c r="N61" s="244"/>
      <c r="O61" s="176"/>
      <c r="P61" s="50"/>
      <c r="Q61" s="50"/>
      <c r="R61" s="216"/>
      <c r="S61" s="216"/>
      <c r="T61" s="176"/>
      <c r="U61" s="176"/>
      <c r="V61" s="238"/>
      <c r="W61" s="239"/>
      <c r="X61" s="239"/>
      <c r="Y61" s="245"/>
      <c r="Z61" s="246"/>
      <c r="AA61" s="246"/>
      <c r="AB61" s="246"/>
      <c r="AC61" s="246"/>
      <c r="AD61" s="246"/>
      <c r="AZ61" s="45"/>
      <c r="BS61" s="239"/>
      <c r="BX61" s="239"/>
      <c r="CE61" s="239"/>
    </row>
    <row r="62" spans="1:83" ht="15">
      <c r="A62" s="330" t="s">
        <v>342</v>
      </c>
      <c r="B62" s="330" t="s">
        <v>384</v>
      </c>
      <c r="C62" s="330">
        <v>1</v>
      </c>
      <c r="D62" s="330" t="s">
        <v>304</v>
      </c>
      <c r="H62" s="296" t="str">
        <v>ROOF CURB</v>
      </c>
      <c r="I62" s="45">
        <v>3</v>
      </c>
      <c r="K62" s="176"/>
      <c r="L62" s="252"/>
      <c r="M62" s="244"/>
      <c r="N62" s="244"/>
      <c r="O62" s="176"/>
      <c r="P62" s="50"/>
      <c r="Q62" s="50"/>
      <c r="R62" s="216"/>
      <c r="S62" s="216"/>
      <c r="T62" s="176"/>
      <c r="U62" s="176"/>
      <c r="V62" s="238"/>
      <c r="W62" s="239"/>
      <c r="X62" s="239"/>
      <c r="Y62" s="245"/>
      <c r="Z62" s="246"/>
      <c r="AA62" s="246"/>
      <c r="AB62" s="246"/>
      <c r="AC62" s="246"/>
      <c r="AD62" s="246"/>
      <c r="AZ62" s="45"/>
      <c r="BS62" s="239"/>
      <c r="BX62" s="239"/>
      <c r="CE62" s="239"/>
    </row>
    <row r="63" spans="1:83" ht="15">
      <c r="A63" s="330" t="s">
        <v>342</v>
      </c>
      <c r="B63" s="330" t="s">
        <v>418</v>
      </c>
      <c r="C63" s="330">
        <v>1</v>
      </c>
      <c r="D63" s="330" t="s">
        <v>304</v>
      </c>
      <c r="H63" s="296" t="str">
        <v>ROOFTOP UNIT; RTU-1_TRANE YHK120_10 TONS</v>
      </c>
      <c r="I63" s="45">
        <v>1</v>
      </c>
      <c r="K63" s="176"/>
      <c r="L63" s="252"/>
      <c r="M63" s="244"/>
      <c r="N63" s="244"/>
      <c r="O63" s="176"/>
      <c r="P63" s="50"/>
      <c r="Q63" s="50"/>
      <c r="R63" s="216"/>
      <c r="S63" s="216"/>
      <c r="T63" s="176"/>
      <c r="U63" s="176"/>
      <c r="V63" s="238"/>
      <c r="W63" s="239"/>
      <c r="X63" s="239"/>
      <c r="Y63" s="245"/>
      <c r="Z63" s="246"/>
      <c r="AA63" s="246"/>
      <c r="AB63" s="246"/>
      <c r="AC63" s="246"/>
      <c r="AD63" s="246"/>
      <c r="AZ63" s="45"/>
      <c r="BS63" s="239"/>
      <c r="BX63" s="239"/>
      <c r="CE63" s="239"/>
    </row>
    <row r="64" spans="1:83" ht="15">
      <c r="A64" s="330" t="s">
        <v>398</v>
      </c>
      <c r="B64" s="330" t="s">
        <v>399</v>
      </c>
      <c r="C64" s="330">
        <v>1</v>
      </c>
      <c r="D64" s="330" t="s">
        <v>304</v>
      </c>
      <c r="H64" s="296" t="str">
        <v>ROOFTOP UNIT; RTU-2_TRANE YHK090*_7.5 TONS</v>
      </c>
      <c r="I64" s="45">
        <v>1</v>
      </c>
      <c r="K64" s="176"/>
      <c r="L64" s="252"/>
      <c r="M64" s="244"/>
      <c r="N64" s="244"/>
      <c r="O64" s="176"/>
      <c r="P64" s="50"/>
      <c r="Q64" s="50"/>
      <c r="R64" s="216"/>
      <c r="S64" s="216"/>
      <c r="T64" s="176"/>
      <c r="U64" s="176"/>
      <c r="V64" s="238"/>
      <c r="W64" s="239"/>
      <c r="X64" s="239"/>
      <c r="Y64" s="245"/>
      <c r="Z64" s="246"/>
      <c r="AA64" s="246"/>
      <c r="AB64" s="246"/>
      <c r="AC64" s="246"/>
      <c r="AD64" s="246"/>
      <c r="AZ64" s="45"/>
      <c r="BS64" s="239"/>
      <c r="BX64" s="239"/>
      <c r="CE64" s="239"/>
    </row>
    <row r="65" spans="1:83" ht="15">
      <c r="A65" s="330" t="s">
        <v>398</v>
      </c>
      <c r="B65" s="330" t="s">
        <v>400</v>
      </c>
      <c r="C65" s="330">
        <v>3</v>
      </c>
      <c r="D65" s="330" t="s">
        <v>304</v>
      </c>
      <c r="H65" s="296" t="str">
        <v>ROOFTOP UNIT; RTU-3_TRANE YHK036*_3 TONS</v>
      </c>
      <c r="I65" s="45">
        <v>1</v>
      </c>
      <c r="K65" s="176"/>
      <c r="L65" s="252"/>
      <c r="M65" s="244"/>
      <c r="N65" s="244"/>
      <c r="O65" s="176"/>
      <c r="P65" s="50"/>
      <c r="Q65" s="50"/>
      <c r="R65" s="216"/>
      <c r="S65" s="216"/>
      <c r="T65" s="176"/>
      <c r="U65" s="176"/>
      <c r="V65" s="238"/>
      <c r="W65" s="239"/>
      <c r="X65" s="239"/>
      <c r="Y65" s="245"/>
      <c r="Z65" s="246"/>
      <c r="AA65" s="246"/>
      <c r="AB65" s="246"/>
      <c r="AC65" s="246"/>
      <c r="AD65" s="246"/>
      <c r="AZ65" s="45"/>
      <c r="BS65" s="239"/>
      <c r="BX65" s="239"/>
      <c r="CE65" s="239"/>
    </row>
    <row r="66" spans="1:83" ht="15">
      <c r="A66" s="330" t="s">
        <v>412</v>
      </c>
      <c r="B66" s="330" t="s">
        <v>413</v>
      </c>
      <c r="C66" s="330">
        <v>1</v>
      </c>
      <c r="D66" s="330" t="s">
        <v>304</v>
      </c>
      <c r="H66" s="296" t="str">
        <v>SMOKE DETECTOR</v>
      </c>
      <c r="I66" s="45">
        <v>2</v>
      </c>
      <c r="K66" s="176"/>
      <c r="L66" s="252"/>
      <c r="M66" s="244"/>
      <c r="N66" s="244"/>
      <c r="O66" s="176"/>
      <c r="P66" s="50"/>
      <c r="Q66" s="50"/>
      <c r="R66" s="216"/>
      <c r="S66" s="216"/>
      <c r="T66" s="176"/>
      <c r="U66" s="176"/>
      <c r="V66" s="238"/>
      <c r="W66" s="239"/>
      <c r="X66" s="239"/>
      <c r="Y66" s="245"/>
      <c r="Z66" s="246"/>
      <c r="AA66" s="246"/>
      <c r="AB66" s="246"/>
      <c r="AC66" s="246"/>
      <c r="AD66" s="246"/>
      <c r="AZ66" s="45"/>
      <c r="BS66" s="239"/>
      <c r="BX66" s="239"/>
      <c r="CE66" s="239"/>
    </row>
    <row r="67" spans="1:83" ht="15">
      <c r="A67" s="330" t="s">
        <v>412</v>
      </c>
      <c r="B67" s="330" t="s">
        <v>414</v>
      </c>
      <c r="C67" s="330">
        <v>1</v>
      </c>
      <c r="D67" s="330" t="s">
        <v>304</v>
      </c>
      <c r="H67" s="45" t="str">
        <v>SPEED CONTROLLER</v>
      </c>
      <c r="I67" s="45">
        <v>2</v>
      </c>
      <c r="K67" s="176"/>
      <c r="L67" s="252"/>
      <c r="M67" s="244"/>
      <c r="N67" s="244"/>
      <c r="O67" s="176"/>
      <c r="P67" s="50"/>
      <c r="Q67" s="50"/>
      <c r="R67" s="216"/>
      <c r="S67" s="216"/>
      <c r="T67" s="176"/>
      <c r="U67" s="176"/>
      <c r="V67" s="238"/>
      <c r="W67" s="239"/>
      <c r="X67" s="239"/>
      <c r="Y67" s="245"/>
      <c r="Z67" s="246"/>
      <c r="AA67" s="246"/>
      <c r="AB67" s="246"/>
      <c r="AC67" s="246"/>
      <c r="AD67" s="246"/>
      <c r="AZ67" s="45"/>
      <c r="BS67" s="239"/>
      <c r="BX67" s="239"/>
      <c r="CE67" s="239"/>
    </row>
    <row r="68" spans="1:83" ht="15">
      <c r="A68" s="330" t="s">
        <v>412</v>
      </c>
      <c r="B68" s="330" t="s">
        <v>415</v>
      </c>
      <c r="C68" s="330">
        <v>2</v>
      </c>
      <c r="D68" s="330" t="s">
        <v>304</v>
      </c>
      <c r="H68" s="45" t="str">
        <v>TEMPERATURE SENSOR</v>
      </c>
      <c r="I68" s="45">
        <v>3</v>
      </c>
      <c r="K68" s="176"/>
      <c r="L68" s="252"/>
      <c r="M68" s="244"/>
      <c r="N68" s="244"/>
      <c r="O68" s="176"/>
      <c r="P68" s="50"/>
      <c r="Q68" s="50"/>
      <c r="R68" s="216"/>
      <c r="S68" s="216"/>
      <c r="T68" s="176"/>
      <c r="U68" s="176"/>
      <c r="V68" s="238"/>
      <c r="W68" s="239"/>
      <c r="X68" s="239"/>
      <c r="Y68" s="245"/>
      <c r="Z68" s="246"/>
      <c r="AA68" s="246"/>
      <c r="AB68" s="246"/>
      <c r="AC68" s="246"/>
      <c r="AD68" s="246"/>
      <c r="AZ68" s="45"/>
      <c r="BS68" s="239"/>
      <c r="BX68" s="239"/>
      <c r="CE68" s="239"/>
    </row>
    <row r="69" spans="1:83" ht="15">
      <c r="A69" s="330" t="s">
        <v>412</v>
      </c>
      <c r="B69" s="330" t="s">
        <v>416</v>
      </c>
      <c r="C69" s="330">
        <v>2</v>
      </c>
      <c r="D69" s="330" t="s">
        <v>304</v>
      </c>
      <c r="H69" s="45" t="str">
        <v>THERMOSTAT</v>
      </c>
      <c r="I69" s="45">
        <v>3</v>
      </c>
      <c r="K69" s="176"/>
      <c r="L69" s="252"/>
      <c r="M69" s="244"/>
      <c r="N69" s="244"/>
      <c r="O69" s="176"/>
      <c r="P69" s="50"/>
      <c r="Q69" s="50"/>
      <c r="R69" s="216"/>
      <c r="S69" s="216"/>
      <c r="T69" s="176"/>
      <c r="U69" s="176"/>
      <c r="V69" s="238"/>
      <c r="W69" s="239"/>
      <c r="X69" s="239"/>
      <c r="Y69" s="245"/>
      <c r="Z69" s="246"/>
      <c r="AA69" s="246"/>
      <c r="AB69" s="246"/>
      <c r="AC69" s="246"/>
      <c r="AD69" s="246"/>
      <c r="AZ69" s="45"/>
      <c r="BS69" s="239"/>
      <c r="BX69" s="239"/>
      <c r="CE69" s="239"/>
    </row>
    <row r="70" spans="1:83" ht="15">
      <c r="A70" s="330" t="s">
        <v>412</v>
      </c>
      <c r="B70" s="330" t="s">
        <v>417</v>
      </c>
      <c r="C70" s="330">
        <v>2</v>
      </c>
      <c r="D70" s="330" t="s">
        <v>304</v>
      </c>
      <c r="H70" s="45" t="str">
        <v>Total</v>
      </c>
      <c r="I70" s="45">
        <v>567.46999999999991</v>
      </c>
      <c r="K70" s="176"/>
      <c r="L70" s="252"/>
      <c r="M70" s="244"/>
      <c r="N70" s="244"/>
      <c r="O70" s="176"/>
      <c r="P70" s="50"/>
      <c r="Q70" s="50"/>
      <c r="R70" s="216"/>
      <c r="S70" s="216"/>
      <c r="T70" s="176"/>
      <c r="U70" s="176"/>
      <c r="V70" s="238"/>
      <c r="W70" s="239"/>
      <c r="X70" s="239"/>
      <c r="Y70" s="245"/>
      <c r="Z70" s="246"/>
      <c r="AA70" s="246"/>
      <c r="AB70" s="246"/>
      <c r="AC70" s="246"/>
      <c r="AD70" s="246"/>
      <c r="AZ70" s="45"/>
      <c r="BS70" s="239"/>
      <c r="BX70" s="239"/>
      <c r="CE70" s="239"/>
    </row>
    <row r="71" spans="1:83" ht="15">
      <c r="A71" s="221"/>
      <c r="B71" s="221"/>
      <c r="C71" s="221"/>
      <c r="D71" s="221"/>
      <c r="K71" s="176"/>
      <c r="L71" s="252"/>
      <c r="M71" s="244"/>
      <c r="N71" s="244"/>
      <c r="O71" s="176"/>
      <c r="P71" s="50"/>
      <c r="Q71" s="50"/>
      <c r="R71" s="216"/>
      <c r="S71" s="216"/>
      <c r="T71" s="176"/>
      <c r="U71" s="176"/>
      <c r="V71" s="238"/>
      <c r="W71" s="239"/>
      <c r="X71" s="239"/>
      <c r="Y71" s="245"/>
      <c r="Z71" s="246"/>
      <c r="AA71" s="246"/>
      <c r="AB71" s="246"/>
      <c r="AC71" s="246"/>
      <c r="AD71" s="246"/>
      <c r="AZ71" s="45"/>
      <c r="BS71" s="239"/>
      <c r="BX71" s="239"/>
      <c r="CE71" s="239"/>
    </row>
    <row r="72" spans="1:83" ht="15">
      <c r="A72" s="221"/>
      <c r="B72" s="221"/>
      <c r="C72" s="221"/>
      <c r="D72" s="221"/>
      <c r="K72" s="176"/>
      <c r="L72" s="252"/>
      <c r="M72" s="244"/>
      <c r="N72" s="244"/>
      <c r="O72" s="176"/>
      <c r="P72" s="50"/>
      <c r="Q72" s="50"/>
      <c r="R72" s="216"/>
      <c r="S72" s="216"/>
      <c r="T72" s="176"/>
      <c r="U72" s="176"/>
      <c r="V72" s="238"/>
      <c r="W72" s="239"/>
      <c r="X72" s="239"/>
      <c r="Y72" s="245"/>
      <c r="Z72" s="246"/>
      <c r="AA72" s="246"/>
      <c r="AB72" s="246"/>
      <c r="AC72" s="246"/>
      <c r="AD72" s="246"/>
      <c r="AZ72" s="45"/>
      <c r="BS72" s="239"/>
      <c r="BX72" s="239"/>
      <c r="CE72" s="239"/>
    </row>
    <row r="73" spans="1:83" ht="15">
      <c r="A73" s="221"/>
      <c r="B73" s="221"/>
      <c r="C73" s="221"/>
      <c r="D73" s="221"/>
      <c r="K73" s="176"/>
      <c r="L73" s="252"/>
      <c r="M73" s="244"/>
      <c r="N73" s="244"/>
      <c r="O73" s="176"/>
      <c r="P73" s="50"/>
      <c r="Q73" s="50"/>
      <c r="R73" s="216"/>
      <c r="S73" s="216"/>
      <c r="T73" s="176"/>
      <c r="U73" s="176"/>
      <c r="V73" s="238"/>
      <c r="W73" s="239"/>
      <c r="X73" s="239"/>
      <c r="Y73" s="245"/>
      <c r="Z73" s="246"/>
      <c r="AA73" s="246"/>
      <c r="AB73" s="246"/>
      <c r="AC73" s="246"/>
      <c r="AD73" s="246"/>
      <c r="AZ73" s="45"/>
      <c r="BS73" s="239"/>
      <c r="BX73" s="239"/>
      <c r="CE73" s="239"/>
    </row>
    <row r="74" spans="1:83" ht="15">
      <c r="A74" s="221"/>
      <c r="B74" s="221"/>
      <c r="C74" s="221"/>
      <c r="D74" s="221"/>
      <c r="K74" s="176"/>
      <c r="L74" s="252"/>
      <c r="M74" s="244"/>
      <c r="N74" s="244"/>
      <c r="O74" s="176"/>
      <c r="P74" s="50"/>
      <c r="Q74" s="50"/>
      <c r="R74" s="216"/>
      <c r="S74" s="216"/>
      <c r="T74" s="176"/>
      <c r="U74" s="176"/>
      <c r="V74" s="238"/>
      <c r="W74" s="239"/>
      <c r="X74" s="239"/>
      <c r="Y74" s="245"/>
      <c r="Z74" s="246"/>
      <c r="AA74" s="246"/>
      <c r="AB74" s="246"/>
      <c r="AC74" s="246"/>
      <c r="AD74" s="246"/>
      <c r="AZ74" s="45"/>
      <c r="BS74" s="239"/>
      <c r="BX74" s="239"/>
      <c r="CE74" s="239"/>
    </row>
    <row r="75" spans="1:83" ht="15">
      <c r="A75" s="221"/>
      <c r="B75" s="221"/>
      <c r="C75" s="221"/>
      <c r="D75" s="221"/>
      <c r="K75" s="176"/>
      <c r="L75" s="252"/>
      <c r="M75" s="244"/>
      <c r="N75" s="244"/>
      <c r="O75" s="176"/>
      <c r="P75" s="50"/>
      <c r="Q75" s="50"/>
      <c r="R75" s="216"/>
      <c r="S75" s="216"/>
      <c r="T75" s="176"/>
      <c r="U75" s="176"/>
      <c r="Z75" s="246"/>
      <c r="AA75" s="246"/>
      <c r="AB75" s="246"/>
      <c r="AC75" s="246"/>
      <c r="AD75" s="246"/>
      <c r="BS75" s="239"/>
      <c r="BX75" s="239"/>
      <c r="CE75" s="239"/>
    </row>
    <row r="76" spans="1:83" ht="15">
      <c r="A76" s="221"/>
      <c r="B76" s="221"/>
      <c r="C76" s="221"/>
      <c r="D76" s="221"/>
      <c r="K76" s="176"/>
      <c r="L76" s="252"/>
      <c r="M76" s="244"/>
      <c r="N76" s="244"/>
      <c r="O76" s="176"/>
      <c r="P76" s="50"/>
      <c r="Q76" s="50"/>
      <c r="R76" s="216"/>
      <c r="S76" s="216"/>
      <c r="T76" s="176"/>
      <c r="U76" s="176"/>
      <c r="Z76" s="246"/>
      <c r="AA76" s="246"/>
      <c r="AB76" s="246"/>
      <c r="AC76" s="246"/>
      <c r="AD76" s="246"/>
      <c r="BS76" s="239"/>
      <c r="BX76" s="239"/>
      <c r="CE76" s="239"/>
    </row>
    <row r="77" spans="1:83" ht="15">
      <c r="A77" s="221"/>
      <c r="B77" s="221"/>
      <c r="C77" s="221"/>
      <c r="D77" s="221"/>
      <c r="K77" s="176"/>
      <c r="L77" s="252"/>
      <c r="M77" s="244"/>
      <c r="N77" s="244"/>
      <c r="O77" s="176"/>
      <c r="P77" s="50"/>
      <c r="Q77" s="50"/>
      <c r="R77" s="216"/>
      <c r="S77" s="216"/>
      <c r="T77" s="176"/>
      <c r="U77" s="176"/>
      <c r="Z77" s="246"/>
      <c r="AA77" s="246"/>
      <c r="AB77" s="246"/>
      <c r="AC77" s="246"/>
      <c r="AD77" s="246"/>
    </row>
    <row r="78" spans="1:83" ht="15">
      <c r="A78" s="221"/>
      <c r="B78" s="221"/>
      <c r="C78" s="221"/>
      <c r="D78" s="221"/>
      <c r="K78" s="176"/>
      <c r="L78" s="252"/>
      <c r="M78" s="244"/>
      <c r="N78" s="244"/>
      <c r="O78" s="176"/>
      <c r="P78" s="50"/>
      <c r="Q78" s="50"/>
      <c r="R78" s="216"/>
      <c r="S78" s="216"/>
      <c r="T78" s="176"/>
      <c r="U78" s="176"/>
      <c r="Z78" s="246"/>
      <c r="AA78" s="246"/>
      <c r="AB78" s="246"/>
      <c r="AC78" s="246"/>
      <c r="AD78" s="246"/>
    </row>
    <row r="79" spans="1:83" ht="15">
      <c r="A79" s="221"/>
      <c r="B79" s="221"/>
      <c r="C79" s="221"/>
      <c r="D79" s="221"/>
      <c r="K79" s="176"/>
      <c r="L79" s="252"/>
      <c r="M79" s="244"/>
      <c r="N79" s="244"/>
      <c r="O79" s="176"/>
      <c r="P79" s="50"/>
      <c r="Q79" s="50"/>
      <c r="R79" s="216"/>
      <c r="S79" s="216"/>
      <c r="T79" s="176"/>
      <c r="U79" s="176"/>
      <c r="Z79" s="246"/>
      <c r="AA79" s="246"/>
      <c r="AB79" s="246"/>
      <c r="AC79" s="246"/>
      <c r="AD79" s="246"/>
    </row>
    <row r="80" spans="1:83" ht="15">
      <c r="A80" s="221"/>
      <c r="B80" s="221"/>
      <c r="C80" s="221"/>
      <c r="D80" s="221"/>
      <c r="K80" s="176"/>
      <c r="L80" s="252"/>
      <c r="M80" s="244"/>
      <c r="N80" s="244"/>
      <c r="O80" s="176"/>
      <c r="P80" s="50"/>
      <c r="Q80" s="50"/>
      <c r="R80" s="216"/>
      <c r="S80" s="216"/>
      <c r="T80" s="176"/>
      <c r="U80" s="176"/>
      <c r="Z80" s="246"/>
      <c r="AA80" s="246"/>
      <c r="AB80" s="246"/>
      <c r="AC80" s="246"/>
      <c r="AD80" s="246"/>
    </row>
    <row r="81" spans="1:30" ht="15">
      <c r="A81" s="221"/>
      <c r="B81" s="221"/>
      <c r="C81" s="221"/>
      <c r="D81" s="221"/>
      <c r="K81" s="176"/>
      <c r="L81" s="252"/>
      <c r="M81" s="244"/>
      <c r="N81" s="244"/>
      <c r="O81" s="176"/>
      <c r="P81" s="50"/>
      <c r="Q81" s="50"/>
      <c r="R81" s="216"/>
      <c r="S81" s="216"/>
      <c r="T81" s="176"/>
      <c r="U81" s="176"/>
      <c r="Z81" s="246"/>
      <c r="AA81" s="246"/>
      <c r="AB81" s="246"/>
      <c r="AC81" s="246"/>
      <c r="AD81" s="246"/>
    </row>
    <row r="82" spans="1:30" ht="15">
      <c r="A82" s="221"/>
      <c r="B82" s="221"/>
      <c r="C82" s="221"/>
      <c r="D82" s="221"/>
      <c r="K82" s="176"/>
      <c r="L82" s="252"/>
      <c r="M82" s="244"/>
      <c r="N82" s="244"/>
      <c r="O82" s="176"/>
      <c r="P82" s="50"/>
      <c r="Q82" s="50"/>
      <c r="R82" s="216"/>
      <c r="S82" s="216"/>
      <c r="T82" s="176"/>
      <c r="U82" s="176"/>
      <c r="Z82" s="246"/>
      <c r="AA82" s="246"/>
      <c r="AB82" s="246"/>
      <c r="AC82" s="246"/>
      <c r="AD82" s="246"/>
    </row>
    <row r="83" spans="1:30" ht="15">
      <c r="A83" s="221"/>
      <c r="B83" s="221"/>
      <c r="C83" s="221"/>
      <c r="D83" s="221"/>
      <c r="K83" s="176"/>
      <c r="L83" s="252"/>
      <c r="M83" s="244"/>
      <c r="N83" s="244"/>
      <c r="O83" s="176"/>
      <c r="P83" s="50"/>
      <c r="Q83" s="50"/>
      <c r="R83" s="216"/>
      <c r="S83" s="216"/>
      <c r="T83" s="176"/>
      <c r="U83" s="176"/>
      <c r="Z83" s="246"/>
      <c r="AA83" s="246"/>
      <c r="AB83" s="246"/>
      <c r="AC83" s="246"/>
      <c r="AD83" s="246"/>
    </row>
    <row r="84" spans="1:30" ht="15">
      <c r="A84" s="221"/>
      <c r="B84" s="221"/>
      <c r="C84" s="221"/>
      <c r="D84" s="221"/>
      <c r="K84" s="176"/>
      <c r="L84" s="252"/>
      <c r="M84" s="244"/>
      <c r="N84" s="244"/>
      <c r="O84" s="176"/>
      <c r="P84" s="50"/>
      <c r="Q84" s="50"/>
      <c r="R84" s="216"/>
      <c r="S84" s="216"/>
      <c r="T84" s="176"/>
      <c r="U84" s="176"/>
      <c r="Z84" s="246"/>
      <c r="AA84" s="246"/>
      <c r="AB84" s="246"/>
      <c r="AC84" s="246"/>
      <c r="AD84" s="246"/>
    </row>
    <row r="85" spans="1:30" ht="15">
      <c r="A85" s="221"/>
      <c r="B85" s="221"/>
      <c r="C85" s="221"/>
      <c r="D85" s="221"/>
      <c r="K85" s="176"/>
      <c r="L85" s="252"/>
      <c r="M85" s="244"/>
      <c r="N85" s="244"/>
      <c r="O85" s="176"/>
      <c r="P85" s="50"/>
      <c r="Q85" s="50"/>
      <c r="R85" s="216"/>
      <c r="S85" s="216"/>
      <c r="T85" s="176"/>
      <c r="U85" s="176"/>
      <c r="Z85" s="246"/>
      <c r="AA85" s="246"/>
      <c r="AB85" s="246"/>
      <c r="AC85" s="246"/>
      <c r="AD85" s="246"/>
    </row>
    <row r="86" spans="1:30" ht="15">
      <c r="A86" s="221"/>
      <c r="B86" s="221"/>
      <c r="C86" s="221"/>
      <c r="D86" s="221"/>
      <c r="K86" s="176"/>
      <c r="L86" s="252"/>
      <c r="M86" s="244"/>
      <c r="N86" s="244"/>
      <c r="O86" s="176"/>
      <c r="P86" s="50"/>
      <c r="Q86" s="50"/>
      <c r="R86" s="216"/>
      <c r="S86" s="216"/>
      <c r="T86" s="176"/>
      <c r="U86" s="176"/>
      <c r="Z86" s="246"/>
      <c r="AA86" s="246"/>
      <c r="AB86" s="246"/>
      <c r="AC86" s="246"/>
      <c r="AD86" s="246"/>
    </row>
    <row r="87" spans="1:30" ht="15">
      <c r="A87" s="221"/>
      <c r="B87" s="221"/>
      <c r="C87" s="221"/>
      <c r="D87" s="221"/>
      <c r="K87" s="176"/>
      <c r="L87" s="252"/>
      <c r="M87" s="244"/>
      <c r="N87" s="244"/>
      <c r="O87" s="176"/>
      <c r="P87" s="50"/>
      <c r="Q87" s="50"/>
      <c r="R87" s="216"/>
      <c r="S87" s="216"/>
      <c r="T87" s="176"/>
      <c r="U87" s="176"/>
      <c r="Z87" s="246"/>
      <c r="AA87" s="246"/>
      <c r="AB87" s="246"/>
      <c r="AC87" s="246"/>
      <c r="AD87" s="246"/>
    </row>
    <row r="88" spans="1:30" ht="15">
      <c r="A88" s="221"/>
      <c r="B88" s="221"/>
      <c r="C88" s="221"/>
      <c r="D88" s="221"/>
      <c r="K88" s="176"/>
      <c r="L88" s="252"/>
      <c r="M88" s="244"/>
      <c r="N88" s="244"/>
      <c r="O88" s="176"/>
      <c r="P88" s="50"/>
      <c r="Q88" s="50"/>
      <c r="R88" s="216"/>
      <c r="S88" s="216"/>
      <c r="T88" s="176"/>
      <c r="U88" s="176"/>
      <c r="Z88" s="246"/>
      <c r="AA88" s="246"/>
      <c r="AB88" s="246"/>
      <c r="AC88" s="246"/>
      <c r="AD88" s="246"/>
    </row>
    <row r="89" spans="1:30" ht="15">
      <c r="A89" s="221"/>
      <c r="B89" s="221"/>
      <c r="C89" s="221"/>
      <c r="D89" s="221"/>
      <c r="K89" s="176"/>
      <c r="L89" s="252"/>
      <c r="M89" s="244"/>
      <c r="N89" s="244"/>
      <c r="O89" s="176"/>
      <c r="P89" s="50"/>
      <c r="Q89" s="50"/>
      <c r="R89" s="216"/>
      <c r="S89" s="216"/>
      <c r="T89" s="176"/>
      <c r="U89" s="176"/>
      <c r="Z89" s="246"/>
      <c r="AA89" s="246"/>
      <c r="AB89" s="246"/>
      <c r="AC89" s="246"/>
      <c r="AD89" s="246"/>
    </row>
    <row r="90" spans="1:30" ht="15">
      <c r="A90" s="221"/>
      <c r="B90" s="221"/>
      <c r="C90" s="221"/>
      <c r="D90" s="221"/>
      <c r="K90" s="176"/>
      <c r="L90" s="252"/>
      <c r="M90" s="244"/>
      <c r="N90" s="244"/>
      <c r="O90" s="176"/>
      <c r="P90" s="50"/>
      <c r="Q90" s="50"/>
      <c r="R90" s="216"/>
      <c r="S90" s="216"/>
      <c r="T90" s="176"/>
      <c r="U90" s="176"/>
      <c r="Z90" s="246"/>
      <c r="AA90" s="246"/>
      <c r="AB90" s="246"/>
      <c r="AC90" s="246"/>
      <c r="AD90" s="246"/>
    </row>
    <row r="91" spans="1:30" ht="15">
      <c r="A91" s="221"/>
      <c r="B91" s="221"/>
      <c r="C91" s="221"/>
      <c r="D91" s="221"/>
      <c r="K91" s="176"/>
      <c r="L91" s="252"/>
      <c r="M91" s="244"/>
      <c r="N91" s="244"/>
      <c r="O91" s="176"/>
      <c r="P91" s="50"/>
      <c r="Q91" s="50"/>
      <c r="R91" s="216"/>
      <c r="S91" s="216"/>
      <c r="T91" s="176"/>
      <c r="U91" s="176"/>
      <c r="Z91" s="246"/>
      <c r="AA91" s="246"/>
      <c r="AB91" s="246"/>
      <c r="AC91" s="246"/>
      <c r="AD91" s="246"/>
    </row>
    <row r="92" spans="1:30" ht="15">
      <c r="A92" s="221"/>
      <c r="B92" s="221"/>
      <c r="C92" s="221"/>
      <c r="D92" s="221"/>
      <c r="K92" s="176"/>
      <c r="L92" s="252"/>
      <c r="M92" s="244"/>
      <c r="N92" s="244"/>
      <c r="O92" s="176"/>
      <c r="P92" s="50"/>
      <c r="Q92" s="50"/>
      <c r="R92" s="216"/>
      <c r="S92" s="216"/>
      <c r="T92" s="176"/>
      <c r="U92" s="176"/>
      <c r="Z92" s="246"/>
      <c r="AA92" s="246"/>
      <c r="AB92" s="246"/>
      <c r="AC92" s="246"/>
      <c r="AD92" s="246"/>
    </row>
    <row r="93" spans="1:30" ht="15">
      <c r="A93" s="221"/>
      <c r="B93" s="221"/>
      <c r="C93" s="221"/>
      <c r="D93" s="221"/>
      <c r="K93" s="176"/>
      <c r="L93" s="252"/>
      <c r="M93" s="244"/>
      <c r="N93" s="244"/>
      <c r="O93" s="176"/>
      <c r="P93" s="50"/>
      <c r="Q93" s="50"/>
      <c r="R93" s="216"/>
      <c r="S93" s="216"/>
      <c r="T93" s="176"/>
      <c r="U93" s="176"/>
      <c r="Z93" s="246"/>
      <c r="AA93" s="246"/>
      <c r="AB93" s="246"/>
      <c r="AC93" s="246"/>
      <c r="AD93" s="246"/>
    </row>
    <row r="94" spans="1:30" ht="15">
      <c r="A94" s="221"/>
      <c r="B94" s="221"/>
      <c r="C94" s="221"/>
      <c r="D94" s="221"/>
      <c r="K94" s="176"/>
      <c r="L94" s="252"/>
      <c r="M94" s="244"/>
      <c r="N94" s="244"/>
      <c r="O94" s="176"/>
      <c r="P94" s="50"/>
      <c r="Q94" s="50"/>
      <c r="R94" s="216"/>
      <c r="S94" s="216"/>
      <c r="T94" s="176"/>
      <c r="U94" s="176"/>
      <c r="Z94" s="246"/>
      <c r="AA94" s="246"/>
      <c r="AB94" s="246"/>
      <c r="AC94" s="246"/>
      <c r="AD94" s="246"/>
    </row>
    <row r="95" spans="1:30" ht="15">
      <c r="A95" s="221"/>
      <c r="B95" s="221"/>
      <c r="C95" s="221"/>
      <c r="D95" s="221"/>
      <c r="K95" s="176"/>
      <c r="L95" s="252"/>
      <c r="M95" s="244"/>
      <c r="N95" s="244"/>
      <c r="O95" s="176"/>
      <c r="P95" s="50"/>
      <c r="Q95" s="50"/>
      <c r="R95" s="216"/>
      <c r="S95" s="216"/>
      <c r="T95" s="176"/>
      <c r="U95" s="176"/>
      <c r="Z95" s="246"/>
      <c r="AA95" s="246"/>
      <c r="AB95" s="246"/>
      <c r="AC95" s="246"/>
      <c r="AD95" s="246"/>
    </row>
    <row r="96" spans="1:30" ht="15">
      <c r="A96" s="221"/>
      <c r="B96" s="221"/>
      <c r="C96" s="221"/>
      <c r="D96" s="221"/>
      <c r="K96" s="176"/>
      <c r="L96" s="252"/>
      <c r="M96" s="244"/>
      <c r="N96" s="244"/>
      <c r="O96" s="176"/>
      <c r="P96" s="50"/>
      <c r="Q96" s="50"/>
      <c r="R96" s="216"/>
      <c r="S96" s="216"/>
      <c r="T96" s="176"/>
      <c r="U96" s="176"/>
      <c r="Z96" s="246"/>
      <c r="AA96" s="246"/>
      <c r="AB96" s="246"/>
      <c r="AC96" s="246"/>
      <c r="AD96" s="246"/>
    </row>
    <row r="97" spans="1:30" ht="15">
      <c r="A97" s="221"/>
      <c r="B97" s="221"/>
      <c r="C97" s="221"/>
      <c r="D97" s="221"/>
      <c r="K97" s="176"/>
      <c r="L97" s="252"/>
      <c r="M97" s="244"/>
      <c r="N97" s="244"/>
      <c r="O97" s="176"/>
      <c r="P97" s="50"/>
      <c r="Q97" s="50"/>
      <c r="R97" s="216"/>
      <c r="S97" s="216"/>
      <c r="T97" s="176"/>
      <c r="U97" s="176"/>
      <c r="Z97" s="246"/>
      <c r="AA97" s="246"/>
      <c r="AB97" s="246"/>
      <c r="AC97" s="246"/>
      <c r="AD97" s="246"/>
    </row>
    <row r="98" spans="1:30" ht="15">
      <c r="A98" s="221"/>
      <c r="B98" s="221"/>
      <c r="C98" s="221"/>
      <c r="D98" s="221"/>
      <c r="K98" s="176"/>
      <c r="L98" s="252"/>
      <c r="M98" s="244"/>
      <c r="N98" s="244"/>
      <c r="O98" s="176"/>
      <c r="P98" s="50"/>
      <c r="Q98" s="50"/>
      <c r="R98" s="216"/>
      <c r="S98" s="216"/>
      <c r="T98" s="176"/>
      <c r="U98" s="176"/>
      <c r="Z98" s="246"/>
      <c r="AA98" s="246"/>
      <c r="AB98" s="246"/>
      <c r="AC98" s="246"/>
      <c r="AD98" s="246"/>
    </row>
    <row r="99" spans="1:30" ht="15">
      <c r="A99" s="221"/>
      <c r="B99" s="221"/>
      <c r="C99" s="221"/>
      <c r="D99" s="221"/>
      <c r="K99" s="176"/>
      <c r="L99" s="252"/>
      <c r="M99" s="244"/>
      <c r="N99" s="244"/>
      <c r="O99" s="176"/>
      <c r="P99" s="50"/>
      <c r="Q99" s="50"/>
      <c r="R99" s="216"/>
      <c r="S99" s="216"/>
      <c r="T99" s="176"/>
      <c r="U99" s="176"/>
      <c r="Z99" s="246"/>
      <c r="AA99" s="246"/>
      <c r="AB99" s="246"/>
      <c r="AC99" s="246"/>
      <c r="AD99" s="246"/>
    </row>
    <row r="100" spans="1:30" ht="15">
      <c r="A100" s="221"/>
      <c r="B100" s="221"/>
      <c r="C100" s="221"/>
      <c r="D100" s="221"/>
      <c r="K100" s="176"/>
      <c r="L100" s="252"/>
      <c r="M100" s="244"/>
      <c r="N100" s="244"/>
      <c r="O100" s="176"/>
      <c r="P100" s="50"/>
      <c r="Q100" s="50"/>
      <c r="R100" s="216"/>
      <c r="S100" s="216"/>
      <c r="T100" s="176"/>
      <c r="U100" s="176"/>
      <c r="Z100" s="246"/>
      <c r="AA100" s="246"/>
      <c r="AB100" s="246"/>
      <c r="AC100" s="246"/>
      <c r="AD100" s="246"/>
    </row>
    <row r="101" spans="1:30" ht="15">
      <c r="A101" s="221"/>
      <c r="B101" s="221"/>
      <c r="C101" s="221"/>
      <c r="D101" s="221"/>
      <c r="K101" s="176"/>
      <c r="L101" s="252"/>
      <c r="M101" s="244"/>
      <c r="N101" s="244"/>
      <c r="O101" s="176"/>
      <c r="P101" s="50"/>
      <c r="Q101" s="50"/>
      <c r="R101" s="216"/>
      <c r="S101" s="216"/>
      <c r="T101" s="176"/>
      <c r="U101" s="176"/>
      <c r="Z101" s="246"/>
      <c r="AA101" s="246"/>
      <c r="AB101" s="246"/>
      <c r="AC101" s="246"/>
      <c r="AD101" s="246"/>
    </row>
    <row r="102" spans="1:30" ht="15">
      <c r="A102" s="221"/>
      <c r="B102" s="221"/>
      <c r="C102" s="221"/>
      <c r="D102" s="221"/>
      <c r="K102" s="176"/>
      <c r="L102" s="252"/>
      <c r="M102" s="244"/>
      <c r="N102" s="244"/>
      <c r="O102" s="176"/>
      <c r="P102" s="50"/>
      <c r="Q102" s="50"/>
      <c r="R102" s="216"/>
      <c r="S102" s="216"/>
      <c r="T102" s="176"/>
      <c r="U102" s="176"/>
      <c r="Z102" s="246"/>
      <c r="AA102" s="246"/>
      <c r="AB102" s="246"/>
      <c r="AC102" s="246"/>
      <c r="AD102" s="246"/>
    </row>
    <row r="103" spans="1:30" ht="15">
      <c r="A103" s="221"/>
      <c r="B103" s="221"/>
      <c r="C103" s="221"/>
      <c r="D103" s="221"/>
      <c r="K103" s="176"/>
      <c r="L103" s="252"/>
      <c r="M103" s="244"/>
      <c r="N103" s="244"/>
      <c r="O103" s="176"/>
      <c r="P103" s="50"/>
      <c r="Q103" s="50"/>
      <c r="R103" s="216"/>
      <c r="S103" s="216"/>
      <c r="T103" s="176"/>
      <c r="U103" s="176"/>
      <c r="Z103" s="246"/>
      <c r="AA103" s="246"/>
      <c r="AB103" s="246"/>
      <c r="AC103" s="246"/>
      <c r="AD103" s="246"/>
    </row>
    <row r="104" spans="1:30" ht="15">
      <c r="A104" s="221"/>
      <c r="B104" s="221"/>
      <c r="C104" s="221"/>
      <c r="D104" s="221"/>
      <c r="K104" s="176"/>
      <c r="L104" s="252"/>
      <c r="M104" s="244"/>
      <c r="N104" s="244"/>
      <c r="O104" s="176"/>
      <c r="P104" s="50"/>
      <c r="Q104" s="50"/>
      <c r="R104" s="216"/>
      <c r="S104" s="216"/>
      <c r="T104" s="176"/>
      <c r="U104" s="176"/>
      <c r="Z104" s="246"/>
      <c r="AA104" s="246"/>
      <c r="AB104" s="246"/>
      <c r="AC104" s="246"/>
      <c r="AD104" s="246"/>
    </row>
    <row r="105" spans="1:30" ht="15">
      <c r="A105" s="221"/>
      <c r="B105" s="221"/>
      <c r="C105" s="221"/>
      <c r="D105" s="221"/>
      <c r="K105" s="176"/>
      <c r="L105" s="252"/>
      <c r="M105" s="244"/>
      <c r="N105" s="244"/>
      <c r="O105" s="176"/>
      <c r="P105" s="50"/>
      <c r="Q105" s="50"/>
      <c r="R105" s="216"/>
      <c r="S105" s="216"/>
      <c r="T105" s="176"/>
      <c r="U105" s="176"/>
      <c r="Z105" s="246"/>
      <c r="AA105" s="246"/>
      <c r="AB105" s="246"/>
      <c r="AC105" s="246"/>
      <c r="AD105" s="246"/>
    </row>
    <row r="106" spans="1:30" ht="15">
      <c r="A106" s="221"/>
      <c r="B106" s="221"/>
      <c r="C106" s="221"/>
      <c r="D106" s="221"/>
      <c r="K106" s="176"/>
      <c r="L106" s="252"/>
      <c r="M106" s="244"/>
      <c r="N106" s="244"/>
      <c r="O106" s="176"/>
      <c r="P106" s="50"/>
      <c r="Q106" s="50"/>
      <c r="R106" s="216"/>
      <c r="S106" s="216"/>
      <c r="T106" s="176"/>
      <c r="U106" s="176"/>
      <c r="Z106" s="246"/>
      <c r="AA106" s="246"/>
      <c r="AB106" s="246"/>
      <c r="AC106" s="246"/>
      <c r="AD106" s="246"/>
    </row>
    <row r="107" spans="1:30" ht="15">
      <c r="A107" s="221"/>
      <c r="B107" s="221"/>
      <c r="C107" s="221"/>
      <c r="D107" s="221"/>
      <c r="K107" s="176"/>
      <c r="L107" s="252"/>
      <c r="M107" s="244"/>
      <c r="N107" s="244"/>
      <c r="O107" s="176"/>
      <c r="P107" s="50"/>
      <c r="Q107" s="50"/>
      <c r="R107" s="216"/>
      <c r="S107" s="216"/>
      <c r="T107" s="176"/>
      <c r="U107" s="176"/>
      <c r="Z107" s="246"/>
      <c r="AA107" s="246"/>
      <c r="AB107" s="246"/>
      <c r="AC107" s="246"/>
      <c r="AD107" s="246"/>
    </row>
    <row r="108" spans="1:30" ht="15">
      <c r="A108" s="221"/>
      <c r="B108" s="221"/>
      <c r="C108" s="221"/>
      <c r="D108" s="221"/>
      <c r="K108" s="176"/>
      <c r="L108" s="252"/>
      <c r="M108" s="244"/>
      <c r="N108" s="244"/>
      <c r="O108" s="176"/>
      <c r="P108" s="50"/>
      <c r="Q108" s="50"/>
      <c r="R108" s="216"/>
      <c r="S108" s="216"/>
      <c r="T108" s="176"/>
      <c r="U108" s="176"/>
      <c r="Z108" s="246"/>
      <c r="AA108" s="246"/>
      <c r="AB108" s="246"/>
      <c r="AC108" s="246"/>
      <c r="AD108" s="246"/>
    </row>
    <row r="109" spans="1:30" ht="15">
      <c r="A109" s="221"/>
      <c r="B109" s="221"/>
      <c r="C109" s="221"/>
      <c r="D109" s="221"/>
      <c r="K109" s="176"/>
      <c r="L109" s="252"/>
      <c r="M109" s="244"/>
      <c r="N109" s="244"/>
      <c r="O109" s="176"/>
      <c r="P109" s="50"/>
      <c r="Q109" s="50"/>
      <c r="R109" s="216"/>
      <c r="S109" s="216"/>
      <c r="T109" s="176"/>
      <c r="U109" s="176"/>
      <c r="Z109" s="246"/>
      <c r="AA109" s="246"/>
      <c r="AB109" s="246"/>
      <c r="AC109" s="246"/>
      <c r="AD109" s="246"/>
    </row>
    <row r="110" spans="1:30" ht="15">
      <c r="A110" s="221"/>
      <c r="B110" s="221"/>
      <c r="C110" s="221"/>
      <c r="D110" s="221"/>
      <c r="K110" s="176"/>
      <c r="L110" s="252"/>
      <c r="M110" s="244"/>
      <c r="N110" s="244"/>
      <c r="O110" s="176"/>
      <c r="P110" s="50"/>
      <c r="Q110" s="50"/>
      <c r="R110" s="216"/>
      <c r="S110" s="216"/>
      <c r="T110" s="176"/>
      <c r="U110" s="176"/>
      <c r="Z110" s="246"/>
      <c r="AA110" s="246"/>
      <c r="AB110" s="246"/>
      <c r="AC110" s="246"/>
      <c r="AD110" s="246"/>
    </row>
    <row r="111" spans="1:30" ht="15">
      <c r="A111" s="221"/>
      <c r="B111" s="221"/>
      <c r="C111" s="221"/>
      <c r="D111" s="221"/>
      <c r="K111" s="176"/>
      <c r="L111" s="252"/>
      <c r="M111" s="244"/>
      <c r="N111" s="244"/>
      <c r="O111" s="176"/>
      <c r="P111" s="50"/>
      <c r="Q111" s="50"/>
      <c r="R111" s="216"/>
      <c r="S111" s="216"/>
      <c r="T111" s="176"/>
      <c r="U111" s="176"/>
      <c r="Z111" s="246"/>
      <c r="AA111" s="246"/>
      <c r="AB111" s="246"/>
      <c r="AC111" s="246"/>
      <c r="AD111" s="246"/>
    </row>
    <row r="112" spans="1:30" ht="15">
      <c r="A112" s="221"/>
      <c r="B112" s="221"/>
      <c r="C112" s="221"/>
      <c r="D112" s="221"/>
      <c r="K112" s="176"/>
      <c r="L112" s="252"/>
      <c r="M112" s="244"/>
      <c r="N112" s="244"/>
      <c r="O112" s="176"/>
      <c r="P112" s="50"/>
      <c r="Q112" s="50"/>
      <c r="R112" s="216"/>
      <c r="S112" s="216"/>
      <c r="T112" s="176"/>
      <c r="U112" s="176"/>
      <c r="Z112" s="246"/>
      <c r="AA112" s="246"/>
      <c r="AB112" s="246"/>
      <c r="AC112" s="246"/>
      <c r="AD112" s="246"/>
    </row>
    <row r="113" spans="1:30">
      <c r="A113" s="221"/>
      <c r="B113" s="221"/>
      <c r="C113" s="221"/>
      <c r="D113" s="221"/>
      <c r="K113" s="176"/>
      <c r="L113" s="176"/>
      <c r="M113" s="176"/>
      <c r="N113" s="50"/>
      <c r="O113" s="176"/>
      <c r="P113" s="50"/>
      <c r="Q113" s="50"/>
      <c r="R113" s="176"/>
      <c r="S113" s="176"/>
      <c r="T113" s="176"/>
      <c r="U113" s="176"/>
      <c r="Z113" s="246"/>
      <c r="AA113" s="246"/>
      <c r="AB113" s="246"/>
      <c r="AC113" s="246"/>
      <c r="AD113" s="246"/>
    </row>
    <row r="114" spans="1:30">
      <c r="A114" s="221"/>
      <c r="B114" s="221"/>
      <c r="C114" s="221"/>
      <c r="D114" s="221"/>
      <c r="K114" s="176"/>
      <c r="L114" s="176"/>
      <c r="M114" s="176"/>
      <c r="N114" s="50"/>
      <c r="O114" s="176"/>
      <c r="P114" s="50"/>
      <c r="Q114" s="50"/>
      <c r="R114" s="176"/>
      <c r="S114" s="176"/>
      <c r="T114" s="176"/>
      <c r="U114" s="176"/>
      <c r="Z114" s="246"/>
      <c r="AA114" s="246"/>
      <c r="AB114" s="246"/>
      <c r="AC114" s="246"/>
      <c r="AD114" s="246"/>
    </row>
    <row r="115" spans="1:30">
      <c r="A115" s="221"/>
      <c r="B115" s="221"/>
      <c r="C115" s="221"/>
      <c r="D115" s="221"/>
      <c r="K115" s="176"/>
      <c r="L115" s="176"/>
      <c r="M115" s="176"/>
      <c r="N115" s="50"/>
      <c r="O115" s="176"/>
      <c r="P115" s="50"/>
      <c r="Q115" s="50"/>
      <c r="R115" s="176"/>
      <c r="S115" s="176"/>
      <c r="T115" s="176"/>
      <c r="U115" s="176"/>
      <c r="Z115" s="246"/>
      <c r="AA115" s="246"/>
      <c r="AB115" s="246"/>
      <c r="AC115" s="246"/>
      <c r="AD115" s="246"/>
    </row>
    <row r="116" spans="1:30">
      <c r="A116" s="221"/>
      <c r="B116" s="221"/>
      <c r="C116" s="221"/>
      <c r="D116" s="221"/>
      <c r="K116" s="176"/>
      <c r="L116" s="176"/>
      <c r="M116" s="176"/>
      <c r="N116" s="50"/>
      <c r="O116" s="176"/>
      <c r="P116" s="50"/>
      <c r="Q116" s="50"/>
      <c r="R116" s="176"/>
      <c r="S116" s="176"/>
      <c r="T116" s="176"/>
      <c r="U116" s="176"/>
      <c r="Z116" s="246"/>
      <c r="AA116" s="246"/>
      <c r="AB116" s="246"/>
      <c r="AC116" s="246"/>
      <c r="AD116" s="246"/>
    </row>
    <row r="117" spans="1:30" ht="15">
      <c r="A117" s="221"/>
      <c r="B117" s="221"/>
      <c r="C117" s="221"/>
      <c r="D117" s="221"/>
      <c r="K117" s="176"/>
      <c r="L117" s="176"/>
      <c r="M117" s="244"/>
      <c r="N117" s="244"/>
      <c r="O117" s="176"/>
      <c r="P117" s="50"/>
      <c r="Q117" s="50"/>
      <c r="R117" s="216"/>
      <c r="S117" s="176"/>
      <c r="T117" s="176"/>
      <c r="U117" s="176"/>
      <c r="Z117" s="246"/>
      <c r="AA117" s="246"/>
      <c r="AB117" s="246"/>
      <c r="AC117" s="246"/>
      <c r="AD117" s="246"/>
    </row>
    <row r="118" spans="1:30" ht="15">
      <c r="A118" s="221"/>
      <c r="B118" s="221"/>
      <c r="C118" s="221"/>
      <c r="D118" s="221"/>
      <c r="K118" s="176"/>
      <c r="L118" s="176"/>
      <c r="M118" s="244"/>
      <c r="N118" s="244"/>
      <c r="O118" s="176"/>
      <c r="P118" s="50"/>
      <c r="Q118" s="50"/>
      <c r="R118" s="216"/>
      <c r="S118" s="176"/>
      <c r="T118" s="176"/>
      <c r="U118" s="176"/>
      <c r="Z118" s="246"/>
      <c r="AA118" s="246"/>
      <c r="AB118" s="246"/>
      <c r="AC118" s="246"/>
      <c r="AD118" s="246"/>
    </row>
    <row r="119" spans="1:30" ht="15">
      <c r="A119" s="221"/>
      <c r="B119" s="221"/>
      <c r="C119" s="221"/>
      <c r="D119" s="221"/>
      <c r="K119" s="176"/>
      <c r="L119" s="176"/>
      <c r="M119" s="244"/>
      <c r="N119" s="244"/>
      <c r="O119" s="176"/>
      <c r="P119" s="50"/>
      <c r="Q119" s="50"/>
      <c r="R119" s="216"/>
      <c r="S119" s="176"/>
      <c r="T119" s="176"/>
      <c r="U119" s="176"/>
      <c r="Z119" s="246"/>
      <c r="AA119" s="246"/>
      <c r="AB119" s="246"/>
      <c r="AC119" s="246"/>
      <c r="AD119" s="246"/>
    </row>
    <row r="120" spans="1:30" ht="15">
      <c r="A120" s="221"/>
      <c r="B120" s="221"/>
      <c r="C120" s="221"/>
      <c r="D120" s="221"/>
      <c r="K120" s="176"/>
      <c r="L120" s="176"/>
      <c r="M120" s="244"/>
      <c r="N120" s="244"/>
      <c r="O120" s="176"/>
      <c r="P120" s="50"/>
      <c r="Q120" s="50"/>
      <c r="R120" s="216"/>
      <c r="S120" s="176"/>
      <c r="T120" s="176"/>
      <c r="U120" s="176"/>
      <c r="Z120" s="246"/>
      <c r="AA120" s="246"/>
      <c r="AB120" s="246"/>
      <c r="AC120" s="246"/>
      <c r="AD120" s="246"/>
    </row>
    <row r="121" spans="1:30" ht="15">
      <c r="A121" s="221"/>
      <c r="B121" s="221"/>
      <c r="C121" s="221"/>
      <c r="D121" s="221"/>
      <c r="K121" s="176"/>
      <c r="L121" s="176"/>
      <c r="M121" s="244"/>
      <c r="N121" s="244"/>
      <c r="O121" s="176"/>
      <c r="P121" s="50"/>
      <c r="Q121" s="50"/>
      <c r="R121" s="216"/>
      <c r="S121" s="176"/>
      <c r="T121" s="176"/>
      <c r="U121" s="176"/>
      <c r="Z121" s="246"/>
      <c r="AA121" s="246"/>
      <c r="AB121" s="246"/>
      <c r="AC121" s="246"/>
      <c r="AD121" s="246"/>
    </row>
    <row r="122" spans="1:30" ht="15">
      <c r="A122" s="221"/>
      <c r="B122" s="221"/>
      <c r="C122" s="221"/>
      <c r="D122" s="221"/>
      <c r="K122" s="176"/>
      <c r="L122" s="176"/>
      <c r="M122" s="244"/>
      <c r="N122" s="244"/>
      <c r="O122" s="176"/>
      <c r="P122" s="50"/>
      <c r="Q122" s="50"/>
      <c r="R122" s="216"/>
      <c r="S122" s="176"/>
      <c r="T122" s="176"/>
      <c r="U122" s="176"/>
      <c r="Z122" s="246"/>
      <c r="AA122" s="246"/>
      <c r="AB122" s="246"/>
      <c r="AC122" s="246"/>
      <c r="AD122" s="246"/>
    </row>
    <row r="123" spans="1:30" ht="15">
      <c r="A123" s="221"/>
      <c r="B123" s="221"/>
      <c r="C123" s="221"/>
      <c r="D123" s="221"/>
      <c r="K123" s="176"/>
      <c r="L123" s="176"/>
      <c r="M123" s="244"/>
      <c r="N123" s="244"/>
      <c r="O123" s="176"/>
      <c r="P123" s="50"/>
      <c r="Q123" s="50"/>
      <c r="R123" s="216"/>
      <c r="S123" s="176"/>
      <c r="T123" s="176"/>
      <c r="U123" s="176"/>
      <c r="Z123" s="246"/>
      <c r="AA123" s="246"/>
      <c r="AB123" s="246"/>
      <c r="AC123" s="246"/>
      <c r="AD123" s="246"/>
    </row>
    <row r="124" spans="1:30" ht="15">
      <c r="A124" s="221"/>
      <c r="B124" s="221"/>
      <c r="C124" s="221"/>
      <c r="D124" s="221"/>
      <c r="K124" s="176"/>
      <c r="L124" s="176"/>
      <c r="M124" s="244"/>
      <c r="N124" s="244"/>
      <c r="O124" s="176"/>
      <c r="P124" s="50"/>
      <c r="Q124" s="50"/>
      <c r="R124" s="216"/>
      <c r="S124" s="176"/>
      <c r="T124" s="176"/>
      <c r="U124" s="176"/>
      <c r="Z124" s="246"/>
      <c r="AA124" s="246"/>
      <c r="AB124" s="246"/>
      <c r="AC124" s="246"/>
      <c r="AD124" s="246"/>
    </row>
    <row r="125" spans="1:30" ht="15">
      <c r="A125" s="221"/>
      <c r="B125" s="221"/>
      <c r="C125" s="221"/>
      <c r="D125" s="221"/>
      <c r="K125" s="176"/>
      <c r="L125" s="176"/>
      <c r="M125" s="244"/>
      <c r="N125" s="244"/>
      <c r="O125" s="176"/>
      <c r="P125" s="50"/>
      <c r="Q125" s="50"/>
      <c r="R125" s="216"/>
      <c r="S125" s="176"/>
      <c r="T125" s="176"/>
      <c r="U125" s="176"/>
      <c r="Z125" s="246"/>
      <c r="AA125" s="246"/>
      <c r="AB125" s="246"/>
      <c r="AC125" s="246"/>
      <c r="AD125" s="246"/>
    </row>
    <row r="126" spans="1:30" ht="15">
      <c r="A126" s="221"/>
      <c r="B126" s="221"/>
      <c r="C126" s="221"/>
      <c r="D126" s="221"/>
      <c r="K126" s="176"/>
      <c r="L126" s="176"/>
      <c r="M126" s="244"/>
      <c r="N126" s="244"/>
      <c r="O126" s="176"/>
      <c r="P126" s="50"/>
      <c r="Q126" s="50"/>
      <c r="R126" s="216"/>
      <c r="S126" s="176"/>
      <c r="T126" s="176"/>
      <c r="U126" s="176"/>
      <c r="Z126" s="246"/>
      <c r="AA126" s="246"/>
      <c r="AB126" s="246"/>
      <c r="AC126" s="246"/>
      <c r="AD126" s="246"/>
    </row>
    <row r="127" spans="1:30" ht="15">
      <c r="A127" s="221"/>
      <c r="B127" s="221"/>
      <c r="C127" s="221"/>
      <c r="D127" s="221"/>
      <c r="K127" s="176"/>
      <c r="L127" s="176"/>
      <c r="M127" s="244"/>
      <c r="N127" s="244"/>
      <c r="O127" s="176"/>
      <c r="P127" s="50"/>
      <c r="Q127" s="50"/>
      <c r="R127" s="216"/>
      <c r="S127" s="176"/>
      <c r="T127" s="176"/>
      <c r="U127" s="176"/>
      <c r="Z127" s="246"/>
      <c r="AA127" s="246"/>
      <c r="AB127" s="246"/>
      <c r="AC127" s="246"/>
      <c r="AD127" s="246"/>
    </row>
    <row r="128" spans="1:30" ht="15">
      <c r="A128" s="221"/>
      <c r="B128" s="221"/>
      <c r="C128" s="221"/>
      <c r="D128" s="221"/>
      <c r="K128" s="176"/>
      <c r="L128" s="176"/>
      <c r="M128" s="244"/>
      <c r="N128" s="244"/>
      <c r="O128" s="176"/>
      <c r="P128" s="50"/>
      <c r="Q128" s="50"/>
      <c r="R128" s="216"/>
      <c r="S128" s="176"/>
      <c r="T128" s="176"/>
      <c r="U128" s="176"/>
      <c r="Z128" s="246"/>
      <c r="AA128" s="246"/>
      <c r="AB128" s="246"/>
      <c r="AC128" s="246"/>
      <c r="AD128" s="246"/>
    </row>
    <row r="129" spans="1:30" ht="15">
      <c r="A129" s="221"/>
      <c r="B129" s="221"/>
      <c r="C129" s="221"/>
      <c r="D129" s="221"/>
      <c r="K129" s="176"/>
      <c r="L129" s="176"/>
      <c r="M129" s="244"/>
      <c r="N129" s="244"/>
      <c r="O129" s="176"/>
      <c r="P129" s="50"/>
      <c r="Q129" s="50"/>
      <c r="R129" s="216"/>
      <c r="S129" s="176"/>
      <c r="T129" s="176"/>
      <c r="U129" s="176"/>
      <c r="Z129" s="246"/>
      <c r="AA129" s="246"/>
      <c r="AB129" s="246"/>
      <c r="AC129" s="246"/>
      <c r="AD129" s="246"/>
    </row>
    <row r="130" spans="1:30" ht="15">
      <c r="A130" s="221"/>
      <c r="B130" s="221"/>
      <c r="C130" s="221"/>
      <c r="D130" s="221"/>
      <c r="K130" s="176"/>
      <c r="L130" s="176"/>
      <c r="M130" s="244"/>
      <c r="N130" s="244"/>
      <c r="O130" s="176"/>
      <c r="P130" s="50"/>
      <c r="Q130" s="50"/>
      <c r="R130" s="216"/>
      <c r="S130" s="176"/>
      <c r="T130" s="176"/>
      <c r="U130" s="176"/>
      <c r="Z130" s="246"/>
      <c r="AA130" s="246"/>
      <c r="AB130" s="246"/>
      <c r="AC130" s="246"/>
      <c r="AD130" s="246"/>
    </row>
    <row r="131" spans="1:30" ht="15">
      <c r="A131" s="221"/>
      <c r="B131" s="221"/>
      <c r="C131" s="221"/>
      <c r="D131" s="221"/>
      <c r="K131" s="176"/>
      <c r="L131" s="176"/>
      <c r="M131" s="244"/>
      <c r="N131" s="244"/>
      <c r="O131" s="176"/>
      <c r="P131" s="50"/>
      <c r="Q131" s="50"/>
      <c r="R131" s="216"/>
      <c r="S131" s="176"/>
      <c r="T131" s="176"/>
      <c r="U131" s="176"/>
      <c r="Z131" s="246"/>
      <c r="AA131" s="246"/>
      <c r="AB131" s="246"/>
      <c r="AC131" s="246"/>
      <c r="AD131" s="246"/>
    </row>
    <row r="132" spans="1:30" ht="15">
      <c r="A132" s="221"/>
      <c r="B132" s="221"/>
      <c r="C132" s="221"/>
      <c r="D132" s="221"/>
      <c r="K132" s="176"/>
      <c r="L132" s="176"/>
      <c r="M132" s="244"/>
      <c r="N132" s="244"/>
      <c r="O132" s="176"/>
      <c r="P132" s="50"/>
      <c r="Q132" s="50"/>
      <c r="R132" s="216"/>
      <c r="S132" s="176"/>
      <c r="T132" s="176"/>
      <c r="U132" s="176"/>
      <c r="Z132" s="246"/>
      <c r="AA132" s="246"/>
      <c r="AB132" s="246"/>
      <c r="AC132" s="246"/>
      <c r="AD132" s="246"/>
    </row>
    <row r="133" spans="1:30" ht="15">
      <c r="A133" s="221"/>
      <c r="B133" s="221"/>
      <c r="C133" s="221"/>
      <c r="D133" s="221"/>
      <c r="K133" s="176"/>
      <c r="L133" s="176"/>
      <c r="M133" s="244"/>
      <c r="N133" s="244"/>
      <c r="O133" s="176"/>
      <c r="P133" s="50"/>
      <c r="Q133" s="50"/>
      <c r="R133" s="216"/>
      <c r="S133" s="176"/>
      <c r="T133" s="176"/>
      <c r="U133" s="176"/>
      <c r="Z133" s="246"/>
      <c r="AA133" s="246"/>
      <c r="AB133" s="246"/>
      <c r="AC133" s="246"/>
      <c r="AD133" s="246"/>
    </row>
    <row r="134" spans="1:30" ht="15">
      <c r="A134" s="221"/>
      <c r="B134" s="221"/>
      <c r="C134" s="221"/>
      <c r="D134" s="221"/>
      <c r="K134" s="176"/>
      <c r="L134" s="176"/>
      <c r="M134" s="244"/>
      <c r="N134" s="244"/>
      <c r="O134" s="176"/>
      <c r="P134" s="50"/>
      <c r="Q134" s="50"/>
      <c r="R134" s="216"/>
      <c r="S134" s="176"/>
      <c r="T134" s="176"/>
      <c r="U134" s="176"/>
      <c r="Z134" s="246"/>
      <c r="AA134" s="246"/>
      <c r="AB134" s="246"/>
      <c r="AC134" s="246"/>
      <c r="AD134" s="246"/>
    </row>
    <row r="135" spans="1:30" ht="15">
      <c r="A135" s="221"/>
      <c r="B135" s="221"/>
      <c r="C135" s="221"/>
      <c r="D135" s="221"/>
      <c r="K135" s="176"/>
      <c r="L135" s="176"/>
      <c r="M135" s="244"/>
      <c r="N135" s="244"/>
      <c r="O135" s="176"/>
      <c r="P135" s="50"/>
      <c r="Q135" s="50"/>
      <c r="R135" s="216"/>
      <c r="S135" s="176"/>
      <c r="T135" s="176"/>
      <c r="U135" s="176"/>
      <c r="Z135" s="246"/>
      <c r="AA135" s="246"/>
      <c r="AB135" s="246"/>
      <c r="AC135" s="246"/>
      <c r="AD135" s="246"/>
    </row>
    <row r="136" spans="1:30" ht="15">
      <c r="A136" s="221"/>
      <c r="B136" s="221"/>
      <c r="C136" s="221"/>
      <c r="D136" s="221"/>
      <c r="K136" s="176"/>
      <c r="L136" s="176"/>
      <c r="M136" s="244"/>
      <c r="N136" s="244"/>
      <c r="O136" s="176"/>
      <c r="P136" s="50"/>
      <c r="Q136" s="50"/>
      <c r="R136" s="216"/>
      <c r="S136" s="176"/>
      <c r="T136" s="176"/>
      <c r="U136" s="176"/>
      <c r="Z136" s="246"/>
      <c r="AA136" s="246"/>
      <c r="AB136" s="246"/>
      <c r="AC136" s="246"/>
      <c r="AD136" s="246"/>
    </row>
    <row r="137" spans="1:30" ht="15">
      <c r="A137" s="221"/>
      <c r="B137" s="221"/>
      <c r="C137" s="221"/>
      <c r="D137" s="221"/>
      <c r="K137" s="176"/>
      <c r="L137" s="176"/>
      <c r="M137" s="244"/>
      <c r="N137" s="244"/>
      <c r="O137" s="176"/>
      <c r="P137" s="50"/>
      <c r="Q137" s="50"/>
      <c r="R137" s="216"/>
      <c r="S137" s="176"/>
      <c r="T137" s="176"/>
      <c r="U137" s="176"/>
      <c r="Z137" s="246"/>
      <c r="AA137" s="246"/>
      <c r="AB137" s="246"/>
      <c r="AC137" s="246"/>
      <c r="AD137" s="246"/>
    </row>
    <row r="138" spans="1:30" ht="15">
      <c r="A138" s="221"/>
      <c r="B138" s="221"/>
      <c r="C138" s="221"/>
      <c r="D138" s="221"/>
      <c r="K138" s="176"/>
      <c r="L138" s="176"/>
      <c r="M138" s="244"/>
      <c r="N138" s="244"/>
      <c r="O138" s="176"/>
      <c r="P138" s="50"/>
      <c r="Q138" s="50"/>
      <c r="R138" s="216"/>
      <c r="S138" s="176"/>
      <c r="T138" s="176"/>
      <c r="U138" s="176"/>
      <c r="Z138" s="246"/>
      <c r="AA138" s="246"/>
      <c r="AB138" s="246"/>
      <c r="AC138" s="246"/>
      <c r="AD138" s="246"/>
    </row>
    <row r="139" spans="1:30" ht="15">
      <c r="A139" s="221"/>
      <c r="B139" s="221"/>
      <c r="C139" s="221"/>
      <c r="D139" s="221"/>
      <c r="K139" s="176"/>
      <c r="L139" s="176"/>
      <c r="M139" s="244"/>
      <c r="N139" s="244"/>
      <c r="O139" s="176"/>
      <c r="P139" s="50"/>
      <c r="Q139" s="50"/>
      <c r="R139" s="216"/>
      <c r="S139" s="176"/>
      <c r="T139" s="176"/>
      <c r="U139" s="176"/>
      <c r="Z139" s="246"/>
      <c r="AA139" s="246"/>
      <c r="AB139" s="246"/>
      <c r="AC139" s="246"/>
      <c r="AD139" s="246"/>
    </row>
    <row r="140" spans="1:30" ht="15">
      <c r="A140" s="221"/>
      <c r="B140" s="221"/>
      <c r="C140" s="221"/>
      <c r="D140" s="221"/>
      <c r="K140" s="176"/>
      <c r="L140" s="176"/>
      <c r="M140" s="244"/>
      <c r="N140" s="244"/>
      <c r="O140" s="176"/>
      <c r="P140" s="50"/>
      <c r="Q140" s="50"/>
      <c r="R140" s="216"/>
      <c r="S140" s="176"/>
      <c r="T140" s="176"/>
      <c r="U140" s="176"/>
      <c r="Z140" s="246"/>
      <c r="AA140" s="246"/>
      <c r="AB140" s="246"/>
      <c r="AC140" s="246"/>
      <c r="AD140" s="246"/>
    </row>
    <row r="141" spans="1:30" ht="15">
      <c r="A141" s="221"/>
      <c r="B141" s="221"/>
      <c r="C141" s="221"/>
      <c r="D141" s="221"/>
      <c r="K141" s="176"/>
      <c r="L141" s="176"/>
      <c r="M141" s="244"/>
      <c r="N141" s="244"/>
      <c r="O141" s="176"/>
      <c r="P141" s="50"/>
      <c r="Q141" s="50"/>
      <c r="R141" s="216"/>
      <c r="S141" s="176"/>
      <c r="T141" s="176"/>
      <c r="U141" s="176"/>
      <c r="Z141" s="246"/>
      <c r="AA141" s="246"/>
      <c r="AB141" s="246"/>
      <c r="AC141" s="246"/>
      <c r="AD141" s="246"/>
    </row>
    <row r="142" spans="1:30" ht="15">
      <c r="A142" s="221"/>
      <c r="B142" s="221"/>
      <c r="C142" s="221"/>
      <c r="D142" s="221"/>
      <c r="K142" s="176"/>
      <c r="L142" s="176"/>
      <c r="M142" s="244"/>
      <c r="N142" s="244"/>
      <c r="O142" s="176"/>
      <c r="P142" s="50"/>
      <c r="Q142" s="50"/>
      <c r="R142" s="216"/>
      <c r="S142" s="176"/>
      <c r="T142" s="176"/>
      <c r="U142" s="176"/>
      <c r="Z142" s="246"/>
      <c r="AA142" s="246"/>
      <c r="AB142" s="246"/>
      <c r="AC142" s="246"/>
      <c r="AD142" s="246"/>
    </row>
    <row r="143" spans="1:30" ht="15">
      <c r="A143" s="221"/>
      <c r="B143" s="221"/>
      <c r="C143" s="221"/>
      <c r="D143" s="221"/>
      <c r="K143" s="176"/>
      <c r="L143" s="176"/>
      <c r="M143" s="244"/>
      <c r="N143" s="244"/>
      <c r="O143" s="176"/>
      <c r="P143" s="50"/>
      <c r="Q143" s="50"/>
      <c r="R143" s="216"/>
      <c r="S143" s="176"/>
      <c r="T143" s="176"/>
      <c r="U143" s="176"/>
      <c r="Z143" s="246"/>
      <c r="AA143" s="246"/>
      <c r="AB143" s="246"/>
      <c r="AC143" s="246"/>
      <c r="AD143" s="246"/>
    </row>
    <row r="144" spans="1:30" ht="15">
      <c r="A144" s="221"/>
      <c r="B144" s="221"/>
      <c r="C144" s="221"/>
      <c r="D144" s="221"/>
      <c r="K144" s="176"/>
      <c r="L144" s="176"/>
      <c r="M144" s="244"/>
      <c r="N144" s="244"/>
      <c r="O144" s="176"/>
      <c r="P144" s="50"/>
      <c r="Q144" s="50"/>
      <c r="R144" s="216"/>
      <c r="S144" s="176"/>
      <c r="T144" s="176"/>
      <c r="U144" s="176"/>
      <c r="Z144" s="246"/>
      <c r="AA144" s="246"/>
      <c r="AB144" s="246"/>
      <c r="AC144" s="246"/>
      <c r="AD144" s="246"/>
    </row>
    <row r="145" spans="1:30" ht="15">
      <c r="A145" s="221"/>
      <c r="B145" s="221"/>
      <c r="C145" s="221"/>
      <c r="D145" s="221"/>
      <c r="K145" s="176"/>
      <c r="L145" s="176"/>
      <c r="M145" s="244"/>
      <c r="N145" s="244"/>
      <c r="O145" s="176"/>
      <c r="P145" s="50"/>
      <c r="Q145" s="50"/>
      <c r="R145" s="216"/>
      <c r="S145" s="176"/>
      <c r="T145" s="176"/>
      <c r="U145" s="176"/>
      <c r="Z145" s="246"/>
      <c r="AA145" s="246"/>
      <c r="AB145" s="246"/>
      <c r="AC145" s="246"/>
      <c r="AD145" s="246"/>
    </row>
    <row r="146" spans="1:30" ht="15">
      <c r="A146" s="221"/>
      <c r="B146" s="221"/>
      <c r="C146" s="221"/>
      <c r="D146" s="221"/>
      <c r="K146" s="176"/>
      <c r="L146" s="176"/>
      <c r="M146" s="244"/>
      <c r="N146" s="244"/>
      <c r="O146" s="176"/>
      <c r="P146" s="50"/>
      <c r="Q146" s="50"/>
      <c r="R146" s="216"/>
      <c r="S146" s="176"/>
      <c r="T146" s="176"/>
      <c r="U146" s="176"/>
      <c r="Z146" s="246"/>
      <c r="AA146" s="246"/>
      <c r="AB146" s="246"/>
      <c r="AC146" s="246"/>
      <c r="AD146" s="246"/>
    </row>
    <row r="147" spans="1:30" ht="15">
      <c r="A147" s="221"/>
      <c r="B147" s="221"/>
      <c r="C147" s="221"/>
      <c r="D147" s="221"/>
      <c r="K147" s="176"/>
      <c r="L147" s="176"/>
      <c r="M147" s="244"/>
      <c r="N147" s="244"/>
      <c r="O147" s="176"/>
      <c r="P147" s="50"/>
      <c r="Q147" s="50"/>
      <c r="R147" s="216"/>
      <c r="S147" s="176"/>
      <c r="T147" s="176"/>
      <c r="U147" s="176"/>
      <c r="Z147" s="246"/>
      <c r="AA147" s="246"/>
      <c r="AB147" s="246"/>
      <c r="AC147" s="246"/>
      <c r="AD147" s="246"/>
    </row>
    <row r="148" spans="1:30" ht="15">
      <c r="A148" s="221"/>
      <c r="B148" s="221"/>
      <c r="C148" s="221"/>
      <c r="D148" s="221"/>
      <c r="K148" s="176"/>
      <c r="L148" s="176"/>
      <c r="M148" s="244"/>
      <c r="N148" s="244"/>
      <c r="O148" s="176"/>
      <c r="P148" s="50"/>
      <c r="Q148" s="50"/>
      <c r="R148" s="216"/>
      <c r="S148" s="176"/>
      <c r="T148" s="176"/>
      <c r="U148" s="176"/>
      <c r="Z148" s="246"/>
      <c r="AA148" s="246"/>
      <c r="AB148" s="246"/>
      <c r="AC148" s="246"/>
      <c r="AD148" s="246"/>
    </row>
    <row r="149" spans="1:30" ht="15">
      <c r="A149" s="221"/>
      <c r="B149" s="221"/>
      <c r="C149" s="221"/>
      <c r="D149" s="221"/>
      <c r="K149" s="176"/>
      <c r="L149" s="176"/>
      <c r="M149" s="244"/>
      <c r="N149" s="244"/>
      <c r="O149" s="176"/>
      <c r="P149" s="50"/>
      <c r="Q149" s="50"/>
      <c r="R149" s="216"/>
      <c r="S149" s="176"/>
      <c r="T149" s="176"/>
      <c r="U149" s="176"/>
      <c r="Z149" s="246"/>
      <c r="AA149" s="246"/>
      <c r="AB149" s="246"/>
      <c r="AC149" s="246"/>
      <c r="AD149" s="246"/>
    </row>
    <row r="150" spans="1:30" ht="15">
      <c r="A150" s="221"/>
      <c r="B150" s="221"/>
      <c r="C150" s="221"/>
      <c r="D150" s="221"/>
      <c r="K150" s="176"/>
      <c r="L150" s="176"/>
      <c r="M150" s="244"/>
      <c r="N150" s="244"/>
      <c r="O150" s="176"/>
      <c r="P150" s="50"/>
      <c r="Q150" s="50"/>
      <c r="R150" s="216"/>
      <c r="S150" s="176"/>
      <c r="T150" s="176"/>
      <c r="U150" s="176"/>
      <c r="Z150" s="246"/>
      <c r="AA150" s="246"/>
      <c r="AB150" s="246"/>
      <c r="AC150" s="246"/>
      <c r="AD150" s="246"/>
    </row>
    <row r="151" spans="1:30" ht="15">
      <c r="A151" s="221"/>
      <c r="B151" s="221"/>
      <c r="C151" s="221"/>
      <c r="D151" s="221"/>
      <c r="K151" s="176"/>
      <c r="L151" s="176"/>
      <c r="M151" s="244"/>
      <c r="N151" s="244"/>
      <c r="O151" s="176"/>
      <c r="P151" s="176"/>
      <c r="Q151" s="50"/>
      <c r="R151" s="216"/>
      <c r="S151" s="176"/>
      <c r="T151" s="176"/>
      <c r="U151" s="176"/>
      <c r="Z151" s="246"/>
      <c r="AA151" s="246"/>
      <c r="AB151" s="246"/>
      <c r="AC151" s="246"/>
      <c r="AD151" s="246"/>
    </row>
    <row r="152" spans="1:30" ht="15">
      <c r="A152" s="221"/>
      <c r="B152" s="221"/>
      <c r="C152" s="221"/>
      <c r="D152" s="221"/>
      <c r="K152" s="176"/>
      <c r="L152" s="176"/>
      <c r="M152" s="244"/>
      <c r="N152" s="244"/>
      <c r="O152" s="176"/>
      <c r="P152" s="176"/>
      <c r="Q152" s="50"/>
      <c r="R152" s="216"/>
      <c r="S152" s="176"/>
      <c r="T152" s="176"/>
      <c r="U152" s="176"/>
      <c r="Z152" s="246"/>
      <c r="AA152" s="246"/>
      <c r="AB152" s="246"/>
      <c r="AC152" s="246"/>
      <c r="AD152" s="246"/>
    </row>
    <row r="153" spans="1:30" ht="15">
      <c r="A153" s="221"/>
      <c r="B153" s="221"/>
      <c r="C153" s="221"/>
      <c r="D153" s="221"/>
      <c r="K153" s="176"/>
      <c r="L153" s="176"/>
      <c r="M153" s="244"/>
      <c r="N153" s="244"/>
      <c r="O153" s="176"/>
      <c r="P153" s="176"/>
      <c r="Q153" s="50"/>
      <c r="R153" s="216"/>
      <c r="S153" s="176"/>
      <c r="T153" s="176"/>
      <c r="U153" s="176"/>
      <c r="Z153" s="246"/>
      <c r="AA153" s="246"/>
      <c r="AB153" s="246"/>
      <c r="AC153" s="246"/>
      <c r="AD153" s="246"/>
    </row>
    <row r="154" spans="1:30" ht="15">
      <c r="A154" s="221"/>
      <c r="B154" s="221"/>
      <c r="C154" s="221"/>
      <c r="D154" s="221"/>
      <c r="K154" s="176"/>
      <c r="L154" s="176"/>
      <c r="M154" s="244"/>
      <c r="N154" s="244"/>
      <c r="O154" s="176"/>
      <c r="P154" s="176"/>
      <c r="Q154" s="50"/>
      <c r="R154" s="216"/>
      <c r="S154" s="176"/>
      <c r="T154" s="176"/>
      <c r="U154" s="176"/>
      <c r="Z154" s="246"/>
      <c r="AA154" s="246"/>
      <c r="AB154" s="246"/>
      <c r="AC154" s="246"/>
      <c r="AD154" s="246"/>
    </row>
    <row r="155" spans="1:30" ht="15">
      <c r="A155" s="221"/>
      <c r="B155" s="221"/>
      <c r="C155" s="221"/>
      <c r="D155" s="221"/>
      <c r="K155" s="176"/>
      <c r="L155" s="176"/>
      <c r="M155" s="244"/>
      <c r="N155" s="244"/>
      <c r="O155" s="176"/>
      <c r="P155" s="176"/>
      <c r="Q155" s="50"/>
      <c r="R155" s="216"/>
      <c r="S155" s="176"/>
      <c r="T155" s="176"/>
      <c r="U155" s="176"/>
      <c r="Z155" s="246"/>
      <c r="AA155" s="246"/>
      <c r="AB155" s="246"/>
      <c r="AC155" s="246"/>
      <c r="AD155" s="246"/>
    </row>
    <row r="156" spans="1:30" ht="15">
      <c r="A156" s="221"/>
      <c r="B156" s="221"/>
      <c r="C156" s="221"/>
      <c r="D156" s="221"/>
      <c r="K156" s="176"/>
      <c r="L156" s="176"/>
      <c r="M156" s="244"/>
      <c r="N156" s="244"/>
      <c r="O156" s="176"/>
      <c r="P156" s="176"/>
      <c r="Q156" s="50"/>
      <c r="R156" s="216"/>
      <c r="S156" s="176"/>
      <c r="T156" s="176"/>
      <c r="U156" s="176"/>
      <c r="Z156" s="246"/>
      <c r="AA156" s="246"/>
      <c r="AB156" s="246"/>
      <c r="AC156" s="246"/>
      <c r="AD156" s="246"/>
    </row>
    <row r="157" spans="1:30" ht="15">
      <c r="A157" s="221"/>
      <c r="B157" s="221"/>
      <c r="C157" s="221"/>
      <c r="D157" s="221"/>
      <c r="K157" s="176"/>
      <c r="L157" s="176"/>
      <c r="M157" s="244"/>
      <c r="N157" s="244"/>
      <c r="O157" s="176"/>
      <c r="P157" s="176"/>
      <c r="Q157" s="50"/>
      <c r="R157" s="216"/>
      <c r="S157" s="176"/>
      <c r="T157" s="176"/>
      <c r="U157" s="176"/>
      <c r="Z157" s="246"/>
      <c r="AA157" s="246"/>
      <c r="AB157" s="246"/>
      <c r="AC157" s="246"/>
      <c r="AD157" s="246"/>
    </row>
    <row r="158" spans="1:30" ht="15">
      <c r="A158" s="221"/>
      <c r="B158" s="221"/>
      <c r="C158" s="221"/>
      <c r="D158" s="221"/>
      <c r="K158" s="176"/>
      <c r="L158" s="176"/>
      <c r="M158" s="244"/>
      <c r="N158" s="244"/>
      <c r="O158" s="176"/>
      <c r="P158" s="50"/>
      <c r="Q158" s="50"/>
      <c r="R158" s="216"/>
      <c r="S158" s="176"/>
      <c r="T158" s="176"/>
      <c r="U158" s="176"/>
      <c r="Z158" s="246"/>
      <c r="AA158" s="246"/>
      <c r="AB158" s="246"/>
      <c r="AC158" s="246"/>
      <c r="AD158" s="246"/>
    </row>
    <row r="159" spans="1:30" ht="15">
      <c r="A159" s="221"/>
      <c r="B159" s="221"/>
      <c r="C159" s="221"/>
      <c r="D159" s="221"/>
      <c r="K159" s="176"/>
      <c r="L159" s="176"/>
      <c r="M159" s="244"/>
      <c r="N159" s="244"/>
      <c r="O159" s="176"/>
      <c r="P159" s="50"/>
      <c r="Q159" s="50"/>
      <c r="R159" s="216"/>
      <c r="S159" s="176"/>
      <c r="T159" s="176"/>
      <c r="U159" s="176"/>
      <c r="Z159" s="246"/>
      <c r="AA159" s="246"/>
      <c r="AB159" s="246"/>
      <c r="AC159" s="246"/>
      <c r="AD159" s="246"/>
    </row>
    <row r="160" spans="1:30" ht="15">
      <c r="A160" s="221"/>
      <c r="B160" s="221"/>
      <c r="C160" s="221"/>
      <c r="D160" s="221"/>
      <c r="K160" s="176"/>
      <c r="L160" s="176"/>
      <c r="M160" s="244"/>
      <c r="N160" s="244"/>
      <c r="O160" s="176"/>
      <c r="P160" s="50"/>
      <c r="Q160" s="50"/>
      <c r="R160" s="216"/>
      <c r="S160" s="176"/>
      <c r="T160" s="176"/>
      <c r="U160" s="176"/>
      <c r="Z160" s="246"/>
      <c r="AA160" s="246"/>
      <c r="AB160" s="246"/>
      <c r="AC160" s="246"/>
      <c r="AD160" s="246"/>
    </row>
    <row r="161" spans="1:30" ht="15">
      <c r="A161" s="221"/>
      <c r="B161" s="221"/>
      <c r="C161" s="221"/>
      <c r="D161" s="221"/>
      <c r="K161" s="176"/>
      <c r="L161" s="176"/>
      <c r="M161" s="244"/>
      <c r="N161" s="244"/>
      <c r="O161" s="176"/>
      <c r="P161" s="50"/>
      <c r="Q161" s="50"/>
      <c r="R161" s="216"/>
      <c r="S161" s="176"/>
      <c r="T161" s="176"/>
      <c r="U161" s="176"/>
      <c r="Z161" s="246"/>
      <c r="AA161" s="246"/>
      <c r="AB161" s="246"/>
      <c r="AC161" s="246"/>
      <c r="AD161" s="246"/>
    </row>
    <row r="162" spans="1:30" ht="15">
      <c r="A162" s="221"/>
      <c r="B162" s="221"/>
      <c r="C162" s="221"/>
      <c r="D162" s="221"/>
      <c r="K162" s="176"/>
      <c r="L162" s="176"/>
      <c r="M162" s="244"/>
      <c r="N162" s="244"/>
      <c r="O162" s="176"/>
      <c r="P162" s="50"/>
      <c r="Q162" s="50"/>
      <c r="R162" s="216"/>
      <c r="S162" s="176"/>
      <c r="T162" s="176"/>
      <c r="U162" s="176"/>
      <c r="Z162" s="246"/>
      <c r="AA162" s="246"/>
      <c r="AB162" s="246"/>
      <c r="AC162" s="246"/>
      <c r="AD162" s="246"/>
    </row>
    <row r="163" spans="1:30" ht="15">
      <c r="K163" s="176"/>
      <c r="L163" s="176"/>
      <c r="M163" s="244"/>
      <c r="N163" s="244"/>
      <c r="O163" s="176"/>
      <c r="P163" s="50"/>
      <c r="Q163" s="50"/>
      <c r="R163" s="216"/>
      <c r="S163" s="176"/>
      <c r="T163" s="176"/>
      <c r="U163" s="176"/>
      <c r="Z163" s="246"/>
      <c r="AA163" s="246"/>
      <c r="AB163" s="246"/>
      <c r="AC163" s="246"/>
      <c r="AD163" s="246"/>
    </row>
    <row r="164" spans="1:30" ht="15">
      <c r="K164" s="176"/>
      <c r="L164" s="176"/>
      <c r="M164" s="244"/>
      <c r="N164" s="244"/>
      <c r="O164" s="176"/>
      <c r="P164" s="50"/>
      <c r="Q164" s="50"/>
      <c r="R164" s="216"/>
      <c r="S164" s="176"/>
      <c r="T164" s="176"/>
      <c r="U164" s="176"/>
      <c r="Z164" s="246"/>
      <c r="AA164" s="246"/>
      <c r="AB164" s="246"/>
      <c r="AC164" s="246"/>
      <c r="AD164" s="246"/>
    </row>
    <row r="165" spans="1:30" ht="15">
      <c r="K165" s="176"/>
      <c r="L165" s="176"/>
      <c r="M165" s="176"/>
      <c r="N165" s="50"/>
      <c r="O165" s="176"/>
      <c r="P165" s="50"/>
      <c r="Q165" s="50"/>
      <c r="R165" s="216"/>
      <c r="S165" s="176"/>
      <c r="T165" s="176"/>
      <c r="U165" s="176"/>
      <c r="Z165" s="246"/>
      <c r="AA165" s="246"/>
      <c r="AB165" s="246"/>
      <c r="AC165" s="246"/>
      <c r="AD165" s="246"/>
    </row>
    <row r="166" spans="1:30" ht="15">
      <c r="K166" s="176"/>
      <c r="L166" s="176"/>
      <c r="M166" s="176"/>
      <c r="N166" s="50"/>
      <c r="O166" s="176"/>
      <c r="P166" s="50"/>
      <c r="Q166" s="50"/>
      <c r="R166" s="216"/>
      <c r="S166" s="176"/>
      <c r="T166" s="176"/>
      <c r="U166" s="176"/>
      <c r="Z166" s="246"/>
      <c r="AA166" s="246"/>
      <c r="AB166" s="246"/>
      <c r="AC166" s="246"/>
      <c r="AD166" s="246"/>
    </row>
    <row r="167" spans="1:30" ht="15">
      <c r="K167" s="176"/>
      <c r="L167" s="176"/>
      <c r="M167" s="176"/>
      <c r="N167" s="50"/>
      <c r="O167" s="176"/>
      <c r="P167" s="50"/>
      <c r="Q167" s="50"/>
      <c r="R167" s="216"/>
      <c r="S167" s="176"/>
      <c r="T167" s="176"/>
      <c r="U167" s="176"/>
      <c r="Z167" s="246"/>
      <c r="AA167" s="246"/>
      <c r="AB167" s="246"/>
      <c r="AC167" s="246"/>
      <c r="AD167" s="246"/>
    </row>
    <row r="168" spans="1:30" ht="15">
      <c r="K168" s="176"/>
      <c r="L168" s="176"/>
      <c r="M168" s="176"/>
      <c r="N168" s="50"/>
      <c r="O168" s="176"/>
      <c r="P168" s="50"/>
      <c r="Q168" s="50"/>
      <c r="R168" s="216"/>
      <c r="S168" s="176"/>
      <c r="T168" s="176"/>
      <c r="U168" s="176"/>
      <c r="Z168" s="246"/>
      <c r="AA168" s="246"/>
      <c r="AB168" s="246"/>
      <c r="AC168" s="246"/>
      <c r="AD168" s="246"/>
    </row>
    <row r="169" spans="1:30" ht="15">
      <c r="K169" s="176"/>
      <c r="L169" s="176"/>
      <c r="M169" s="244"/>
      <c r="N169" s="244"/>
      <c r="O169" s="176"/>
      <c r="P169" s="50"/>
      <c r="Q169" s="50"/>
      <c r="R169" s="216"/>
      <c r="S169" s="176"/>
      <c r="T169" s="176"/>
      <c r="U169" s="176"/>
      <c r="Z169" s="246"/>
      <c r="AA169" s="246"/>
      <c r="AB169" s="246"/>
      <c r="AC169" s="246"/>
      <c r="AD169" s="246"/>
    </row>
    <row r="170" spans="1:30" ht="15">
      <c r="K170" s="176"/>
      <c r="L170" s="176"/>
      <c r="M170" s="244"/>
      <c r="N170" s="244"/>
      <c r="O170" s="176"/>
      <c r="P170" s="50"/>
      <c r="Q170" s="50"/>
      <c r="R170" s="216"/>
      <c r="S170" s="176"/>
      <c r="T170" s="176"/>
      <c r="U170" s="176"/>
      <c r="Z170" s="246"/>
      <c r="AA170" s="246"/>
      <c r="AB170" s="246"/>
      <c r="AC170" s="246"/>
      <c r="AD170" s="246"/>
    </row>
    <row r="171" spans="1:30" ht="15">
      <c r="K171" s="176"/>
      <c r="L171" s="176"/>
      <c r="M171" s="244"/>
      <c r="N171" s="244"/>
      <c r="O171" s="176"/>
      <c r="P171" s="50"/>
      <c r="Q171" s="50"/>
      <c r="R171" s="216"/>
      <c r="S171" s="176"/>
      <c r="T171" s="176"/>
      <c r="U171" s="176"/>
      <c r="Z171" s="246"/>
      <c r="AA171" s="246"/>
      <c r="AB171" s="246"/>
      <c r="AC171" s="246"/>
      <c r="AD171" s="246"/>
    </row>
    <row r="172" spans="1:30" ht="15">
      <c r="K172" s="176"/>
      <c r="L172" s="176"/>
      <c r="M172" s="244"/>
      <c r="N172" s="244"/>
      <c r="O172" s="176"/>
      <c r="P172" s="50"/>
      <c r="Q172" s="50"/>
      <c r="R172" s="216"/>
      <c r="S172" s="176"/>
      <c r="T172" s="176"/>
      <c r="U172" s="176"/>
      <c r="Z172" s="246"/>
      <c r="AA172" s="246"/>
      <c r="AB172" s="246"/>
      <c r="AC172" s="246"/>
      <c r="AD172" s="246"/>
    </row>
    <row r="173" spans="1:30" ht="15">
      <c r="K173" s="176"/>
      <c r="L173" s="176"/>
      <c r="M173" s="244"/>
      <c r="N173" s="244"/>
      <c r="O173" s="176"/>
      <c r="P173" s="50"/>
      <c r="Q173" s="50"/>
      <c r="R173" s="216"/>
      <c r="S173" s="176"/>
      <c r="T173" s="176"/>
      <c r="U173" s="176"/>
      <c r="Z173" s="246"/>
      <c r="AA173" s="246"/>
      <c r="AB173" s="246"/>
      <c r="AC173" s="246"/>
      <c r="AD173" s="246"/>
    </row>
    <row r="174" spans="1:30" ht="15">
      <c r="K174" s="176"/>
      <c r="L174" s="176"/>
      <c r="M174" s="244"/>
      <c r="N174" s="244"/>
      <c r="O174" s="176"/>
      <c r="P174" s="50"/>
      <c r="Q174" s="50"/>
      <c r="R174" s="216"/>
      <c r="S174" s="176"/>
      <c r="T174" s="176"/>
      <c r="U174" s="176"/>
      <c r="Z174" s="246"/>
      <c r="AA174" s="246"/>
      <c r="AB174" s="246"/>
      <c r="AC174" s="246"/>
      <c r="AD174" s="246"/>
    </row>
    <row r="175" spans="1:30" ht="15">
      <c r="K175" s="176"/>
      <c r="L175" s="176"/>
      <c r="M175" s="244"/>
      <c r="N175" s="244"/>
      <c r="O175" s="176"/>
      <c r="P175" s="50"/>
      <c r="Q175" s="50"/>
      <c r="R175" s="216"/>
      <c r="S175" s="176"/>
      <c r="T175" s="176"/>
      <c r="U175" s="176"/>
      <c r="Z175" s="246"/>
      <c r="AA175" s="246"/>
      <c r="AB175" s="246"/>
      <c r="AC175" s="246"/>
      <c r="AD175" s="246"/>
    </row>
    <row r="176" spans="1:30" ht="15">
      <c r="K176" s="176"/>
      <c r="L176" s="176"/>
      <c r="M176" s="244"/>
      <c r="N176" s="244"/>
      <c r="O176" s="176"/>
      <c r="P176" s="50"/>
      <c r="Q176" s="50"/>
      <c r="R176" s="216"/>
      <c r="S176" s="176"/>
      <c r="T176" s="176"/>
      <c r="U176" s="176"/>
      <c r="Z176" s="246"/>
      <c r="AA176" s="246"/>
      <c r="AB176" s="246"/>
      <c r="AC176" s="246"/>
      <c r="AD176" s="246"/>
    </row>
    <row r="177" spans="11:30" ht="15">
      <c r="K177" s="176"/>
      <c r="L177" s="176"/>
      <c r="M177" s="244"/>
      <c r="N177" s="244"/>
      <c r="O177" s="176"/>
      <c r="P177" s="50"/>
      <c r="Q177" s="50"/>
      <c r="R177" s="216"/>
      <c r="S177" s="176"/>
      <c r="T177" s="176"/>
      <c r="U177" s="176"/>
      <c r="Z177" s="246"/>
      <c r="AA177" s="246"/>
      <c r="AB177" s="246"/>
      <c r="AC177" s="246"/>
      <c r="AD177" s="246"/>
    </row>
    <row r="178" spans="11:30" ht="15">
      <c r="K178" s="176"/>
      <c r="L178" s="176"/>
      <c r="M178" s="244"/>
      <c r="N178" s="244"/>
      <c r="O178" s="176"/>
      <c r="P178" s="50"/>
      <c r="Q178" s="50"/>
      <c r="R178" s="216"/>
      <c r="S178" s="176"/>
      <c r="T178" s="176"/>
      <c r="U178" s="176"/>
      <c r="Z178" s="246"/>
      <c r="AA178" s="246"/>
      <c r="AB178" s="246"/>
      <c r="AC178" s="246"/>
      <c r="AD178" s="246"/>
    </row>
    <row r="179" spans="11:30" ht="15">
      <c r="K179" s="176"/>
      <c r="L179" s="176"/>
      <c r="M179" s="244"/>
      <c r="N179" s="244"/>
      <c r="O179" s="176"/>
      <c r="P179" s="50"/>
      <c r="Q179" s="50"/>
      <c r="R179" s="216"/>
      <c r="S179" s="176"/>
      <c r="T179" s="176"/>
      <c r="U179" s="176"/>
      <c r="Z179" s="246"/>
      <c r="AA179" s="246"/>
      <c r="AB179" s="246"/>
      <c r="AC179" s="246"/>
      <c r="AD179" s="246"/>
    </row>
    <row r="180" spans="11:30" ht="15">
      <c r="K180" s="176"/>
      <c r="L180" s="176"/>
      <c r="M180" s="244"/>
      <c r="N180" s="244"/>
      <c r="O180" s="176"/>
      <c r="P180" s="50"/>
      <c r="Q180" s="50"/>
      <c r="R180" s="216"/>
      <c r="S180" s="176"/>
      <c r="T180" s="176"/>
      <c r="U180" s="176"/>
      <c r="Z180" s="246"/>
      <c r="AA180" s="246"/>
      <c r="AB180" s="246"/>
      <c r="AC180" s="246"/>
      <c r="AD180" s="246"/>
    </row>
    <row r="181" spans="11:30" ht="15">
      <c r="K181" s="176"/>
      <c r="L181" s="176"/>
      <c r="M181" s="244"/>
      <c r="N181" s="244"/>
      <c r="O181" s="176"/>
      <c r="P181" s="50"/>
      <c r="Q181" s="50"/>
      <c r="R181" s="216"/>
      <c r="S181" s="176"/>
      <c r="T181" s="176"/>
      <c r="U181" s="176"/>
      <c r="Z181" s="246"/>
      <c r="AA181" s="246"/>
      <c r="AB181" s="246"/>
      <c r="AC181" s="246"/>
      <c r="AD181" s="246"/>
    </row>
    <row r="182" spans="11:30" ht="15">
      <c r="K182" s="176"/>
      <c r="L182" s="176"/>
      <c r="M182" s="244"/>
      <c r="N182" s="244"/>
      <c r="O182" s="176"/>
      <c r="P182" s="50"/>
      <c r="Q182" s="50"/>
      <c r="R182" s="216"/>
      <c r="S182" s="176"/>
      <c r="T182" s="176"/>
      <c r="U182" s="176"/>
      <c r="Z182" s="246"/>
      <c r="AA182" s="246"/>
      <c r="AB182" s="246"/>
      <c r="AC182" s="246"/>
      <c r="AD182" s="246"/>
    </row>
    <row r="183" spans="11:30" ht="15">
      <c r="K183" s="176"/>
      <c r="L183" s="176"/>
      <c r="M183" s="244"/>
      <c r="N183" s="244"/>
      <c r="O183" s="176"/>
      <c r="P183" s="50"/>
      <c r="Q183" s="50"/>
      <c r="R183" s="216"/>
      <c r="S183" s="176"/>
      <c r="T183" s="176"/>
      <c r="U183" s="176"/>
      <c r="Z183" s="246"/>
      <c r="AA183" s="246"/>
      <c r="AB183" s="246"/>
      <c r="AC183" s="246"/>
      <c r="AD183" s="246"/>
    </row>
    <row r="184" spans="11:30" ht="15">
      <c r="K184" s="176"/>
      <c r="L184" s="176"/>
      <c r="M184" s="244"/>
      <c r="N184" s="244"/>
      <c r="O184" s="176"/>
      <c r="P184" s="50"/>
      <c r="Q184" s="50"/>
      <c r="R184" s="216"/>
      <c r="S184" s="176"/>
      <c r="T184" s="176"/>
      <c r="U184" s="176"/>
      <c r="Z184" s="246"/>
      <c r="AA184" s="246"/>
      <c r="AB184" s="246"/>
      <c r="AC184" s="246"/>
      <c r="AD184" s="246"/>
    </row>
    <row r="185" spans="11:30" ht="15">
      <c r="K185" s="176"/>
      <c r="L185" s="176"/>
      <c r="M185" s="244"/>
      <c r="N185" s="244"/>
      <c r="O185" s="176"/>
      <c r="P185" s="50"/>
      <c r="Q185" s="50"/>
      <c r="R185" s="216"/>
      <c r="S185" s="176"/>
      <c r="T185" s="176"/>
      <c r="U185" s="176"/>
      <c r="Z185" s="246"/>
      <c r="AA185" s="246"/>
      <c r="AB185" s="246"/>
      <c r="AC185" s="246"/>
      <c r="AD185" s="246"/>
    </row>
    <row r="186" spans="11:30" ht="15">
      <c r="K186" s="176"/>
      <c r="L186" s="176"/>
      <c r="M186" s="244"/>
      <c r="N186" s="244"/>
      <c r="O186" s="176"/>
      <c r="P186" s="50"/>
      <c r="Q186" s="50"/>
      <c r="R186" s="216"/>
      <c r="S186" s="176"/>
      <c r="T186" s="176"/>
      <c r="U186" s="176"/>
      <c r="Z186" s="246"/>
      <c r="AA186" s="246"/>
      <c r="AB186" s="246"/>
      <c r="AC186" s="246"/>
      <c r="AD186" s="246"/>
    </row>
    <row r="187" spans="11:30" ht="15">
      <c r="K187" s="176"/>
      <c r="L187" s="176"/>
      <c r="M187" s="244"/>
      <c r="N187" s="244"/>
      <c r="O187" s="176"/>
      <c r="P187" s="50"/>
      <c r="Q187" s="50"/>
      <c r="R187" s="216"/>
      <c r="S187" s="176"/>
      <c r="T187" s="176"/>
      <c r="U187" s="176"/>
      <c r="Z187" s="246"/>
      <c r="AA187" s="246"/>
      <c r="AB187" s="246"/>
      <c r="AC187" s="246"/>
      <c r="AD187" s="246"/>
    </row>
    <row r="188" spans="11:30" ht="15">
      <c r="K188" s="176"/>
      <c r="L188" s="176"/>
      <c r="M188" s="244"/>
      <c r="N188" s="244"/>
      <c r="O188" s="176"/>
      <c r="P188" s="50"/>
      <c r="Q188" s="50"/>
      <c r="R188" s="216"/>
      <c r="S188" s="176"/>
      <c r="T188" s="176"/>
      <c r="U188" s="176"/>
      <c r="Z188" s="246"/>
      <c r="AA188" s="246"/>
      <c r="AB188" s="246"/>
      <c r="AC188" s="246"/>
      <c r="AD188" s="246"/>
    </row>
    <row r="189" spans="11:30" ht="15">
      <c r="K189" s="176"/>
      <c r="L189" s="176"/>
      <c r="M189" s="244"/>
      <c r="N189" s="244"/>
      <c r="O189" s="176"/>
      <c r="P189" s="50"/>
      <c r="Q189" s="50"/>
      <c r="R189" s="216"/>
      <c r="S189" s="176"/>
      <c r="T189" s="176"/>
      <c r="U189" s="176"/>
      <c r="Z189" s="246"/>
      <c r="AA189" s="246"/>
      <c r="AB189" s="246"/>
      <c r="AC189" s="246"/>
      <c r="AD189" s="246"/>
    </row>
    <row r="190" spans="11:30" ht="15">
      <c r="K190" s="176"/>
      <c r="L190" s="176"/>
      <c r="M190" s="244"/>
      <c r="N190" s="244"/>
      <c r="O190" s="176"/>
      <c r="P190" s="50"/>
      <c r="Q190" s="50"/>
      <c r="R190" s="216"/>
      <c r="S190" s="176"/>
      <c r="T190" s="176"/>
      <c r="U190" s="176"/>
      <c r="Z190" s="246"/>
      <c r="AA190" s="246"/>
      <c r="AB190" s="246"/>
      <c r="AC190" s="246"/>
      <c r="AD190" s="246"/>
    </row>
    <row r="191" spans="11:30" ht="15">
      <c r="K191" s="176"/>
      <c r="L191" s="176"/>
      <c r="M191" s="244"/>
      <c r="N191" s="244"/>
      <c r="O191" s="176"/>
      <c r="P191" s="50"/>
      <c r="Q191" s="50"/>
      <c r="R191" s="216"/>
      <c r="S191" s="176"/>
      <c r="T191" s="176"/>
      <c r="U191" s="176"/>
      <c r="Z191" s="246"/>
      <c r="AA191" s="246"/>
      <c r="AB191" s="246"/>
      <c r="AC191" s="246"/>
      <c r="AD191" s="246"/>
    </row>
    <row r="192" spans="11:30" ht="15">
      <c r="K192" s="176"/>
      <c r="L192" s="176"/>
      <c r="M192" s="244"/>
      <c r="N192" s="244"/>
      <c r="O192" s="176"/>
      <c r="P192" s="50"/>
      <c r="Q192" s="50"/>
      <c r="R192" s="216"/>
      <c r="S192" s="176"/>
      <c r="T192" s="176"/>
      <c r="U192" s="176"/>
      <c r="Z192" s="246"/>
      <c r="AA192" s="246"/>
      <c r="AB192" s="246"/>
      <c r="AC192" s="246"/>
      <c r="AD192" s="246"/>
    </row>
    <row r="193" spans="11:30" ht="15">
      <c r="K193" s="176"/>
      <c r="L193" s="176"/>
      <c r="M193" s="244"/>
      <c r="N193" s="244"/>
      <c r="O193" s="176"/>
      <c r="P193" s="50"/>
      <c r="Q193" s="50"/>
      <c r="R193" s="216"/>
      <c r="S193" s="176"/>
      <c r="T193" s="176"/>
      <c r="U193" s="176"/>
      <c r="Z193" s="246"/>
      <c r="AA193" s="246"/>
      <c r="AB193" s="246"/>
      <c r="AC193" s="246"/>
      <c r="AD193" s="246"/>
    </row>
    <row r="194" spans="11:30" ht="15">
      <c r="K194" s="176"/>
      <c r="L194" s="176"/>
      <c r="M194" s="244"/>
      <c r="N194" s="244"/>
      <c r="O194" s="176"/>
      <c r="P194" s="50"/>
      <c r="Q194" s="50"/>
      <c r="R194" s="216"/>
      <c r="S194" s="176"/>
      <c r="T194" s="176"/>
      <c r="U194" s="176"/>
      <c r="Z194" s="246"/>
      <c r="AA194" s="246"/>
      <c r="AB194" s="246"/>
      <c r="AC194" s="246"/>
      <c r="AD194" s="246"/>
    </row>
    <row r="195" spans="11:30" ht="15">
      <c r="K195" s="176"/>
      <c r="L195" s="176"/>
      <c r="M195" s="244"/>
      <c r="N195" s="244"/>
      <c r="O195" s="176"/>
      <c r="P195" s="50"/>
      <c r="Q195" s="50"/>
      <c r="R195" s="216"/>
      <c r="S195" s="176"/>
      <c r="T195" s="176"/>
      <c r="U195" s="176"/>
      <c r="Z195" s="246"/>
      <c r="AA195" s="246"/>
      <c r="AB195" s="246"/>
      <c r="AC195" s="246"/>
      <c r="AD195" s="246"/>
    </row>
    <row r="196" spans="11:30" ht="15">
      <c r="K196" s="176"/>
      <c r="L196" s="176"/>
      <c r="M196" s="244"/>
      <c r="N196" s="244"/>
      <c r="O196" s="176"/>
      <c r="P196" s="50"/>
      <c r="Q196" s="50"/>
      <c r="R196" s="216"/>
      <c r="S196" s="176"/>
      <c r="T196" s="176"/>
      <c r="U196" s="176"/>
      <c r="Z196" s="246"/>
      <c r="AA196" s="246"/>
      <c r="AB196" s="246"/>
      <c r="AC196" s="246"/>
      <c r="AD196" s="246"/>
    </row>
    <row r="197" spans="11:30" ht="15">
      <c r="K197" s="176"/>
      <c r="L197" s="176"/>
      <c r="M197" s="244"/>
      <c r="N197" s="244"/>
      <c r="O197" s="176"/>
      <c r="P197" s="50"/>
      <c r="Q197" s="50"/>
      <c r="R197" s="216"/>
      <c r="S197" s="176"/>
      <c r="T197" s="176"/>
      <c r="U197" s="176"/>
      <c r="Z197" s="246"/>
      <c r="AA197" s="246"/>
      <c r="AB197" s="246"/>
      <c r="AC197" s="246"/>
      <c r="AD197" s="246"/>
    </row>
    <row r="198" spans="11:30" ht="15">
      <c r="K198" s="176"/>
      <c r="L198" s="176"/>
      <c r="M198" s="244"/>
      <c r="N198" s="244"/>
      <c r="O198" s="176"/>
      <c r="P198" s="50"/>
      <c r="Q198" s="50"/>
      <c r="R198" s="216"/>
      <c r="S198" s="176"/>
      <c r="T198" s="176"/>
      <c r="U198" s="176"/>
      <c r="Z198" s="246"/>
      <c r="AA198" s="246"/>
      <c r="AB198" s="246"/>
      <c r="AC198" s="246"/>
      <c r="AD198" s="246"/>
    </row>
    <row r="199" spans="11:30" ht="15">
      <c r="K199" s="176"/>
      <c r="L199" s="176"/>
      <c r="M199" s="244"/>
      <c r="N199" s="244"/>
      <c r="O199" s="176"/>
      <c r="P199" s="50"/>
      <c r="Q199" s="50"/>
      <c r="R199" s="216"/>
      <c r="S199" s="176"/>
      <c r="T199" s="176"/>
      <c r="U199" s="176"/>
      <c r="Z199" s="246"/>
      <c r="AA199" s="246"/>
      <c r="AB199" s="246"/>
      <c r="AC199" s="246"/>
      <c r="AD199" s="246"/>
    </row>
    <row r="200" spans="11:30" ht="15">
      <c r="K200" s="176"/>
      <c r="L200" s="176"/>
      <c r="M200" s="244"/>
      <c r="N200" s="244"/>
      <c r="O200" s="176"/>
      <c r="P200" s="50"/>
      <c r="Q200" s="50"/>
      <c r="R200" s="216"/>
      <c r="S200" s="176"/>
      <c r="T200" s="176"/>
      <c r="U200" s="176"/>
      <c r="Z200" s="246"/>
      <c r="AA200" s="246"/>
      <c r="AB200" s="246"/>
      <c r="AC200" s="246"/>
      <c r="AD200" s="246"/>
    </row>
    <row r="201" spans="11:30" ht="15">
      <c r="K201" s="176"/>
      <c r="L201" s="176"/>
      <c r="M201" s="244"/>
      <c r="N201" s="244"/>
      <c r="O201" s="176"/>
      <c r="P201" s="50"/>
      <c r="Q201" s="50"/>
      <c r="R201" s="216"/>
      <c r="S201" s="176"/>
      <c r="T201" s="176"/>
      <c r="U201" s="176"/>
      <c r="Z201" s="246"/>
      <c r="AA201" s="246"/>
      <c r="AB201" s="246"/>
      <c r="AC201" s="246"/>
      <c r="AD201" s="246"/>
    </row>
    <row r="202" spans="11:30">
      <c r="K202" s="176"/>
      <c r="L202" s="176"/>
      <c r="M202" s="176"/>
      <c r="N202" s="50"/>
      <c r="O202" s="176"/>
      <c r="P202" s="50"/>
      <c r="Q202" s="50"/>
      <c r="R202" s="176"/>
      <c r="S202" s="176"/>
      <c r="T202" s="176"/>
      <c r="U202" s="176"/>
      <c r="Z202" s="246"/>
      <c r="AA202" s="246"/>
      <c r="AB202" s="246"/>
      <c r="AC202" s="246"/>
      <c r="AD202" s="246"/>
    </row>
    <row r="203" spans="11:30">
      <c r="K203" s="176"/>
      <c r="L203" s="176"/>
      <c r="M203" s="176"/>
      <c r="N203" s="50"/>
      <c r="O203" s="176"/>
      <c r="P203" s="50"/>
      <c r="Q203" s="50"/>
      <c r="R203" s="176"/>
      <c r="S203" s="176"/>
      <c r="T203" s="176"/>
      <c r="U203" s="176"/>
      <c r="Z203" s="246"/>
      <c r="AA203" s="246"/>
      <c r="AB203" s="246"/>
      <c r="AC203" s="246"/>
      <c r="AD203" s="246"/>
    </row>
    <row r="204" spans="11:30">
      <c r="K204" s="176"/>
      <c r="L204" s="176"/>
      <c r="M204" s="176"/>
      <c r="N204" s="50"/>
      <c r="O204" s="176"/>
      <c r="P204" s="50"/>
      <c r="Q204" s="50"/>
      <c r="R204" s="176"/>
      <c r="S204" s="176"/>
      <c r="T204" s="176"/>
      <c r="U204" s="176"/>
      <c r="Z204" s="246"/>
      <c r="AA204" s="246"/>
      <c r="AB204" s="246"/>
      <c r="AC204" s="246"/>
      <c r="AD204" s="246"/>
    </row>
    <row r="205" spans="11:30">
      <c r="K205" s="176"/>
      <c r="L205" s="176"/>
      <c r="M205" s="176"/>
      <c r="N205" s="50"/>
      <c r="O205" s="176"/>
      <c r="P205" s="50"/>
      <c r="Q205" s="50"/>
      <c r="R205" s="176"/>
      <c r="S205" s="176"/>
      <c r="T205" s="176"/>
      <c r="U205" s="176"/>
      <c r="Z205" s="246"/>
      <c r="AA205" s="246"/>
      <c r="AB205" s="246"/>
      <c r="AC205" s="246"/>
      <c r="AD205" s="246"/>
    </row>
    <row r="206" spans="11:30">
      <c r="K206" s="176"/>
      <c r="L206" s="176"/>
      <c r="M206" s="176"/>
      <c r="N206" s="50"/>
      <c r="O206" s="176"/>
      <c r="P206" s="50"/>
      <c r="Q206" s="50"/>
      <c r="R206" s="176"/>
      <c r="S206" s="176"/>
      <c r="T206" s="176"/>
      <c r="U206" s="176"/>
      <c r="Z206" s="246"/>
      <c r="AA206" s="246"/>
      <c r="AB206" s="246"/>
      <c r="AC206" s="246"/>
      <c r="AD206" s="246"/>
    </row>
    <row r="207" spans="11:30">
      <c r="K207" s="176"/>
      <c r="L207" s="176"/>
      <c r="M207" s="176"/>
      <c r="N207" s="50"/>
      <c r="O207" s="176"/>
      <c r="P207" s="50"/>
      <c r="Q207" s="50"/>
      <c r="R207" s="176"/>
      <c r="S207" s="176"/>
      <c r="T207" s="176"/>
      <c r="U207" s="176"/>
      <c r="Z207" s="246"/>
      <c r="AA207" s="246"/>
      <c r="AB207" s="246"/>
      <c r="AC207" s="246"/>
      <c r="AD207" s="246"/>
    </row>
    <row r="208" spans="11:30">
      <c r="K208" s="176"/>
      <c r="L208" s="176"/>
      <c r="M208" s="176"/>
      <c r="N208" s="50"/>
      <c r="O208" s="176"/>
      <c r="P208" s="50"/>
      <c r="Q208" s="50"/>
      <c r="R208" s="176"/>
      <c r="S208" s="176"/>
      <c r="T208" s="176"/>
      <c r="U208" s="176"/>
      <c r="Z208" s="246"/>
      <c r="AA208" s="246"/>
      <c r="AB208" s="246"/>
      <c r="AC208" s="246"/>
      <c r="AD208" s="246"/>
    </row>
    <row r="209" spans="11:30">
      <c r="K209" s="176"/>
      <c r="L209" s="176"/>
      <c r="M209" s="176"/>
      <c r="N209" s="50"/>
      <c r="O209" s="176"/>
      <c r="P209" s="50"/>
      <c r="Q209" s="50"/>
      <c r="R209" s="176"/>
      <c r="S209" s="176"/>
      <c r="T209" s="176"/>
      <c r="U209" s="176"/>
      <c r="Z209" s="246"/>
      <c r="AA209" s="246"/>
      <c r="AB209" s="246"/>
      <c r="AC209" s="246"/>
      <c r="AD209" s="246"/>
    </row>
    <row r="210" spans="11:30">
      <c r="K210" s="176"/>
      <c r="L210" s="176"/>
      <c r="M210" s="176"/>
      <c r="N210" s="50"/>
      <c r="O210" s="176"/>
      <c r="P210" s="50"/>
      <c r="Q210" s="50"/>
      <c r="R210" s="176"/>
      <c r="S210" s="176"/>
      <c r="T210" s="176"/>
      <c r="U210" s="176"/>
      <c r="Z210" s="246"/>
      <c r="AA210" s="246"/>
      <c r="AB210" s="246"/>
      <c r="AC210" s="246"/>
      <c r="AD210" s="246"/>
    </row>
    <row r="211" spans="11:30">
      <c r="K211" s="176"/>
      <c r="L211" s="176"/>
      <c r="M211" s="176"/>
      <c r="N211" s="50"/>
      <c r="O211" s="176"/>
      <c r="P211" s="50"/>
      <c r="Q211" s="50"/>
      <c r="R211" s="176"/>
      <c r="S211" s="176"/>
      <c r="T211" s="176"/>
      <c r="U211" s="176"/>
      <c r="Z211" s="246"/>
      <c r="AA211" s="246"/>
      <c r="AB211" s="246"/>
      <c r="AC211" s="246"/>
      <c r="AD211" s="246"/>
    </row>
    <row r="212" spans="11:30">
      <c r="K212" s="176"/>
      <c r="L212" s="176"/>
      <c r="M212" s="176"/>
      <c r="N212" s="50"/>
      <c r="O212" s="176"/>
      <c r="P212" s="50"/>
      <c r="Q212" s="50"/>
      <c r="R212" s="176"/>
      <c r="S212" s="176"/>
      <c r="T212" s="176"/>
      <c r="U212" s="176"/>
      <c r="Z212" s="246"/>
      <c r="AA212" s="246"/>
      <c r="AB212" s="246"/>
      <c r="AC212" s="246"/>
      <c r="AD212" s="246"/>
    </row>
    <row r="213" spans="11:30">
      <c r="K213" s="176"/>
      <c r="L213" s="176"/>
      <c r="M213" s="176"/>
      <c r="N213" s="50"/>
      <c r="O213" s="176"/>
      <c r="P213" s="50"/>
      <c r="Q213" s="50"/>
      <c r="R213" s="176"/>
      <c r="S213" s="176"/>
      <c r="T213" s="176"/>
      <c r="U213" s="176"/>
      <c r="Z213" s="246"/>
      <c r="AA213" s="246"/>
      <c r="AB213" s="246"/>
      <c r="AC213" s="246"/>
      <c r="AD213" s="246"/>
    </row>
    <row r="214" spans="11:30">
      <c r="K214" s="176"/>
      <c r="L214" s="176"/>
      <c r="M214" s="176"/>
      <c r="N214" s="50"/>
      <c r="O214" s="176"/>
      <c r="P214" s="50"/>
      <c r="Q214" s="50"/>
      <c r="R214" s="176"/>
      <c r="S214" s="176"/>
      <c r="T214" s="176"/>
      <c r="U214" s="176"/>
      <c r="Z214" s="246"/>
      <c r="AA214" s="246"/>
      <c r="AB214" s="246"/>
      <c r="AC214" s="246"/>
      <c r="AD214" s="246"/>
    </row>
    <row r="215" spans="11:30">
      <c r="K215" s="176"/>
      <c r="L215" s="176"/>
      <c r="M215" s="176"/>
      <c r="N215" s="50"/>
      <c r="O215" s="176"/>
      <c r="P215" s="50"/>
      <c r="Q215" s="50"/>
      <c r="R215" s="176"/>
      <c r="S215" s="176"/>
      <c r="T215" s="176"/>
      <c r="U215" s="176"/>
      <c r="Z215" s="246"/>
      <c r="AA215" s="246"/>
      <c r="AB215" s="246"/>
      <c r="AC215" s="246"/>
      <c r="AD215" s="246"/>
    </row>
    <row r="216" spans="11:30">
      <c r="K216" s="176"/>
      <c r="L216" s="176"/>
      <c r="M216" s="176"/>
      <c r="N216" s="50"/>
      <c r="O216" s="176"/>
      <c r="P216" s="50"/>
      <c r="Q216" s="50"/>
      <c r="R216" s="176"/>
      <c r="S216" s="176"/>
      <c r="T216" s="176"/>
      <c r="U216" s="176"/>
      <c r="Z216" s="246"/>
      <c r="AA216" s="246"/>
      <c r="AB216" s="246"/>
      <c r="AC216" s="246"/>
      <c r="AD216" s="246"/>
    </row>
    <row r="217" spans="11:30">
      <c r="K217" s="176"/>
      <c r="L217" s="176"/>
      <c r="M217" s="176"/>
      <c r="N217" s="50"/>
      <c r="O217" s="176"/>
      <c r="P217" s="50"/>
      <c r="Q217" s="50"/>
      <c r="R217" s="176"/>
      <c r="S217" s="176"/>
      <c r="T217" s="176"/>
      <c r="U217" s="176"/>
      <c r="Z217" s="246"/>
      <c r="AA217" s="246"/>
      <c r="AB217" s="246"/>
      <c r="AC217" s="246"/>
      <c r="AD217" s="246"/>
    </row>
    <row r="218" spans="11:30">
      <c r="K218" s="176"/>
      <c r="L218" s="176"/>
      <c r="M218" s="176"/>
      <c r="N218" s="50"/>
      <c r="O218" s="176"/>
      <c r="P218" s="50"/>
      <c r="Q218" s="50"/>
      <c r="R218" s="176"/>
      <c r="S218" s="176"/>
      <c r="T218" s="176"/>
      <c r="U218" s="176"/>
      <c r="Z218" s="246"/>
      <c r="AA218" s="246"/>
      <c r="AB218" s="246"/>
      <c r="AC218" s="246"/>
      <c r="AD218" s="246"/>
    </row>
    <row r="219" spans="11:30">
      <c r="K219" s="176"/>
      <c r="L219" s="176"/>
      <c r="M219" s="176"/>
      <c r="N219" s="50"/>
      <c r="O219" s="176"/>
      <c r="P219" s="50"/>
      <c r="Q219" s="50"/>
      <c r="R219" s="176"/>
      <c r="S219" s="176"/>
      <c r="T219" s="176"/>
      <c r="U219" s="176"/>
      <c r="Z219" s="246"/>
      <c r="AA219" s="246"/>
      <c r="AB219" s="246"/>
      <c r="AC219" s="246"/>
      <c r="AD219" s="246"/>
    </row>
    <row r="220" spans="11:30">
      <c r="K220" s="176"/>
      <c r="L220" s="176"/>
      <c r="M220" s="176"/>
      <c r="N220" s="50"/>
      <c r="O220" s="176"/>
      <c r="P220" s="50"/>
      <c r="Q220" s="50"/>
      <c r="R220" s="176"/>
      <c r="S220" s="176"/>
      <c r="T220" s="176"/>
      <c r="U220" s="176"/>
      <c r="Z220" s="246"/>
      <c r="AA220" s="246"/>
      <c r="AB220" s="246"/>
      <c r="AC220" s="246"/>
      <c r="AD220" s="246"/>
    </row>
    <row r="221" spans="11:30">
      <c r="K221" s="176"/>
      <c r="L221" s="176"/>
      <c r="M221" s="176"/>
      <c r="N221" s="50"/>
      <c r="O221" s="176"/>
      <c r="P221" s="50"/>
      <c r="Q221" s="50"/>
      <c r="R221" s="176"/>
      <c r="S221" s="176"/>
      <c r="T221" s="176"/>
      <c r="U221" s="176"/>
      <c r="Z221" s="246"/>
      <c r="AA221" s="246"/>
      <c r="AB221" s="246"/>
      <c r="AC221" s="246"/>
      <c r="AD221" s="246"/>
    </row>
    <row r="222" spans="11:30">
      <c r="K222" s="176"/>
      <c r="L222" s="176"/>
      <c r="M222" s="176"/>
      <c r="N222" s="50"/>
      <c r="O222" s="176"/>
      <c r="P222" s="50"/>
      <c r="Q222" s="50"/>
      <c r="R222" s="176"/>
      <c r="S222" s="176"/>
      <c r="T222" s="176"/>
      <c r="U222" s="176"/>
      <c r="Z222" s="246"/>
      <c r="AA222" s="246"/>
      <c r="AB222" s="246"/>
      <c r="AC222" s="246"/>
      <c r="AD222" s="246"/>
    </row>
    <row r="223" spans="11:30">
      <c r="K223" s="176"/>
      <c r="L223" s="176"/>
      <c r="M223" s="176"/>
      <c r="N223" s="50"/>
      <c r="O223" s="176"/>
      <c r="P223" s="50"/>
      <c r="Q223" s="50"/>
      <c r="R223" s="176"/>
      <c r="S223" s="176"/>
      <c r="T223" s="176"/>
      <c r="U223" s="176"/>
      <c r="Z223" s="246"/>
      <c r="AA223" s="246"/>
      <c r="AB223" s="246"/>
      <c r="AC223" s="246"/>
      <c r="AD223" s="246"/>
    </row>
    <row r="224" spans="11:30">
      <c r="K224" s="176"/>
      <c r="L224" s="176"/>
      <c r="M224" s="176"/>
      <c r="N224" s="50"/>
      <c r="O224" s="176"/>
      <c r="P224" s="50"/>
      <c r="Q224" s="50"/>
      <c r="R224" s="176"/>
      <c r="S224" s="176"/>
      <c r="T224" s="176"/>
      <c r="U224" s="176"/>
      <c r="Z224" s="246"/>
      <c r="AA224" s="246"/>
      <c r="AB224" s="246"/>
      <c r="AC224" s="246"/>
      <c r="AD224" s="246"/>
    </row>
    <row r="225" spans="11:30">
      <c r="K225" s="176"/>
      <c r="L225" s="176"/>
      <c r="M225" s="176"/>
      <c r="N225" s="50"/>
      <c r="O225" s="176"/>
      <c r="P225" s="50"/>
      <c r="Q225" s="50"/>
      <c r="R225" s="176"/>
      <c r="S225" s="176"/>
      <c r="T225" s="176"/>
      <c r="U225" s="176"/>
      <c r="Z225" s="246"/>
      <c r="AA225" s="246"/>
      <c r="AB225" s="246"/>
      <c r="AC225" s="246"/>
      <c r="AD225" s="246"/>
    </row>
    <row r="226" spans="11:30">
      <c r="K226" s="176"/>
      <c r="L226" s="176"/>
      <c r="M226" s="176"/>
      <c r="N226" s="50"/>
      <c r="O226" s="176"/>
      <c r="P226" s="50"/>
      <c r="Q226" s="50"/>
      <c r="R226" s="176"/>
      <c r="S226" s="176"/>
      <c r="T226" s="176"/>
      <c r="U226" s="176"/>
      <c r="Z226" s="246"/>
      <c r="AA226" s="246"/>
      <c r="AB226" s="246"/>
      <c r="AC226" s="246"/>
      <c r="AD226" s="246"/>
    </row>
    <row r="227" spans="11:30">
      <c r="K227" s="176"/>
      <c r="L227" s="176"/>
      <c r="M227" s="176"/>
      <c r="N227" s="50"/>
      <c r="O227" s="176"/>
      <c r="P227" s="50"/>
      <c r="Q227" s="50"/>
      <c r="R227" s="176"/>
      <c r="S227" s="176"/>
      <c r="T227" s="176"/>
      <c r="U227" s="176"/>
      <c r="Z227" s="246"/>
      <c r="AA227" s="246"/>
      <c r="AB227" s="246"/>
      <c r="AC227" s="246"/>
      <c r="AD227" s="246"/>
    </row>
    <row r="228" spans="11:30">
      <c r="K228" s="176"/>
      <c r="L228" s="176"/>
      <c r="M228" s="176"/>
      <c r="N228" s="50"/>
      <c r="O228" s="176"/>
      <c r="P228" s="50"/>
      <c r="Q228" s="50"/>
      <c r="R228" s="176"/>
      <c r="S228" s="176"/>
      <c r="T228" s="176"/>
      <c r="U228" s="176"/>
      <c r="Z228" s="246"/>
      <c r="AA228" s="246"/>
      <c r="AB228" s="246"/>
      <c r="AC228" s="246"/>
      <c r="AD228" s="246"/>
    </row>
    <row r="229" spans="11:30">
      <c r="K229" s="176"/>
      <c r="L229" s="176"/>
      <c r="M229" s="176"/>
      <c r="N229" s="50"/>
      <c r="O229" s="176"/>
      <c r="P229" s="50"/>
      <c r="Q229" s="50"/>
      <c r="R229" s="176"/>
      <c r="S229" s="176"/>
      <c r="T229" s="176"/>
      <c r="U229" s="176"/>
      <c r="Z229" s="246"/>
      <c r="AA229" s="246"/>
      <c r="AB229" s="246"/>
      <c r="AC229" s="246"/>
      <c r="AD229" s="246"/>
    </row>
    <row r="230" spans="11:30">
      <c r="K230" s="176"/>
      <c r="L230" s="176"/>
      <c r="M230" s="176"/>
      <c r="N230" s="50"/>
      <c r="O230" s="176"/>
      <c r="P230" s="50"/>
      <c r="Q230" s="50"/>
      <c r="R230" s="176"/>
      <c r="S230" s="176"/>
      <c r="T230" s="176"/>
      <c r="U230" s="176"/>
      <c r="Z230" s="246"/>
      <c r="AA230" s="246"/>
      <c r="AB230" s="246"/>
      <c r="AC230" s="246"/>
      <c r="AD230" s="246"/>
    </row>
    <row r="231" spans="11:30">
      <c r="K231" s="176"/>
      <c r="L231" s="176"/>
      <c r="M231" s="176"/>
      <c r="N231" s="50"/>
      <c r="O231" s="176"/>
      <c r="P231" s="50"/>
      <c r="Q231" s="50"/>
      <c r="R231" s="176"/>
      <c r="S231" s="176"/>
      <c r="T231" s="176"/>
      <c r="U231" s="176"/>
      <c r="Z231" s="246"/>
      <c r="AA231" s="246"/>
      <c r="AB231" s="246"/>
      <c r="AC231" s="246"/>
      <c r="AD231" s="246"/>
    </row>
    <row r="232" spans="11:30">
      <c r="K232" s="176"/>
      <c r="L232" s="176"/>
      <c r="M232" s="176"/>
      <c r="N232" s="50"/>
      <c r="O232" s="176"/>
      <c r="P232" s="50"/>
      <c r="Q232" s="50"/>
      <c r="R232" s="176"/>
      <c r="S232" s="176"/>
      <c r="T232" s="176"/>
      <c r="U232" s="176"/>
      <c r="Z232" s="246"/>
      <c r="AA232" s="246"/>
      <c r="AB232" s="246"/>
      <c r="AC232" s="246"/>
      <c r="AD232" s="246"/>
    </row>
    <row r="233" spans="11:30">
      <c r="K233" s="176"/>
      <c r="L233" s="176"/>
      <c r="M233" s="176"/>
      <c r="N233" s="50"/>
      <c r="O233" s="176"/>
      <c r="P233" s="50"/>
      <c r="Q233" s="50"/>
      <c r="R233" s="176"/>
      <c r="S233" s="176"/>
      <c r="T233" s="176"/>
      <c r="U233" s="176"/>
      <c r="Z233" s="246"/>
      <c r="AA233" s="246"/>
      <c r="AB233" s="246"/>
      <c r="AC233" s="246"/>
      <c r="AD233" s="246"/>
    </row>
    <row r="234" spans="11:30">
      <c r="K234" s="176"/>
      <c r="L234" s="176"/>
      <c r="M234" s="176"/>
      <c r="N234" s="50"/>
      <c r="O234" s="176"/>
      <c r="P234" s="50"/>
      <c r="Q234" s="50"/>
      <c r="R234" s="176"/>
      <c r="S234" s="176"/>
      <c r="T234" s="176"/>
      <c r="U234" s="176"/>
      <c r="Z234" s="246"/>
      <c r="AA234" s="246"/>
      <c r="AB234" s="246"/>
      <c r="AC234" s="246"/>
      <c r="AD234" s="246"/>
    </row>
    <row r="235" spans="11:30">
      <c r="K235" s="176"/>
      <c r="L235" s="176"/>
      <c r="M235" s="176"/>
      <c r="N235" s="50"/>
      <c r="O235" s="176"/>
      <c r="P235" s="50"/>
      <c r="Q235" s="50"/>
      <c r="R235" s="176"/>
      <c r="S235" s="176"/>
      <c r="T235" s="176"/>
      <c r="U235" s="176"/>
      <c r="Z235" s="246"/>
      <c r="AA235" s="246"/>
      <c r="AB235" s="246"/>
      <c r="AC235" s="246"/>
      <c r="AD235" s="246"/>
    </row>
    <row r="236" spans="11:30">
      <c r="K236" s="176"/>
      <c r="L236" s="176"/>
      <c r="M236" s="176"/>
      <c r="N236" s="50"/>
      <c r="O236" s="176"/>
      <c r="P236" s="50"/>
      <c r="Q236" s="50"/>
      <c r="R236" s="176"/>
      <c r="S236" s="176"/>
      <c r="T236" s="176"/>
      <c r="U236" s="176"/>
      <c r="Z236" s="246"/>
      <c r="AA236" s="246"/>
      <c r="AB236" s="246"/>
      <c r="AC236" s="246"/>
      <c r="AD236" s="246"/>
    </row>
    <row r="237" spans="11:30">
      <c r="K237" s="176"/>
      <c r="L237" s="176"/>
      <c r="M237" s="176"/>
      <c r="N237" s="50"/>
      <c r="O237" s="176"/>
      <c r="P237" s="50"/>
      <c r="Q237" s="50"/>
      <c r="R237" s="176"/>
      <c r="S237" s="176"/>
      <c r="T237" s="176"/>
      <c r="U237" s="176"/>
      <c r="Z237" s="246"/>
      <c r="AA237" s="246"/>
      <c r="AB237" s="246"/>
      <c r="AC237" s="246"/>
      <c r="AD237" s="246"/>
    </row>
    <row r="238" spans="11:30">
      <c r="K238" s="176"/>
      <c r="L238" s="176"/>
      <c r="M238" s="176"/>
      <c r="N238" s="50"/>
      <c r="O238" s="176"/>
      <c r="P238" s="50"/>
      <c r="Q238" s="50"/>
      <c r="R238" s="176"/>
      <c r="S238" s="176"/>
      <c r="T238" s="176"/>
      <c r="U238" s="176"/>
      <c r="Z238" s="246"/>
      <c r="AA238" s="246"/>
      <c r="AB238" s="246"/>
      <c r="AC238" s="246"/>
      <c r="AD238" s="246"/>
    </row>
    <row r="239" spans="11:30">
      <c r="K239" s="176"/>
      <c r="L239" s="176"/>
      <c r="M239" s="176"/>
      <c r="N239" s="50"/>
      <c r="O239" s="176"/>
      <c r="P239" s="50"/>
      <c r="Q239" s="50"/>
      <c r="R239" s="176"/>
      <c r="S239" s="176"/>
      <c r="T239" s="176"/>
      <c r="U239" s="176"/>
      <c r="Z239" s="246"/>
      <c r="AA239" s="246"/>
      <c r="AB239" s="246"/>
      <c r="AC239" s="246"/>
      <c r="AD239" s="246"/>
    </row>
    <row r="240" spans="11:30">
      <c r="K240" s="176"/>
      <c r="L240" s="176"/>
      <c r="M240" s="176"/>
      <c r="N240" s="50"/>
      <c r="O240" s="176"/>
      <c r="P240" s="50"/>
      <c r="Q240" s="50"/>
      <c r="R240" s="176"/>
      <c r="S240" s="176"/>
      <c r="T240" s="176"/>
      <c r="U240" s="176"/>
      <c r="Z240" s="246"/>
      <c r="AA240" s="246"/>
      <c r="AB240" s="246"/>
      <c r="AC240" s="246"/>
      <c r="AD240" s="246"/>
    </row>
    <row r="241" spans="11:30">
      <c r="K241" s="176"/>
      <c r="L241" s="176"/>
      <c r="M241" s="176"/>
      <c r="N241" s="50"/>
      <c r="O241" s="176"/>
      <c r="P241" s="50"/>
      <c r="Q241" s="50"/>
      <c r="R241" s="176"/>
      <c r="S241" s="176"/>
      <c r="T241" s="176"/>
      <c r="U241" s="176"/>
      <c r="Z241" s="246"/>
      <c r="AA241" s="246"/>
      <c r="AB241" s="246"/>
      <c r="AC241" s="246"/>
      <c r="AD241" s="246"/>
    </row>
    <row r="242" spans="11:30">
      <c r="K242" s="176"/>
      <c r="L242" s="176"/>
      <c r="M242" s="176"/>
      <c r="N242" s="50"/>
      <c r="O242" s="176"/>
      <c r="P242" s="50"/>
      <c r="Q242" s="50"/>
      <c r="R242" s="176"/>
      <c r="S242" s="176"/>
      <c r="T242" s="176"/>
      <c r="U242" s="176"/>
      <c r="Z242" s="246"/>
      <c r="AA242" s="246"/>
      <c r="AB242" s="246"/>
      <c r="AC242" s="246"/>
      <c r="AD242" s="246"/>
    </row>
    <row r="243" spans="11:30">
      <c r="K243" s="176"/>
      <c r="L243" s="176"/>
      <c r="M243" s="176"/>
      <c r="N243" s="50"/>
      <c r="O243" s="176"/>
      <c r="P243" s="50"/>
      <c r="Q243" s="50"/>
      <c r="R243" s="176"/>
      <c r="S243" s="176"/>
      <c r="T243" s="176"/>
      <c r="U243" s="176"/>
      <c r="Z243" s="246"/>
      <c r="AA243" s="246"/>
      <c r="AB243" s="246"/>
      <c r="AC243" s="246"/>
      <c r="AD243" s="246"/>
    </row>
    <row r="244" spans="11:30">
      <c r="K244" s="176"/>
      <c r="L244" s="176"/>
      <c r="M244" s="176"/>
      <c r="N244" s="50"/>
      <c r="O244" s="176"/>
      <c r="P244" s="50"/>
      <c r="Q244" s="50"/>
      <c r="R244" s="176"/>
      <c r="S244" s="176"/>
      <c r="T244" s="176"/>
      <c r="U244" s="176"/>
      <c r="Z244" s="246"/>
      <c r="AA244" s="246"/>
      <c r="AB244" s="246"/>
      <c r="AC244" s="246"/>
      <c r="AD244" s="246"/>
    </row>
    <row r="245" spans="11:30">
      <c r="K245" s="176"/>
      <c r="L245" s="176"/>
      <c r="M245" s="176"/>
      <c r="N245" s="50"/>
      <c r="O245" s="176"/>
      <c r="P245" s="50"/>
      <c r="Q245" s="50"/>
      <c r="R245" s="176"/>
      <c r="S245" s="176"/>
      <c r="T245" s="176"/>
      <c r="U245" s="176"/>
      <c r="Z245" s="246"/>
      <c r="AA245" s="246"/>
      <c r="AB245" s="246"/>
      <c r="AC245" s="246"/>
      <c r="AD245" s="246"/>
    </row>
    <row r="246" spans="11:30">
      <c r="K246" s="176"/>
      <c r="L246" s="176"/>
      <c r="M246" s="176"/>
      <c r="N246" s="50"/>
      <c r="O246" s="176"/>
      <c r="P246" s="50"/>
      <c r="Q246" s="50"/>
      <c r="R246" s="176"/>
      <c r="S246" s="176"/>
      <c r="T246" s="176"/>
      <c r="U246" s="176"/>
      <c r="Z246" s="246"/>
      <c r="AA246" s="246"/>
      <c r="AB246" s="246"/>
      <c r="AC246" s="246"/>
      <c r="AD246" s="246"/>
    </row>
    <row r="247" spans="11:30">
      <c r="K247" s="176"/>
      <c r="L247" s="176"/>
      <c r="M247" s="176"/>
      <c r="N247" s="50"/>
      <c r="O247" s="176"/>
      <c r="P247" s="50"/>
      <c r="Q247" s="50"/>
      <c r="R247" s="176"/>
      <c r="S247" s="176"/>
      <c r="T247" s="176"/>
      <c r="U247" s="176"/>
      <c r="Z247" s="246"/>
      <c r="AA247" s="246"/>
      <c r="AB247" s="246"/>
      <c r="AC247" s="246"/>
      <c r="AD247" s="246"/>
    </row>
    <row r="248" spans="11:30">
      <c r="K248" s="176"/>
      <c r="L248" s="176"/>
      <c r="M248" s="176"/>
      <c r="N248" s="50"/>
      <c r="O248" s="176"/>
      <c r="P248" s="50"/>
      <c r="Q248" s="50"/>
      <c r="R248" s="176"/>
      <c r="S248" s="176"/>
      <c r="T248" s="176"/>
      <c r="U248" s="176"/>
      <c r="Z248" s="246"/>
      <c r="AA248" s="246"/>
      <c r="AB248" s="246"/>
      <c r="AC248" s="246"/>
      <c r="AD248" s="246"/>
    </row>
    <row r="249" spans="11:30">
      <c r="K249" s="176"/>
      <c r="L249" s="176"/>
      <c r="M249" s="176"/>
      <c r="N249" s="50"/>
      <c r="O249" s="176"/>
      <c r="P249" s="50"/>
      <c r="Q249" s="50"/>
      <c r="R249" s="176"/>
      <c r="S249" s="176"/>
      <c r="T249" s="176"/>
      <c r="U249" s="176"/>
      <c r="Z249" s="246"/>
      <c r="AA249" s="246"/>
      <c r="AB249" s="246"/>
      <c r="AC249" s="246"/>
      <c r="AD249" s="246"/>
    </row>
    <row r="250" spans="11:30">
      <c r="K250" s="176"/>
      <c r="L250" s="176"/>
      <c r="M250" s="176"/>
      <c r="N250" s="50"/>
      <c r="O250" s="176"/>
      <c r="P250" s="50"/>
      <c r="Q250" s="50"/>
      <c r="R250" s="176"/>
      <c r="S250" s="176"/>
      <c r="T250" s="176"/>
      <c r="U250" s="176"/>
      <c r="Z250" s="246"/>
      <c r="AA250" s="246"/>
      <c r="AB250" s="246"/>
      <c r="AC250" s="246"/>
      <c r="AD250" s="246"/>
    </row>
    <row r="251" spans="11:30">
      <c r="K251" s="176"/>
      <c r="L251" s="176"/>
      <c r="M251" s="176"/>
      <c r="N251" s="50"/>
      <c r="O251" s="176"/>
      <c r="P251" s="50"/>
      <c r="Q251" s="50"/>
      <c r="R251" s="176"/>
      <c r="S251" s="176"/>
      <c r="T251" s="176"/>
      <c r="U251" s="176"/>
      <c r="Z251" s="246"/>
      <c r="AA251" s="246"/>
      <c r="AB251" s="246"/>
      <c r="AC251" s="246"/>
      <c r="AD251" s="246"/>
    </row>
    <row r="252" spans="11:30">
      <c r="K252" s="176"/>
      <c r="L252" s="176"/>
      <c r="M252" s="176"/>
      <c r="N252" s="50"/>
      <c r="O252" s="176"/>
      <c r="P252" s="50"/>
      <c r="Q252" s="50"/>
      <c r="R252" s="176"/>
      <c r="S252" s="176"/>
      <c r="T252" s="176"/>
      <c r="U252" s="176"/>
      <c r="Z252" s="246"/>
      <c r="AA252" s="246"/>
      <c r="AB252" s="246"/>
      <c r="AC252" s="246"/>
      <c r="AD252" s="246"/>
    </row>
    <row r="253" spans="11:30">
      <c r="K253" s="176"/>
      <c r="L253" s="176"/>
      <c r="M253" s="176"/>
      <c r="N253" s="50"/>
      <c r="O253" s="176"/>
      <c r="P253" s="50"/>
      <c r="Q253" s="50"/>
      <c r="R253" s="176"/>
      <c r="S253" s="176"/>
      <c r="T253" s="176"/>
      <c r="U253" s="176"/>
      <c r="Z253" s="246"/>
      <c r="AA253" s="246"/>
      <c r="AB253" s="246"/>
      <c r="AC253" s="246"/>
      <c r="AD253" s="246"/>
    </row>
    <row r="254" spans="11:30">
      <c r="K254" s="176"/>
      <c r="L254" s="176"/>
      <c r="M254" s="176"/>
      <c r="N254" s="50"/>
      <c r="O254" s="176"/>
      <c r="P254" s="50"/>
      <c r="Q254" s="50"/>
      <c r="R254" s="176"/>
      <c r="S254" s="176"/>
      <c r="T254" s="176"/>
      <c r="U254" s="176"/>
      <c r="Z254" s="246"/>
      <c r="AA254" s="246"/>
      <c r="AB254" s="246"/>
      <c r="AC254" s="246"/>
      <c r="AD254" s="246"/>
    </row>
    <row r="255" spans="11:30">
      <c r="K255" s="176"/>
      <c r="L255" s="176"/>
      <c r="M255" s="176"/>
      <c r="N255" s="50"/>
      <c r="O255" s="176"/>
      <c r="P255" s="50"/>
      <c r="Q255" s="50"/>
      <c r="R255" s="176"/>
      <c r="S255" s="176"/>
      <c r="T255" s="176"/>
      <c r="U255" s="176"/>
      <c r="Z255" s="246"/>
      <c r="AA255" s="246"/>
      <c r="AB255" s="246"/>
      <c r="AC255" s="246"/>
      <c r="AD255" s="246"/>
    </row>
    <row r="256" spans="11:30">
      <c r="K256" s="176"/>
      <c r="L256" s="176"/>
      <c r="M256" s="176"/>
      <c r="N256" s="50"/>
      <c r="O256" s="176"/>
      <c r="P256" s="50"/>
      <c r="Q256" s="50"/>
      <c r="R256" s="176"/>
      <c r="S256" s="176"/>
      <c r="T256" s="176"/>
      <c r="U256" s="176"/>
      <c r="Z256" s="246"/>
      <c r="AA256" s="246"/>
      <c r="AB256" s="246"/>
      <c r="AC256" s="246"/>
      <c r="AD256" s="246"/>
    </row>
    <row r="257" spans="11:30">
      <c r="K257" s="176"/>
      <c r="L257" s="176"/>
      <c r="M257" s="176"/>
      <c r="N257" s="50"/>
      <c r="O257" s="176"/>
      <c r="P257" s="50"/>
      <c r="Q257" s="50"/>
      <c r="R257" s="176"/>
      <c r="S257" s="176"/>
      <c r="T257" s="176"/>
      <c r="U257" s="176"/>
      <c r="Z257" s="246"/>
      <c r="AA257" s="246"/>
      <c r="AB257" s="246"/>
      <c r="AC257" s="246"/>
      <c r="AD257" s="246"/>
    </row>
    <row r="258" spans="11:30">
      <c r="K258" s="176"/>
      <c r="L258" s="176"/>
      <c r="M258" s="176"/>
      <c r="N258" s="50"/>
      <c r="O258" s="176"/>
      <c r="P258" s="50"/>
      <c r="Q258" s="50"/>
      <c r="R258" s="176"/>
      <c r="S258" s="176"/>
      <c r="T258" s="176"/>
      <c r="U258" s="176"/>
      <c r="Z258" s="246"/>
      <c r="AA258" s="246"/>
      <c r="AB258" s="246"/>
      <c r="AC258" s="246"/>
      <c r="AD258" s="246"/>
    </row>
    <row r="259" spans="11:30">
      <c r="K259" s="176"/>
      <c r="L259" s="176"/>
      <c r="M259" s="176"/>
      <c r="N259" s="50"/>
      <c r="O259" s="176"/>
      <c r="P259" s="50"/>
      <c r="Q259" s="50"/>
      <c r="R259" s="176"/>
      <c r="S259" s="176"/>
      <c r="T259" s="176"/>
      <c r="U259" s="176"/>
      <c r="Z259" s="246"/>
      <c r="AA259" s="246"/>
      <c r="AB259" s="246"/>
      <c r="AC259" s="246"/>
      <c r="AD259" s="246"/>
    </row>
    <row r="260" spans="11:30">
      <c r="K260" s="176"/>
      <c r="L260" s="176"/>
      <c r="M260" s="176"/>
      <c r="N260" s="50"/>
      <c r="O260" s="176"/>
      <c r="P260" s="50"/>
      <c r="Q260" s="50"/>
      <c r="R260" s="176"/>
      <c r="S260" s="176"/>
      <c r="T260" s="176"/>
      <c r="U260" s="176"/>
      <c r="Z260" s="246"/>
      <c r="AA260" s="246"/>
      <c r="AB260" s="246"/>
      <c r="AC260" s="246"/>
      <c r="AD260" s="246"/>
    </row>
    <row r="261" spans="11:30">
      <c r="K261" s="176"/>
      <c r="L261" s="176"/>
      <c r="M261" s="176"/>
      <c r="N261" s="50"/>
      <c r="O261" s="176"/>
      <c r="P261" s="50"/>
      <c r="Q261" s="50"/>
      <c r="R261" s="176"/>
      <c r="S261" s="176"/>
      <c r="T261" s="176"/>
      <c r="U261" s="176"/>
      <c r="Z261" s="246"/>
      <c r="AA261" s="246"/>
      <c r="AB261" s="246"/>
      <c r="AC261" s="246"/>
      <c r="AD261" s="246"/>
    </row>
    <row r="262" spans="11:30">
      <c r="K262" s="176"/>
      <c r="L262" s="176"/>
      <c r="M262" s="176"/>
      <c r="N262" s="50"/>
      <c r="O262" s="176"/>
      <c r="P262" s="50"/>
      <c r="Q262" s="50"/>
      <c r="R262" s="176"/>
      <c r="S262" s="176"/>
      <c r="T262" s="176"/>
      <c r="U262" s="176"/>
      <c r="Z262" s="246"/>
      <c r="AA262" s="246"/>
      <c r="AB262" s="246"/>
      <c r="AC262" s="246"/>
      <c r="AD262" s="246"/>
    </row>
    <row r="263" spans="11:30">
      <c r="K263" s="176"/>
      <c r="L263" s="176"/>
      <c r="M263" s="176"/>
      <c r="N263" s="50"/>
      <c r="O263" s="176"/>
      <c r="P263" s="50"/>
      <c r="Q263" s="50"/>
      <c r="R263" s="176"/>
      <c r="S263" s="176"/>
      <c r="T263" s="176"/>
      <c r="U263" s="176"/>
      <c r="Z263" s="246"/>
      <c r="AA263" s="246"/>
      <c r="AB263" s="246"/>
      <c r="AC263" s="246"/>
      <c r="AD263" s="246"/>
    </row>
    <row r="264" spans="11:30">
      <c r="K264" s="176"/>
      <c r="L264" s="176"/>
      <c r="M264" s="176"/>
      <c r="N264" s="50"/>
      <c r="O264" s="176"/>
      <c r="P264" s="50"/>
      <c r="Q264" s="50"/>
      <c r="R264" s="176"/>
      <c r="S264" s="176"/>
      <c r="T264" s="176"/>
      <c r="U264" s="176"/>
      <c r="Z264" s="246"/>
      <c r="AA264" s="246"/>
      <c r="AB264" s="246"/>
      <c r="AC264" s="246"/>
      <c r="AD264" s="246"/>
    </row>
    <row r="265" spans="11:30">
      <c r="K265" s="176"/>
      <c r="L265" s="176"/>
      <c r="M265" s="176"/>
      <c r="N265" s="50"/>
      <c r="O265" s="176"/>
      <c r="P265" s="50"/>
      <c r="Q265" s="50"/>
      <c r="R265" s="176"/>
      <c r="S265" s="176"/>
      <c r="T265" s="176"/>
      <c r="U265" s="176"/>
      <c r="Z265" s="246"/>
      <c r="AA265" s="246"/>
      <c r="AB265" s="246"/>
      <c r="AC265" s="246"/>
      <c r="AD265" s="246"/>
    </row>
    <row r="266" spans="11:30">
      <c r="K266" s="176"/>
      <c r="L266" s="176"/>
      <c r="M266" s="176"/>
      <c r="N266" s="50"/>
      <c r="O266" s="176"/>
      <c r="P266" s="50"/>
      <c r="Q266" s="50"/>
      <c r="R266" s="176"/>
      <c r="S266" s="176"/>
      <c r="T266" s="176"/>
      <c r="U266" s="176"/>
      <c r="Z266" s="246"/>
      <c r="AA266" s="246"/>
      <c r="AB266" s="246"/>
      <c r="AC266" s="246"/>
      <c r="AD266" s="246"/>
    </row>
    <row r="267" spans="11:30">
      <c r="K267" s="176"/>
      <c r="L267" s="176"/>
      <c r="M267" s="176"/>
      <c r="N267" s="50"/>
      <c r="O267" s="176"/>
      <c r="P267" s="50"/>
      <c r="Q267" s="50"/>
      <c r="R267" s="176"/>
      <c r="S267" s="176"/>
      <c r="T267" s="176"/>
      <c r="U267" s="176"/>
      <c r="Z267" s="246"/>
      <c r="AA267" s="246"/>
      <c r="AB267" s="246"/>
      <c r="AC267" s="246"/>
      <c r="AD267" s="246"/>
    </row>
    <row r="268" spans="11:30">
      <c r="K268" s="176"/>
      <c r="L268" s="176"/>
      <c r="M268" s="176"/>
      <c r="N268" s="50"/>
      <c r="O268" s="176"/>
      <c r="P268" s="50"/>
      <c r="Q268" s="50"/>
      <c r="R268" s="176"/>
      <c r="S268" s="176"/>
      <c r="T268" s="176"/>
      <c r="U268" s="176"/>
      <c r="Z268" s="246"/>
      <c r="AA268" s="246"/>
      <c r="AB268" s="246"/>
      <c r="AC268" s="246"/>
      <c r="AD268" s="246"/>
    </row>
    <row r="269" spans="11:30">
      <c r="K269" s="176"/>
      <c r="L269" s="176"/>
      <c r="M269" s="176"/>
      <c r="N269" s="50"/>
      <c r="O269" s="176"/>
      <c r="P269" s="50"/>
      <c r="Q269" s="50"/>
      <c r="R269" s="176"/>
      <c r="S269" s="176"/>
      <c r="T269" s="176"/>
      <c r="U269" s="176"/>
      <c r="Z269" s="246"/>
      <c r="AA269" s="246"/>
      <c r="AB269" s="246"/>
      <c r="AC269" s="246"/>
      <c r="AD269" s="246"/>
    </row>
    <row r="270" spans="11:30">
      <c r="K270" s="176"/>
      <c r="L270" s="176"/>
      <c r="M270" s="176"/>
      <c r="N270" s="50"/>
      <c r="O270" s="176"/>
      <c r="P270" s="50"/>
      <c r="Q270" s="50"/>
      <c r="R270" s="176"/>
      <c r="S270" s="176"/>
      <c r="T270" s="176"/>
      <c r="U270" s="176"/>
      <c r="Z270" s="246"/>
      <c r="AA270" s="246"/>
      <c r="AB270" s="246"/>
      <c r="AC270" s="246"/>
      <c r="AD270" s="246"/>
    </row>
    <row r="271" spans="11:30">
      <c r="K271" s="176"/>
      <c r="L271" s="176"/>
      <c r="M271" s="176"/>
      <c r="N271" s="50"/>
      <c r="O271" s="176"/>
      <c r="P271" s="50"/>
      <c r="Q271" s="50"/>
      <c r="R271" s="176"/>
      <c r="S271" s="176"/>
      <c r="T271" s="176"/>
      <c r="U271" s="176"/>
      <c r="Z271" s="246"/>
      <c r="AA271" s="246"/>
      <c r="AB271" s="246"/>
      <c r="AC271" s="246"/>
      <c r="AD271" s="246"/>
    </row>
    <row r="272" spans="11:30">
      <c r="K272" s="176"/>
      <c r="L272" s="176"/>
      <c r="M272" s="176"/>
      <c r="N272" s="50"/>
      <c r="O272" s="176"/>
      <c r="P272" s="50"/>
      <c r="Q272" s="50"/>
      <c r="R272" s="176"/>
      <c r="S272" s="176"/>
      <c r="T272" s="176"/>
      <c r="U272" s="176"/>
      <c r="Z272" s="246"/>
      <c r="AA272" s="246"/>
      <c r="AB272" s="246"/>
      <c r="AC272" s="246"/>
      <c r="AD272" s="246"/>
    </row>
    <row r="273" spans="11:30">
      <c r="K273" s="176"/>
      <c r="L273" s="176"/>
      <c r="M273" s="176"/>
      <c r="N273" s="50"/>
      <c r="O273" s="176"/>
      <c r="P273" s="50"/>
      <c r="Q273" s="50"/>
      <c r="R273" s="176"/>
      <c r="S273" s="176"/>
      <c r="T273" s="176"/>
      <c r="U273" s="176"/>
      <c r="Z273" s="246"/>
      <c r="AA273" s="246"/>
      <c r="AB273" s="246"/>
      <c r="AC273" s="246"/>
      <c r="AD273" s="246"/>
    </row>
    <row r="274" spans="11:30">
      <c r="K274" s="176"/>
      <c r="L274" s="176"/>
      <c r="M274" s="176"/>
      <c r="N274" s="50"/>
      <c r="O274" s="176"/>
      <c r="P274" s="50"/>
      <c r="Q274" s="50"/>
      <c r="R274" s="176"/>
      <c r="S274" s="176"/>
      <c r="T274" s="176"/>
      <c r="U274" s="176"/>
      <c r="Z274" s="246"/>
      <c r="AA274" s="246"/>
      <c r="AB274" s="246"/>
      <c r="AC274" s="246"/>
      <c r="AD274" s="246"/>
    </row>
    <row r="275" spans="11:30">
      <c r="K275" s="176"/>
      <c r="L275" s="176"/>
      <c r="M275" s="176"/>
      <c r="N275" s="50"/>
      <c r="O275" s="176"/>
      <c r="P275" s="50"/>
      <c r="Q275" s="50"/>
      <c r="R275" s="176"/>
      <c r="S275" s="176"/>
      <c r="T275" s="176"/>
      <c r="U275" s="176"/>
      <c r="Z275" s="246"/>
      <c r="AA275" s="246"/>
      <c r="AB275" s="246"/>
      <c r="AC275" s="246"/>
      <c r="AD275" s="246"/>
    </row>
    <row r="276" spans="11:30">
      <c r="K276" s="176"/>
      <c r="L276" s="176"/>
      <c r="M276" s="176"/>
      <c r="N276" s="50"/>
      <c r="O276" s="176"/>
      <c r="P276" s="50"/>
      <c r="Q276" s="50"/>
      <c r="R276" s="176"/>
      <c r="S276" s="176"/>
      <c r="T276" s="176"/>
      <c r="U276" s="176"/>
      <c r="Z276" s="246"/>
      <c r="AA276" s="246"/>
      <c r="AB276" s="246"/>
      <c r="AC276" s="246"/>
      <c r="AD276" s="246"/>
    </row>
    <row r="277" spans="11:30">
      <c r="K277" s="176"/>
      <c r="L277" s="176"/>
      <c r="M277" s="176"/>
      <c r="N277" s="50"/>
      <c r="O277" s="176"/>
      <c r="P277" s="50"/>
      <c r="Q277" s="50"/>
      <c r="R277" s="176"/>
      <c r="S277" s="176"/>
      <c r="T277" s="176"/>
      <c r="U277" s="176"/>
      <c r="Z277" s="246"/>
      <c r="AA277" s="246"/>
      <c r="AB277" s="246"/>
      <c r="AC277" s="246"/>
      <c r="AD277" s="246"/>
    </row>
    <row r="278" spans="11:30">
      <c r="K278" s="176"/>
      <c r="L278" s="176"/>
      <c r="M278" s="176"/>
      <c r="N278" s="50"/>
      <c r="O278" s="176"/>
      <c r="P278" s="50"/>
      <c r="Q278" s="50"/>
      <c r="R278" s="176"/>
      <c r="S278" s="176"/>
      <c r="T278" s="176"/>
      <c r="U278" s="176"/>
      <c r="Z278" s="246"/>
      <c r="AA278" s="246"/>
      <c r="AB278" s="246"/>
      <c r="AC278" s="246"/>
      <c r="AD278" s="246"/>
    </row>
    <row r="279" spans="11:30">
      <c r="K279" s="176"/>
      <c r="L279" s="176"/>
      <c r="M279" s="176"/>
      <c r="N279" s="50"/>
      <c r="O279" s="176"/>
      <c r="P279" s="50"/>
      <c r="Q279" s="50"/>
      <c r="R279" s="176"/>
      <c r="S279" s="176"/>
      <c r="T279" s="176"/>
      <c r="U279" s="176"/>
      <c r="Z279" s="246"/>
      <c r="AA279" s="246"/>
      <c r="AB279" s="246"/>
      <c r="AC279" s="246"/>
      <c r="AD279" s="246"/>
    </row>
    <row r="280" spans="11:30">
      <c r="K280" s="176"/>
      <c r="L280" s="176"/>
      <c r="M280" s="176"/>
      <c r="N280" s="50"/>
      <c r="O280" s="176"/>
      <c r="P280" s="50"/>
      <c r="Q280" s="50"/>
      <c r="R280" s="176"/>
      <c r="S280" s="176"/>
      <c r="T280" s="176"/>
      <c r="U280" s="176"/>
      <c r="Z280" s="246"/>
      <c r="AA280" s="246"/>
      <c r="AB280" s="246"/>
      <c r="AC280" s="246"/>
      <c r="AD280" s="246"/>
    </row>
    <row r="281" spans="11:30">
      <c r="K281" s="176"/>
      <c r="L281" s="176"/>
      <c r="M281" s="176"/>
      <c r="N281" s="50"/>
      <c r="O281" s="176"/>
      <c r="P281" s="50"/>
      <c r="Q281" s="50"/>
      <c r="R281" s="176"/>
      <c r="S281" s="176"/>
      <c r="T281" s="176"/>
      <c r="U281" s="176"/>
      <c r="Z281" s="246"/>
      <c r="AA281" s="246"/>
      <c r="AB281" s="246"/>
      <c r="AC281" s="246"/>
      <c r="AD281" s="246"/>
    </row>
    <row r="282" spans="11:30">
      <c r="K282" s="176"/>
      <c r="L282" s="176"/>
      <c r="M282" s="176"/>
      <c r="N282" s="50"/>
      <c r="O282" s="176"/>
      <c r="P282" s="50"/>
      <c r="Q282" s="50"/>
      <c r="R282" s="176"/>
      <c r="S282" s="176"/>
      <c r="T282" s="176"/>
      <c r="U282" s="176"/>
      <c r="Z282" s="246"/>
      <c r="AA282" s="246"/>
      <c r="AB282" s="246"/>
      <c r="AC282" s="246"/>
      <c r="AD282" s="246"/>
    </row>
    <row r="283" spans="11:30">
      <c r="K283" s="176"/>
      <c r="L283" s="176"/>
      <c r="M283" s="176"/>
      <c r="N283" s="50"/>
      <c r="O283" s="176"/>
      <c r="P283" s="50"/>
      <c r="Q283" s="50"/>
      <c r="R283" s="176"/>
      <c r="S283" s="176"/>
      <c r="T283" s="176"/>
      <c r="U283" s="176"/>
      <c r="Z283" s="246"/>
      <c r="AA283" s="246"/>
      <c r="AB283" s="246"/>
      <c r="AC283" s="246"/>
      <c r="AD283" s="246"/>
    </row>
    <row r="284" spans="11:30">
      <c r="K284" s="176"/>
      <c r="L284" s="176"/>
      <c r="M284" s="176"/>
      <c r="N284" s="50"/>
      <c r="O284" s="176"/>
      <c r="P284" s="50"/>
      <c r="Q284" s="50"/>
      <c r="R284" s="176"/>
      <c r="S284" s="176"/>
      <c r="T284" s="176"/>
      <c r="U284" s="176"/>
      <c r="Z284" s="246"/>
      <c r="AA284" s="246"/>
      <c r="AB284" s="246"/>
      <c r="AC284" s="246"/>
      <c r="AD284" s="246"/>
    </row>
    <row r="285" spans="11:30">
      <c r="K285" s="176"/>
      <c r="L285" s="176"/>
      <c r="M285" s="176"/>
      <c r="N285" s="50"/>
      <c r="O285" s="176"/>
      <c r="P285" s="50"/>
      <c r="Q285" s="50"/>
      <c r="R285" s="176"/>
      <c r="S285" s="176"/>
      <c r="T285" s="176"/>
      <c r="U285" s="176"/>
      <c r="Z285" s="246"/>
      <c r="AA285" s="246"/>
      <c r="AB285" s="246"/>
      <c r="AC285" s="246"/>
      <c r="AD285" s="246"/>
    </row>
    <row r="286" spans="11:30">
      <c r="K286" s="176"/>
      <c r="L286" s="176"/>
      <c r="M286" s="176"/>
      <c r="N286" s="50"/>
      <c r="O286" s="176"/>
      <c r="P286" s="50"/>
      <c r="Q286" s="50"/>
      <c r="R286" s="176"/>
      <c r="S286" s="176"/>
      <c r="T286" s="176"/>
      <c r="U286" s="176"/>
      <c r="Z286" s="246"/>
      <c r="AA286" s="246"/>
      <c r="AB286" s="246"/>
      <c r="AC286" s="246"/>
      <c r="AD286" s="246"/>
    </row>
    <row r="287" spans="11:30">
      <c r="K287" s="176"/>
      <c r="L287" s="176"/>
      <c r="M287" s="176"/>
      <c r="N287" s="50"/>
      <c r="O287" s="176"/>
      <c r="P287" s="50"/>
      <c r="Q287" s="50"/>
      <c r="R287" s="176"/>
      <c r="S287" s="176"/>
      <c r="T287" s="176"/>
      <c r="U287" s="176"/>
      <c r="Z287" s="246"/>
      <c r="AA287" s="246"/>
      <c r="AB287" s="246"/>
      <c r="AC287" s="246"/>
      <c r="AD287" s="246"/>
    </row>
    <row r="288" spans="11:30">
      <c r="K288" s="176"/>
      <c r="L288" s="176"/>
      <c r="M288" s="176"/>
      <c r="N288" s="50"/>
      <c r="O288" s="176"/>
      <c r="P288" s="50"/>
      <c r="Q288" s="50"/>
      <c r="R288" s="176"/>
      <c r="S288" s="176"/>
      <c r="T288" s="176"/>
      <c r="U288" s="176"/>
      <c r="Z288" s="246"/>
      <c r="AA288" s="246"/>
      <c r="AB288" s="246"/>
      <c r="AC288" s="246"/>
      <c r="AD288" s="246"/>
    </row>
    <row r="289" spans="11:30">
      <c r="K289" s="176"/>
      <c r="L289" s="176"/>
      <c r="M289" s="176"/>
      <c r="N289" s="50"/>
      <c r="O289" s="176"/>
      <c r="P289" s="50"/>
      <c r="Q289" s="50"/>
      <c r="R289" s="176"/>
      <c r="S289" s="176"/>
      <c r="T289" s="176"/>
      <c r="U289" s="176"/>
      <c r="Z289" s="246"/>
      <c r="AA289" s="246"/>
      <c r="AB289" s="246"/>
      <c r="AC289" s="246"/>
      <c r="AD289" s="246"/>
    </row>
    <row r="290" spans="11:30">
      <c r="K290" s="176"/>
      <c r="L290" s="176"/>
      <c r="M290" s="176"/>
      <c r="N290" s="50"/>
      <c r="O290" s="176"/>
      <c r="P290" s="50"/>
      <c r="Q290" s="50"/>
      <c r="R290" s="176"/>
      <c r="S290" s="176"/>
      <c r="T290" s="176"/>
      <c r="U290" s="176"/>
      <c r="Z290" s="246"/>
      <c r="AA290" s="246"/>
      <c r="AB290" s="246"/>
      <c r="AC290" s="246"/>
      <c r="AD290" s="246"/>
    </row>
    <row r="291" spans="11:30">
      <c r="K291" s="176"/>
      <c r="L291" s="176"/>
      <c r="M291" s="176"/>
      <c r="N291" s="50"/>
      <c r="O291" s="176"/>
      <c r="P291" s="50"/>
      <c r="Q291" s="50"/>
      <c r="R291" s="176"/>
      <c r="S291" s="176"/>
      <c r="T291" s="176"/>
      <c r="U291" s="176"/>
      <c r="Z291" s="246"/>
      <c r="AA291" s="246"/>
      <c r="AB291" s="246"/>
      <c r="AC291" s="246"/>
      <c r="AD291" s="246"/>
    </row>
    <row r="292" spans="11:30">
      <c r="K292" s="176"/>
      <c r="L292" s="176"/>
      <c r="M292" s="176"/>
      <c r="N292" s="50"/>
      <c r="O292" s="176"/>
      <c r="P292" s="50"/>
      <c r="Q292" s="50"/>
      <c r="R292" s="176"/>
      <c r="S292" s="176"/>
      <c r="T292" s="176"/>
      <c r="U292" s="176"/>
      <c r="Z292" s="246"/>
      <c r="AA292" s="246"/>
      <c r="AB292" s="246"/>
      <c r="AC292" s="246"/>
      <c r="AD292" s="246"/>
    </row>
    <row r="293" spans="11:30">
      <c r="K293" s="176"/>
      <c r="L293" s="176"/>
      <c r="M293" s="176"/>
      <c r="N293" s="50"/>
      <c r="O293" s="176"/>
      <c r="P293" s="50"/>
      <c r="Q293" s="50"/>
      <c r="R293" s="176"/>
      <c r="S293" s="176"/>
      <c r="T293" s="176"/>
      <c r="U293" s="176"/>
      <c r="Z293" s="246"/>
      <c r="AA293" s="246"/>
      <c r="AB293" s="246"/>
      <c r="AC293" s="246"/>
      <c r="AD293" s="246"/>
    </row>
    <row r="294" spans="11:30">
      <c r="K294" s="176"/>
      <c r="L294" s="176"/>
      <c r="M294" s="176"/>
      <c r="N294" s="50"/>
      <c r="O294" s="176"/>
      <c r="P294" s="50"/>
      <c r="Q294" s="50"/>
      <c r="R294" s="176"/>
      <c r="S294" s="176"/>
      <c r="T294" s="176"/>
      <c r="U294" s="176"/>
      <c r="Z294" s="246"/>
      <c r="AA294" s="246"/>
      <c r="AB294" s="246"/>
      <c r="AC294" s="246"/>
      <c r="AD294" s="246"/>
    </row>
    <row r="295" spans="11:30">
      <c r="K295" s="176"/>
      <c r="L295" s="176"/>
      <c r="M295" s="176"/>
      <c r="N295" s="50"/>
      <c r="O295" s="176"/>
      <c r="P295" s="50"/>
      <c r="Q295" s="50"/>
      <c r="R295" s="176"/>
      <c r="S295" s="176"/>
      <c r="T295" s="176"/>
      <c r="U295" s="176"/>
      <c r="Z295" s="246"/>
      <c r="AA295" s="246"/>
      <c r="AB295" s="246"/>
      <c r="AC295" s="246"/>
      <c r="AD295" s="246"/>
    </row>
    <row r="296" spans="11:30">
      <c r="K296" s="176"/>
      <c r="L296" s="176"/>
      <c r="M296" s="176"/>
      <c r="N296" s="50"/>
      <c r="O296" s="176"/>
      <c r="P296" s="50"/>
      <c r="Q296" s="50"/>
      <c r="R296" s="176"/>
      <c r="S296" s="176"/>
      <c r="T296" s="176"/>
      <c r="U296" s="176"/>
      <c r="Z296" s="246"/>
      <c r="AA296" s="246"/>
      <c r="AB296" s="246"/>
      <c r="AC296" s="246"/>
      <c r="AD296" s="246"/>
    </row>
    <row r="297" spans="11:30">
      <c r="K297" s="176"/>
      <c r="L297" s="176"/>
      <c r="M297" s="176"/>
      <c r="N297" s="50"/>
      <c r="O297" s="176"/>
      <c r="P297" s="50"/>
      <c r="Q297" s="50"/>
      <c r="R297" s="176"/>
      <c r="S297" s="176"/>
      <c r="T297" s="176"/>
      <c r="U297" s="176"/>
      <c r="Z297" s="246"/>
      <c r="AA297" s="246"/>
      <c r="AB297" s="246"/>
      <c r="AC297" s="246"/>
      <c r="AD297" s="246"/>
    </row>
    <row r="298" spans="11:30">
      <c r="K298" s="176"/>
      <c r="L298" s="176"/>
      <c r="M298" s="176"/>
      <c r="N298" s="50"/>
      <c r="O298" s="176"/>
      <c r="P298" s="50"/>
      <c r="Q298" s="50"/>
      <c r="R298" s="176"/>
      <c r="S298" s="176"/>
      <c r="T298" s="176"/>
      <c r="U298" s="176"/>
      <c r="Z298" s="246"/>
      <c r="AA298" s="246"/>
      <c r="AB298" s="246"/>
      <c r="AC298" s="246"/>
      <c r="AD298" s="246"/>
    </row>
    <row r="299" spans="11:30">
      <c r="K299" s="176"/>
      <c r="L299" s="176"/>
      <c r="M299" s="176"/>
      <c r="N299" s="50"/>
      <c r="O299" s="176"/>
      <c r="P299" s="50"/>
      <c r="Q299" s="50"/>
      <c r="R299" s="176"/>
      <c r="S299" s="176"/>
      <c r="T299" s="176"/>
      <c r="U299" s="176"/>
      <c r="Z299" s="246"/>
      <c r="AA299" s="246"/>
      <c r="AB299" s="246"/>
      <c r="AC299" s="246"/>
      <c r="AD299" s="246"/>
    </row>
    <row r="300" spans="11:30">
      <c r="K300" s="176"/>
      <c r="L300" s="176"/>
      <c r="M300" s="176"/>
      <c r="N300" s="50"/>
      <c r="O300" s="176"/>
      <c r="P300" s="50"/>
      <c r="Q300" s="50"/>
      <c r="R300" s="176"/>
      <c r="S300" s="176"/>
      <c r="T300" s="176"/>
      <c r="U300" s="176"/>
      <c r="Z300" s="246"/>
      <c r="AA300" s="246"/>
      <c r="AB300" s="246"/>
      <c r="AC300" s="246"/>
      <c r="AD300" s="246"/>
    </row>
    <row r="301" spans="11:30">
      <c r="K301" s="176"/>
      <c r="L301" s="176"/>
      <c r="M301" s="176"/>
      <c r="N301" s="50"/>
      <c r="O301" s="176"/>
      <c r="P301" s="50"/>
      <c r="Q301" s="50"/>
      <c r="R301" s="176"/>
      <c r="S301" s="176"/>
      <c r="T301" s="176"/>
      <c r="U301" s="176"/>
      <c r="Z301" s="246"/>
      <c r="AA301" s="246"/>
      <c r="AB301" s="246"/>
      <c r="AC301" s="246"/>
      <c r="AD301" s="246"/>
    </row>
    <row r="302" spans="11:30">
      <c r="K302" s="176"/>
      <c r="L302" s="176"/>
      <c r="M302" s="176"/>
      <c r="N302" s="50"/>
      <c r="O302" s="176"/>
      <c r="P302" s="50"/>
      <c r="Q302" s="50"/>
      <c r="R302" s="176"/>
      <c r="S302" s="176"/>
      <c r="T302" s="176"/>
      <c r="U302" s="176"/>
      <c r="Z302" s="246"/>
      <c r="AA302" s="246"/>
      <c r="AB302" s="246"/>
      <c r="AC302" s="246"/>
      <c r="AD302" s="246"/>
    </row>
    <row r="303" spans="11:30">
      <c r="K303" s="176"/>
      <c r="L303" s="176"/>
      <c r="M303" s="176"/>
      <c r="N303" s="50"/>
      <c r="O303" s="176"/>
      <c r="P303" s="50"/>
      <c r="Q303" s="50"/>
      <c r="R303" s="176"/>
      <c r="S303" s="176"/>
      <c r="T303" s="176"/>
      <c r="U303" s="176"/>
      <c r="Z303" s="246"/>
      <c r="AA303" s="246"/>
      <c r="AB303" s="246"/>
      <c r="AC303" s="246"/>
      <c r="AD303" s="246"/>
    </row>
    <row r="304" spans="11:30">
      <c r="K304" s="176"/>
      <c r="L304" s="176"/>
      <c r="M304" s="176"/>
      <c r="N304" s="50"/>
      <c r="O304" s="176"/>
      <c r="P304" s="50"/>
      <c r="Q304" s="50"/>
      <c r="R304" s="176"/>
      <c r="S304" s="176"/>
      <c r="T304" s="176"/>
      <c r="U304" s="176"/>
      <c r="Z304" s="246"/>
      <c r="AA304" s="246"/>
      <c r="AB304" s="246"/>
      <c r="AC304" s="246"/>
      <c r="AD304" s="246"/>
    </row>
    <row r="305" spans="11:30">
      <c r="K305" s="176"/>
      <c r="L305" s="176"/>
      <c r="M305" s="176"/>
      <c r="N305" s="50"/>
      <c r="O305" s="176"/>
      <c r="P305" s="50"/>
      <c r="Q305" s="50"/>
      <c r="R305" s="176"/>
      <c r="S305" s="176"/>
      <c r="T305" s="176"/>
      <c r="U305" s="176"/>
      <c r="Z305" s="246"/>
      <c r="AA305" s="246"/>
      <c r="AB305" s="246"/>
      <c r="AC305" s="246"/>
      <c r="AD305" s="246"/>
    </row>
    <row r="306" spans="11:30">
      <c r="K306" s="176"/>
      <c r="L306" s="176"/>
      <c r="M306" s="176"/>
      <c r="N306" s="50"/>
      <c r="O306" s="176"/>
      <c r="P306" s="50"/>
      <c r="Q306" s="50"/>
      <c r="R306" s="176"/>
      <c r="S306" s="176"/>
      <c r="T306" s="176"/>
      <c r="U306" s="176"/>
      <c r="Z306" s="246"/>
      <c r="AA306" s="246"/>
      <c r="AB306" s="246"/>
      <c r="AC306" s="246"/>
      <c r="AD306" s="246"/>
    </row>
    <row r="307" spans="11:30">
      <c r="K307" s="176"/>
      <c r="L307" s="176"/>
      <c r="M307" s="176"/>
      <c r="N307" s="50"/>
      <c r="O307" s="176"/>
      <c r="P307" s="50"/>
      <c r="Q307" s="50"/>
      <c r="R307" s="176"/>
      <c r="S307" s="176"/>
      <c r="T307" s="176"/>
      <c r="U307" s="176"/>
      <c r="Z307" s="246"/>
      <c r="AA307" s="246"/>
      <c r="AB307" s="246"/>
      <c r="AC307" s="246"/>
      <c r="AD307" s="246"/>
    </row>
    <row r="308" spans="11:30">
      <c r="K308" s="176"/>
      <c r="L308" s="176"/>
      <c r="M308" s="176"/>
      <c r="N308" s="50"/>
      <c r="O308" s="176"/>
      <c r="P308" s="50"/>
      <c r="Q308" s="50"/>
      <c r="R308" s="176"/>
      <c r="S308" s="176"/>
      <c r="T308" s="176"/>
      <c r="U308" s="176"/>
      <c r="Z308" s="246"/>
      <c r="AA308" s="246"/>
      <c r="AB308" s="246"/>
      <c r="AC308" s="246"/>
      <c r="AD308" s="246"/>
    </row>
    <row r="309" spans="11:30">
      <c r="K309" s="176"/>
      <c r="L309" s="176"/>
      <c r="M309" s="176"/>
      <c r="N309" s="50"/>
      <c r="O309" s="176"/>
      <c r="P309" s="50"/>
      <c r="Q309" s="50"/>
      <c r="R309" s="176"/>
      <c r="S309" s="176"/>
      <c r="T309" s="176"/>
      <c r="U309" s="176"/>
      <c r="Z309" s="246"/>
      <c r="AA309" s="246"/>
      <c r="AB309" s="246"/>
      <c r="AC309" s="246"/>
      <c r="AD309" s="246"/>
    </row>
    <row r="310" spans="11:30">
      <c r="K310" s="176"/>
      <c r="L310" s="176"/>
      <c r="M310" s="176"/>
      <c r="N310" s="50"/>
      <c r="O310" s="176"/>
      <c r="P310" s="50"/>
      <c r="Q310" s="50"/>
      <c r="R310" s="176"/>
      <c r="S310" s="176"/>
      <c r="T310" s="176"/>
      <c r="U310" s="176"/>
      <c r="Z310" s="246"/>
      <c r="AA310" s="246"/>
      <c r="AB310" s="246"/>
      <c r="AC310" s="246"/>
      <c r="AD310" s="246"/>
    </row>
    <row r="311" spans="11:30">
      <c r="K311" s="176"/>
      <c r="L311" s="176"/>
      <c r="M311" s="176"/>
      <c r="N311" s="50"/>
      <c r="O311" s="176"/>
      <c r="P311" s="50"/>
      <c r="Q311" s="50"/>
      <c r="R311" s="176"/>
      <c r="S311" s="176"/>
      <c r="T311" s="176"/>
      <c r="U311" s="176"/>
      <c r="Z311" s="246"/>
      <c r="AA311" s="246"/>
      <c r="AB311" s="246"/>
      <c r="AC311" s="246"/>
      <c r="AD311" s="246"/>
    </row>
    <row r="312" spans="11:30">
      <c r="K312" s="176"/>
      <c r="L312" s="176"/>
      <c r="M312" s="176"/>
      <c r="N312" s="50"/>
      <c r="O312" s="176"/>
      <c r="P312" s="50"/>
      <c r="Q312" s="50"/>
      <c r="R312" s="176"/>
      <c r="S312" s="176"/>
      <c r="T312" s="176"/>
      <c r="U312" s="176"/>
      <c r="Z312" s="246"/>
      <c r="AA312" s="246"/>
      <c r="AB312" s="246"/>
      <c r="AC312" s="246"/>
      <c r="AD312" s="246"/>
    </row>
    <row r="313" spans="11:30">
      <c r="K313" s="176"/>
      <c r="L313" s="176"/>
      <c r="M313" s="176"/>
      <c r="N313" s="50"/>
      <c r="O313" s="176"/>
      <c r="P313" s="50"/>
      <c r="Q313" s="50"/>
      <c r="R313" s="176"/>
      <c r="S313" s="176"/>
      <c r="T313" s="176"/>
      <c r="U313" s="176"/>
      <c r="Z313" s="246"/>
      <c r="AA313" s="246"/>
      <c r="AB313" s="246"/>
      <c r="AC313" s="246"/>
      <c r="AD313" s="246"/>
    </row>
    <row r="314" spans="11:30">
      <c r="K314" s="176"/>
      <c r="L314" s="176"/>
      <c r="M314" s="176"/>
      <c r="N314" s="50"/>
      <c r="O314" s="176"/>
      <c r="P314" s="50"/>
      <c r="Q314" s="50"/>
      <c r="R314" s="176"/>
      <c r="S314" s="176"/>
      <c r="T314" s="176"/>
      <c r="U314" s="176"/>
      <c r="Z314" s="246"/>
      <c r="AA314" s="246"/>
      <c r="AB314" s="246"/>
      <c r="AC314" s="246"/>
      <c r="AD314" s="246"/>
    </row>
    <row r="315" spans="11:30">
      <c r="K315" s="176"/>
      <c r="L315" s="176"/>
      <c r="M315" s="176"/>
      <c r="N315" s="50"/>
      <c r="O315" s="176"/>
      <c r="P315" s="50"/>
      <c r="Q315" s="50"/>
      <c r="R315" s="176"/>
      <c r="S315" s="176"/>
      <c r="T315" s="176"/>
      <c r="U315" s="176"/>
      <c r="Z315" s="246"/>
      <c r="AA315" s="246"/>
      <c r="AB315" s="246"/>
      <c r="AC315" s="246"/>
      <c r="AD315" s="246"/>
    </row>
    <row r="316" spans="11:30">
      <c r="K316" s="176"/>
      <c r="L316" s="176"/>
      <c r="M316" s="176"/>
      <c r="N316" s="50"/>
      <c r="O316" s="176"/>
      <c r="P316" s="50"/>
      <c r="Q316" s="50"/>
      <c r="R316" s="176"/>
      <c r="S316" s="176"/>
      <c r="T316" s="176"/>
      <c r="U316" s="176"/>
      <c r="Z316" s="246"/>
      <c r="AA316" s="246"/>
      <c r="AB316" s="246"/>
      <c r="AC316" s="246"/>
      <c r="AD316" s="246"/>
    </row>
    <row r="317" spans="11:30">
      <c r="K317" s="176"/>
      <c r="L317" s="176"/>
      <c r="M317" s="176"/>
      <c r="N317" s="50"/>
      <c r="O317" s="176"/>
      <c r="P317" s="50"/>
      <c r="Q317" s="50"/>
      <c r="R317" s="176"/>
      <c r="S317" s="176"/>
      <c r="T317" s="176"/>
      <c r="U317" s="176"/>
      <c r="Z317" s="246"/>
      <c r="AA317" s="246"/>
      <c r="AB317" s="246"/>
      <c r="AC317" s="246"/>
      <c r="AD317" s="246"/>
    </row>
    <row r="318" spans="11:30">
      <c r="K318" s="176"/>
      <c r="L318" s="176"/>
      <c r="M318" s="176"/>
      <c r="N318" s="50"/>
      <c r="O318" s="176"/>
      <c r="P318" s="50"/>
      <c r="Q318" s="50"/>
      <c r="R318" s="176"/>
      <c r="S318" s="176"/>
      <c r="T318" s="176"/>
      <c r="U318" s="176"/>
      <c r="Z318" s="246"/>
      <c r="AA318" s="246"/>
      <c r="AB318" s="246"/>
      <c r="AC318" s="246"/>
      <c r="AD318" s="246"/>
    </row>
    <row r="319" spans="11:30">
      <c r="K319" s="176"/>
      <c r="L319" s="176"/>
      <c r="M319" s="176"/>
      <c r="N319" s="50"/>
      <c r="O319" s="176"/>
      <c r="P319" s="50"/>
      <c r="Q319" s="50"/>
      <c r="R319" s="176"/>
      <c r="S319" s="176"/>
      <c r="T319" s="176"/>
      <c r="U319" s="176"/>
      <c r="Z319" s="246"/>
      <c r="AA319" s="246"/>
      <c r="AB319" s="246"/>
      <c r="AC319" s="246"/>
      <c r="AD319" s="246"/>
    </row>
    <row r="320" spans="11:30">
      <c r="K320" s="176"/>
      <c r="L320" s="176"/>
      <c r="M320" s="176"/>
      <c r="N320" s="50"/>
      <c r="O320" s="176"/>
      <c r="P320" s="50"/>
      <c r="Q320" s="50"/>
      <c r="R320" s="176"/>
      <c r="S320" s="176"/>
      <c r="T320" s="176"/>
      <c r="U320" s="176"/>
      <c r="Z320" s="246"/>
      <c r="AA320" s="246"/>
      <c r="AB320" s="246"/>
      <c r="AC320" s="246"/>
      <c r="AD320" s="246"/>
    </row>
    <row r="321" spans="11:30">
      <c r="K321" s="176"/>
      <c r="L321" s="176"/>
      <c r="M321" s="176"/>
      <c r="N321" s="50"/>
      <c r="O321" s="176"/>
      <c r="P321" s="50"/>
      <c r="Q321" s="50"/>
      <c r="R321" s="176"/>
      <c r="S321" s="176"/>
      <c r="T321" s="176"/>
      <c r="U321" s="176"/>
      <c r="Z321" s="246"/>
      <c r="AA321" s="246"/>
      <c r="AB321" s="246"/>
      <c r="AC321" s="246"/>
      <c r="AD321" s="246"/>
    </row>
    <row r="322" spans="11:30">
      <c r="K322" s="176"/>
      <c r="L322" s="176"/>
      <c r="M322" s="176"/>
      <c r="N322" s="50"/>
      <c r="O322" s="176"/>
      <c r="P322" s="50"/>
      <c r="Q322" s="50"/>
      <c r="R322" s="176"/>
      <c r="S322" s="176"/>
      <c r="T322" s="176"/>
      <c r="U322" s="176"/>
      <c r="Z322" s="246"/>
      <c r="AA322" s="246"/>
      <c r="AB322" s="246"/>
      <c r="AC322" s="246"/>
      <c r="AD322" s="246"/>
    </row>
    <row r="323" spans="11:30">
      <c r="K323" s="176"/>
      <c r="L323" s="176"/>
      <c r="M323" s="176"/>
      <c r="N323" s="50"/>
      <c r="O323" s="176"/>
      <c r="P323" s="50"/>
      <c r="Q323" s="50"/>
      <c r="R323" s="176"/>
      <c r="S323" s="176"/>
      <c r="T323" s="176"/>
      <c r="U323" s="176"/>
      <c r="Z323" s="246"/>
      <c r="AA323" s="246"/>
      <c r="AB323" s="246"/>
      <c r="AC323" s="246"/>
      <c r="AD323" s="246"/>
    </row>
    <row r="324" spans="11:30">
      <c r="K324" s="176"/>
      <c r="L324" s="176"/>
      <c r="M324" s="176"/>
      <c r="N324" s="50"/>
      <c r="O324" s="176"/>
      <c r="P324" s="50"/>
      <c r="Q324" s="50"/>
      <c r="R324" s="176"/>
      <c r="S324" s="176"/>
      <c r="T324" s="176"/>
      <c r="U324" s="176"/>
      <c r="Z324" s="246"/>
      <c r="AA324" s="246"/>
      <c r="AB324" s="246"/>
      <c r="AC324" s="246"/>
      <c r="AD324" s="246"/>
    </row>
    <row r="325" spans="11:30">
      <c r="K325" s="176"/>
      <c r="L325" s="176"/>
      <c r="M325" s="176"/>
      <c r="N325" s="50"/>
      <c r="O325" s="176"/>
      <c r="P325" s="50"/>
      <c r="Q325" s="50"/>
      <c r="R325" s="176"/>
      <c r="S325" s="176"/>
      <c r="T325" s="176"/>
      <c r="U325" s="176"/>
      <c r="Z325" s="246"/>
      <c r="AA325" s="246"/>
      <c r="AB325" s="246"/>
      <c r="AC325" s="246"/>
      <c r="AD325" s="246"/>
    </row>
    <row r="326" spans="11:30">
      <c r="K326" s="176"/>
      <c r="L326" s="176"/>
      <c r="M326" s="176"/>
      <c r="N326" s="50"/>
      <c r="O326" s="176"/>
      <c r="P326" s="50"/>
      <c r="Q326" s="50"/>
      <c r="R326" s="176"/>
      <c r="S326" s="176"/>
      <c r="T326" s="176"/>
      <c r="U326" s="176"/>
      <c r="Z326" s="246"/>
      <c r="AA326" s="246"/>
      <c r="AB326" s="246"/>
      <c r="AC326" s="246"/>
      <c r="AD326" s="246"/>
    </row>
    <row r="327" spans="11:30">
      <c r="K327" s="176"/>
      <c r="L327" s="176"/>
      <c r="M327" s="176"/>
      <c r="N327" s="50"/>
      <c r="O327" s="176"/>
      <c r="P327" s="50"/>
      <c r="Q327" s="50"/>
      <c r="R327" s="176"/>
      <c r="S327" s="176"/>
      <c r="T327" s="176"/>
      <c r="U327" s="176"/>
      <c r="Z327" s="246"/>
      <c r="AA327" s="246"/>
      <c r="AB327" s="246"/>
      <c r="AC327" s="246"/>
      <c r="AD327" s="246"/>
    </row>
    <row r="328" spans="11:30">
      <c r="K328" s="176"/>
      <c r="L328" s="176"/>
      <c r="M328" s="176"/>
      <c r="N328" s="50"/>
      <c r="O328" s="176"/>
      <c r="P328" s="50"/>
      <c r="Q328" s="50"/>
      <c r="R328" s="176"/>
      <c r="S328" s="176"/>
      <c r="T328" s="176"/>
      <c r="U328" s="176"/>
      <c r="Z328" s="246"/>
      <c r="AA328" s="246"/>
      <c r="AB328" s="246"/>
      <c r="AC328" s="246"/>
      <c r="AD328" s="246"/>
    </row>
    <row r="329" spans="11:30">
      <c r="K329" s="176"/>
      <c r="L329" s="176"/>
      <c r="M329" s="176"/>
      <c r="N329" s="50"/>
      <c r="O329" s="176"/>
      <c r="P329" s="50"/>
      <c r="Q329" s="50"/>
      <c r="R329" s="176"/>
      <c r="S329" s="176"/>
      <c r="T329" s="176"/>
      <c r="U329" s="176"/>
      <c r="Z329" s="246"/>
      <c r="AA329" s="246"/>
      <c r="AB329" s="246"/>
      <c r="AC329" s="246"/>
      <c r="AD329" s="246"/>
    </row>
    <row r="330" spans="11:30">
      <c r="K330" s="176"/>
      <c r="L330" s="176"/>
      <c r="M330" s="176"/>
      <c r="N330" s="50"/>
      <c r="O330" s="176"/>
      <c r="P330" s="50"/>
      <c r="Q330" s="50"/>
      <c r="R330" s="176"/>
      <c r="S330" s="176"/>
      <c r="T330" s="176"/>
      <c r="U330" s="176"/>
      <c r="Z330" s="246"/>
      <c r="AA330" s="246"/>
      <c r="AB330" s="246"/>
      <c r="AC330" s="246"/>
      <c r="AD330" s="246"/>
    </row>
    <row r="331" spans="11:30">
      <c r="K331" s="176"/>
      <c r="L331" s="176"/>
      <c r="M331" s="176"/>
      <c r="N331" s="50"/>
      <c r="O331" s="176"/>
      <c r="P331" s="50"/>
      <c r="Q331" s="50"/>
      <c r="R331" s="176"/>
      <c r="S331" s="176"/>
      <c r="T331" s="176"/>
      <c r="U331" s="176"/>
      <c r="Z331" s="246"/>
      <c r="AA331" s="246"/>
      <c r="AB331" s="246"/>
      <c r="AC331" s="246"/>
      <c r="AD331" s="246"/>
    </row>
    <row r="332" spans="11:30">
      <c r="K332" s="176"/>
      <c r="L332" s="176"/>
      <c r="M332" s="176"/>
      <c r="N332" s="50"/>
      <c r="O332" s="176"/>
      <c r="P332" s="50"/>
      <c r="Q332" s="50"/>
      <c r="R332" s="176"/>
      <c r="S332" s="176"/>
      <c r="T332" s="176"/>
      <c r="U332" s="176"/>
      <c r="Z332" s="246"/>
      <c r="AA332" s="246"/>
      <c r="AB332" s="246"/>
      <c r="AC332" s="246"/>
      <c r="AD332" s="246"/>
    </row>
    <row r="333" spans="11:30">
      <c r="K333" s="176"/>
      <c r="L333" s="176"/>
      <c r="M333" s="176"/>
      <c r="N333" s="50"/>
      <c r="O333" s="176"/>
      <c r="P333" s="50"/>
      <c r="Q333" s="50"/>
      <c r="R333" s="176"/>
      <c r="S333" s="176"/>
      <c r="T333" s="176"/>
      <c r="U333" s="176"/>
      <c r="Z333" s="246"/>
      <c r="AA333" s="246"/>
      <c r="AB333" s="246"/>
      <c r="AC333" s="246"/>
      <c r="AD333" s="246"/>
    </row>
    <row r="334" spans="11:30">
      <c r="K334" s="176"/>
      <c r="L334" s="176"/>
      <c r="M334" s="176"/>
      <c r="N334" s="50"/>
      <c r="O334" s="176"/>
      <c r="P334" s="50"/>
      <c r="Q334" s="50"/>
      <c r="R334" s="176"/>
      <c r="S334" s="176"/>
      <c r="T334" s="176"/>
      <c r="U334" s="176"/>
      <c r="Z334" s="246"/>
      <c r="AA334" s="246"/>
      <c r="AB334" s="246"/>
      <c r="AC334" s="246"/>
      <c r="AD334" s="246"/>
    </row>
    <row r="335" spans="11:30">
      <c r="K335" s="176"/>
      <c r="L335" s="176"/>
      <c r="M335" s="176"/>
      <c r="N335" s="50"/>
      <c r="O335" s="176"/>
      <c r="P335" s="50"/>
      <c r="Q335" s="50"/>
      <c r="R335" s="176"/>
      <c r="S335" s="176"/>
      <c r="T335" s="176"/>
      <c r="U335" s="176"/>
      <c r="Z335" s="246"/>
      <c r="AA335" s="246"/>
      <c r="AB335" s="246"/>
      <c r="AC335" s="246"/>
      <c r="AD335" s="246"/>
    </row>
    <row r="336" spans="11:30">
      <c r="K336" s="176"/>
      <c r="L336" s="176"/>
      <c r="M336" s="176"/>
      <c r="N336" s="50"/>
      <c r="O336" s="176"/>
      <c r="P336" s="50"/>
      <c r="Q336" s="50"/>
      <c r="R336" s="176"/>
      <c r="S336" s="176"/>
      <c r="T336" s="176"/>
      <c r="U336" s="176"/>
      <c r="Z336" s="246"/>
      <c r="AA336" s="246"/>
      <c r="AB336" s="246"/>
      <c r="AC336" s="246"/>
      <c r="AD336" s="246"/>
    </row>
    <row r="337" spans="11:30">
      <c r="K337" s="176"/>
      <c r="L337" s="176"/>
      <c r="M337" s="176"/>
      <c r="N337" s="50"/>
      <c r="O337" s="176"/>
      <c r="P337" s="50"/>
      <c r="Q337" s="50"/>
      <c r="R337" s="176"/>
      <c r="S337" s="176"/>
      <c r="T337" s="176"/>
      <c r="U337" s="176"/>
      <c r="Z337" s="246"/>
      <c r="AA337" s="246"/>
      <c r="AB337" s="246"/>
      <c r="AC337" s="246"/>
      <c r="AD337" s="246"/>
    </row>
    <row r="338" spans="11:30">
      <c r="K338" s="176"/>
      <c r="L338" s="176"/>
      <c r="M338" s="176"/>
      <c r="N338" s="50"/>
      <c r="O338" s="176"/>
      <c r="P338" s="50"/>
      <c r="Q338" s="50"/>
      <c r="R338" s="176"/>
      <c r="S338" s="176"/>
      <c r="T338" s="176"/>
      <c r="U338" s="176"/>
      <c r="Z338" s="246"/>
      <c r="AA338" s="246"/>
      <c r="AB338" s="246"/>
      <c r="AC338" s="246"/>
      <c r="AD338" s="246"/>
    </row>
    <row r="339" spans="11:30">
      <c r="K339" s="176"/>
      <c r="L339" s="176"/>
      <c r="M339" s="176"/>
      <c r="N339" s="50"/>
      <c r="O339" s="176"/>
      <c r="P339" s="50"/>
      <c r="Q339" s="50"/>
      <c r="R339" s="176"/>
      <c r="S339" s="176"/>
      <c r="T339" s="176"/>
      <c r="U339" s="176"/>
      <c r="Z339" s="246"/>
      <c r="AA339" s="246"/>
      <c r="AB339" s="246"/>
      <c r="AC339" s="246"/>
      <c r="AD339" s="246"/>
    </row>
    <row r="340" spans="11:30">
      <c r="K340" s="176"/>
      <c r="L340" s="176"/>
      <c r="M340" s="176"/>
      <c r="N340" s="50"/>
      <c r="O340" s="176"/>
      <c r="P340" s="50"/>
      <c r="Q340" s="50"/>
      <c r="R340" s="176"/>
      <c r="S340" s="176"/>
      <c r="T340" s="176"/>
      <c r="U340" s="176"/>
      <c r="Z340" s="246"/>
      <c r="AA340" s="246"/>
      <c r="AB340" s="246"/>
      <c r="AC340" s="246"/>
      <c r="AD340" s="246"/>
    </row>
    <row r="341" spans="11:30">
      <c r="K341" s="176"/>
      <c r="L341" s="176"/>
      <c r="M341" s="176"/>
      <c r="N341" s="50"/>
      <c r="O341" s="176"/>
      <c r="P341" s="50"/>
      <c r="Q341" s="50"/>
      <c r="R341" s="176"/>
      <c r="S341" s="176"/>
      <c r="T341" s="176"/>
      <c r="U341" s="176"/>
      <c r="Z341" s="246"/>
      <c r="AA341" s="246"/>
      <c r="AB341" s="246"/>
      <c r="AC341" s="246"/>
      <c r="AD341" s="246"/>
    </row>
    <row r="342" spans="11:30">
      <c r="K342" s="176"/>
      <c r="L342" s="176"/>
      <c r="M342" s="176"/>
      <c r="N342" s="50"/>
      <c r="O342" s="176"/>
      <c r="P342" s="50"/>
      <c r="Q342" s="50"/>
      <c r="R342" s="176"/>
      <c r="S342" s="176"/>
      <c r="T342" s="176"/>
      <c r="U342" s="176"/>
      <c r="Z342" s="246"/>
      <c r="AA342" s="246"/>
      <c r="AB342" s="246"/>
      <c r="AC342" s="246"/>
      <c r="AD342" s="246"/>
    </row>
    <row r="343" spans="11:30">
      <c r="K343" s="176"/>
      <c r="L343" s="176"/>
      <c r="M343" s="176"/>
      <c r="N343" s="50"/>
      <c r="O343" s="176"/>
      <c r="P343" s="50"/>
      <c r="Q343" s="50"/>
      <c r="R343" s="176"/>
      <c r="S343" s="176"/>
      <c r="T343" s="176"/>
      <c r="U343" s="176"/>
      <c r="Z343" s="246"/>
      <c r="AA343" s="246"/>
      <c r="AB343" s="246"/>
      <c r="AC343" s="246"/>
      <c r="AD343" s="246"/>
    </row>
    <row r="344" spans="11:30">
      <c r="K344" s="176"/>
      <c r="L344" s="176"/>
      <c r="M344" s="176"/>
      <c r="N344" s="50"/>
      <c r="O344" s="176"/>
      <c r="P344" s="50"/>
      <c r="Q344" s="50"/>
      <c r="R344" s="176"/>
      <c r="S344" s="176"/>
      <c r="T344" s="176"/>
      <c r="U344" s="176"/>
      <c r="Z344" s="246"/>
      <c r="AA344" s="246"/>
      <c r="AB344" s="246"/>
      <c r="AC344" s="246"/>
      <c r="AD344" s="246"/>
    </row>
    <row r="345" spans="11:30">
      <c r="K345" s="176"/>
      <c r="L345" s="176"/>
      <c r="M345" s="176"/>
      <c r="N345" s="50"/>
      <c r="O345" s="176"/>
      <c r="P345" s="50"/>
      <c r="Q345" s="50"/>
      <c r="R345" s="176"/>
      <c r="S345" s="176"/>
      <c r="T345" s="176"/>
      <c r="U345" s="176"/>
      <c r="Z345" s="246"/>
      <c r="AA345" s="246"/>
      <c r="AB345" s="246"/>
      <c r="AC345" s="246"/>
      <c r="AD345" s="246"/>
    </row>
    <row r="346" spans="11:30">
      <c r="K346" s="176"/>
      <c r="L346" s="176"/>
      <c r="M346" s="176"/>
      <c r="N346" s="50"/>
      <c r="O346" s="176"/>
      <c r="P346" s="50"/>
      <c r="Q346" s="50"/>
      <c r="R346" s="176"/>
      <c r="S346" s="176"/>
      <c r="T346" s="176"/>
      <c r="U346" s="176"/>
      <c r="Z346" s="246"/>
      <c r="AA346" s="246"/>
      <c r="AB346" s="246"/>
      <c r="AC346" s="246"/>
      <c r="AD346" s="246"/>
    </row>
    <row r="347" spans="11:30">
      <c r="K347" s="176"/>
      <c r="L347" s="176"/>
      <c r="M347" s="176"/>
      <c r="N347" s="50"/>
      <c r="O347" s="176"/>
      <c r="P347" s="50"/>
      <c r="Q347" s="50"/>
      <c r="R347" s="176"/>
      <c r="S347" s="176"/>
      <c r="T347" s="176"/>
      <c r="U347" s="176"/>
      <c r="Z347" s="246"/>
      <c r="AA347" s="246"/>
      <c r="AB347" s="246"/>
      <c r="AC347" s="246"/>
      <c r="AD347" s="246"/>
    </row>
    <row r="348" spans="11:30">
      <c r="K348" s="176"/>
      <c r="L348" s="176"/>
      <c r="M348" s="176"/>
      <c r="N348" s="50"/>
      <c r="O348" s="176"/>
      <c r="P348" s="50"/>
      <c r="Q348" s="50"/>
      <c r="R348" s="176"/>
      <c r="S348" s="176"/>
      <c r="T348" s="176"/>
      <c r="U348" s="176"/>
      <c r="Z348" s="246"/>
      <c r="AA348" s="246"/>
      <c r="AB348" s="246"/>
      <c r="AC348" s="246"/>
      <c r="AD348" s="246"/>
    </row>
    <row r="349" spans="11:30">
      <c r="K349" s="176"/>
      <c r="L349" s="176"/>
      <c r="M349" s="176"/>
      <c r="N349" s="50"/>
      <c r="O349" s="176"/>
      <c r="P349" s="50"/>
      <c r="Q349" s="50"/>
      <c r="R349" s="176"/>
      <c r="S349" s="176"/>
      <c r="T349" s="176"/>
      <c r="U349" s="176"/>
      <c r="Z349" s="246"/>
      <c r="AA349" s="246"/>
      <c r="AB349" s="246"/>
      <c r="AC349" s="246"/>
      <c r="AD349" s="246"/>
    </row>
    <row r="350" spans="11:30">
      <c r="K350" s="176"/>
      <c r="L350" s="176"/>
      <c r="M350" s="176"/>
      <c r="N350" s="50"/>
      <c r="O350" s="176"/>
      <c r="P350" s="50"/>
      <c r="Q350" s="50"/>
      <c r="R350" s="176"/>
      <c r="S350" s="176"/>
      <c r="T350" s="176"/>
      <c r="U350" s="176"/>
      <c r="Z350" s="246"/>
      <c r="AA350" s="246"/>
      <c r="AB350" s="246"/>
      <c r="AC350" s="246"/>
      <c r="AD350" s="246"/>
    </row>
    <row r="351" spans="11:30">
      <c r="K351" s="176"/>
      <c r="L351" s="176"/>
      <c r="M351" s="176"/>
      <c r="N351" s="50"/>
      <c r="O351" s="176"/>
      <c r="P351" s="50"/>
      <c r="Q351" s="50"/>
      <c r="R351" s="176"/>
      <c r="S351" s="176"/>
      <c r="T351" s="176"/>
      <c r="U351" s="176"/>
      <c r="Z351" s="246"/>
      <c r="AA351" s="246"/>
      <c r="AB351" s="246"/>
      <c r="AC351" s="246"/>
      <c r="AD351" s="246"/>
    </row>
    <row r="352" spans="11:30">
      <c r="K352" s="176"/>
      <c r="L352" s="176"/>
      <c r="M352" s="176"/>
      <c r="N352" s="50"/>
      <c r="O352" s="176"/>
      <c r="P352" s="50"/>
      <c r="Q352" s="50"/>
      <c r="R352" s="176"/>
      <c r="S352" s="176"/>
      <c r="T352" s="176"/>
      <c r="U352" s="176"/>
      <c r="Z352" s="246"/>
      <c r="AA352" s="246"/>
      <c r="AB352" s="246"/>
      <c r="AC352" s="246"/>
      <c r="AD352" s="246"/>
    </row>
    <row r="353" spans="11:30">
      <c r="K353" s="176"/>
      <c r="L353" s="176"/>
      <c r="M353" s="176"/>
      <c r="N353" s="50"/>
      <c r="O353" s="176"/>
      <c r="P353" s="50"/>
      <c r="Q353" s="50"/>
      <c r="R353" s="176"/>
      <c r="S353" s="176"/>
      <c r="T353" s="176"/>
      <c r="U353" s="176"/>
      <c r="Z353" s="246"/>
      <c r="AA353" s="246"/>
      <c r="AB353" s="246"/>
      <c r="AC353" s="246"/>
      <c r="AD353" s="246"/>
    </row>
    <row r="354" spans="11:30">
      <c r="K354" s="176"/>
      <c r="L354" s="176"/>
      <c r="M354" s="176"/>
      <c r="N354" s="50"/>
      <c r="O354" s="176"/>
      <c r="P354" s="50"/>
      <c r="Q354" s="50"/>
      <c r="R354" s="176"/>
      <c r="S354" s="176"/>
      <c r="T354" s="176"/>
      <c r="U354" s="176"/>
      <c r="Z354" s="246"/>
      <c r="AA354" s="246"/>
      <c r="AB354" s="246"/>
      <c r="AC354" s="246"/>
      <c r="AD354" s="246"/>
    </row>
    <row r="355" spans="11:30">
      <c r="K355" s="176"/>
      <c r="L355" s="176"/>
      <c r="M355" s="176"/>
      <c r="N355" s="50"/>
      <c r="O355" s="176"/>
      <c r="P355" s="50"/>
      <c r="Q355" s="50"/>
      <c r="R355" s="176"/>
      <c r="S355" s="176"/>
      <c r="T355" s="176"/>
      <c r="U355" s="176"/>
      <c r="Z355" s="246"/>
      <c r="AA355" s="246"/>
      <c r="AB355" s="246"/>
      <c r="AC355" s="246"/>
      <c r="AD355" s="246"/>
    </row>
    <row r="356" spans="11:30">
      <c r="K356" s="176"/>
      <c r="L356" s="176"/>
      <c r="M356" s="176"/>
      <c r="N356" s="50"/>
      <c r="O356" s="176"/>
      <c r="P356" s="50"/>
      <c r="Q356" s="50"/>
      <c r="R356" s="176"/>
      <c r="S356" s="176"/>
      <c r="T356" s="176"/>
      <c r="U356" s="176"/>
      <c r="Z356" s="246"/>
      <c r="AA356" s="246"/>
      <c r="AB356" s="246"/>
      <c r="AC356" s="246"/>
      <c r="AD356" s="246"/>
    </row>
    <row r="357" spans="11:30">
      <c r="K357" s="176"/>
      <c r="L357" s="176"/>
      <c r="M357" s="176"/>
      <c r="N357" s="50"/>
      <c r="O357" s="176"/>
      <c r="P357" s="50"/>
      <c r="Q357" s="50"/>
      <c r="R357" s="176"/>
      <c r="S357" s="176"/>
      <c r="T357" s="176"/>
      <c r="U357" s="176"/>
      <c r="Z357" s="246"/>
      <c r="AA357" s="246"/>
      <c r="AB357" s="246"/>
      <c r="AC357" s="246"/>
      <c r="AD357" s="246"/>
    </row>
    <row r="358" spans="11:30">
      <c r="K358" s="176"/>
      <c r="L358" s="176"/>
      <c r="M358" s="176"/>
      <c r="N358" s="50"/>
      <c r="O358" s="176"/>
      <c r="P358" s="50"/>
      <c r="Q358" s="50"/>
      <c r="R358" s="176"/>
      <c r="S358" s="176"/>
      <c r="T358" s="176"/>
      <c r="U358" s="176"/>
      <c r="Z358" s="246"/>
      <c r="AA358" s="246"/>
      <c r="AB358" s="246"/>
      <c r="AC358" s="246"/>
      <c r="AD358" s="246"/>
    </row>
    <row r="359" spans="11:30">
      <c r="K359" s="176"/>
      <c r="L359" s="176"/>
      <c r="M359" s="176"/>
      <c r="N359" s="50"/>
      <c r="O359" s="176"/>
      <c r="P359" s="50"/>
      <c r="Q359" s="50"/>
      <c r="R359" s="176"/>
      <c r="S359" s="176"/>
      <c r="T359" s="176"/>
      <c r="U359" s="176"/>
      <c r="Z359" s="246"/>
      <c r="AA359" s="246"/>
      <c r="AB359" s="246"/>
      <c r="AC359" s="246"/>
      <c r="AD359" s="246"/>
    </row>
    <row r="360" spans="11:30">
      <c r="K360" s="176"/>
      <c r="L360" s="176"/>
      <c r="M360" s="176"/>
      <c r="N360" s="50"/>
      <c r="O360" s="176"/>
      <c r="P360" s="50"/>
      <c r="Q360" s="50"/>
      <c r="R360" s="176"/>
      <c r="S360" s="176"/>
      <c r="T360" s="176"/>
      <c r="U360" s="176"/>
      <c r="Z360" s="246"/>
      <c r="AA360" s="246"/>
      <c r="AB360" s="246"/>
      <c r="AC360" s="246"/>
      <c r="AD360" s="246"/>
    </row>
    <row r="361" spans="11:30">
      <c r="K361" s="176"/>
      <c r="L361" s="176"/>
      <c r="M361" s="176"/>
      <c r="N361" s="50"/>
      <c r="O361" s="176"/>
      <c r="P361" s="50"/>
      <c r="Q361" s="50"/>
      <c r="R361" s="176"/>
      <c r="S361" s="176"/>
      <c r="T361" s="176"/>
      <c r="U361" s="176"/>
      <c r="Z361" s="246"/>
      <c r="AA361" s="246"/>
      <c r="AB361" s="246"/>
      <c r="AC361" s="246"/>
      <c r="AD361" s="246"/>
    </row>
    <row r="362" spans="11:30">
      <c r="K362" s="176"/>
      <c r="L362" s="176"/>
      <c r="M362" s="176"/>
      <c r="N362" s="50"/>
      <c r="O362" s="176"/>
      <c r="P362" s="50"/>
      <c r="Q362" s="50"/>
      <c r="R362" s="176"/>
      <c r="S362" s="176"/>
      <c r="T362" s="176"/>
      <c r="U362" s="176"/>
      <c r="Z362" s="246"/>
      <c r="AA362" s="246"/>
      <c r="AB362" s="246"/>
      <c r="AC362" s="246"/>
      <c r="AD362" s="246"/>
    </row>
    <row r="363" spans="11:30">
      <c r="K363" s="176"/>
      <c r="L363" s="176"/>
      <c r="M363" s="176"/>
      <c r="N363" s="50"/>
      <c r="O363" s="176"/>
      <c r="P363" s="50"/>
      <c r="Q363" s="50"/>
      <c r="R363" s="176"/>
      <c r="S363" s="176"/>
      <c r="T363" s="176"/>
      <c r="U363" s="176"/>
      <c r="Z363" s="246"/>
      <c r="AA363" s="246"/>
      <c r="AB363" s="246"/>
      <c r="AC363" s="246"/>
      <c r="AD363" s="246"/>
    </row>
    <row r="364" spans="11:30">
      <c r="K364" s="176"/>
      <c r="L364" s="176"/>
      <c r="M364" s="176"/>
      <c r="N364" s="50"/>
      <c r="O364" s="176"/>
      <c r="P364" s="50"/>
      <c r="Q364" s="50"/>
      <c r="R364" s="176"/>
      <c r="S364" s="176"/>
      <c r="T364" s="176"/>
      <c r="U364" s="176"/>
      <c r="Z364" s="246"/>
      <c r="AA364" s="246"/>
      <c r="AB364" s="246"/>
      <c r="AC364" s="246"/>
      <c r="AD364" s="246"/>
    </row>
    <row r="365" spans="11:30">
      <c r="K365" s="176"/>
      <c r="L365" s="176"/>
      <c r="M365" s="176"/>
      <c r="N365" s="50"/>
      <c r="O365" s="176"/>
      <c r="P365" s="50"/>
      <c r="Q365" s="50"/>
      <c r="R365" s="176"/>
      <c r="S365" s="176"/>
      <c r="T365" s="176"/>
      <c r="U365" s="176"/>
      <c r="Z365" s="246"/>
      <c r="AA365" s="246"/>
      <c r="AB365" s="246"/>
      <c r="AC365" s="246"/>
      <c r="AD365" s="246"/>
    </row>
    <row r="366" spans="11:30">
      <c r="K366" s="176"/>
      <c r="L366" s="176"/>
      <c r="M366" s="176"/>
      <c r="N366" s="50"/>
      <c r="O366" s="176"/>
      <c r="P366" s="50"/>
      <c r="Q366" s="50"/>
      <c r="R366" s="176"/>
      <c r="S366" s="176"/>
      <c r="T366" s="176"/>
      <c r="U366" s="176"/>
      <c r="Z366" s="246"/>
      <c r="AA366" s="246"/>
      <c r="AB366" s="246"/>
      <c r="AC366" s="246"/>
      <c r="AD366" s="246"/>
    </row>
    <row r="367" spans="11:30">
      <c r="K367" s="176"/>
      <c r="L367" s="176"/>
      <c r="M367" s="176"/>
      <c r="N367" s="50"/>
      <c r="O367" s="176"/>
      <c r="P367" s="50"/>
      <c r="Q367" s="50"/>
      <c r="R367" s="176"/>
      <c r="S367" s="176"/>
      <c r="T367" s="176"/>
      <c r="U367" s="176"/>
      <c r="Z367" s="246"/>
      <c r="AA367" s="246"/>
      <c r="AB367" s="246"/>
      <c r="AC367" s="246"/>
      <c r="AD367" s="246"/>
    </row>
    <row r="368" spans="11:30">
      <c r="K368" s="176"/>
      <c r="L368" s="176"/>
      <c r="M368" s="176"/>
      <c r="N368" s="50"/>
      <c r="O368" s="176"/>
      <c r="P368" s="50"/>
      <c r="Q368" s="50"/>
      <c r="R368" s="176"/>
      <c r="S368" s="176"/>
      <c r="T368" s="176"/>
      <c r="U368" s="176"/>
      <c r="Z368" s="246"/>
      <c r="AA368" s="246"/>
      <c r="AB368" s="246"/>
      <c r="AC368" s="246"/>
      <c r="AD368" s="246"/>
    </row>
    <row r="369" spans="11:30">
      <c r="K369" s="176"/>
      <c r="L369" s="176"/>
      <c r="M369" s="176"/>
      <c r="N369" s="50"/>
      <c r="O369" s="176"/>
      <c r="P369" s="50"/>
      <c r="Q369" s="50"/>
      <c r="R369" s="176"/>
      <c r="S369" s="176"/>
      <c r="T369" s="176"/>
      <c r="U369" s="176"/>
      <c r="Z369" s="246"/>
      <c r="AA369" s="246"/>
      <c r="AB369" s="246"/>
      <c r="AC369" s="246"/>
      <c r="AD369" s="246"/>
    </row>
    <row r="370" spans="11:30">
      <c r="K370" s="176"/>
      <c r="L370" s="176"/>
      <c r="M370" s="176"/>
      <c r="N370" s="50"/>
      <c r="O370" s="176"/>
      <c r="P370" s="50"/>
      <c r="Q370" s="50"/>
      <c r="R370" s="176"/>
      <c r="S370" s="176"/>
      <c r="T370" s="176"/>
      <c r="U370" s="176"/>
      <c r="Z370" s="246"/>
      <c r="AA370" s="246"/>
      <c r="AB370" s="246"/>
      <c r="AC370" s="246"/>
      <c r="AD370" s="246"/>
    </row>
    <row r="371" spans="11:30">
      <c r="K371" s="176"/>
      <c r="L371" s="176"/>
      <c r="M371" s="176"/>
      <c r="N371" s="50"/>
      <c r="O371" s="176"/>
      <c r="P371" s="50"/>
      <c r="Q371" s="50"/>
      <c r="R371" s="176"/>
      <c r="S371" s="176"/>
      <c r="T371" s="176"/>
      <c r="U371" s="176"/>
      <c r="Z371" s="246"/>
      <c r="AA371" s="246"/>
      <c r="AB371" s="246"/>
      <c r="AC371" s="246"/>
      <c r="AD371" s="246"/>
    </row>
    <row r="372" spans="11:30">
      <c r="K372" s="176"/>
      <c r="L372" s="176"/>
      <c r="M372" s="176"/>
      <c r="N372" s="50"/>
      <c r="O372" s="176"/>
      <c r="P372" s="50"/>
      <c r="Q372" s="50"/>
      <c r="R372" s="176"/>
      <c r="S372" s="176"/>
      <c r="T372" s="176"/>
      <c r="U372" s="176"/>
      <c r="Z372" s="246"/>
      <c r="AA372" s="246"/>
      <c r="AB372" s="246"/>
      <c r="AC372" s="246"/>
      <c r="AD372" s="246"/>
    </row>
    <row r="373" spans="11:30">
      <c r="K373" s="176"/>
      <c r="L373" s="176"/>
      <c r="M373" s="176"/>
      <c r="N373" s="50"/>
      <c r="O373" s="176"/>
      <c r="P373" s="50"/>
      <c r="Q373" s="50"/>
      <c r="R373" s="176"/>
      <c r="S373" s="176"/>
      <c r="T373" s="176"/>
      <c r="U373" s="176"/>
      <c r="Z373" s="246"/>
      <c r="AA373" s="246"/>
      <c r="AB373" s="246"/>
      <c r="AC373" s="246"/>
      <c r="AD373" s="246"/>
    </row>
    <row r="374" spans="11:30">
      <c r="K374" s="176"/>
      <c r="L374" s="176"/>
      <c r="M374" s="176"/>
      <c r="N374" s="50"/>
      <c r="O374" s="176"/>
      <c r="P374" s="50"/>
      <c r="Q374" s="50"/>
      <c r="R374" s="176"/>
      <c r="S374" s="176"/>
      <c r="T374" s="176"/>
      <c r="U374" s="176"/>
      <c r="Z374" s="246"/>
      <c r="AA374" s="246"/>
      <c r="AB374" s="246"/>
      <c r="AC374" s="246"/>
      <c r="AD374" s="246"/>
    </row>
    <row r="375" spans="11:30">
      <c r="K375" s="176"/>
      <c r="L375" s="176"/>
      <c r="M375" s="176"/>
      <c r="N375" s="50"/>
      <c r="O375" s="176"/>
      <c r="P375" s="50"/>
      <c r="Q375" s="50"/>
      <c r="R375" s="176"/>
      <c r="S375" s="176"/>
      <c r="T375" s="176"/>
      <c r="U375" s="176"/>
      <c r="Z375" s="246"/>
      <c r="AA375" s="246"/>
      <c r="AB375" s="246"/>
      <c r="AC375" s="246"/>
      <c r="AD375" s="246"/>
    </row>
    <row r="376" spans="11:30">
      <c r="K376" s="176"/>
      <c r="L376" s="176"/>
      <c r="M376" s="176"/>
      <c r="N376" s="50"/>
      <c r="O376" s="176"/>
      <c r="P376" s="50"/>
      <c r="Q376" s="50"/>
      <c r="R376" s="176"/>
      <c r="S376" s="176"/>
      <c r="T376" s="176"/>
      <c r="U376" s="176"/>
      <c r="Z376" s="246"/>
      <c r="AA376" s="246"/>
      <c r="AB376" s="246"/>
      <c r="AC376" s="246"/>
      <c r="AD376" s="246"/>
    </row>
    <row r="377" spans="11:30">
      <c r="K377" s="176"/>
      <c r="L377" s="176"/>
      <c r="M377" s="176"/>
      <c r="N377" s="50"/>
      <c r="O377" s="176"/>
      <c r="P377" s="50"/>
      <c r="Q377" s="50"/>
      <c r="R377" s="176"/>
      <c r="S377" s="176"/>
      <c r="T377" s="176"/>
      <c r="U377" s="176"/>
      <c r="Z377" s="246"/>
      <c r="AA377" s="246"/>
      <c r="AB377" s="246"/>
      <c r="AC377" s="246"/>
      <c r="AD377" s="246"/>
    </row>
    <row r="378" spans="11:30">
      <c r="K378" s="176"/>
      <c r="L378" s="176"/>
      <c r="M378" s="176"/>
      <c r="N378" s="50"/>
      <c r="O378" s="176"/>
      <c r="P378" s="50"/>
      <c r="Q378" s="50"/>
      <c r="R378" s="176"/>
      <c r="S378" s="176"/>
      <c r="T378" s="176"/>
      <c r="U378" s="176"/>
      <c r="Z378" s="246"/>
      <c r="AA378" s="246"/>
      <c r="AB378" s="246"/>
      <c r="AC378" s="246"/>
      <c r="AD378" s="246"/>
    </row>
    <row r="379" spans="11:30">
      <c r="K379" s="176"/>
      <c r="L379" s="176"/>
      <c r="M379" s="176"/>
      <c r="N379" s="50"/>
      <c r="O379" s="176"/>
      <c r="P379" s="50"/>
      <c r="Q379" s="50"/>
      <c r="R379" s="176"/>
      <c r="S379" s="176"/>
      <c r="T379" s="176"/>
      <c r="U379" s="176"/>
      <c r="Z379" s="246"/>
      <c r="AA379" s="246"/>
      <c r="AB379" s="246"/>
      <c r="AC379" s="246"/>
      <c r="AD379" s="246"/>
    </row>
    <row r="380" spans="11:30">
      <c r="K380" s="176"/>
      <c r="L380" s="176"/>
      <c r="M380" s="176"/>
      <c r="N380" s="50"/>
      <c r="O380" s="176"/>
      <c r="P380" s="50"/>
      <c r="Q380" s="50"/>
      <c r="R380" s="176"/>
      <c r="S380" s="176"/>
      <c r="T380" s="176"/>
      <c r="U380" s="176"/>
      <c r="Z380" s="246"/>
      <c r="AA380" s="246"/>
      <c r="AB380" s="246"/>
      <c r="AC380" s="246"/>
      <c r="AD380" s="246"/>
    </row>
    <row r="381" spans="11:30">
      <c r="K381" s="176"/>
      <c r="L381" s="176"/>
      <c r="M381" s="176"/>
      <c r="N381" s="50"/>
      <c r="O381" s="176"/>
      <c r="P381" s="50"/>
      <c r="Q381" s="50"/>
      <c r="R381" s="176"/>
      <c r="S381" s="176"/>
      <c r="T381" s="176"/>
      <c r="U381" s="176"/>
      <c r="Z381" s="246"/>
      <c r="AA381" s="246"/>
      <c r="AB381" s="246"/>
      <c r="AC381" s="246"/>
      <c r="AD381" s="246"/>
    </row>
    <row r="382" spans="11:30">
      <c r="K382" s="176"/>
      <c r="L382" s="176"/>
      <c r="M382" s="176"/>
      <c r="N382" s="50"/>
      <c r="O382" s="176"/>
      <c r="P382" s="50"/>
      <c r="Q382" s="50"/>
      <c r="R382" s="176"/>
      <c r="S382" s="176"/>
      <c r="T382" s="176"/>
      <c r="U382" s="176"/>
      <c r="Z382" s="246"/>
      <c r="AA382" s="246"/>
      <c r="AB382" s="246"/>
      <c r="AC382" s="246"/>
      <c r="AD382" s="246"/>
    </row>
    <row r="383" spans="11:30">
      <c r="K383" s="176"/>
      <c r="L383" s="176"/>
      <c r="M383" s="176"/>
      <c r="N383" s="50"/>
      <c r="O383" s="176"/>
      <c r="P383" s="50"/>
      <c r="Q383" s="50"/>
      <c r="R383" s="176"/>
      <c r="S383" s="176"/>
      <c r="T383" s="176"/>
      <c r="U383" s="176"/>
      <c r="Z383" s="246"/>
      <c r="AA383" s="246"/>
      <c r="AB383" s="246"/>
      <c r="AC383" s="246"/>
      <c r="AD383" s="246"/>
    </row>
    <row r="384" spans="11:30">
      <c r="K384" s="176"/>
      <c r="L384" s="176"/>
      <c r="M384" s="176"/>
      <c r="N384" s="50"/>
      <c r="O384" s="176"/>
      <c r="P384" s="50"/>
      <c r="Q384" s="50"/>
      <c r="R384" s="176"/>
      <c r="S384" s="176"/>
      <c r="T384" s="176"/>
      <c r="U384" s="176"/>
      <c r="Z384" s="246"/>
      <c r="AA384" s="246"/>
      <c r="AB384" s="246"/>
      <c r="AC384" s="246"/>
      <c r="AD384" s="246"/>
    </row>
    <row r="385" spans="11:30">
      <c r="K385" s="176"/>
      <c r="L385" s="176"/>
      <c r="M385" s="176"/>
      <c r="N385" s="50"/>
      <c r="O385" s="176"/>
      <c r="P385" s="50"/>
      <c r="Q385" s="50"/>
      <c r="R385" s="176"/>
      <c r="S385" s="176"/>
      <c r="T385" s="176"/>
      <c r="U385" s="176"/>
      <c r="Z385" s="246"/>
      <c r="AA385" s="246"/>
      <c r="AB385" s="246"/>
      <c r="AC385" s="246"/>
      <c r="AD385" s="246"/>
    </row>
    <row r="386" spans="11:30">
      <c r="K386" s="176"/>
      <c r="L386" s="176"/>
      <c r="M386" s="176"/>
      <c r="N386" s="50"/>
      <c r="O386" s="176"/>
      <c r="P386" s="50"/>
      <c r="Q386" s="50"/>
      <c r="R386" s="176"/>
      <c r="S386" s="176"/>
      <c r="T386" s="176"/>
      <c r="U386" s="176"/>
      <c r="Z386" s="246"/>
      <c r="AA386" s="246"/>
      <c r="AB386" s="246"/>
      <c r="AC386" s="246"/>
      <c r="AD386" s="246"/>
    </row>
    <row r="387" spans="11:30">
      <c r="K387" s="176"/>
      <c r="L387" s="176"/>
      <c r="M387" s="176"/>
      <c r="N387" s="50"/>
      <c r="O387" s="176"/>
      <c r="P387" s="50"/>
      <c r="Q387" s="50"/>
      <c r="R387" s="176"/>
      <c r="S387" s="176"/>
      <c r="T387" s="176"/>
      <c r="U387" s="176"/>
      <c r="Z387" s="246"/>
      <c r="AA387" s="246"/>
      <c r="AB387" s="246"/>
      <c r="AC387" s="246"/>
      <c r="AD387" s="246"/>
    </row>
    <row r="388" spans="11:30">
      <c r="K388" s="176"/>
      <c r="L388" s="176"/>
      <c r="M388" s="176"/>
      <c r="N388" s="50"/>
      <c r="O388" s="176"/>
      <c r="P388" s="50"/>
      <c r="Q388" s="50"/>
      <c r="R388" s="176"/>
      <c r="S388" s="176"/>
      <c r="T388" s="176"/>
      <c r="U388" s="176"/>
      <c r="Z388" s="246"/>
      <c r="AA388" s="246"/>
      <c r="AB388" s="246"/>
      <c r="AC388" s="246"/>
      <c r="AD388" s="246"/>
    </row>
    <row r="389" spans="11:30">
      <c r="K389" s="176"/>
      <c r="L389" s="176"/>
      <c r="M389" s="176"/>
      <c r="N389" s="50"/>
      <c r="O389" s="176"/>
      <c r="P389" s="50"/>
      <c r="Q389" s="50"/>
      <c r="R389" s="176"/>
      <c r="S389" s="176"/>
      <c r="T389" s="176"/>
      <c r="U389" s="176"/>
      <c r="Z389" s="246"/>
      <c r="AA389" s="246"/>
      <c r="AB389" s="246"/>
      <c r="AC389" s="246"/>
      <c r="AD389" s="246"/>
    </row>
    <row r="390" spans="11:30">
      <c r="K390" s="176"/>
      <c r="L390" s="176"/>
      <c r="M390" s="176"/>
      <c r="N390" s="50"/>
      <c r="O390" s="176"/>
      <c r="P390" s="50"/>
      <c r="Q390" s="50"/>
      <c r="R390" s="176"/>
      <c r="S390" s="176"/>
      <c r="T390" s="176"/>
      <c r="U390" s="176"/>
      <c r="Z390" s="246"/>
      <c r="AA390" s="246"/>
      <c r="AB390" s="246"/>
      <c r="AC390" s="246"/>
      <c r="AD390" s="246"/>
    </row>
    <row r="391" spans="11:30">
      <c r="K391" s="176"/>
      <c r="L391" s="176"/>
      <c r="M391" s="176"/>
      <c r="N391" s="50"/>
      <c r="O391" s="176"/>
      <c r="P391" s="50"/>
      <c r="Q391" s="50"/>
      <c r="R391" s="176"/>
      <c r="S391" s="176"/>
      <c r="T391" s="176"/>
      <c r="U391" s="176"/>
      <c r="Z391" s="246"/>
      <c r="AA391" s="246"/>
      <c r="AB391" s="246"/>
      <c r="AC391" s="246"/>
      <c r="AD391" s="246"/>
    </row>
    <row r="392" spans="11:30">
      <c r="K392" s="176"/>
      <c r="L392" s="176"/>
      <c r="M392" s="176"/>
      <c r="N392" s="50"/>
      <c r="O392" s="176"/>
      <c r="P392" s="50"/>
      <c r="Q392" s="50"/>
      <c r="R392" s="176"/>
      <c r="S392" s="176"/>
      <c r="T392" s="176"/>
      <c r="U392" s="176"/>
      <c r="Z392" s="246"/>
      <c r="AA392" s="246"/>
      <c r="AB392" s="246"/>
      <c r="AC392" s="246"/>
      <c r="AD392" s="246"/>
    </row>
    <row r="393" spans="11:30">
      <c r="K393" s="176"/>
      <c r="L393" s="176"/>
      <c r="M393" s="176"/>
      <c r="N393" s="50"/>
      <c r="O393" s="176"/>
      <c r="P393" s="50"/>
      <c r="Q393" s="50"/>
      <c r="R393" s="176"/>
      <c r="S393" s="176"/>
      <c r="T393" s="176"/>
      <c r="U393" s="176"/>
      <c r="Z393" s="246"/>
      <c r="AA393" s="246"/>
      <c r="AB393" s="246"/>
      <c r="AC393" s="246"/>
      <c r="AD393" s="246"/>
    </row>
    <row r="394" spans="11:30">
      <c r="K394" s="176"/>
      <c r="L394" s="176"/>
      <c r="M394" s="176"/>
      <c r="N394" s="50"/>
      <c r="O394" s="176"/>
      <c r="P394" s="50"/>
      <c r="Q394" s="50"/>
      <c r="R394" s="176"/>
      <c r="S394" s="176"/>
      <c r="T394" s="176"/>
      <c r="U394" s="176"/>
      <c r="Z394" s="246"/>
      <c r="AA394" s="246"/>
      <c r="AB394" s="246"/>
      <c r="AC394" s="246"/>
      <c r="AD394" s="246"/>
    </row>
    <row r="395" spans="11:30">
      <c r="K395" s="176"/>
      <c r="L395" s="176"/>
      <c r="M395" s="176"/>
      <c r="N395" s="50"/>
      <c r="O395" s="176"/>
      <c r="P395" s="50"/>
      <c r="Q395" s="50"/>
      <c r="R395" s="176"/>
      <c r="S395" s="176"/>
      <c r="T395" s="176"/>
      <c r="U395" s="176"/>
      <c r="Z395" s="246"/>
      <c r="AA395" s="246"/>
      <c r="AB395" s="246"/>
      <c r="AC395" s="246"/>
      <c r="AD395" s="246"/>
    </row>
    <row r="396" spans="11:30">
      <c r="K396" s="176"/>
      <c r="L396" s="176"/>
      <c r="M396" s="176"/>
      <c r="N396" s="50"/>
      <c r="O396" s="176"/>
      <c r="P396" s="50"/>
      <c r="Q396" s="50"/>
      <c r="R396" s="176"/>
      <c r="S396" s="176"/>
      <c r="T396" s="176"/>
      <c r="U396" s="176"/>
      <c r="Z396" s="246"/>
      <c r="AA396" s="246"/>
      <c r="AB396" s="246"/>
      <c r="AC396" s="246"/>
      <c r="AD396" s="246"/>
    </row>
    <row r="397" spans="11:30">
      <c r="K397" s="176"/>
      <c r="L397" s="176"/>
      <c r="M397" s="176"/>
      <c r="N397" s="50"/>
      <c r="O397" s="176"/>
      <c r="P397" s="50"/>
      <c r="Q397" s="50"/>
      <c r="R397" s="176"/>
      <c r="S397" s="176"/>
      <c r="T397" s="176"/>
      <c r="U397" s="176"/>
      <c r="Z397" s="246"/>
      <c r="AA397" s="246"/>
      <c r="AB397" s="246"/>
      <c r="AC397" s="246"/>
      <c r="AD397" s="246"/>
    </row>
    <row r="398" spans="11:30">
      <c r="K398" s="176"/>
      <c r="L398" s="176"/>
      <c r="M398" s="176"/>
      <c r="N398" s="50"/>
      <c r="O398" s="176"/>
      <c r="P398" s="50"/>
      <c r="Q398" s="50"/>
      <c r="R398" s="176"/>
      <c r="S398" s="176"/>
      <c r="T398" s="176"/>
      <c r="U398" s="176"/>
      <c r="Z398" s="246"/>
      <c r="AA398" s="246"/>
      <c r="AB398" s="246"/>
      <c r="AC398" s="246"/>
      <c r="AD398" s="246"/>
    </row>
    <row r="399" spans="11:30">
      <c r="K399" s="176"/>
      <c r="L399" s="176"/>
      <c r="M399" s="176"/>
      <c r="N399" s="50"/>
      <c r="O399" s="176"/>
      <c r="P399" s="50"/>
      <c r="Q399" s="50"/>
      <c r="R399" s="176"/>
      <c r="S399" s="176"/>
      <c r="T399" s="176"/>
      <c r="U399" s="176"/>
      <c r="Z399" s="246"/>
      <c r="AA399" s="246"/>
      <c r="AB399" s="246"/>
      <c r="AC399" s="246"/>
      <c r="AD399" s="246"/>
    </row>
    <row r="400" spans="11:30">
      <c r="K400" s="176"/>
      <c r="L400" s="176"/>
      <c r="M400" s="176"/>
      <c r="N400" s="50"/>
      <c r="O400" s="176"/>
      <c r="P400" s="50"/>
      <c r="Q400" s="50"/>
      <c r="R400" s="176"/>
      <c r="S400" s="176"/>
      <c r="T400" s="176"/>
      <c r="U400" s="176"/>
      <c r="Z400" s="246"/>
      <c r="AA400" s="246"/>
      <c r="AB400" s="246"/>
      <c r="AC400" s="246"/>
      <c r="AD400" s="246"/>
    </row>
    <row r="401" spans="11:30">
      <c r="K401" s="176"/>
      <c r="L401" s="176"/>
      <c r="M401" s="176"/>
      <c r="N401" s="50"/>
      <c r="O401" s="176"/>
      <c r="P401" s="50"/>
      <c r="Q401" s="50"/>
      <c r="R401" s="176"/>
      <c r="S401" s="176"/>
      <c r="T401" s="176"/>
      <c r="U401" s="176"/>
      <c r="Z401" s="246"/>
      <c r="AA401" s="246"/>
      <c r="AB401" s="246"/>
      <c r="AC401" s="246"/>
      <c r="AD401" s="246"/>
    </row>
    <row r="402" spans="11:30">
      <c r="K402" s="176"/>
      <c r="L402" s="176"/>
      <c r="M402" s="176"/>
      <c r="N402" s="50"/>
      <c r="O402" s="176"/>
      <c r="P402" s="50"/>
      <c r="Q402" s="50"/>
      <c r="R402" s="176"/>
      <c r="S402" s="176"/>
      <c r="T402" s="176"/>
      <c r="U402" s="176"/>
      <c r="Z402" s="246"/>
      <c r="AA402" s="246"/>
      <c r="AB402" s="246"/>
      <c r="AC402" s="246"/>
      <c r="AD402" s="246"/>
    </row>
    <row r="403" spans="11:30">
      <c r="K403" s="176"/>
      <c r="L403" s="176"/>
      <c r="M403" s="176"/>
      <c r="N403" s="50"/>
      <c r="O403" s="176"/>
      <c r="P403" s="50"/>
      <c r="Q403" s="50"/>
      <c r="R403" s="176"/>
      <c r="S403" s="176"/>
      <c r="T403" s="176"/>
      <c r="U403" s="176"/>
      <c r="Z403" s="246"/>
      <c r="AA403" s="246"/>
      <c r="AB403" s="246"/>
      <c r="AC403" s="246"/>
      <c r="AD403" s="246"/>
    </row>
    <row r="404" spans="11:30">
      <c r="K404" s="176"/>
      <c r="L404" s="176"/>
      <c r="M404" s="176"/>
      <c r="N404" s="50"/>
      <c r="O404" s="176"/>
      <c r="P404" s="50"/>
      <c r="Q404" s="50"/>
      <c r="R404" s="176"/>
      <c r="S404" s="176"/>
      <c r="T404" s="176"/>
      <c r="U404" s="176"/>
      <c r="Z404" s="246"/>
      <c r="AA404" s="246"/>
      <c r="AB404" s="246"/>
      <c r="AC404" s="246"/>
      <c r="AD404" s="246"/>
    </row>
    <row r="405" spans="11:30">
      <c r="K405" s="176"/>
      <c r="L405" s="176"/>
      <c r="M405" s="176"/>
      <c r="N405" s="50"/>
      <c r="O405" s="176"/>
      <c r="P405" s="50"/>
      <c r="Q405" s="50"/>
      <c r="R405" s="176"/>
      <c r="S405" s="176"/>
      <c r="T405" s="176"/>
      <c r="U405" s="176"/>
      <c r="Z405" s="246"/>
      <c r="AA405" s="246"/>
      <c r="AB405" s="246"/>
      <c r="AC405" s="246"/>
      <c r="AD405" s="246"/>
    </row>
    <row r="406" spans="11:30">
      <c r="K406" s="176"/>
      <c r="L406" s="176"/>
      <c r="M406" s="176"/>
      <c r="N406" s="50"/>
      <c r="O406" s="176"/>
      <c r="P406" s="50"/>
      <c r="Q406" s="50"/>
      <c r="R406" s="176"/>
      <c r="S406" s="176"/>
      <c r="T406" s="176"/>
      <c r="U406" s="176"/>
      <c r="Z406" s="246"/>
      <c r="AA406" s="246"/>
      <c r="AB406" s="246"/>
      <c r="AC406" s="246"/>
      <c r="AD406" s="246"/>
    </row>
    <row r="407" spans="11:30">
      <c r="K407" s="176"/>
      <c r="L407" s="176"/>
      <c r="M407" s="176"/>
      <c r="N407" s="50"/>
      <c r="O407" s="176"/>
      <c r="P407" s="50"/>
      <c r="Q407" s="50"/>
      <c r="R407" s="176"/>
      <c r="S407" s="176"/>
      <c r="T407" s="176"/>
      <c r="U407" s="176"/>
      <c r="Z407" s="246"/>
      <c r="AA407" s="246"/>
      <c r="AB407" s="246"/>
      <c r="AC407" s="246"/>
      <c r="AD407" s="246"/>
    </row>
    <row r="408" spans="11:30">
      <c r="K408" s="176"/>
      <c r="L408" s="176"/>
      <c r="M408" s="176"/>
      <c r="N408" s="50"/>
      <c r="O408" s="176"/>
      <c r="P408" s="50"/>
      <c r="Q408" s="50"/>
      <c r="R408" s="176"/>
      <c r="S408" s="176"/>
      <c r="T408" s="176"/>
      <c r="U408" s="176"/>
      <c r="Z408" s="246"/>
      <c r="AA408" s="246"/>
      <c r="AB408" s="246"/>
      <c r="AC408" s="246"/>
      <c r="AD408" s="246"/>
    </row>
    <row r="409" spans="11:30">
      <c r="K409" s="176"/>
      <c r="L409" s="176"/>
      <c r="M409" s="176"/>
      <c r="N409" s="50"/>
      <c r="O409" s="176"/>
      <c r="P409" s="50"/>
      <c r="Q409" s="50"/>
      <c r="R409" s="176"/>
      <c r="S409" s="176"/>
      <c r="T409" s="176"/>
      <c r="U409" s="176"/>
      <c r="Z409" s="246"/>
      <c r="AA409" s="246"/>
      <c r="AB409" s="246"/>
      <c r="AC409" s="246"/>
      <c r="AD409" s="246"/>
    </row>
    <row r="410" spans="11:30">
      <c r="K410" s="176"/>
      <c r="L410" s="176"/>
      <c r="M410" s="176"/>
      <c r="N410" s="50"/>
      <c r="O410" s="176"/>
      <c r="P410" s="50"/>
      <c r="Q410" s="50"/>
      <c r="R410" s="176"/>
      <c r="S410" s="176"/>
      <c r="T410" s="176"/>
      <c r="U410" s="176"/>
      <c r="Z410" s="246"/>
      <c r="AA410" s="246"/>
      <c r="AB410" s="246"/>
      <c r="AC410" s="246"/>
      <c r="AD410" s="246"/>
    </row>
    <row r="411" spans="11:30">
      <c r="K411" s="176"/>
      <c r="L411" s="176"/>
      <c r="M411" s="176"/>
      <c r="N411" s="50"/>
      <c r="O411" s="176"/>
      <c r="P411" s="50"/>
      <c r="Q411" s="50"/>
      <c r="R411" s="176"/>
      <c r="S411" s="176"/>
      <c r="T411" s="176"/>
      <c r="U411" s="176"/>
      <c r="Z411" s="246"/>
      <c r="AA411" s="246"/>
      <c r="AB411" s="246"/>
      <c r="AC411" s="246"/>
      <c r="AD411" s="246"/>
    </row>
    <row r="412" spans="11:30">
      <c r="K412" s="176"/>
      <c r="L412" s="176"/>
      <c r="M412" s="176"/>
      <c r="N412" s="50"/>
      <c r="O412" s="176"/>
      <c r="P412" s="50"/>
      <c r="Q412" s="50"/>
      <c r="R412" s="176"/>
      <c r="S412" s="176"/>
      <c r="T412" s="176"/>
      <c r="U412" s="176"/>
      <c r="Z412" s="246"/>
      <c r="AA412" s="246"/>
      <c r="AB412" s="246"/>
      <c r="AC412" s="246"/>
      <c r="AD412" s="246"/>
    </row>
    <row r="413" spans="11:30">
      <c r="K413" s="176"/>
      <c r="L413" s="176"/>
      <c r="M413" s="176"/>
      <c r="N413" s="50"/>
      <c r="O413" s="176"/>
      <c r="P413" s="50"/>
      <c r="Q413" s="50"/>
      <c r="R413" s="176"/>
      <c r="S413" s="176"/>
      <c r="T413" s="176"/>
      <c r="U413" s="176"/>
      <c r="Z413" s="246"/>
      <c r="AA413" s="246"/>
      <c r="AB413" s="246"/>
      <c r="AC413" s="246"/>
      <c r="AD413" s="246"/>
    </row>
    <row r="414" spans="11:30">
      <c r="K414" s="176"/>
      <c r="L414" s="176"/>
      <c r="M414" s="176"/>
      <c r="N414" s="50"/>
      <c r="O414" s="176"/>
      <c r="P414" s="50"/>
      <c r="Q414" s="50"/>
      <c r="R414" s="176"/>
      <c r="S414" s="176"/>
      <c r="T414" s="176"/>
      <c r="U414" s="176"/>
      <c r="Z414" s="246"/>
      <c r="AA414" s="246"/>
      <c r="AB414" s="246"/>
      <c r="AC414" s="246"/>
      <c r="AD414" s="246"/>
    </row>
    <row r="415" spans="11:30">
      <c r="K415" s="176"/>
      <c r="L415" s="176"/>
      <c r="M415" s="176"/>
      <c r="N415" s="50"/>
      <c r="O415" s="176"/>
      <c r="P415" s="50"/>
      <c r="Q415" s="50"/>
      <c r="R415" s="176"/>
      <c r="S415" s="176"/>
      <c r="T415" s="176"/>
      <c r="U415" s="176"/>
      <c r="Z415" s="246"/>
      <c r="AA415" s="246"/>
      <c r="AB415" s="246"/>
      <c r="AC415" s="246"/>
      <c r="AD415" s="246"/>
    </row>
    <row r="416" spans="11:30">
      <c r="K416" s="176"/>
      <c r="L416" s="176"/>
      <c r="M416" s="176"/>
      <c r="N416" s="50"/>
      <c r="O416" s="176"/>
      <c r="P416" s="50"/>
      <c r="Q416" s="50"/>
      <c r="R416" s="176"/>
      <c r="S416" s="176"/>
      <c r="T416" s="176"/>
      <c r="U416" s="176"/>
      <c r="Z416" s="246"/>
      <c r="AA416" s="246"/>
      <c r="AB416" s="246"/>
      <c r="AC416" s="246"/>
      <c r="AD416" s="246"/>
    </row>
    <row r="417" spans="11:30">
      <c r="K417" s="176"/>
      <c r="L417" s="176"/>
      <c r="M417" s="176"/>
      <c r="N417" s="50"/>
      <c r="O417" s="176"/>
      <c r="P417" s="50"/>
      <c r="Q417" s="50"/>
      <c r="R417" s="176"/>
      <c r="S417" s="176"/>
      <c r="T417" s="176"/>
      <c r="U417" s="176"/>
      <c r="Z417" s="246"/>
      <c r="AA417" s="246"/>
      <c r="AB417" s="246"/>
      <c r="AC417" s="246"/>
      <c r="AD417" s="246"/>
    </row>
    <row r="418" spans="11:30">
      <c r="K418" s="176"/>
      <c r="L418" s="176"/>
      <c r="M418" s="176"/>
      <c r="N418" s="50"/>
      <c r="O418" s="176"/>
      <c r="P418" s="50"/>
      <c r="Q418" s="50"/>
      <c r="R418" s="176"/>
      <c r="S418" s="176"/>
      <c r="T418" s="176"/>
      <c r="U418" s="176"/>
      <c r="Z418" s="246"/>
      <c r="AA418" s="246"/>
      <c r="AB418" s="246"/>
      <c r="AC418" s="246"/>
      <c r="AD418" s="246"/>
    </row>
    <row r="419" spans="11:30">
      <c r="K419" s="176"/>
      <c r="L419" s="176"/>
      <c r="M419" s="176"/>
      <c r="N419" s="50"/>
      <c r="O419" s="176"/>
      <c r="P419" s="50"/>
      <c r="Q419" s="50"/>
      <c r="R419" s="176"/>
      <c r="S419" s="176"/>
      <c r="T419" s="176"/>
      <c r="U419" s="176"/>
      <c r="Z419" s="246"/>
      <c r="AA419" s="246"/>
      <c r="AB419" s="246"/>
      <c r="AC419" s="246"/>
      <c r="AD419" s="246"/>
    </row>
    <row r="420" spans="11:30">
      <c r="K420" s="176"/>
      <c r="L420" s="176"/>
      <c r="M420" s="176"/>
      <c r="N420" s="50"/>
      <c r="O420" s="176"/>
      <c r="P420" s="50"/>
      <c r="Q420" s="50"/>
      <c r="R420" s="176"/>
      <c r="S420" s="176"/>
      <c r="T420" s="176"/>
      <c r="U420" s="176"/>
      <c r="Z420" s="246"/>
      <c r="AA420" s="246"/>
      <c r="AB420" s="246"/>
      <c r="AC420" s="246"/>
      <c r="AD420" s="246"/>
    </row>
    <row r="421" spans="11:30">
      <c r="K421" s="176"/>
      <c r="L421" s="176"/>
      <c r="M421" s="176"/>
      <c r="N421" s="50"/>
      <c r="O421" s="176"/>
      <c r="P421" s="50"/>
      <c r="Q421" s="50"/>
      <c r="R421" s="176"/>
      <c r="S421" s="176"/>
      <c r="T421" s="176"/>
      <c r="U421" s="176"/>
      <c r="Z421" s="246"/>
      <c r="AA421" s="246"/>
      <c r="AB421" s="246"/>
      <c r="AC421" s="246"/>
      <c r="AD421" s="246"/>
    </row>
    <row r="422" spans="11:30">
      <c r="K422" s="176"/>
      <c r="L422" s="176"/>
      <c r="M422" s="176"/>
      <c r="N422" s="50"/>
      <c r="O422" s="176"/>
      <c r="P422" s="50"/>
      <c r="Q422" s="50"/>
      <c r="R422" s="176"/>
      <c r="S422" s="176"/>
      <c r="T422" s="176"/>
      <c r="U422" s="176"/>
      <c r="Z422" s="246"/>
      <c r="AA422" s="246"/>
      <c r="AB422" s="246"/>
      <c r="AC422" s="246"/>
      <c r="AD422" s="246"/>
    </row>
    <row r="423" spans="11:30">
      <c r="K423" s="176"/>
      <c r="L423" s="176"/>
      <c r="M423" s="176"/>
      <c r="N423" s="50"/>
      <c r="O423" s="176"/>
      <c r="P423" s="50"/>
      <c r="Q423" s="50"/>
      <c r="R423" s="176"/>
      <c r="S423" s="176"/>
      <c r="T423" s="176"/>
      <c r="U423" s="176"/>
      <c r="Z423" s="246"/>
      <c r="AA423" s="246"/>
      <c r="AB423" s="246"/>
      <c r="AC423" s="246"/>
      <c r="AD423" s="246"/>
    </row>
    <row r="424" spans="11:30">
      <c r="K424" s="176"/>
      <c r="L424" s="176"/>
      <c r="M424" s="176"/>
      <c r="N424" s="50"/>
      <c r="O424" s="176"/>
      <c r="P424" s="50"/>
      <c r="Q424" s="50"/>
      <c r="R424" s="176"/>
      <c r="S424" s="176"/>
      <c r="T424" s="176"/>
      <c r="U424" s="176"/>
      <c r="Z424" s="246"/>
      <c r="AA424" s="246"/>
      <c r="AB424" s="246"/>
      <c r="AC424" s="246"/>
      <c r="AD424" s="246"/>
    </row>
    <row r="425" spans="11:30">
      <c r="K425" s="176"/>
      <c r="L425" s="176"/>
      <c r="M425" s="176"/>
      <c r="N425" s="50"/>
      <c r="O425" s="176"/>
      <c r="P425" s="50"/>
      <c r="Q425" s="50"/>
      <c r="R425" s="176"/>
      <c r="S425" s="176"/>
      <c r="T425" s="176"/>
      <c r="U425" s="176"/>
      <c r="Z425" s="246"/>
      <c r="AA425" s="246"/>
      <c r="AB425" s="246"/>
      <c r="AC425" s="246"/>
      <c r="AD425" s="246"/>
    </row>
    <row r="426" spans="11:30">
      <c r="K426" s="176"/>
      <c r="L426" s="176"/>
      <c r="M426" s="176"/>
      <c r="N426" s="50"/>
      <c r="O426" s="176"/>
      <c r="P426" s="50"/>
      <c r="Q426" s="50"/>
      <c r="R426" s="176"/>
      <c r="S426" s="176"/>
      <c r="T426" s="176"/>
      <c r="U426" s="176"/>
      <c r="Z426" s="246"/>
      <c r="AA426" s="246"/>
      <c r="AB426" s="246"/>
      <c r="AC426" s="246"/>
      <c r="AD426" s="246"/>
    </row>
    <row r="427" spans="11:30">
      <c r="K427" s="176"/>
      <c r="L427" s="176"/>
      <c r="M427" s="176"/>
      <c r="N427" s="50"/>
      <c r="O427" s="176"/>
      <c r="P427" s="50"/>
      <c r="Q427" s="50"/>
      <c r="R427" s="176"/>
      <c r="S427" s="176"/>
      <c r="T427" s="176"/>
      <c r="U427" s="176"/>
      <c r="Z427" s="246"/>
      <c r="AA427" s="246"/>
      <c r="AB427" s="246"/>
      <c r="AC427" s="246"/>
      <c r="AD427" s="246"/>
    </row>
    <row r="428" spans="11:30">
      <c r="K428" s="176"/>
      <c r="L428" s="176"/>
      <c r="M428" s="176"/>
      <c r="N428" s="50"/>
      <c r="O428" s="176"/>
      <c r="P428" s="50"/>
      <c r="Q428" s="50"/>
      <c r="R428" s="176"/>
      <c r="S428" s="176"/>
      <c r="T428" s="176"/>
      <c r="U428" s="176"/>
      <c r="Z428" s="246"/>
      <c r="AA428" s="246"/>
      <c r="AB428" s="246"/>
      <c r="AC428" s="246"/>
      <c r="AD428" s="246"/>
    </row>
    <row r="429" spans="11:30">
      <c r="K429" s="176"/>
      <c r="L429" s="176"/>
      <c r="M429" s="176"/>
      <c r="N429" s="50"/>
      <c r="O429" s="176"/>
      <c r="P429" s="50"/>
      <c r="Q429" s="50"/>
      <c r="R429" s="176"/>
      <c r="S429" s="176"/>
      <c r="T429" s="176"/>
      <c r="U429" s="176"/>
      <c r="Z429" s="246"/>
      <c r="AA429" s="246"/>
      <c r="AB429" s="246"/>
      <c r="AC429" s="246"/>
      <c r="AD429" s="246"/>
    </row>
    <row r="430" spans="11:30">
      <c r="Z430" s="246"/>
      <c r="AA430" s="246"/>
      <c r="AB430" s="246"/>
      <c r="AC430" s="246"/>
      <c r="AD430" s="246"/>
    </row>
    <row r="431" spans="11:30">
      <c r="Z431" s="246"/>
      <c r="AA431" s="246"/>
      <c r="AB431" s="246"/>
      <c r="AC431" s="246"/>
      <c r="AD431" s="246"/>
    </row>
    <row r="432" spans="11:30">
      <c r="Z432" s="246"/>
      <c r="AA432" s="246"/>
      <c r="AB432" s="246"/>
      <c r="AC432" s="246"/>
      <c r="AD432" s="246"/>
    </row>
    <row r="433" spans="26:30">
      <c r="Z433" s="246"/>
      <c r="AA433" s="246"/>
      <c r="AB433" s="246"/>
      <c r="AC433" s="246"/>
      <c r="AD433" s="246"/>
    </row>
    <row r="434" spans="26:30">
      <c r="Z434" s="246"/>
      <c r="AA434" s="246"/>
      <c r="AB434" s="246"/>
      <c r="AC434" s="246"/>
      <c r="AD434" s="246"/>
    </row>
    <row r="435" spans="26:30">
      <c r="Z435" s="246"/>
      <c r="AA435" s="246"/>
      <c r="AB435" s="246"/>
      <c r="AC435" s="246"/>
      <c r="AD435" s="246"/>
    </row>
    <row r="436" spans="26:30">
      <c r="Z436" s="246"/>
      <c r="AA436" s="246"/>
      <c r="AB436" s="246"/>
      <c r="AC436" s="246"/>
      <c r="AD436" s="246"/>
    </row>
    <row r="437" spans="26:30">
      <c r="Z437" s="246"/>
      <c r="AA437" s="246"/>
      <c r="AB437" s="246"/>
      <c r="AC437" s="246"/>
      <c r="AD437" s="246"/>
    </row>
    <row r="438" spans="26:30">
      <c r="Z438" s="246"/>
      <c r="AA438" s="246"/>
      <c r="AB438" s="246"/>
      <c r="AC438" s="246"/>
      <c r="AD438" s="246"/>
    </row>
    <row r="439" spans="26:30">
      <c r="Z439" s="246"/>
      <c r="AA439" s="246"/>
      <c r="AB439" s="246"/>
      <c r="AC439" s="246"/>
      <c r="AD439" s="246"/>
    </row>
    <row r="440" spans="26:30">
      <c r="Z440" s="246"/>
      <c r="AA440" s="246"/>
      <c r="AB440" s="246"/>
      <c r="AC440" s="246"/>
      <c r="AD440" s="246"/>
    </row>
    <row r="441" spans="26:30">
      <c r="Z441" s="246"/>
      <c r="AA441" s="246"/>
      <c r="AB441" s="246"/>
      <c r="AC441" s="246"/>
      <c r="AD441" s="246"/>
    </row>
    <row r="442" spans="26:30">
      <c r="Z442" s="246"/>
      <c r="AA442" s="246"/>
      <c r="AB442" s="246"/>
      <c r="AC442" s="246"/>
      <c r="AD442" s="246"/>
    </row>
    <row r="443" spans="26:30">
      <c r="Z443" s="246"/>
      <c r="AA443" s="246"/>
      <c r="AB443" s="246"/>
      <c r="AC443" s="246"/>
      <c r="AD443" s="246"/>
    </row>
    <row r="444" spans="26:30">
      <c r="Z444" s="246"/>
      <c r="AA444" s="246"/>
      <c r="AB444" s="246"/>
      <c r="AC444" s="246"/>
      <c r="AD444" s="246"/>
    </row>
    <row r="445" spans="26:30">
      <c r="Z445" s="246"/>
      <c r="AA445" s="246"/>
      <c r="AB445" s="246"/>
      <c r="AC445" s="246"/>
      <c r="AD445" s="246"/>
    </row>
    <row r="446" spans="26:30">
      <c r="Z446" s="246"/>
      <c r="AA446" s="246"/>
      <c r="AB446" s="246"/>
      <c r="AC446" s="246"/>
      <c r="AD446" s="246"/>
    </row>
    <row r="447" spans="26:30">
      <c r="Z447" s="246"/>
      <c r="AA447" s="246"/>
      <c r="AB447" s="246"/>
      <c r="AC447" s="246"/>
      <c r="AD447" s="246"/>
    </row>
    <row r="448" spans="26:30">
      <c r="Z448" s="246"/>
      <c r="AA448" s="246"/>
      <c r="AB448" s="246"/>
      <c r="AC448" s="246"/>
      <c r="AD448" s="246"/>
    </row>
    <row r="449" spans="26:30">
      <c r="Z449" s="246"/>
      <c r="AA449" s="246"/>
      <c r="AB449" s="246"/>
      <c r="AC449" s="246"/>
      <c r="AD449" s="246"/>
    </row>
    <row r="450" spans="26:30">
      <c r="Z450" s="246"/>
      <c r="AA450" s="246"/>
      <c r="AB450" s="246"/>
      <c r="AC450" s="246"/>
      <c r="AD450" s="246"/>
    </row>
    <row r="451" spans="26:30">
      <c r="Z451" s="246"/>
      <c r="AA451" s="246"/>
      <c r="AB451" s="246"/>
      <c r="AC451" s="246"/>
      <c r="AD451" s="246"/>
    </row>
    <row r="452" spans="26:30">
      <c r="Z452" s="246"/>
      <c r="AA452" s="246"/>
      <c r="AB452" s="246"/>
      <c r="AC452" s="246"/>
      <c r="AD452" s="246"/>
    </row>
    <row r="453" spans="26:30">
      <c r="Z453" s="246"/>
      <c r="AA453" s="246"/>
      <c r="AB453" s="246"/>
      <c r="AC453" s="246"/>
      <c r="AD453" s="246"/>
    </row>
    <row r="454" spans="26:30">
      <c r="Z454" s="246"/>
      <c r="AA454" s="246"/>
      <c r="AB454" s="246"/>
      <c r="AC454" s="246"/>
      <c r="AD454" s="246"/>
    </row>
    <row r="455" spans="26:30">
      <c r="Z455" s="246"/>
      <c r="AA455" s="246"/>
      <c r="AB455" s="246"/>
      <c r="AC455" s="246"/>
      <c r="AD455" s="246"/>
    </row>
    <row r="456" spans="26:30">
      <c r="Z456" s="246"/>
      <c r="AA456" s="246"/>
      <c r="AB456" s="246"/>
      <c r="AC456" s="246"/>
      <c r="AD456" s="246"/>
    </row>
    <row r="457" spans="26:30">
      <c r="Z457" s="246"/>
      <c r="AA457" s="246"/>
      <c r="AB457" s="246"/>
      <c r="AC457" s="246"/>
      <c r="AD457" s="246"/>
    </row>
    <row r="458" spans="26:30">
      <c r="Z458" s="246"/>
      <c r="AA458" s="246"/>
      <c r="AB458" s="246"/>
      <c r="AC458" s="246"/>
      <c r="AD458" s="246"/>
    </row>
    <row r="459" spans="26:30">
      <c r="Z459" s="246"/>
      <c r="AA459" s="246"/>
      <c r="AB459" s="246"/>
      <c r="AC459" s="246"/>
      <c r="AD459" s="246"/>
    </row>
    <row r="460" spans="26:30">
      <c r="Z460" s="246"/>
      <c r="AA460" s="246"/>
      <c r="AB460" s="246"/>
      <c r="AC460" s="246"/>
      <c r="AD460" s="246"/>
    </row>
    <row r="461" spans="26:30">
      <c r="Z461" s="246"/>
      <c r="AA461" s="246"/>
      <c r="AB461" s="246"/>
      <c r="AC461" s="246"/>
      <c r="AD461" s="246"/>
    </row>
    <row r="462" spans="26:30">
      <c r="Z462" s="246"/>
      <c r="AA462" s="246"/>
      <c r="AB462" s="246"/>
      <c r="AC462" s="246"/>
      <c r="AD462" s="246"/>
    </row>
    <row r="463" spans="26:30">
      <c r="Z463" s="246"/>
      <c r="AA463" s="246"/>
      <c r="AB463" s="246"/>
      <c r="AC463" s="246"/>
      <c r="AD463" s="246"/>
    </row>
    <row r="464" spans="26:30">
      <c r="Z464" s="246"/>
      <c r="AA464" s="246"/>
      <c r="AB464" s="246"/>
      <c r="AC464" s="246"/>
      <c r="AD464" s="246"/>
    </row>
    <row r="465" spans="26:30">
      <c r="Z465" s="246"/>
      <c r="AA465" s="246"/>
      <c r="AB465" s="246"/>
      <c r="AC465" s="246"/>
      <c r="AD465" s="246"/>
    </row>
    <row r="466" spans="26:30">
      <c r="Z466" s="246"/>
      <c r="AA466" s="246"/>
      <c r="AB466" s="246"/>
      <c r="AC466" s="246"/>
      <c r="AD466" s="246"/>
    </row>
    <row r="467" spans="26:30">
      <c r="Z467" s="246"/>
      <c r="AA467" s="246"/>
      <c r="AB467" s="246"/>
      <c r="AC467" s="246"/>
      <c r="AD467" s="246"/>
    </row>
    <row r="468" spans="26:30">
      <c r="Z468" s="246"/>
      <c r="AA468" s="246"/>
      <c r="AB468" s="246"/>
      <c r="AC468" s="246"/>
      <c r="AD468" s="246"/>
    </row>
    <row r="469" spans="26:30">
      <c r="Z469" s="246"/>
      <c r="AA469" s="246"/>
      <c r="AB469" s="246"/>
      <c r="AC469" s="246"/>
      <c r="AD469" s="246"/>
    </row>
    <row r="470" spans="26:30">
      <c r="Z470" s="246"/>
      <c r="AA470" s="246"/>
      <c r="AB470" s="246"/>
      <c r="AC470" s="246"/>
      <c r="AD470" s="246"/>
    </row>
    <row r="471" spans="26:30">
      <c r="Z471" s="246"/>
      <c r="AA471" s="246"/>
      <c r="AB471" s="246"/>
      <c r="AC471" s="246"/>
      <c r="AD471" s="246"/>
    </row>
    <row r="472" spans="26:30">
      <c r="Z472" s="246"/>
      <c r="AA472" s="246"/>
      <c r="AB472" s="246"/>
      <c r="AC472" s="246"/>
      <c r="AD472" s="246"/>
    </row>
    <row r="473" spans="26:30">
      <c r="Z473" s="246"/>
      <c r="AA473" s="246"/>
      <c r="AB473" s="246"/>
      <c r="AC473" s="246"/>
      <c r="AD473" s="246"/>
    </row>
    <row r="474" spans="26:30">
      <c r="Z474" s="246"/>
      <c r="AA474" s="246"/>
      <c r="AB474" s="246"/>
      <c r="AC474" s="246"/>
      <c r="AD474" s="246"/>
    </row>
    <row r="475" spans="26:30">
      <c r="Z475" s="246"/>
      <c r="AA475" s="246"/>
      <c r="AB475" s="246"/>
      <c r="AC475" s="246"/>
      <c r="AD475" s="246"/>
    </row>
    <row r="476" spans="26:30">
      <c r="Z476" s="246"/>
      <c r="AA476" s="246"/>
      <c r="AB476" s="246"/>
      <c r="AC476" s="246"/>
      <c r="AD476" s="246"/>
    </row>
    <row r="477" spans="26:30">
      <c r="Z477" s="246"/>
      <c r="AA477" s="246"/>
      <c r="AB477" s="246"/>
      <c r="AC477" s="246"/>
      <c r="AD477" s="246"/>
    </row>
    <row r="478" spans="26:30">
      <c r="Z478" s="246"/>
      <c r="AA478" s="246"/>
      <c r="AB478" s="246"/>
      <c r="AC478" s="246"/>
      <c r="AD478" s="246"/>
    </row>
    <row r="479" spans="26:30">
      <c r="Z479" s="246"/>
      <c r="AA479" s="246"/>
      <c r="AB479" s="246"/>
      <c r="AC479" s="246"/>
      <c r="AD479" s="246"/>
    </row>
    <row r="480" spans="26:30">
      <c r="Z480" s="246"/>
      <c r="AA480" s="246"/>
      <c r="AB480" s="246"/>
      <c r="AC480" s="246"/>
      <c r="AD480" s="246"/>
    </row>
    <row r="481" spans="26:30">
      <c r="Z481" s="246"/>
      <c r="AA481" s="246"/>
      <c r="AB481" s="246"/>
      <c r="AC481" s="246"/>
      <c r="AD481" s="246"/>
    </row>
    <row r="482" spans="26:30">
      <c r="Z482" s="246"/>
      <c r="AA482" s="246"/>
      <c r="AB482" s="246"/>
      <c r="AC482" s="246"/>
      <c r="AD482" s="246"/>
    </row>
    <row r="483" spans="26:30">
      <c r="Z483" s="246"/>
      <c r="AA483" s="246"/>
      <c r="AB483" s="246"/>
      <c r="AC483" s="246"/>
      <c r="AD483" s="246"/>
    </row>
    <row r="484" spans="26:30">
      <c r="Z484" s="246"/>
      <c r="AA484" s="246"/>
      <c r="AB484" s="246"/>
      <c r="AC484" s="246"/>
      <c r="AD484" s="246"/>
    </row>
    <row r="485" spans="26:30">
      <c r="Z485" s="246"/>
      <c r="AA485" s="246"/>
      <c r="AB485" s="246"/>
      <c r="AC485" s="246"/>
      <c r="AD485" s="246"/>
    </row>
    <row r="486" spans="26:30">
      <c r="Z486" s="246"/>
      <c r="AA486" s="246"/>
      <c r="AB486" s="246"/>
      <c r="AC486" s="246"/>
      <c r="AD486" s="246"/>
    </row>
    <row r="487" spans="26:30">
      <c r="Z487" s="246"/>
      <c r="AA487" s="246"/>
      <c r="AB487" s="246"/>
      <c r="AC487" s="246"/>
      <c r="AD487" s="246"/>
    </row>
    <row r="488" spans="26:30">
      <c r="Z488" s="246"/>
      <c r="AA488" s="246"/>
      <c r="AB488" s="246"/>
      <c r="AC488" s="246"/>
      <c r="AD488" s="246"/>
    </row>
    <row r="489" spans="26:30">
      <c r="Z489" s="246"/>
      <c r="AA489" s="246"/>
      <c r="AB489" s="246"/>
      <c r="AC489" s="246"/>
      <c r="AD489" s="246"/>
    </row>
    <row r="490" spans="26:30">
      <c r="Z490" s="246"/>
      <c r="AA490" s="246"/>
      <c r="AB490" s="246"/>
      <c r="AC490" s="246"/>
      <c r="AD490" s="246"/>
    </row>
    <row r="491" spans="26:30">
      <c r="Z491" s="246"/>
      <c r="AA491" s="246"/>
      <c r="AB491" s="246"/>
      <c r="AC491" s="246"/>
      <c r="AD491" s="246"/>
    </row>
    <row r="492" spans="26:30">
      <c r="Z492" s="246"/>
      <c r="AA492" s="246"/>
      <c r="AB492" s="246"/>
      <c r="AC492" s="246"/>
      <c r="AD492" s="246"/>
    </row>
    <row r="493" spans="26:30">
      <c r="Z493" s="246"/>
      <c r="AA493" s="246"/>
      <c r="AB493" s="246"/>
      <c r="AC493" s="246"/>
      <c r="AD493" s="246"/>
    </row>
    <row r="494" spans="26:30">
      <c r="Z494" s="246"/>
      <c r="AA494" s="246"/>
      <c r="AB494" s="246"/>
      <c r="AC494" s="246"/>
      <c r="AD494" s="246"/>
    </row>
    <row r="495" spans="26:30">
      <c r="Z495" s="246"/>
      <c r="AA495" s="246"/>
      <c r="AB495" s="246"/>
      <c r="AC495" s="246"/>
      <c r="AD495" s="246"/>
    </row>
    <row r="496" spans="26:30">
      <c r="Z496" s="246"/>
      <c r="AA496" s="246"/>
      <c r="AB496" s="246"/>
      <c r="AC496" s="246"/>
      <c r="AD496" s="246"/>
    </row>
    <row r="497" spans="26:30">
      <c r="Z497" s="246"/>
      <c r="AA497" s="246"/>
      <c r="AB497" s="246"/>
      <c r="AC497" s="246"/>
      <c r="AD497" s="246"/>
    </row>
    <row r="498" spans="26:30">
      <c r="Z498" s="246"/>
      <c r="AA498" s="246"/>
      <c r="AB498" s="246"/>
      <c r="AC498" s="246"/>
      <c r="AD498" s="246"/>
    </row>
    <row r="499" spans="26:30">
      <c r="Z499" s="246"/>
      <c r="AA499" s="246"/>
      <c r="AB499" s="246"/>
      <c r="AC499" s="246"/>
      <c r="AD499" s="246"/>
    </row>
    <row r="500" spans="26:30">
      <c r="Z500" s="246"/>
      <c r="AA500" s="246"/>
      <c r="AB500" s="246"/>
      <c r="AC500" s="246"/>
      <c r="AD500" s="246"/>
    </row>
    <row r="501" spans="26:30">
      <c r="Z501" s="246"/>
      <c r="AA501" s="246"/>
      <c r="AB501" s="246"/>
      <c r="AC501" s="246"/>
      <c r="AD501" s="246"/>
    </row>
    <row r="502" spans="26:30">
      <c r="Z502" s="246"/>
      <c r="AA502" s="246"/>
      <c r="AB502" s="246"/>
      <c r="AC502" s="246"/>
      <c r="AD502" s="246"/>
    </row>
    <row r="503" spans="26:30">
      <c r="Z503" s="246"/>
      <c r="AA503" s="246"/>
      <c r="AB503" s="246"/>
      <c r="AC503" s="246"/>
      <c r="AD503" s="246"/>
    </row>
    <row r="504" spans="26:30">
      <c r="Z504" s="246"/>
      <c r="AA504" s="246"/>
      <c r="AB504" s="246"/>
      <c r="AC504" s="246"/>
      <c r="AD504" s="246"/>
    </row>
    <row r="505" spans="26:30">
      <c r="Z505" s="246"/>
      <c r="AA505" s="246"/>
      <c r="AB505" s="246"/>
      <c r="AC505" s="246"/>
      <c r="AD505" s="246"/>
    </row>
    <row r="506" spans="26:30">
      <c r="Z506" s="246"/>
      <c r="AA506" s="246"/>
      <c r="AB506" s="246"/>
      <c r="AC506" s="246"/>
      <c r="AD506" s="246"/>
    </row>
    <row r="507" spans="26:30">
      <c r="Z507" s="246"/>
      <c r="AA507" s="246"/>
      <c r="AB507" s="246"/>
      <c r="AC507" s="246"/>
      <c r="AD507" s="246"/>
    </row>
    <row r="508" spans="26:30">
      <c r="Z508" s="246"/>
      <c r="AA508" s="246"/>
      <c r="AB508" s="246"/>
      <c r="AC508" s="246"/>
      <c r="AD508" s="246"/>
    </row>
    <row r="509" spans="26:30">
      <c r="Z509" s="246"/>
      <c r="AA509" s="246"/>
      <c r="AB509" s="246"/>
      <c r="AC509" s="246"/>
      <c r="AD509" s="246"/>
    </row>
    <row r="510" spans="26:30">
      <c r="Z510" s="246"/>
      <c r="AA510" s="246"/>
      <c r="AB510" s="246"/>
      <c r="AC510" s="246"/>
      <c r="AD510" s="246"/>
    </row>
    <row r="511" spans="26:30">
      <c r="Z511" s="246"/>
      <c r="AA511" s="246"/>
      <c r="AB511" s="246"/>
      <c r="AC511" s="246"/>
      <c r="AD511" s="246"/>
    </row>
    <row r="512" spans="26:30">
      <c r="Z512" s="246"/>
      <c r="AA512" s="246"/>
      <c r="AB512" s="246"/>
      <c r="AC512" s="246"/>
      <c r="AD512" s="246"/>
    </row>
    <row r="513" spans="26:30">
      <c r="Z513" s="246"/>
      <c r="AA513" s="246"/>
      <c r="AB513" s="246"/>
      <c r="AC513" s="246"/>
      <c r="AD513" s="246"/>
    </row>
    <row r="514" spans="26:30">
      <c r="Z514" s="246"/>
      <c r="AA514" s="246"/>
      <c r="AB514" s="246"/>
      <c r="AC514" s="246"/>
      <c r="AD514" s="246"/>
    </row>
    <row r="515" spans="26:30">
      <c r="Z515" s="246"/>
      <c r="AA515" s="246"/>
      <c r="AB515" s="246"/>
      <c r="AC515" s="246"/>
      <c r="AD515" s="246"/>
    </row>
    <row r="516" spans="26:30">
      <c r="Z516" s="246"/>
      <c r="AA516" s="246"/>
      <c r="AB516" s="246"/>
      <c r="AC516" s="246"/>
      <c r="AD516" s="246"/>
    </row>
    <row r="517" spans="26:30">
      <c r="Z517" s="246"/>
      <c r="AA517" s="246"/>
      <c r="AB517" s="246"/>
      <c r="AC517" s="246"/>
      <c r="AD517" s="246"/>
    </row>
    <row r="518" spans="26:30">
      <c r="Z518" s="246"/>
      <c r="AA518" s="246"/>
      <c r="AB518" s="246"/>
      <c r="AC518" s="246"/>
      <c r="AD518" s="246"/>
    </row>
    <row r="519" spans="26:30">
      <c r="Z519" s="246"/>
      <c r="AA519" s="246"/>
      <c r="AB519" s="246"/>
      <c r="AC519" s="246"/>
      <c r="AD519" s="246"/>
    </row>
    <row r="520" spans="26:30">
      <c r="Z520" s="246"/>
      <c r="AA520" s="246"/>
      <c r="AB520" s="246"/>
      <c r="AC520" s="246"/>
      <c r="AD520" s="246"/>
    </row>
    <row r="521" spans="26:30">
      <c r="Z521" s="246"/>
      <c r="AA521" s="246"/>
      <c r="AB521" s="246"/>
      <c r="AC521" s="246"/>
      <c r="AD521" s="246"/>
    </row>
    <row r="522" spans="26:30">
      <c r="Z522" s="246"/>
      <c r="AA522" s="246"/>
      <c r="AB522" s="246"/>
      <c r="AC522" s="246"/>
      <c r="AD522" s="246"/>
    </row>
    <row r="523" spans="26:30">
      <c r="Z523" s="246"/>
      <c r="AA523" s="246"/>
      <c r="AB523" s="246"/>
      <c r="AC523" s="246"/>
      <c r="AD523" s="246"/>
    </row>
    <row r="524" spans="26:30">
      <c r="Z524" s="246"/>
      <c r="AA524" s="246"/>
      <c r="AB524" s="246"/>
      <c r="AC524" s="246"/>
      <c r="AD524" s="246"/>
    </row>
    <row r="525" spans="26:30">
      <c r="Z525" s="246"/>
      <c r="AA525" s="246"/>
      <c r="AB525" s="246"/>
      <c r="AC525" s="246"/>
      <c r="AD525" s="246"/>
    </row>
    <row r="526" spans="26:30">
      <c r="Z526" s="246"/>
      <c r="AA526" s="246"/>
      <c r="AB526" s="246"/>
      <c r="AC526" s="246"/>
      <c r="AD526" s="246"/>
    </row>
    <row r="527" spans="26:30">
      <c r="Z527" s="246"/>
      <c r="AA527" s="246"/>
      <c r="AB527" s="246"/>
      <c r="AC527" s="246"/>
      <c r="AD527" s="246"/>
    </row>
    <row r="528" spans="26:30">
      <c r="Z528" s="246"/>
      <c r="AA528" s="246"/>
      <c r="AB528" s="246"/>
      <c r="AC528" s="246"/>
      <c r="AD528" s="246"/>
    </row>
    <row r="529" spans="26:30">
      <c r="Z529" s="246"/>
      <c r="AA529" s="246"/>
      <c r="AB529" s="246"/>
      <c r="AC529" s="246"/>
      <c r="AD529" s="246"/>
    </row>
    <row r="530" spans="26:30">
      <c r="Z530" s="246"/>
      <c r="AA530" s="246"/>
      <c r="AB530" s="246"/>
      <c r="AC530" s="246"/>
      <c r="AD530" s="246"/>
    </row>
    <row r="531" spans="26:30">
      <c r="Z531" s="246"/>
      <c r="AA531" s="246"/>
      <c r="AB531" s="246"/>
      <c r="AC531" s="246"/>
      <c r="AD531" s="246"/>
    </row>
    <row r="532" spans="26:30">
      <c r="Z532" s="246"/>
      <c r="AA532" s="246"/>
      <c r="AB532" s="246"/>
      <c r="AC532" s="246"/>
      <c r="AD532" s="246"/>
    </row>
    <row r="533" spans="26:30">
      <c r="Z533" s="246"/>
      <c r="AA533" s="246"/>
      <c r="AB533" s="246"/>
      <c r="AC533" s="246"/>
      <c r="AD533" s="246"/>
    </row>
    <row r="534" spans="26:30">
      <c r="Z534" s="246"/>
      <c r="AA534" s="246"/>
      <c r="AB534" s="246"/>
      <c r="AC534" s="246"/>
      <c r="AD534" s="246"/>
    </row>
    <row r="535" spans="26:30">
      <c r="Z535" s="246"/>
      <c r="AA535" s="246"/>
      <c r="AB535" s="246"/>
      <c r="AC535" s="246"/>
      <c r="AD535" s="246"/>
    </row>
    <row r="536" spans="26:30">
      <c r="Z536" s="246"/>
      <c r="AA536" s="246"/>
      <c r="AB536" s="246"/>
      <c r="AC536" s="246"/>
      <c r="AD536" s="246"/>
    </row>
    <row r="537" spans="26:30">
      <c r="Z537" s="246"/>
      <c r="AA537" s="246"/>
      <c r="AB537" s="246"/>
      <c r="AC537" s="246"/>
      <c r="AD537" s="246"/>
    </row>
    <row r="538" spans="26:30">
      <c r="Z538" s="246"/>
      <c r="AA538" s="246"/>
      <c r="AB538" s="246"/>
      <c r="AC538" s="246"/>
      <c r="AD538" s="246"/>
    </row>
    <row r="539" spans="26:30">
      <c r="Z539" s="246"/>
      <c r="AA539" s="246"/>
      <c r="AB539" s="246"/>
      <c r="AC539" s="246"/>
      <c r="AD539" s="246"/>
    </row>
    <row r="540" spans="26:30">
      <c r="Z540" s="246"/>
      <c r="AA540" s="246"/>
      <c r="AB540" s="246"/>
      <c r="AC540" s="246"/>
      <c r="AD540" s="246"/>
    </row>
    <row r="541" spans="26:30">
      <c r="Z541" s="246"/>
      <c r="AA541" s="246"/>
      <c r="AB541" s="246"/>
      <c r="AC541" s="246"/>
      <c r="AD541" s="246"/>
    </row>
    <row r="542" spans="26:30">
      <c r="Z542" s="246"/>
      <c r="AA542" s="246"/>
      <c r="AB542" s="246"/>
      <c r="AC542" s="246"/>
      <c r="AD542" s="246"/>
    </row>
    <row r="543" spans="26:30">
      <c r="Z543" s="246"/>
      <c r="AA543" s="246"/>
      <c r="AB543" s="246"/>
      <c r="AC543" s="246"/>
      <c r="AD543" s="246"/>
    </row>
    <row r="544" spans="26:30">
      <c r="Z544" s="246"/>
      <c r="AA544" s="246"/>
      <c r="AB544" s="246"/>
      <c r="AC544" s="246"/>
      <c r="AD544" s="246"/>
    </row>
    <row r="545" spans="26:30">
      <c r="Z545" s="246"/>
      <c r="AA545" s="246"/>
      <c r="AB545" s="246"/>
      <c r="AC545" s="246"/>
      <c r="AD545" s="246"/>
    </row>
    <row r="546" spans="26:30">
      <c r="Z546" s="246"/>
      <c r="AA546" s="246"/>
      <c r="AB546" s="246"/>
      <c r="AC546" s="246"/>
      <c r="AD546" s="246"/>
    </row>
    <row r="547" spans="26:30">
      <c r="Z547" s="246"/>
      <c r="AA547" s="246"/>
      <c r="AB547" s="246"/>
      <c r="AC547" s="246"/>
      <c r="AD547" s="246"/>
    </row>
    <row r="548" spans="26:30">
      <c r="Z548" s="246"/>
      <c r="AA548" s="246"/>
      <c r="AB548" s="246"/>
      <c r="AC548" s="246"/>
      <c r="AD548" s="246"/>
    </row>
    <row r="549" spans="26:30">
      <c r="Z549" s="246"/>
      <c r="AA549" s="246"/>
      <c r="AB549" s="246"/>
      <c r="AC549" s="246"/>
      <c r="AD549" s="246"/>
    </row>
    <row r="550" spans="26:30">
      <c r="Z550" s="246"/>
      <c r="AA550" s="246"/>
      <c r="AB550" s="246"/>
      <c r="AC550" s="246"/>
      <c r="AD550" s="246"/>
    </row>
    <row r="551" spans="26:30">
      <c r="Z551" s="246"/>
      <c r="AA551" s="246"/>
      <c r="AB551" s="246"/>
      <c r="AC551" s="246"/>
      <c r="AD551" s="246"/>
    </row>
    <row r="552" spans="26:30">
      <c r="Z552" s="246"/>
      <c r="AA552" s="246"/>
      <c r="AB552" s="246"/>
      <c r="AC552" s="246"/>
      <c r="AD552" s="246"/>
    </row>
    <row r="553" spans="26:30">
      <c r="Z553" s="246"/>
      <c r="AA553" s="246"/>
      <c r="AB553" s="246"/>
      <c r="AC553" s="246"/>
      <c r="AD553" s="246"/>
    </row>
    <row r="554" spans="26:30">
      <c r="Z554" s="246"/>
      <c r="AA554" s="246"/>
      <c r="AB554" s="246"/>
      <c r="AC554" s="246"/>
      <c r="AD554" s="246"/>
    </row>
    <row r="555" spans="26:30">
      <c r="Z555" s="246"/>
      <c r="AA555" s="246"/>
      <c r="AB555" s="246"/>
      <c r="AC555" s="246"/>
      <c r="AD555" s="246"/>
    </row>
    <row r="556" spans="26:30">
      <c r="Z556" s="246"/>
      <c r="AA556" s="246"/>
      <c r="AB556" s="246"/>
      <c r="AC556" s="246"/>
      <c r="AD556" s="246"/>
    </row>
    <row r="557" spans="26:30">
      <c r="Z557" s="246"/>
      <c r="AA557" s="246"/>
      <c r="AB557" s="246"/>
      <c r="AC557" s="246"/>
      <c r="AD557" s="246"/>
    </row>
    <row r="558" spans="26:30">
      <c r="Z558" s="246"/>
      <c r="AA558" s="246"/>
      <c r="AB558" s="246"/>
      <c r="AC558" s="246"/>
      <c r="AD558" s="246"/>
    </row>
    <row r="559" spans="26:30">
      <c r="Z559" s="246"/>
      <c r="AA559" s="246"/>
      <c r="AB559" s="246"/>
      <c r="AC559" s="246"/>
      <c r="AD559" s="246"/>
    </row>
    <row r="560" spans="26:30">
      <c r="Z560" s="246"/>
      <c r="AA560" s="246"/>
      <c r="AB560" s="246"/>
      <c r="AC560" s="246"/>
      <c r="AD560" s="246"/>
    </row>
    <row r="561" spans="26:30">
      <c r="Z561" s="246"/>
      <c r="AA561" s="246"/>
      <c r="AB561" s="246"/>
      <c r="AC561" s="246"/>
      <c r="AD561" s="246"/>
    </row>
    <row r="562" spans="26:30">
      <c r="Z562" s="246"/>
      <c r="AA562" s="246"/>
      <c r="AB562" s="246"/>
      <c r="AC562" s="246"/>
      <c r="AD562" s="246"/>
    </row>
    <row r="563" spans="26:30">
      <c r="Z563" s="246"/>
      <c r="AA563" s="246"/>
      <c r="AB563" s="246"/>
      <c r="AC563" s="246"/>
      <c r="AD563" s="246"/>
    </row>
    <row r="564" spans="26:30">
      <c r="Z564" s="246"/>
      <c r="AA564" s="246"/>
      <c r="AB564" s="246"/>
      <c r="AC564" s="246"/>
      <c r="AD564" s="246"/>
    </row>
    <row r="565" spans="26:30">
      <c r="Z565" s="246"/>
      <c r="AA565" s="246"/>
      <c r="AB565" s="246"/>
      <c r="AC565" s="246"/>
      <c r="AD565" s="246"/>
    </row>
    <row r="566" spans="26:30">
      <c r="Z566" s="246"/>
      <c r="AA566" s="246"/>
      <c r="AB566" s="246"/>
      <c r="AC566" s="246"/>
      <c r="AD566" s="246"/>
    </row>
    <row r="567" spans="26:30">
      <c r="Z567" s="246"/>
      <c r="AA567" s="246"/>
      <c r="AB567" s="246"/>
      <c r="AC567" s="246"/>
      <c r="AD567" s="246"/>
    </row>
    <row r="568" spans="26:30">
      <c r="Z568" s="246"/>
      <c r="AA568" s="246"/>
      <c r="AB568" s="246"/>
      <c r="AC568" s="246"/>
      <c r="AD568" s="246"/>
    </row>
    <row r="569" spans="26:30">
      <c r="Z569" s="246"/>
      <c r="AA569" s="246"/>
      <c r="AB569" s="246"/>
      <c r="AC569" s="246"/>
      <c r="AD569" s="246"/>
    </row>
    <row r="570" spans="26:30">
      <c r="Z570" s="246"/>
      <c r="AA570" s="246"/>
      <c r="AB570" s="246"/>
      <c r="AC570" s="246"/>
      <c r="AD570" s="246"/>
    </row>
    <row r="571" spans="26:30">
      <c r="Z571" s="246"/>
      <c r="AA571" s="246"/>
      <c r="AB571" s="246"/>
      <c r="AC571" s="246"/>
      <c r="AD571" s="246"/>
    </row>
    <row r="572" spans="26:30">
      <c r="Z572" s="246"/>
      <c r="AA572" s="246"/>
      <c r="AB572" s="246"/>
      <c r="AC572" s="246"/>
      <c r="AD572" s="246"/>
    </row>
    <row r="573" spans="26:30">
      <c r="Z573" s="246"/>
      <c r="AA573" s="246"/>
      <c r="AB573" s="246"/>
      <c r="AC573" s="246"/>
      <c r="AD573" s="246"/>
    </row>
    <row r="574" spans="26:30">
      <c r="Z574" s="246"/>
      <c r="AA574" s="246"/>
      <c r="AB574" s="246"/>
      <c r="AC574" s="246"/>
      <c r="AD574" s="246"/>
    </row>
    <row r="575" spans="26:30">
      <c r="Z575" s="246"/>
      <c r="AA575" s="246"/>
      <c r="AB575" s="246"/>
      <c r="AC575" s="246"/>
      <c r="AD575" s="246"/>
    </row>
    <row r="576" spans="26:30">
      <c r="Z576" s="246"/>
      <c r="AA576" s="246"/>
      <c r="AB576" s="246"/>
      <c r="AC576" s="246"/>
      <c r="AD576" s="246"/>
    </row>
    <row r="577" spans="26:30">
      <c r="Z577" s="246"/>
      <c r="AA577" s="246"/>
      <c r="AB577" s="246"/>
      <c r="AC577" s="246"/>
      <c r="AD577" s="246"/>
    </row>
    <row r="578" spans="26:30">
      <c r="Z578" s="246"/>
      <c r="AA578" s="246"/>
      <c r="AB578" s="246"/>
      <c r="AC578" s="246"/>
      <c r="AD578" s="246"/>
    </row>
    <row r="579" spans="26:30">
      <c r="Z579" s="246"/>
      <c r="AA579" s="246"/>
      <c r="AB579" s="246"/>
      <c r="AC579" s="246"/>
      <c r="AD579" s="246"/>
    </row>
    <row r="580" spans="26:30">
      <c r="Z580" s="246"/>
      <c r="AA580" s="246"/>
      <c r="AB580" s="246"/>
      <c r="AC580" s="246"/>
      <c r="AD580" s="246"/>
    </row>
    <row r="581" spans="26:30">
      <c r="Z581" s="246"/>
      <c r="AA581" s="246"/>
      <c r="AB581" s="246"/>
      <c r="AC581" s="246"/>
      <c r="AD581" s="246"/>
    </row>
    <row r="582" spans="26:30">
      <c r="Z582" s="246"/>
      <c r="AA582" s="246"/>
      <c r="AB582" s="246"/>
      <c r="AC582" s="246"/>
      <c r="AD582" s="246"/>
    </row>
    <row r="583" spans="26:30">
      <c r="Z583" s="246"/>
      <c r="AA583" s="246"/>
      <c r="AB583" s="246"/>
      <c r="AC583" s="246"/>
      <c r="AD583" s="246"/>
    </row>
    <row r="584" spans="26:30">
      <c r="Z584" s="246"/>
      <c r="AA584" s="246"/>
      <c r="AB584" s="246"/>
      <c r="AC584" s="246"/>
      <c r="AD584" s="246"/>
    </row>
    <row r="585" spans="26:30">
      <c r="Z585" s="246"/>
      <c r="AA585" s="246"/>
      <c r="AB585" s="246"/>
      <c r="AC585" s="246"/>
      <c r="AD585" s="246"/>
    </row>
    <row r="586" spans="26:30">
      <c r="Z586" s="246"/>
      <c r="AA586" s="246"/>
      <c r="AB586" s="246"/>
      <c r="AC586" s="246"/>
      <c r="AD586" s="246"/>
    </row>
    <row r="587" spans="26:30">
      <c r="Z587" s="246"/>
      <c r="AA587" s="246"/>
      <c r="AB587" s="246"/>
      <c r="AC587" s="246"/>
      <c r="AD587" s="246"/>
    </row>
    <row r="588" spans="26:30">
      <c r="Z588" s="246"/>
      <c r="AA588" s="246"/>
      <c r="AB588" s="246"/>
      <c r="AC588" s="246"/>
      <c r="AD588" s="246"/>
    </row>
    <row r="589" spans="26:30">
      <c r="Z589" s="246"/>
      <c r="AA589" s="246"/>
      <c r="AB589" s="246"/>
      <c r="AC589" s="246"/>
      <c r="AD589" s="246"/>
    </row>
    <row r="590" spans="26:30">
      <c r="Z590" s="246"/>
      <c r="AA590" s="246"/>
      <c r="AB590" s="246"/>
      <c r="AC590" s="246"/>
      <c r="AD590" s="246"/>
    </row>
    <row r="591" spans="26:30">
      <c r="Z591" s="246"/>
      <c r="AA591" s="246"/>
      <c r="AB591" s="246"/>
      <c r="AC591" s="246"/>
      <c r="AD591" s="246"/>
    </row>
    <row r="592" spans="26:30">
      <c r="Z592" s="246"/>
      <c r="AA592" s="246"/>
      <c r="AB592" s="246"/>
      <c r="AC592" s="246"/>
      <c r="AD592" s="246"/>
    </row>
    <row r="593" spans="26:30">
      <c r="Z593" s="246"/>
      <c r="AA593" s="246"/>
      <c r="AB593" s="246"/>
      <c r="AC593" s="246"/>
      <c r="AD593" s="246"/>
    </row>
    <row r="594" spans="26:30">
      <c r="Z594" s="246"/>
      <c r="AA594" s="246"/>
      <c r="AB594" s="246"/>
      <c r="AC594" s="246"/>
      <c r="AD594" s="246"/>
    </row>
    <row r="595" spans="26:30">
      <c r="Z595" s="246"/>
      <c r="AA595" s="246"/>
      <c r="AB595" s="246"/>
      <c r="AC595" s="246"/>
      <c r="AD595" s="246"/>
    </row>
    <row r="596" spans="26:30">
      <c r="Z596" s="246"/>
      <c r="AA596" s="246"/>
      <c r="AB596" s="246"/>
      <c r="AC596" s="246"/>
      <c r="AD596" s="246"/>
    </row>
    <row r="597" spans="26:30">
      <c r="Z597" s="246"/>
      <c r="AA597" s="246"/>
      <c r="AB597" s="246"/>
      <c r="AC597" s="246"/>
      <c r="AD597" s="246"/>
    </row>
    <row r="598" spans="26:30">
      <c r="Z598" s="246"/>
      <c r="AA598" s="246"/>
      <c r="AB598" s="246"/>
      <c r="AC598" s="246"/>
      <c r="AD598" s="246"/>
    </row>
    <row r="599" spans="26:30">
      <c r="Z599" s="246"/>
      <c r="AA599" s="246"/>
      <c r="AB599" s="246"/>
      <c r="AC599" s="246"/>
      <c r="AD599" s="246"/>
    </row>
    <row r="600" spans="26:30">
      <c r="Z600" s="246"/>
      <c r="AA600" s="246"/>
      <c r="AB600" s="246"/>
      <c r="AC600" s="246"/>
      <c r="AD600" s="246"/>
    </row>
    <row r="601" spans="26:30">
      <c r="Z601" s="246"/>
      <c r="AA601" s="246"/>
      <c r="AB601" s="246"/>
      <c r="AC601" s="246"/>
      <c r="AD601" s="246"/>
    </row>
    <row r="602" spans="26:30">
      <c r="Z602" s="246"/>
      <c r="AA602" s="246"/>
      <c r="AB602" s="246"/>
      <c r="AC602" s="246"/>
      <c r="AD602" s="246"/>
    </row>
    <row r="603" spans="26:30">
      <c r="Z603" s="246"/>
      <c r="AA603" s="246"/>
      <c r="AB603" s="246"/>
      <c r="AC603" s="246"/>
      <c r="AD603" s="246"/>
    </row>
    <row r="604" spans="26:30">
      <c r="Z604" s="246"/>
      <c r="AA604" s="246"/>
      <c r="AB604" s="246"/>
      <c r="AC604" s="246"/>
      <c r="AD604" s="246"/>
    </row>
    <row r="605" spans="26:30">
      <c r="Z605" s="246"/>
      <c r="AA605" s="246"/>
      <c r="AB605" s="246"/>
      <c r="AC605" s="246"/>
      <c r="AD605" s="246"/>
    </row>
    <row r="606" spans="26:30">
      <c r="Z606" s="246"/>
      <c r="AA606" s="246"/>
      <c r="AB606" s="246"/>
      <c r="AC606" s="246"/>
      <c r="AD606" s="246"/>
    </row>
    <row r="607" spans="26:30">
      <c r="Z607" s="246"/>
      <c r="AA607" s="246"/>
      <c r="AB607" s="246"/>
      <c r="AC607" s="246"/>
      <c r="AD607" s="246"/>
    </row>
    <row r="608" spans="26:30">
      <c r="Z608" s="246"/>
      <c r="AA608" s="246"/>
      <c r="AB608" s="246"/>
      <c r="AC608" s="246"/>
      <c r="AD608" s="246"/>
    </row>
    <row r="609" spans="26:30">
      <c r="Z609" s="246"/>
      <c r="AA609" s="246"/>
      <c r="AB609" s="246"/>
      <c r="AC609" s="246"/>
      <c r="AD609" s="246"/>
    </row>
    <row r="610" spans="26:30">
      <c r="Z610" s="246"/>
      <c r="AA610" s="246"/>
      <c r="AB610" s="246"/>
      <c r="AC610" s="246"/>
      <c r="AD610" s="246"/>
    </row>
    <row r="611" spans="26:30">
      <c r="Z611" s="246"/>
      <c r="AA611" s="246"/>
      <c r="AB611" s="246"/>
      <c r="AC611" s="246"/>
      <c r="AD611" s="246"/>
    </row>
    <row r="612" spans="26:30">
      <c r="Z612" s="246"/>
      <c r="AA612" s="246"/>
      <c r="AB612" s="246"/>
      <c r="AC612" s="246"/>
      <c r="AD612" s="246"/>
    </row>
    <row r="613" spans="26:30">
      <c r="Z613" s="246"/>
      <c r="AA613" s="246"/>
      <c r="AB613" s="246"/>
      <c r="AC613" s="246"/>
      <c r="AD613" s="246"/>
    </row>
    <row r="614" spans="26:30">
      <c r="Z614" s="246"/>
      <c r="AA614" s="246"/>
      <c r="AB614" s="246"/>
      <c r="AC614" s="246"/>
      <c r="AD614" s="246"/>
    </row>
    <row r="615" spans="26:30">
      <c r="Z615" s="246"/>
      <c r="AA615" s="246"/>
      <c r="AB615" s="246"/>
      <c r="AC615" s="246"/>
      <c r="AD615" s="246"/>
    </row>
    <row r="616" spans="26:30">
      <c r="Z616" s="246"/>
      <c r="AA616" s="246"/>
      <c r="AB616" s="246"/>
      <c r="AC616" s="246"/>
      <c r="AD616" s="246"/>
    </row>
    <row r="617" spans="26:30">
      <c r="Z617" s="246"/>
      <c r="AA617" s="246"/>
      <c r="AB617" s="246"/>
      <c r="AC617" s="246"/>
      <c r="AD617" s="246"/>
    </row>
    <row r="618" spans="26:30">
      <c r="Z618" s="246"/>
      <c r="AA618" s="246"/>
      <c r="AB618" s="246"/>
      <c r="AC618" s="246"/>
      <c r="AD618" s="246"/>
    </row>
    <row r="619" spans="26:30">
      <c r="Z619" s="246"/>
      <c r="AA619" s="246"/>
      <c r="AB619" s="246"/>
      <c r="AC619" s="246"/>
      <c r="AD619" s="246"/>
    </row>
    <row r="620" spans="26:30">
      <c r="Z620" s="246"/>
      <c r="AA620" s="246"/>
      <c r="AB620" s="246"/>
      <c r="AC620" s="246"/>
      <c r="AD620" s="246"/>
    </row>
    <row r="621" spans="26:30">
      <c r="Z621" s="246"/>
      <c r="AA621" s="246"/>
      <c r="AB621" s="246"/>
      <c r="AC621" s="246"/>
      <c r="AD621" s="246"/>
    </row>
    <row r="622" spans="26:30">
      <c r="Z622" s="246"/>
      <c r="AA622" s="246"/>
      <c r="AB622" s="246"/>
      <c r="AC622" s="246"/>
      <c r="AD622" s="246"/>
    </row>
    <row r="623" spans="26:30">
      <c r="Z623" s="246"/>
      <c r="AA623" s="246"/>
      <c r="AB623" s="246"/>
      <c r="AC623" s="246"/>
      <c r="AD623" s="246"/>
    </row>
    <row r="624" spans="26:30">
      <c r="Z624" s="246"/>
      <c r="AA624" s="246"/>
      <c r="AB624" s="246"/>
      <c r="AC624" s="246"/>
      <c r="AD624" s="246"/>
    </row>
    <row r="625" spans="26:30">
      <c r="Z625" s="246"/>
      <c r="AA625" s="246"/>
      <c r="AB625" s="246"/>
      <c r="AC625" s="246"/>
      <c r="AD625" s="246"/>
    </row>
    <row r="626" spans="26:30">
      <c r="Z626" s="246"/>
      <c r="AA626" s="246"/>
      <c r="AB626" s="246"/>
      <c r="AC626" s="246"/>
      <c r="AD626" s="246"/>
    </row>
    <row r="627" spans="26:30">
      <c r="Z627" s="246"/>
      <c r="AA627" s="246"/>
      <c r="AB627" s="246"/>
      <c r="AC627" s="246"/>
      <c r="AD627" s="246"/>
    </row>
    <row r="628" spans="26:30">
      <c r="Z628" s="246"/>
      <c r="AA628" s="246"/>
      <c r="AB628" s="246"/>
      <c r="AC628" s="246"/>
      <c r="AD628" s="246"/>
    </row>
    <row r="629" spans="26:30">
      <c r="Z629" s="246"/>
      <c r="AA629" s="246"/>
      <c r="AB629" s="246"/>
      <c r="AC629" s="246"/>
      <c r="AD629" s="246"/>
    </row>
    <row r="630" spans="26:30">
      <c r="Z630" s="246"/>
      <c r="AA630" s="246"/>
      <c r="AB630" s="246"/>
      <c r="AC630" s="246"/>
      <c r="AD630" s="246"/>
    </row>
    <row r="631" spans="26:30">
      <c r="Z631" s="246"/>
      <c r="AA631" s="246"/>
      <c r="AB631" s="246"/>
      <c r="AC631" s="246"/>
      <c r="AD631" s="246"/>
    </row>
    <row r="632" spans="26:30">
      <c r="Z632" s="246"/>
      <c r="AA632" s="246"/>
      <c r="AB632" s="246"/>
      <c r="AC632" s="246"/>
      <c r="AD632" s="246"/>
    </row>
    <row r="633" spans="26:30">
      <c r="Z633" s="246"/>
      <c r="AA633" s="246"/>
      <c r="AB633" s="246"/>
      <c r="AC633" s="246"/>
      <c r="AD633" s="246"/>
    </row>
    <row r="634" spans="26:30">
      <c r="Z634" s="246"/>
      <c r="AA634" s="246"/>
      <c r="AB634" s="246"/>
      <c r="AC634" s="246"/>
      <c r="AD634" s="246"/>
    </row>
    <row r="635" spans="26:30">
      <c r="Z635" s="246"/>
      <c r="AA635" s="246"/>
      <c r="AB635" s="246"/>
      <c r="AC635" s="246"/>
      <c r="AD635" s="246"/>
    </row>
    <row r="636" spans="26:30">
      <c r="Z636" s="246"/>
      <c r="AA636" s="246"/>
      <c r="AB636" s="246"/>
      <c r="AC636" s="246"/>
      <c r="AD636" s="246"/>
    </row>
    <row r="637" spans="26:30">
      <c r="Z637" s="246"/>
      <c r="AA637" s="246"/>
      <c r="AB637" s="246"/>
      <c r="AC637" s="246"/>
      <c r="AD637" s="246"/>
    </row>
    <row r="638" spans="26:30">
      <c r="Z638" s="246"/>
      <c r="AA638" s="246"/>
      <c r="AB638" s="246"/>
      <c r="AC638" s="246"/>
      <c r="AD638" s="246"/>
    </row>
    <row r="639" spans="26:30">
      <c r="Z639" s="246"/>
      <c r="AA639" s="246"/>
      <c r="AB639" s="246"/>
      <c r="AC639" s="246"/>
      <c r="AD639" s="246"/>
    </row>
    <row r="640" spans="26:30">
      <c r="Z640" s="246"/>
      <c r="AA640" s="246"/>
      <c r="AB640" s="246"/>
      <c r="AC640" s="246"/>
      <c r="AD640" s="246"/>
    </row>
    <row r="641" spans="26:30">
      <c r="Z641" s="246"/>
      <c r="AA641" s="246"/>
      <c r="AB641" s="246"/>
      <c r="AC641" s="246"/>
      <c r="AD641" s="246"/>
    </row>
    <row r="642" spans="26:30">
      <c r="Z642" s="246"/>
      <c r="AA642" s="246"/>
      <c r="AB642" s="246"/>
      <c r="AC642" s="246"/>
      <c r="AD642" s="246"/>
    </row>
    <row r="643" spans="26:30">
      <c r="Z643" s="246"/>
      <c r="AA643" s="246"/>
      <c r="AB643" s="246"/>
      <c r="AC643" s="246"/>
      <c r="AD643" s="246"/>
    </row>
    <row r="644" spans="26:30">
      <c r="Z644" s="246"/>
      <c r="AA644" s="246"/>
      <c r="AB644" s="246"/>
      <c r="AC644" s="246"/>
      <c r="AD644" s="246"/>
    </row>
    <row r="645" spans="26:30">
      <c r="Z645" s="246"/>
      <c r="AA645" s="246"/>
      <c r="AB645" s="246"/>
      <c r="AC645" s="246"/>
      <c r="AD645" s="246"/>
    </row>
    <row r="646" spans="26:30">
      <c r="Z646" s="246"/>
      <c r="AA646" s="246"/>
      <c r="AB646" s="246"/>
      <c r="AC646" s="246"/>
      <c r="AD646" s="246"/>
    </row>
    <row r="647" spans="26:30">
      <c r="Z647" s="246"/>
      <c r="AA647" s="246"/>
      <c r="AB647" s="246"/>
      <c r="AC647" s="246"/>
      <c r="AD647" s="246"/>
    </row>
    <row r="648" spans="26:30">
      <c r="Z648" s="246"/>
      <c r="AA648" s="246"/>
      <c r="AB648" s="246"/>
      <c r="AC648" s="246"/>
      <c r="AD648" s="246"/>
    </row>
    <row r="649" spans="26:30">
      <c r="Z649" s="246"/>
      <c r="AA649" s="246"/>
      <c r="AB649" s="246"/>
      <c r="AC649" s="246"/>
      <c r="AD649" s="246"/>
    </row>
    <row r="650" spans="26:30">
      <c r="Z650" s="246"/>
      <c r="AA650" s="246"/>
      <c r="AB650" s="246"/>
      <c r="AC650" s="246"/>
      <c r="AD650" s="246"/>
    </row>
    <row r="651" spans="26:30">
      <c r="Z651" s="246"/>
      <c r="AA651" s="246"/>
      <c r="AB651" s="246"/>
      <c r="AC651" s="246"/>
      <c r="AD651" s="246"/>
    </row>
    <row r="652" spans="26:30">
      <c r="Z652" s="246"/>
      <c r="AA652" s="246"/>
      <c r="AB652" s="246"/>
      <c r="AC652" s="246"/>
      <c r="AD652" s="246"/>
    </row>
    <row r="653" spans="26:30">
      <c r="Z653" s="246"/>
      <c r="AA653" s="246"/>
      <c r="AB653" s="246"/>
      <c r="AC653" s="246"/>
      <c r="AD653" s="246"/>
    </row>
    <row r="654" spans="26:30">
      <c r="Z654" s="246"/>
      <c r="AA654" s="246"/>
      <c r="AB654" s="246"/>
      <c r="AC654" s="246"/>
      <c r="AD654" s="246"/>
    </row>
    <row r="655" spans="26:30">
      <c r="Z655" s="246"/>
      <c r="AA655" s="246"/>
      <c r="AB655" s="246"/>
      <c r="AC655" s="246"/>
      <c r="AD655" s="246"/>
    </row>
    <row r="656" spans="26:30">
      <c r="Z656" s="246"/>
      <c r="AA656" s="246"/>
      <c r="AB656" s="246"/>
      <c r="AC656" s="246"/>
      <c r="AD656" s="246"/>
    </row>
    <row r="657" spans="26:30">
      <c r="Z657" s="246"/>
      <c r="AA657" s="246"/>
      <c r="AB657" s="246"/>
      <c r="AC657" s="246"/>
      <c r="AD657" s="246"/>
    </row>
    <row r="658" spans="26:30">
      <c r="Z658" s="246"/>
      <c r="AA658" s="246"/>
      <c r="AB658" s="246"/>
      <c r="AC658" s="246"/>
      <c r="AD658" s="246"/>
    </row>
    <row r="659" spans="26:30">
      <c r="Z659" s="246"/>
      <c r="AA659" s="246"/>
      <c r="AB659" s="246"/>
      <c r="AC659" s="246"/>
      <c r="AD659" s="246"/>
    </row>
    <row r="660" spans="26:30">
      <c r="Z660" s="246"/>
      <c r="AA660" s="246"/>
      <c r="AB660" s="246"/>
      <c r="AC660" s="246"/>
      <c r="AD660" s="246"/>
    </row>
    <row r="661" spans="26:30">
      <c r="Z661" s="246"/>
      <c r="AA661" s="246"/>
      <c r="AB661" s="246"/>
      <c r="AC661" s="246"/>
      <c r="AD661" s="246"/>
    </row>
    <row r="662" spans="26:30">
      <c r="Z662" s="246"/>
      <c r="AA662" s="246"/>
      <c r="AB662" s="246"/>
      <c r="AC662" s="246"/>
      <c r="AD662" s="246"/>
    </row>
    <row r="663" spans="26:30">
      <c r="Z663" s="246"/>
      <c r="AA663" s="246"/>
      <c r="AB663" s="246"/>
      <c r="AC663" s="246"/>
      <c r="AD663" s="246"/>
    </row>
    <row r="664" spans="26:30">
      <c r="Z664" s="246"/>
      <c r="AA664" s="246"/>
      <c r="AB664" s="246"/>
      <c r="AC664" s="246"/>
      <c r="AD664" s="246"/>
    </row>
    <row r="665" spans="26:30">
      <c r="Z665" s="246"/>
      <c r="AA665" s="246"/>
      <c r="AB665" s="246"/>
      <c r="AC665" s="246"/>
      <c r="AD665" s="246"/>
    </row>
    <row r="666" spans="26:30">
      <c r="Z666" s="246"/>
      <c r="AA666" s="246"/>
      <c r="AB666" s="246"/>
      <c r="AC666" s="246"/>
      <c r="AD666" s="246"/>
    </row>
    <row r="667" spans="26:30">
      <c r="Z667" s="246"/>
      <c r="AA667" s="246"/>
      <c r="AB667" s="246"/>
      <c r="AC667" s="246"/>
      <c r="AD667" s="246"/>
    </row>
    <row r="668" spans="26:30">
      <c r="Z668" s="246"/>
      <c r="AA668" s="246"/>
      <c r="AB668" s="246"/>
      <c r="AC668" s="246"/>
      <c r="AD668" s="246"/>
    </row>
    <row r="669" spans="26:30">
      <c r="Z669" s="246"/>
      <c r="AA669" s="246"/>
      <c r="AB669" s="246"/>
      <c r="AC669" s="246"/>
      <c r="AD669" s="246"/>
    </row>
    <row r="670" spans="26:30">
      <c r="Z670" s="246"/>
      <c r="AA670" s="246"/>
      <c r="AB670" s="246"/>
      <c r="AC670" s="246"/>
      <c r="AD670" s="246"/>
    </row>
    <row r="671" spans="26:30">
      <c r="Z671" s="246"/>
      <c r="AA671" s="246"/>
      <c r="AB671" s="246"/>
      <c r="AC671" s="246"/>
      <c r="AD671" s="246"/>
    </row>
    <row r="672" spans="26:30">
      <c r="Z672" s="246"/>
      <c r="AA672" s="246"/>
      <c r="AB672" s="246"/>
      <c r="AC672" s="246"/>
      <c r="AD672" s="246"/>
    </row>
    <row r="673" spans="26:30">
      <c r="Z673" s="246"/>
      <c r="AA673" s="246"/>
      <c r="AB673" s="246"/>
      <c r="AC673" s="246"/>
      <c r="AD673" s="246"/>
    </row>
    <row r="674" spans="26:30">
      <c r="Z674" s="246"/>
      <c r="AA674" s="246"/>
      <c r="AB674" s="246"/>
      <c r="AC674" s="246"/>
      <c r="AD674" s="246"/>
    </row>
    <row r="675" spans="26:30">
      <c r="Z675" s="246"/>
      <c r="AA675" s="246"/>
      <c r="AB675" s="246"/>
      <c r="AC675" s="246"/>
      <c r="AD675" s="246"/>
    </row>
    <row r="676" spans="26:30">
      <c r="Z676" s="246"/>
      <c r="AA676" s="246"/>
      <c r="AB676" s="246"/>
      <c r="AC676" s="246"/>
      <c r="AD676" s="246"/>
    </row>
    <row r="677" spans="26:30">
      <c r="Z677" s="246"/>
      <c r="AA677" s="246"/>
      <c r="AB677" s="246"/>
      <c r="AC677" s="246"/>
      <c r="AD677" s="246"/>
    </row>
    <row r="678" spans="26:30">
      <c r="Z678" s="246"/>
      <c r="AA678" s="246"/>
      <c r="AB678" s="246"/>
      <c r="AC678" s="246"/>
      <c r="AD678" s="246"/>
    </row>
    <row r="679" spans="26:30">
      <c r="Z679" s="246"/>
      <c r="AA679" s="246"/>
      <c r="AB679" s="246"/>
      <c r="AC679" s="246"/>
      <c r="AD679" s="246"/>
    </row>
    <row r="680" spans="26:30">
      <c r="Z680" s="246"/>
      <c r="AA680" s="246"/>
      <c r="AB680" s="246"/>
      <c r="AC680" s="246"/>
      <c r="AD680" s="246"/>
    </row>
    <row r="681" spans="26:30">
      <c r="Z681" s="246"/>
      <c r="AA681" s="246"/>
      <c r="AB681" s="246"/>
      <c r="AC681" s="246"/>
      <c r="AD681" s="246"/>
    </row>
    <row r="682" spans="26:30">
      <c r="Z682" s="246"/>
      <c r="AA682" s="246"/>
      <c r="AB682" s="246"/>
      <c r="AC682" s="246"/>
      <c r="AD682" s="246"/>
    </row>
    <row r="683" spans="26:30">
      <c r="Z683" s="246"/>
      <c r="AA683" s="246"/>
      <c r="AB683" s="246"/>
      <c r="AC683" s="246"/>
      <c r="AD683" s="246"/>
    </row>
    <row r="684" spans="26:30">
      <c r="Z684" s="246"/>
      <c r="AA684" s="246"/>
      <c r="AB684" s="246"/>
      <c r="AC684" s="246"/>
      <c r="AD684" s="246"/>
    </row>
    <row r="685" spans="26:30">
      <c r="Z685" s="246"/>
      <c r="AA685" s="246"/>
      <c r="AB685" s="246"/>
      <c r="AC685" s="246"/>
      <c r="AD685" s="246"/>
    </row>
    <row r="686" spans="26:30">
      <c r="Z686" s="246"/>
      <c r="AA686" s="246"/>
      <c r="AB686" s="246"/>
      <c r="AC686" s="246"/>
      <c r="AD686" s="246"/>
    </row>
    <row r="687" spans="26:30">
      <c r="Z687" s="246"/>
      <c r="AA687" s="246"/>
      <c r="AB687" s="246"/>
      <c r="AC687" s="246"/>
      <c r="AD687" s="246"/>
    </row>
    <row r="688" spans="26:30">
      <c r="Z688" s="246"/>
      <c r="AA688" s="246"/>
      <c r="AB688" s="246"/>
      <c r="AC688" s="246"/>
      <c r="AD688" s="246"/>
    </row>
    <row r="689" spans="26:30">
      <c r="Z689" s="246"/>
      <c r="AA689" s="246"/>
      <c r="AB689" s="246"/>
      <c r="AC689" s="246"/>
      <c r="AD689" s="246"/>
    </row>
    <row r="690" spans="26:30">
      <c r="Z690" s="246"/>
      <c r="AA690" s="246"/>
      <c r="AB690" s="246"/>
      <c r="AC690" s="246"/>
      <c r="AD690" s="246"/>
    </row>
    <row r="691" spans="26:30">
      <c r="Z691" s="246"/>
      <c r="AA691" s="246"/>
      <c r="AB691" s="246"/>
      <c r="AC691" s="246"/>
      <c r="AD691" s="246"/>
    </row>
    <row r="692" spans="26:30">
      <c r="Z692" s="246"/>
      <c r="AA692" s="246"/>
      <c r="AB692" s="246"/>
      <c r="AC692" s="246"/>
      <c r="AD692" s="246"/>
    </row>
    <row r="693" spans="26:30">
      <c r="Z693" s="246"/>
      <c r="AA693" s="246"/>
      <c r="AB693" s="246"/>
      <c r="AC693" s="246"/>
      <c r="AD693" s="246"/>
    </row>
    <row r="694" spans="26:30">
      <c r="Z694" s="246"/>
      <c r="AA694" s="246"/>
      <c r="AB694" s="246"/>
      <c r="AC694" s="246"/>
      <c r="AD694" s="246"/>
    </row>
    <row r="695" spans="26:30">
      <c r="Z695" s="246"/>
      <c r="AA695" s="246"/>
      <c r="AB695" s="246"/>
      <c r="AC695" s="246"/>
      <c r="AD695" s="246"/>
    </row>
    <row r="696" spans="26:30">
      <c r="Z696" s="246"/>
      <c r="AA696" s="246"/>
      <c r="AB696" s="246"/>
      <c r="AC696" s="246"/>
      <c r="AD696" s="246"/>
    </row>
    <row r="697" spans="26:30">
      <c r="Z697" s="246"/>
      <c r="AA697" s="246"/>
      <c r="AB697" s="246"/>
      <c r="AC697" s="246"/>
      <c r="AD697" s="246"/>
    </row>
    <row r="698" spans="26:30">
      <c r="Z698" s="246"/>
      <c r="AA698" s="246"/>
      <c r="AB698" s="246"/>
      <c r="AC698" s="246"/>
      <c r="AD698" s="246"/>
    </row>
    <row r="699" spans="26:30">
      <c r="Z699" s="246"/>
      <c r="AA699" s="246"/>
      <c r="AB699" s="246"/>
      <c r="AC699" s="246"/>
      <c r="AD699" s="246"/>
    </row>
    <row r="700" spans="26:30">
      <c r="Z700" s="246"/>
      <c r="AA700" s="246"/>
      <c r="AB700" s="246"/>
      <c r="AC700" s="246"/>
      <c r="AD700" s="246"/>
    </row>
    <row r="701" spans="26:30">
      <c r="Z701" s="246"/>
      <c r="AA701" s="246"/>
      <c r="AB701" s="246"/>
      <c r="AC701" s="246"/>
      <c r="AD701" s="246"/>
    </row>
    <row r="702" spans="26:30">
      <c r="Z702" s="246"/>
      <c r="AA702" s="246"/>
      <c r="AB702" s="246"/>
      <c r="AC702" s="246"/>
      <c r="AD702" s="246"/>
    </row>
    <row r="703" spans="26:30">
      <c r="Z703" s="246"/>
      <c r="AA703" s="246"/>
      <c r="AB703" s="246"/>
      <c r="AC703" s="246"/>
      <c r="AD703" s="246"/>
    </row>
    <row r="704" spans="26:30">
      <c r="Z704" s="246"/>
      <c r="AA704" s="246"/>
      <c r="AB704" s="246"/>
      <c r="AC704" s="246"/>
      <c r="AD704" s="246"/>
    </row>
    <row r="705" spans="26:30">
      <c r="Z705" s="246"/>
      <c r="AA705" s="246"/>
      <c r="AB705" s="246"/>
      <c r="AC705" s="246"/>
      <c r="AD705" s="246"/>
    </row>
    <row r="706" spans="26:30">
      <c r="Z706" s="246"/>
      <c r="AA706" s="246"/>
      <c r="AB706" s="246"/>
      <c r="AC706" s="246"/>
      <c r="AD706" s="246"/>
    </row>
    <row r="707" spans="26:30">
      <c r="Z707" s="246"/>
      <c r="AA707" s="246"/>
      <c r="AB707" s="246"/>
      <c r="AC707" s="246"/>
      <c r="AD707" s="246"/>
    </row>
    <row r="708" spans="26:30">
      <c r="Z708" s="246"/>
      <c r="AA708" s="246"/>
      <c r="AB708" s="246"/>
      <c r="AC708" s="246"/>
      <c r="AD708" s="246"/>
    </row>
    <row r="709" spans="26:30">
      <c r="Z709" s="246"/>
      <c r="AA709" s="246"/>
      <c r="AB709" s="246"/>
      <c r="AC709" s="246"/>
      <c r="AD709" s="246"/>
    </row>
    <row r="710" spans="26:30">
      <c r="Z710" s="246"/>
      <c r="AA710" s="246"/>
      <c r="AB710" s="246"/>
      <c r="AC710" s="246"/>
      <c r="AD710" s="246"/>
    </row>
    <row r="711" spans="26:30">
      <c r="Z711" s="246"/>
      <c r="AA711" s="246"/>
      <c r="AB711" s="246"/>
      <c r="AC711" s="246"/>
      <c r="AD711" s="246"/>
    </row>
    <row r="712" spans="26:30">
      <c r="Z712" s="246"/>
      <c r="AA712" s="246"/>
      <c r="AB712" s="246"/>
      <c r="AC712" s="246"/>
      <c r="AD712" s="246"/>
    </row>
    <row r="713" spans="26:30">
      <c r="Z713" s="246"/>
      <c r="AA713" s="246"/>
      <c r="AB713" s="246"/>
      <c r="AC713" s="246"/>
      <c r="AD713" s="246"/>
    </row>
    <row r="714" spans="26:30">
      <c r="Z714" s="246"/>
      <c r="AA714" s="246"/>
      <c r="AB714" s="246"/>
      <c r="AC714" s="246"/>
      <c r="AD714" s="246"/>
    </row>
    <row r="715" spans="26:30">
      <c r="Z715" s="246"/>
      <c r="AA715" s="246"/>
      <c r="AB715" s="246"/>
      <c r="AC715" s="246"/>
      <c r="AD715" s="246"/>
    </row>
    <row r="716" spans="26:30">
      <c r="Z716" s="246"/>
      <c r="AA716" s="246"/>
      <c r="AB716" s="246"/>
      <c r="AC716" s="246"/>
      <c r="AD716" s="246"/>
    </row>
    <row r="717" spans="26:30">
      <c r="Z717" s="246"/>
      <c r="AA717" s="246"/>
      <c r="AB717" s="246"/>
      <c r="AC717" s="246"/>
      <c r="AD717" s="246"/>
    </row>
    <row r="718" spans="26:30">
      <c r="Z718" s="246"/>
      <c r="AA718" s="246"/>
      <c r="AB718" s="246"/>
      <c r="AC718" s="246"/>
      <c r="AD718" s="246"/>
    </row>
    <row r="719" spans="26:30">
      <c r="Z719" s="246"/>
      <c r="AA719" s="246"/>
      <c r="AB719" s="246"/>
      <c r="AC719" s="246"/>
      <c r="AD719" s="246"/>
    </row>
    <row r="720" spans="26:30">
      <c r="Z720" s="246"/>
      <c r="AA720" s="246"/>
      <c r="AB720" s="246"/>
      <c r="AC720" s="246"/>
      <c r="AD720" s="246"/>
    </row>
    <row r="721" spans="26:30">
      <c r="Z721" s="246"/>
      <c r="AA721" s="246"/>
      <c r="AB721" s="246"/>
      <c r="AC721" s="246"/>
      <c r="AD721" s="246"/>
    </row>
    <row r="722" spans="26:30">
      <c r="Z722" s="246"/>
      <c r="AA722" s="246"/>
      <c r="AB722" s="246"/>
      <c r="AC722" s="246"/>
      <c r="AD722" s="246"/>
    </row>
    <row r="723" spans="26:30">
      <c r="Z723" s="246"/>
      <c r="AA723" s="246"/>
      <c r="AB723" s="246"/>
      <c r="AC723" s="246"/>
      <c r="AD723" s="246"/>
    </row>
    <row r="724" spans="26:30">
      <c r="Z724" s="246"/>
      <c r="AA724" s="246"/>
      <c r="AB724" s="246"/>
      <c r="AC724" s="246"/>
      <c r="AD724" s="246"/>
    </row>
    <row r="725" spans="26:30">
      <c r="Z725" s="246"/>
      <c r="AA725" s="246"/>
      <c r="AB725" s="246"/>
      <c r="AC725" s="246"/>
      <c r="AD725" s="246"/>
    </row>
    <row r="726" spans="26:30">
      <c r="Z726" s="246"/>
      <c r="AA726" s="246"/>
      <c r="AB726" s="246"/>
      <c r="AC726" s="246"/>
      <c r="AD726" s="246"/>
    </row>
    <row r="727" spans="26:30">
      <c r="Z727" s="246"/>
      <c r="AA727" s="246"/>
      <c r="AB727" s="246"/>
      <c r="AC727" s="246"/>
      <c r="AD727" s="246"/>
    </row>
    <row r="728" spans="26:30">
      <c r="Z728" s="246"/>
      <c r="AA728" s="246"/>
      <c r="AB728" s="246"/>
      <c r="AC728" s="246"/>
      <c r="AD728" s="246"/>
    </row>
    <row r="729" spans="26:30">
      <c r="Z729" s="246"/>
      <c r="AA729" s="246"/>
      <c r="AB729" s="246"/>
      <c r="AC729" s="246"/>
      <c r="AD729" s="246"/>
    </row>
    <row r="730" spans="26:30">
      <c r="Z730" s="246"/>
      <c r="AA730" s="246"/>
      <c r="AB730" s="246"/>
      <c r="AC730" s="246"/>
      <c r="AD730" s="246"/>
    </row>
    <row r="731" spans="26:30">
      <c r="Z731" s="246"/>
      <c r="AA731" s="246"/>
      <c r="AB731" s="246"/>
      <c r="AC731" s="246"/>
      <c r="AD731" s="246"/>
    </row>
    <row r="732" spans="26:30">
      <c r="Z732" s="246"/>
      <c r="AA732" s="246"/>
      <c r="AB732" s="246"/>
      <c r="AC732" s="246"/>
      <c r="AD732" s="246"/>
    </row>
    <row r="733" spans="26:30">
      <c r="Z733" s="246"/>
      <c r="AA733" s="246"/>
      <c r="AB733" s="246"/>
      <c r="AC733" s="246"/>
      <c r="AD733" s="246"/>
    </row>
    <row r="734" spans="26:30">
      <c r="Z734" s="246"/>
      <c r="AA734" s="246"/>
      <c r="AB734" s="246"/>
      <c r="AC734" s="246"/>
      <c r="AD734" s="246"/>
    </row>
    <row r="735" spans="26:30">
      <c r="Z735" s="246"/>
      <c r="AA735" s="246"/>
      <c r="AB735" s="246"/>
      <c r="AC735" s="246"/>
      <c r="AD735" s="246"/>
    </row>
    <row r="736" spans="26:30">
      <c r="Z736" s="246"/>
      <c r="AA736" s="246"/>
      <c r="AB736" s="246"/>
      <c r="AC736" s="246"/>
      <c r="AD736" s="246"/>
    </row>
    <row r="737" spans="26:30">
      <c r="Z737" s="246"/>
      <c r="AA737" s="246"/>
      <c r="AB737" s="246"/>
      <c r="AC737" s="246"/>
      <c r="AD737" s="246"/>
    </row>
    <row r="738" spans="26:30">
      <c r="Z738" s="246"/>
      <c r="AA738" s="246"/>
      <c r="AB738" s="246"/>
      <c r="AC738" s="246"/>
      <c r="AD738" s="246"/>
    </row>
    <row r="739" spans="26:30">
      <c r="Z739" s="246"/>
      <c r="AA739" s="246"/>
      <c r="AB739" s="246"/>
      <c r="AC739" s="246"/>
      <c r="AD739" s="246"/>
    </row>
    <row r="740" spans="26:30">
      <c r="Z740" s="246"/>
      <c r="AA740" s="246"/>
      <c r="AB740" s="246"/>
      <c r="AC740" s="246"/>
      <c r="AD740" s="246"/>
    </row>
    <row r="741" spans="26:30">
      <c r="Z741" s="246"/>
      <c r="AA741" s="246"/>
      <c r="AB741" s="246"/>
      <c r="AC741" s="246"/>
      <c r="AD741" s="246"/>
    </row>
    <row r="742" spans="26:30">
      <c r="Z742" s="246"/>
      <c r="AA742" s="246"/>
      <c r="AB742" s="246"/>
      <c r="AC742" s="246"/>
      <c r="AD742" s="246"/>
    </row>
    <row r="743" spans="26:30">
      <c r="Z743" s="246"/>
      <c r="AA743" s="246"/>
      <c r="AB743" s="246"/>
      <c r="AC743" s="246"/>
      <c r="AD743" s="246"/>
    </row>
    <row r="744" spans="26:30">
      <c r="Z744" s="246"/>
      <c r="AA744" s="246"/>
      <c r="AB744" s="246"/>
      <c r="AC744" s="246"/>
      <c r="AD744" s="246"/>
    </row>
    <row r="745" spans="26:30">
      <c r="Z745" s="246"/>
      <c r="AA745" s="246"/>
      <c r="AB745" s="246"/>
      <c r="AC745" s="246"/>
      <c r="AD745" s="246"/>
    </row>
    <row r="746" spans="26:30">
      <c r="Z746" s="246"/>
      <c r="AA746" s="246"/>
      <c r="AB746" s="246"/>
      <c r="AC746" s="246"/>
      <c r="AD746" s="246"/>
    </row>
    <row r="747" spans="26:30">
      <c r="Z747" s="246"/>
      <c r="AA747" s="246"/>
      <c r="AB747" s="246"/>
      <c r="AC747" s="246"/>
      <c r="AD747" s="246"/>
    </row>
    <row r="748" spans="26:30">
      <c r="Z748" s="246"/>
      <c r="AA748" s="246"/>
      <c r="AB748" s="246"/>
      <c r="AC748" s="246"/>
      <c r="AD748" s="246"/>
    </row>
    <row r="749" spans="26:30">
      <c r="Z749" s="246"/>
      <c r="AA749" s="246"/>
      <c r="AB749" s="246"/>
      <c r="AC749" s="246"/>
      <c r="AD749" s="246"/>
    </row>
    <row r="750" spans="26:30">
      <c r="Z750" s="246"/>
      <c r="AA750" s="246"/>
      <c r="AB750" s="246"/>
      <c r="AC750" s="246"/>
      <c r="AD750" s="246"/>
    </row>
    <row r="751" spans="26:30">
      <c r="Z751" s="246"/>
      <c r="AA751" s="246"/>
      <c r="AB751" s="246"/>
      <c r="AC751" s="246"/>
      <c r="AD751" s="246"/>
    </row>
    <row r="752" spans="26:30">
      <c r="Z752" s="246"/>
      <c r="AA752" s="246"/>
      <c r="AB752" s="246"/>
      <c r="AC752" s="246"/>
      <c r="AD752" s="246"/>
    </row>
    <row r="753" spans="26:30">
      <c r="Z753" s="246"/>
      <c r="AA753" s="246"/>
      <c r="AB753" s="246"/>
      <c r="AC753" s="246"/>
      <c r="AD753" s="246"/>
    </row>
    <row r="754" spans="26:30">
      <c r="Z754" s="246"/>
      <c r="AA754" s="246"/>
      <c r="AB754" s="246"/>
      <c r="AC754" s="246"/>
      <c r="AD754" s="246"/>
    </row>
    <row r="755" spans="26:30">
      <c r="Z755" s="246"/>
      <c r="AA755" s="246"/>
      <c r="AB755" s="246"/>
      <c r="AC755" s="246"/>
      <c r="AD755" s="246"/>
    </row>
    <row r="756" spans="26:30">
      <c r="Z756" s="246"/>
      <c r="AA756" s="246"/>
      <c r="AB756" s="246"/>
      <c r="AC756" s="246"/>
      <c r="AD756" s="246"/>
    </row>
    <row r="757" spans="26:30">
      <c r="Z757" s="246"/>
      <c r="AA757" s="246"/>
      <c r="AB757" s="246"/>
      <c r="AC757" s="246"/>
      <c r="AD757" s="246"/>
    </row>
    <row r="758" spans="26:30">
      <c r="Z758" s="246"/>
      <c r="AA758" s="246"/>
      <c r="AB758" s="246"/>
      <c r="AC758" s="246"/>
      <c r="AD758" s="246"/>
    </row>
    <row r="759" spans="26:30">
      <c r="Z759" s="246"/>
      <c r="AA759" s="246"/>
      <c r="AB759" s="246"/>
      <c r="AC759" s="246"/>
      <c r="AD759" s="246"/>
    </row>
    <row r="760" spans="26:30">
      <c r="Z760" s="246"/>
      <c r="AA760" s="246"/>
      <c r="AB760" s="246"/>
      <c r="AC760" s="246"/>
      <c r="AD760" s="246"/>
    </row>
    <row r="761" spans="26:30">
      <c r="Z761" s="246"/>
      <c r="AA761" s="246"/>
      <c r="AB761" s="246"/>
      <c r="AC761" s="246"/>
      <c r="AD761" s="246"/>
    </row>
    <row r="762" spans="26:30">
      <c r="Z762" s="246"/>
      <c r="AA762" s="246"/>
      <c r="AB762" s="246"/>
      <c r="AC762" s="246"/>
      <c r="AD762" s="246"/>
    </row>
    <row r="763" spans="26:30">
      <c r="Z763" s="246"/>
      <c r="AA763" s="246"/>
      <c r="AB763" s="246"/>
      <c r="AC763" s="246"/>
      <c r="AD763" s="246"/>
    </row>
    <row r="764" spans="26:30">
      <c r="Z764" s="246"/>
      <c r="AA764" s="246"/>
      <c r="AB764" s="246"/>
      <c r="AC764" s="246"/>
      <c r="AD764" s="246"/>
    </row>
    <row r="765" spans="26:30">
      <c r="Z765" s="246"/>
      <c r="AA765" s="246"/>
      <c r="AB765" s="246"/>
      <c r="AC765" s="246"/>
      <c r="AD765" s="246"/>
    </row>
    <row r="766" spans="26:30">
      <c r="Z766" s="246"/>
      <c r="AA766" s="246"/>
      <c r="AB766" s="246"/>
      <c r="AC766" s="246"/>
      <c r="AD766" s="246"/>
    </row>
    <row r="767" spans="26:30">
      <c r="Z767" s="246"/>
      <c r="AA767" s="246"/>
      <c r="AB767" s="246"/>
      <c r="AC767" s="246"/>
      <c r="AD767" s="246"/>
    </row>
    <row r="768" spans="26:30">
      <c r="Z768" s="246"/>
      <c r="AA768" s="246"/>
      <c r="AB768" s="246"/>
      <c r="AC768" s="246"/>
      <c r="AD768" s="246"/>
    </row>
    <row r="769" spans="26:30">
      <c r="Z769" s="246"/>
      <c r="AA769" s="246"/>
      <c r="AB769" s="246"/>
      <c r="AC769" s="246"/>
      <c r="AD769" s="246"/>
    </row>
    <row r="770" spans="26:30">
      <c r="Z770" s="246"/>
      <c r="AA770" s="246"/>
      <c r="AB770" s="246"/>
      <c r="AC770" s="246"/>
      <c r="AD770" s="246"/>
    </row>
    <row r="771" spans="26:30">
      <c r="Z771" s="246"/>
      <c r="AA771" s="246"/>
      <c r="AB771" s="246"/>
      <c r="AC771" s="246"/>
      <c r="AD771" s="246"/>
    </row>
    <row r="772" spans="26:30">
      <c r="Z772" s="246"/>
      <c r="AA772" s="246"/>
      <c r="AB772" s="246"/>
      <c r="AC772" s="246"/>
      <c r="AD772" s="246"/>
    </row>
    <row r="773" spans="26:30">
      <c r="Z773" s="246"/>
      <c r="AA773" s="246"/>
      <c r="AB773" s="246"/>
      <c r="AC773" s="246"/>
      <c r="AD773" s="246"/>
    </row>
    <row r="774" spans="26:30">
      <c r="Z774" s="246"/>
      <c r="AA774" s="246"/>
      <c r="AB774" s="246"/>
      <c r="AC774" s="246"/>
      <c r="AD774" s="246"/>
    </row>
    <row r="775" spans="26:30">
      <c r="Z775" s="246"/>
      <c r="AA775" s="246"/>
      <c r="AB775" s="246"/>
      <c r="AC775" s="246"/>
      <c r="AD775" s="246"/>
    </row>
    <row r="776" spans="26:30">
      <c r="Z776" s="246"/>
      <c r="AA776" s="246"/>
      <c r="AB776" s="246"/>
      <c r="AC776" s="246"/>
      <c r="AD776" s="246"/>
    </row>
    <row r="777" spans="26:30">
      <c r="Z777" s="246"/>
      <c r="AA777" s="246"/>
      <c r="AB777" s="246"/>
      <c r="AC777" s="246"/>
      <c r="AD777" s="246"/>
    </row>
    <row r="778" spans="26:30">
      <c r="Z778" s="246"/>
      <c r="AA778" s="246"/>
      <c r="AB778" s="246"/>
      <c r="AC778" s="246"/>
      <c r="AD778" s="246"/>
    </row>
    <row r="779" spans="26:30">
      <c r="Z779" s="246"/>
      <c r="AA779" s="246"/>
      <c r="AB779" s="246"/>
      <c r="AC779" s="246"/>
      <c r="AD779" s="246"/>
    </row>
    <row r="780" spans="26:30">
      <c r="Z780" s="246"/>
      <c r="AA780" s="246"/>
      <c r="AB780" s="246"/>
      <c r="AC780" s="246"/>
      <c r="AD780" s="246"/>
    </row>
    <row r="781" spans="26:30">
      <c r="Z781" s="246"/>
      <c r="AA781" s="246"/>
      <c r="AB781" s="246"/>
      <c r="AC781" s="246"/>
      <c r="AD781" s="246"/>
    </row>
    <row r="782" spans="26:30">
      <c r="Z782" s="246"/>
      <c r="AA782" s="246"/>
      <c r="AB782" s="246"/>
      <c r="AC782" s="246"/>
      <c r="AD782" s="246"/>
    </row>
    <row r="783" spans="26:30">
      <c r="Z783" s="246"/>
      <c r="AA783" s="246"/>
      <c r="AB783" s="246"/>
      <c r="AC783" s="246"/>
      <c r="AD783" s="246"/>
    </row>
    <row r="784" spans="26:30">
      <c r="Z784" s="246"/>
      <c r="AA784" s="246"/>
      <c r="AB784" s="246"/>
      <c r="AC784" s="246"/>
      <c r="AD784" s="246"/>
    </row>
    <row r="785" spans="26:30">
      <c r="Z785" s="246"/>
      <c r="AA785" s="246"/>
      <c r="AB785" s="246"/>
      <c r="AC785" s="246"/>
      <c r="AD785" s="246"/>
    </row>
    <row r="786" spans="26:30">
      <c r="Z786" s="246"/>
      <c r="AA786" s="246"/>
      <c r="AB786" s="246"/>
      <c r="AC786" s="246"/>
      <c r="AD786" s="246"/>
    </row>
    <row r="787" spans="26:30">
      <c r="Z787" s="246"/>
      <c r="AA787" s="246"/>
      <c r="AB787" s="246"/>
      <c r="AC787" s="246"/>
      <c r="AD787" s="246"/>
    </row>
    <row r="788" spans="26:30">
      <c r="Z788" s="246"/>
      <c r="AA788" s="246"/>
      <c r="AB788" s="246"/>
      <c r="AC788" s="246"/>
      <c r="AD788" s="246"/>
    </row>
    <row r="789" spans="26:30">
      <c r="Z789" s="246"/>
      <c r="AA789" s="246"/>
      <c r="AB789" s="246"/>
      <c r="AC789" s="246"/>
      <c r="AD789" s="246"/>
    </row>
    <row r="790" spans="26:30">
      <c r="Z790" s="246"/>
      <c r="AA790" s="246"/>
      <c r="AB790" s="246"/>
      <c r="AC790" s="246"/>
      <c r="AD790" s="246"/>
    </row>
    <row r="791" spans="26:30">
      <c r="Z791" s="246"/>
      <c r="AA791" s="246"/>
      <c r="AB791" s="246"/>
      <c r="AC791" s="246"/>
      <c r="AD791" s="246"/>
    </row>
    <row r="792" spans="26:30">
      <c r="Z792" s="246"/>
      <c r="AA792" s="246"/>
      <c r="AB792" s="246"/>
      <c r="AC792" s="246"/>
      <c r="AD792" s="246"/>
    </row>
    <row r="793" spans="26:30">
      <c r="Z793" s="246"/>
      <c r="AA793" s="246"/>
      <c r="AB793" s="246"/>
      <c r="AC793" s="246"/>
      <c r="AD793" s="246"/>
    </row>
    <row r="794" spans="26:30">
      <c r="Z794" s="246"/>
      <c r="AA794" s="246"/>
      <c r="AB794" s="246"/>
      <c r="AC794" s="246"/>
      <c r="AD794" s="246"/>
    </row>
    <row r="795" spans="26:30">
      <c r="Z795" s="246"/>
      <c r="AA795" s="246"/>
      <c r="AB795" s="246"/>
      <c r="AC795" s="246"/>
      <c r="AD795" s="246"/>
    </row>
    <row r="796" spans="26:30">
      <c r="Z796" s="246"/>
      <c r="AA796" s="246"/>
      <c r="AB796" s="246"/>
      <c r="AC796" s="246"/>
      <c r="AD796" s="246"/>
    </row>
    <row r="797" spans="26:30">
      <c r="Z797" s="246"/>
      <c r="AA797" s="246"/>
      <c r="AB797" s="246"/>
      <c r="AC797" s="246"/>
      <c r="AD797" s="246"/>
    </row>
    <row r="798" spans="26:30">
      <c r="Z798" s="246"/>
      <c r="AA798" s="246"/>
      <c r="AB798" s="246"/>
      <c r="AC798" s="246"/>
      <c r="AD798" s="246"/>
    </row>
    <row r="799" spans="26:30">
      <c r="Z799" s="246"/>
      <c r="AA799" s="246"/>
      <c r="AB799" s="246"/>
      <c r="AC799" s="246"/>
      <c r="AD799" s="246"/>
    </row>
    <row r="800" spans="26:30">
      <c r="Z800" s="246"/>
      <c r="AA800" s="246"/>
      <c r="AB800" s="246"/>
      <c r="AC800" s="246"/>
      <c r="AD800" s="246"/>
    </row>
    <row r="801" spans="26:30">
      <c r="Z801" s="246"/>
      <c r="AA801" s="246"/>
      <c r="AB801" s="246"/>
      <c r="AC801" s="246"/>
      <c r="AD801" s="246"/>
    </row>
    <row r="802" spans="26:30">
      <c r="Z802" s="246"/>
      <c r="AA802" s="246"/>
      <c r="AB802" s="246"/>
      <c r="AC802" s="246"/>
      <c r="AD802" s="246"/>
    </row>
    <row r="803" spans="26:30">
      <c r="Z803" s="246"/>
      <c r="AA803" s="246"/>
      <c r="AB803" s="246"/>
      <c r="AC803" s="246"/>
      <c r="AD803" s="246"/>
    </row>
    <row r="804" spans="26:30">
      <c r="Z804" s="246"/>
      <c r="AA804" s="246"/>
      <c r="AB804" s="246"/>
      <c r="AC804" s="246"/>
      <c r="AD804" s="246"/>
    </row>
    <row r="805" spans="26:30">
      <c r="Z805" s="246"/>
      <c r="AA805" s="246"/>
      <c r="AB805" s="246"/>
      <c r="AC805" s="246"/>
      <c r="AD805" s="246"/>
    </row>
    <row r="806" spans="26:30">
      <c r="Z806" s="246"/>
      <c r="AA806" s="246"/>
      <c r="AB806" s="246"/>
      <c r="AC806" s="246"/>
      <c r="AD806" s="246"/>
    </row>
    <row r="807" spans="26:30">
      <c r="Z807" s="246"/>
      <c r="AA807" s="246"/>
      <c r="AB807" s="246"/>
      <c r="AC807" s="246"/>
      <c r="AD807" s="246"/>
    </row>
    <row r="808" spans="26:30">
      <c r="Z808" s="246"/>
      <c r="AA808" s="246"/>
      <c r="AB808" s="246"/>
      <c r="AC808" s="246"/>
      <c r="AD808" s="246"/>
    </row>
    <row r="809" spans="26:30">
      <c r="Z809" s="246"/>
      <c r="AA809" s="246"/>
      <c r="AB809" s="246"/>
      <c r="AC809" s="246"/>
      <c r="AD809" s="246"/>
    </row>
    <row r="810" spans="26:30">
      <c r="Z810" s="246"/>
      <c r="AA810" s="246"/>
      <c r="AB810" s="246"/>
      <c r="AC810" s="246"/>
      <c r="AD810" s="246"/>
    </row>
    <row r="811" spans="26:30">
      <c r="Z811" s="246"/>
      <c r="AA811" s="246"/>
      <c r="AB811" s="246"/>
      <c r="AC811" s="246"/>
      <c r="AD811" s="246"/>
    </row>
    <row r="812" spans="26:30">
      <c r="Z812" s="246"/>
      <c r="AA812" s="246"/>
      <c r="AB812" s="246"/>
      <c r="AC812" s="246"/>
      <c r="AD812" s="246"/>
    </row>
    <row r="813" spans="26:30">
      <c r="Z813" s="246"/>
      <c r="AA813" s="246"/>
      <c r="AB813" s="246"/>
      <c r="AC813" s="246"/>
      <c r="AD813" s="246"/>
    </row>
    <row r="814" spans="26:30">
      <c r="Z814" s="246"/>
      <c r="AA814" s="246"/>
      <c r="AB814" s="246"/>
      <c r="AC814" s="246"/>
      <c r="AD814" s="246"/>
    </row>
    <row r="815" spans="26:30">
      <c r="Z815" s="246"/>
      <c r="AA815" s="246"/>
      <c r="AB815" s="246"/>
      <c r="AC815" s="246"/>
      <c r="AD815" s="246"/>
    </row>
    <row r="816" spans="26:30">
      <c r="Z816" s="246"/>
      <c r="AA816" s="246"/>
      <c r="AB816" s="246"/>
      <c r="AC816" s="246"/>
      <c r="AD816" s="246"/>
    </row>
    <row r="817" spans="26:30">
      <c r="Z817" s="246"/>
      <c r="AA817" s="246"/>
      <c r="AB817" s="246"/>
      <c r="AC817" s="246"/>
      <c r="AD817" s="246"/>
    </row>
    <row r="818" spans="26:30">
      <c r="Z818" s="246"/>
      <c r="AA818" s="246"/>
      <c r="AB818" s="246"/>
      <c r="AC818" s="246"/>
      <c r="AD818" s="246"/>
    </row>
    <row r="819" spans="26:30">
      <c r="Z819" s="246"/>
      <c r="AA819" s="246"/>
      <c r="AB819" s="246"/>
      <c r="AC819" s="246"/>
      <c r="AD819" s="246"/>
    </row>
    <row r="820" spans="26:30">
      <c r="Z820" s="246"/>
      <c r="AA820" s="246"/>
      <c r="AB820" s="246"/>
      <c r="AC820" s="246"/>
      <c r="AD820" s="246"/>
    </row>
    <row r="821" spans="26:30">
      <c r="Z821" s="246"/>
      <c r="AA821" s="246"/>
      <c r="AB821" s="246"/>
      <c r="AC821" s="246"/>
      <c r="AD821" s="246"/>
    </row>
    <row r="822" spans="26:30">
      <c r="Z822" s="246"/>
      <c r="AA822" s="246"/>
      <c r="AB822" s="246"/>
      <c r="AC822" s="246"/>
      <c r="AD822" s="246"/>
    </row>
    <row r="823" spans="26:30">
      <c r="Z823" s="246"/>
      <c r="AA823" s="246"/>
      <c r="AB823" s="246"/>
      <c r="AC823" s="246"/>
      <c r="AD823" s="246"/>
    </row>
    <row r="824" spans="26:30">
      <c r="Z824" s="246"/>
      <c r="AA824" s="246"/>
      <c r="AB824" s="246"/>
      <c r="AC824" s="246"/>
      <c r="AD824" s="246"/>
    </row>
    <row r="825" spans="26:30">
      <c r="Z825" s="246"/>
      <c r="AA825" s="246"/>
      <c r="AB825" s="246"/>
      <c r="AC825" s="246"/>
      <c r="AD825" s="246"/>
    </row>
    <row r="826" spans="26:30">
      <c r="Z826" s="246"/>
      <c r="AA826" s="246"/>
      <c r="AB826" s="246"/>
      <c r="AC826" s="246"/>
      <c r="AD826" s="246"/>
    </row>
    <row r="827" spans="26:30">
      <c r="Z827" s="246"/>
      <c r="AA827" s="246"/>
      <c r="AB827" s="246"/>
      <c r="AC827" s="246"/>
      <c r="AD827" s="246"/>
    </row>
    <row r="828" spans="26:30">
      <c r="Z828" s="246"/>
      <c r="AA828" s="246"/>
      <c r="AB828" s="246"/>
      <c r="AC828" s="246"/>
      <c r="AD828" s="246"/>
    </row>
    <row r="829" spans="26:30">
      <c r="Z829" s="246"/>
      <c r="AA829" s="246"/>
      <c r="AB829" s="246"/>
      <c r="AC829" s="246"/>
      <c r="AD829" s="246"/>
    </row>
    <row r="830" spans="26:30">
      <c r="Z830" s="246"/>
      <c r="AA830" s="246"/>
      <c r="AB830" s="246"/>
      <c r="AC830" s="246"/>
      <c r="AD830" s="246"/>
    </row>
    <row r="831" spans="26:30">
      <c r="Z831" s="246"/>
      <c r="AA831" s="246"/>
      <c r="AB831" s="246"/>
      <c r="AC831" s="246"/>
      <c r="AD831" s="246"/>
    </row>
    <row r="832" spans="26:30">
      <c r="Z832" s="246"/>
      <c r="AA832" s="246"/>
      <c r="AB832" s="246"/>
      <c r="AC832" s="246"/>
      <c r="AD832" s="246"/>
    </row>
    <row r="833" spans="26:30">
      <c r="Z833" s="246"/>
      <c r="AA833" s="246"/>
      <c r="AB833" s="246"/>
      <c r="AC833" s="246"/>
      <c r="AD833" s="246"/>
    </row>
    <row r="834" spans="26:30">
      <c r="Z834" s="246"/>
      <c r="AA834" s="246"/>
      <c r="AB834" s="246"/>
      <c r="AC834" s="246"/>
      <c r="AD834" s="246"/>
    </row>
    <row r="835" spans="26:30">
      <c r="Z835" s="246"/>
      <c r="AA835" s="246"/>
      <c r="AB835" s="246"/>
      <c r="AC835" s="246"/>
      <c r="AD835" s="246"/>
    </row>
    <row r="836" spans="26:30">
      <c r="Z836" s="246"/>
      <c r="AA836" s="246"/>
      <c r="AB836" s="246"/>
      <c r="AC836" s="246"/>
      <c r="AD836" s="246"/>
    </row>
    <row r="837" spans="26:30">
      <c r="Z837" s="246"/>
      <c r="AA837" s="246"/>
      <c r="AB837" s="246"/>
      <c r="AC837" s="246"/>
      <c r="AD837" s="246"/>
    </row>
    <row r="838" spans="26:30">
      <c r="Z838" s="246"/>
      <c r="AA838" s="246"/>
      <c r="AB838" s="246"/>
      <c r="AC838" s="246"/>
      <c r="AD838" s="246"/>
    </row>
    <row r="839" spans="26:30">
      <c r="Z839" s="246"/>
      <c r="AA839" s="246"/>
      <c r="AB839" s="246"/>
      <c r="AC839" s="246"/>
      <c r="AD839" s="246"/>
    </row>
    <row r="840" spans="26:30">
      <c r="Z840" s="246"/>
      <c r="AA840" s="246"/>
      <c r="AB840" s="246"/>
      <c r="AC840" s="246"/>
      <c r="AD840" s="246"/>
    </row>
    <row r="841" spans="26:30">
      <c r="Z841" s="246"/>
      <c r="AA841" s="246"/>
      <c r="AB841" s="246"/>
      <c r="AC841" s="246"/>
      <c r="AD841" s="246"/>
    </row>
    <row r="842" spans="26:30">
      <c r="Z842" s="246"/>
      <c r="AA842" s="246"/>
      <c r="AB842" s="246"/>
      <c r="AC842" s="246"/>
      <c r="AD842" s="246"/>
    </row>
    <row r="843" spans="26:30">
      <c r="Z843" s="246"/>
      <c r="AA843" s="246"/>
      <c r="AB843" s="246"/>
      <c r="AC843" s="246"/>
      <c r="AD843" s="246"/>
    </row>
    <row r="844" spans="26:30">
      <c r="Z844" s="246"/>
      <c r="AA844" s="246"/>
      <c r="AB844" s="246"/>
      <c r="AC844" s="246"/>
      <c r="AD844" s="246"/>
    </row>
    <row r="845" spans="26:30">
      <c r="Z845" s="246"/>
      <c r="AA845" s="246"/>
      <c r="AB845" s="246"/>
      <c r="AC845" s="246"/>
      <c r="AD845" s="246"/>
    </row>
    <row r="846" spans="26:30">
      <c r="Z846" s="246"/>
      <c r="AA846" s="246"/>
      <c r="AB846" s="246"/>
      <c r="AC846" s="246"/>
      <c r="AD846" s="246"/>
    </row>
    <row r="847" spans="26:30">
      <c r="Z847" s="246"/>
      <c r="AA847" s="246"/>
      <c r="AB847" s="246"/>
      <c r="AC847" s="246"/>
      <c r="AD847" s="246"/>
    </row>
    <row r="848" spans="26:30">
      <c r="Z848" s="246"/>
      <c r="AA848" s="246"/>
      <c r="AB848" s="246"/>
      <c r="AC848" s="246"/>
      <c r="AD848" s="246"/>
    </row>
    <row r="849" spans="26:30">
      <c r="Z849" s="246"/>
      <c r="AA849" s="246"/>
      <c r="AB849" s="246"/>
      <c r="AC849" s="246"/>
      <c r="AD849" s="246"/>
    </row>
    <row r="850" spans="26:30">
      <c r="Z850" s="246"/>
      <c r="AA850" s="246"/>
      <c r="AB850" s="246"/>
      <c r="AC850" s="246"/>
      <c r="AD850" s="246"/>
    </row>
    <row r="851" spans="26:30">
      <c r="Z851" s="246"/>
      <c r="AA851" s="246"/>
      <c r="AB851" s="246"/>
      <c r="AC851" s="246"/>
      <c r="AD851" s="246"/>
    </row>
    <row r="852" spans="26:30">
      <c r="Z852" s="246"/>
      <c r="AA852" s="246"/>
      <c r="AB852" s="246"/>
      <c r="AC852" s="246"/>
      <c r="AD852" s="246"/>
    </row>
    <row r="853" spans="26:30">
      <c r="Z853" s="246"/>
      <c r="AA853" s="246"/>
      <c r="AB853" s="246"/>
      <c r="AC853" s="246"/>
      <c r="AD853" s="246"/>
    </row>
    <row r="854" spans="26:30">
      <c r="Z854" s="246"/>
      <c r="AA854" s="246"/>
      <c r="AB854" s="246"/>
      <c r="AC854" s="246"/>
      <c r="AD854" s="246"/>
    </row>
    <row r="855" spans="26:30">
      <c r="Z855" s="246"/>
      <c r="AA855" s="246"/>
      <c r="AB855" s="246"/>
      <c r="AC855" s="246"/>
      <c r="AD855" s="246"/>
    </row>
    <row r="856" spans="26:30">
      <c r="Z856" s="246"/>
      <c r="AA856" s="246"/>
      <c r="AB856" s="246"/>
      <c r="AC856" s="246"/>
      <c r="AD856" s="246"/>
    </row>
    <row r="857" spans="26:30">
      <c r="Z857" s="246"/>
      <c r="AA857" s="246"/>
      <c r="AB857" s="246"/>
      <c r="AC857" s="246"/>
      <c r="AD857" s="246"/>
    </row>
    <row r="858" spans="26:30">
      <c r="Z858" s="246"/>
      <c r="AA858" s="246"/>
      <c r="AB858" s="246"/>
      <c r="AC858" s="246"/>
      <c r="AD858" s="246"/>
    </row>
    <row r="859" spans="26:30">
      <c r="Z859" s="246"/>
      <c r="AA859" s="246"/>
      <c r="AB859" s="246"/>
      <c r="AC859" s="246"/>
      <c r="AD859" s="246"/>
    </row>
    <row r="860" spans="26:30">
      <c r="Z860" s="246"/>
      <c r="AA860" s="246"/>
      <c r="AB860" s="246"/>
      <c r="AC860" s="246"/>
      <c r="AD860" s="246"/>
    </row>
    <row r="861" spans="26:30">
      <c r="Z861" s="246"/>
      <c r="AA861" s="246"/>
      <c r="AB861" s="246"/>
      <c r="AC861" s="246"/>
      <c r="AD861" s="246"/>
    </row>
    <row r="862" spans="26:30">
      <c r="Z862" s="246"/>
      <c r="AA862" s="246"/>
      <c r="AB862" s="246"/>
      <c r="AC862" s="246"/>
      <c r="AD862" s="246"/>
    </row>
    <row r="863" spans="26:30">
      <c r="Z863" s="246"/>
      <c r="AA863" s="246"/>
      <c r="AB863" s="246"/>
      <c r="AC863" s="246"/>
      <c r="AD863" s="246"/>
    </row>
    <row r="864" spans="26:30">
      <c r="Z864" s="246"/>
      <c r="AA864" s="246"/>
      <c r="AB864" s="246"/>
      <c r="AC864" s="246"/>
      <c r="AD864" s="246"/>
    </row>
    <row r="865" spans="26:30">
      <c r="Z865" s="246"/>
      <c r="AA865" s="246"/>
      <c r="AB865" s="246"/>
      <c r="AC865" s="246"/>
      <c r="AD865" s="246"/>
    </row>
    <row r="866" spans="26:30">
      <c r="Z866" s="246"/>
      <c r="AA866" s="246"/>
      <c r="AB866" s="246"/>
      <c r="AC866" s="246"/>
      <c r="AD866" s="246"/>
    </row>
    <row r="867" spans="26:30">
      <c r="Z867" s="246"/>
      <c r="AA867" s="246"/>
      <c r="AB867" s="246"/>
      <c r="AC867" s="246"/>
      <c r="AD867" s="246"/>
    </row>
    <row r="868" spans="26:30">
      <c r="Z868" s="246"/>
      <c r="AA868" s="246"/>
      <c r="AB868" s="246"/>
      <c r="AC868" s="246"/>
      <c r="AD868" s="246"/>
    </row>
    <row r="869" spans="26:30">
      <c r="Z869" s="246"/>
      <c r="AA869" s="246"/>
      <c r="AB869" s="246"/>
      <c r="AC869" s="246"/>
      <c r="AD869" s="246"/>
    </row>
    <row r="870" spans="26:30">
      <c r="Z870" s="246"/>
      <c r="AA870" s="246"/>
      <c r="AB870" s="246"/>
      <c r="AC870" s="246"/>
      <c r="AD870" s="246"/>
    </row>
    <row r="871" spans="26:30">
      <c r="Z871" s="246"/>
      <c r="AA871" s="246"/>
      <c r="AB871" s="246"/>
      <c r="AC871" s="246"/>
      <c r="AD871" s="246"/>
    </row>
    <row r="872" spans="26:30">
      <c r="Z872" s="246"/>
      <c r="AA872" s="246"/>
      <c r="AB872" s="246"/>
      <c r="AC872" s="246"/>
      <c r="AD872" s="246"/>
    </row>
    <row r="873" spans="26:30">
      <c r="Z873" s="246"/>
      <c r="AA873" s="246"/>
      <c r="AB873" s="246"/>
      <c r="AC873" s="246"/>
      <c r="AD873" s="246"/>
    </row>
    <row r="874" spans="26:30">
      <c r="Z874" s="246"/>
      <c r="AA874" s="246"/>
      <c r="AB874" s="246"/>
      <c r="AC874" s="246"/>
      <c r="AD874" s="246"/>
    </row>
    <row r="875" spans="26:30">
      <c r="Z875" s="246"/>
      <c r="AA875" s="246"/>
      <c r="AB875" s="246"/>
      <c r="AC875" s="246"/>
      <c r="AD875" s="246"/>
    </row>
    <row r="876" spans="26:30">
      <c r="Z876" s="246"/>
      <c r="AA876" s="246"/>
      <c r="AB876" s="246"/>
      <c r="AC876" s="246"/>
      <c r="AD876" s="246"/>
    </row>
    <row r="877" spans="26:30">
      <c r="Z877" s="246"/>
      <c r="AA877" s="246"/>
      <c r="AB877" s="246"/>
      <c r="AC877" s="246"/>
      <c r="AD877" s="246"/>
    </row>
    <row r="878" spans="26:30">
      <c r="Z878" s="246"/>
      <c r="AA878" s="246"/>
      <c r="AB878" s="246"/>
      <c r="AC878" s="246"/>
      <c r="AD878" s="246"/>
    </row>
    <row r="879" spans="26:30">
      <c r="Z879" s="246"/>
      <c r="AA879" s="246"/>
      <c r="AB879" s="246"/>
      <c r="AC879" s="246"/>
      <c r="AD879" s="246"/>
    </row>
    <row r="880" spans="26:30">
      <c r="Z880" s="246"/>
      <c r="AA880" s="246"/>
      <c r="AB880" s="246"/>
      <c r="AC880" s="246"/>
      <c r="AD880" s="246"/>
    </row>
    <row r="881" spans="26:30">
      <c r="Z881" s="246"/>
      <c r="AA881" s="246"/>
      <c r="AB881" s="246"/>
      <c r="AC881" s="246"/>
      <c r="AD881" s="246"/>
    </row>
    <row r="882" spans="26:30">
      <c r="Z882" s="246"/>
      <c r="AA882" s="246"/>
      <c r="AB882" s="246"/>
      <c r="AC882" s="246"/>
      <c r="AD882" s="246"/>
    </row>
    <row r="883" spans="26:30">
      <c r="Z883" s="246"/>
      <c r="AA883" s="246"/>
      <c r="AB883" s="246"/>
      <c r="AC883" s="246"/>
      <c r="AD883" s="246"/>
    </row>
    <row r="884" spans="26:30">
      <c r="Z884" s="246"/>
      <c r="AA884" s="246"/>
      <c r="AB884" s="246"/>
      <c r="AC884" s="246"/>
      <c r="AD884" s="246"/>
    </row>
    <row r="885" spans="26:30">
      <c r="Z885" s="246"/>
      <c r="AA885" s="246"/>
      <c r="AB885" s="246"/>
      <c r="AC885" s="246"/>
      <c r="AD885" s="246"/>
    </row>
    <row r="886" spans="26:30">
      <c r="Z886" s="246"/>
      <c r="AA886" s="246"/>
      <c r="AB886" s="246"/>
      <c r="AC886" s="246"/>
      <c r="AD886" s="246"/>
    </row>
    <row r="887" spans="26:30">
      <c r="Z887" s="246"/>
      <c r="AA887" s="246"/>
      <c r="AB887" s="246"/>
      <c r="AC887" s="246"/>
      <c r="AD887" s="246"/>
    </row>
    <row r="888" spans="26:30">
      <c r="Z888" s="246"/>
      <c r="AA888" s="246"/>
      <c r="AB888" s="246"/>
      <c r="AC888" s="246"/>
      <c r="AD888" s="246"/>
    </row>
    <row r="889" spans="26:30">
      <c r="Z889" s="246"/>
      <c r="AA889" s="246"/>
      <c r="AB889" s="246"/>
      <c r="AC889" s="246"/>
      <c r="AD889" s="246"/>
    </row>
    <row r="890" spans="26:30">
      <c r="Z890" s="246"/>
      <c r="AA890" s="246"/>
      <c r="AB890" s="246"/>
      <c r="AC890" s="246"/>
      <c r="AD890" s="246"/>
    </row>
    <row r="891" spans="26:30">
      <c r="Z891" s="246"/>
      <c r="AA891" s="246"/>
      <c r="AB891" s="246"/>
      <c r="AC891" s="246"/>
      <c r="AD891" s="246"/>
    </row>
    <row r="892" spans="26:30">
      <c r="Z892" s="246"/>
      <c r="AA892" s="246"/>
      <c r="AB892" s="246"/>
      <c r="AC892" s="246"/>
      <c r="AD892" s="246"/>
    </row>
    <row r="893" spans="26:30">
      <c r="Z893" s="246"/>
      <c r="AA893" s="246"/>
      <c r="AB893" s="246"/>
      <c r="AC893" s="246"/>
      <c r="AD893" s="246"/>
    </row>
    <row r="894" spans="26:30">
      <c r="Z894" s="246"/>
      <c r="AA894" s="246"/>
      <c r="AB894" s="246"/>
      <c r="AC894" s="246"/>
      <c r="AD894" s="246"/>
    </row>
    <row r="895" spans="26:30">
      <c r="Z895" s="246"/>
      <c r="AA895" s="246"/>
      <c r="AB895" s="246"/>
      <c r="AC895" s="246"/>
      <c r="AD895" s="246"/>
    </row>
    <row r="896" spans="26:30">
      <c r="Z896" s="246"/>
      <c r="AA896" s="246"/>
      <c r="AB896" s="246"/>
      <c r="AC896" s="246"/>
      <c r="AD896" s="246"/>
    </row>
    <row r="897" spans="26:30">
      <c r="Z897" s="246"/>
      <c r="AA897" s="246"/>
      <c r="AB897" s="246"/>
      <c r="AC897" s="246"/>
      <c r="AD897" s="246"/>
    </row>
    <row r="898" spans="26:30">
      <c r="Z898" s="246"/>
      <c r="AA898" s="246"/>
      <c r="AB898" s="246"/>
      <c r="AC898" s="246"/>
      <c r="AD898" s="246"/>
    </row>
    <row r="899" spans="26:30">
      <c r="Z899" s="246"/>
      <c r="AA899" s="246"/>
      <c r="AB899" s="246"/>
      <c r="AC899" s="246"/>
      <c r="AD899" s="246"/>
    </row>
    <row r="900" spans="26:30">
      <c r="Z900" s="246"/>
      <c r="AA900" s="246"/>
      <c r="AB900" s="246"/>
      <c r="AC900" s="246"/>
      <c r="AD900" s="246"/>
    </row>
    <row r="901" spans="26:30">
      <c r="Z901" s="246"/>
      <c r="AA901" s="246"/>
      <c r="AB901" s="246"/>
      <c r="AC901" s="246"/>
      <c r="AD901" s="246"/>
    </row>
    <row r="902" spans="26:30">
      <c r="Z902" s="246"/>
      <c r="AA902" s="246"/>
      <c r="AB902" s="246"/>
      <c r="AC902" s="246"/>
      <c r="AD902" s="246"/>
    </row>
    <row r="903" spans="26:30">
      <c r="Z903" s="246"/>
      <c r="AA903" s="246"/>
      <c r="AB903" s="246"/>
      <c r="AC903" s="246"/>
      <c r="AD903" s="246"/>
    </row>
    <row r="904" spans="26:30">
      <c r="Z904" s="246"/>
      <c r="AA904" s="246"/>
      <c r="AB904" s="246"/>
      <c r="AC904" s="246"/>
      <c r="AD904" s="246"/>
    </row>
    <row r="905" spans="26:30">
      <c r="Z905" s="246"/>
      <c r="AA905" s="246"/>
      <c r="AB905" s="246"/>
      <c r="AC905" s="246"/>
      <c r="AD905" s="246"/>
    </row>
    <row r="906" spans="26:30">
      <c r="Z906" s="246"/>
      <c r="AA906" s="246"/>
      <c r="AB906" s="246"/>
      <c r="AC906" s="246"/>
      <c r="AD906" s="246"/>
    </row>
    <row r="907" spans="26:30">
      <c r="Z907" s="246"/>
      <c r="AA907" s="246"/>
      <c r="AB907" s="246"/>
      <c r="AC907" s="246"/>
      <c r="AD907" s="246"/>
    </row>
    <row r="908" spans="26:30">
      <c r="Z908" s="246"/>
      <c r="AA908" s="246"/>
      <c r="AB908" s="246"/>
      <c r="AC908" s="246"/>
      <c r="AD908" s="246"/>
    </row>
    <row r="909" spans="26:30">
      <c r="Z909" s="246"/>
      <c r="AA909" s="246"/>
      <c r="AB909" s="246"/>
      <c r="AC909" s="246"/>
      <c r="AD909" s="246"/>
    </row>
    <row r="910" spans="26:30">
      <c r="Z910" s="246"/>
      <c r="AA910" s="246"/>
      <c r="AB910" s="246"/>
      <c r="AC910" s="246"/>
      <c r="AD910" s="246"/>
    </row>
    <row r="911" spans="26:30">
      <c r="Z911" s="246"/>
      <c r="AA911" s="246"/>
      <c r="AB911" s="246"/>
      <c r="AC911" s="246"/>
      <c r="AD911" s="246"/>
    </row>
    <row r="912" spans="26:30">
      <c r="Z912" s="246"/>
      <c r="AA912" s="246"/>
      <c r="AB912" s="246"/>
      <c r="AC912" s="246"/>
      <c r="AD912" s="246"/>
    </row>
    <row r="913" spans="26:30">
      <c r="Z913" s="246"/>
      <c r="AA913" s="246"/>
      <c r="AB913" s="246"/>
      <c r="AC913" s="246"/>
      <c r="AD913" s="246"/>
    </row>
    <row r="914" spans="26:30">
      <c r="Z914" s="246"/>
      <c r="AA914" s="246"/>
      <c r="AB914" s="246"/>
      <c r="AC914" s="246"/>
      <c r="AD914" s="246"/>
    </row>
    <row r="915" spans="26:30">
      <c r="Z915" s="246"/>
      <c r="AA915" s="246"/>
      <c r="AB915" s="246"/>
      <c r="AC915" s="246"/>
      <c r="AD915" s="246"/>
    </row>
    <row r="916" spans="26:30">
      <c r="Z916" s="246"/>
      <c r="AA916" s="246"/>
      <c r="AB916" s="246"/>
      <c r="AC916" s="246"/>
      <c r="AD916" s="246"/>
    </row>
    <row r="917" spans="26:30">
      <c r="Z917" s="246"/>
      <c r="AA917" s="246"/>
      <c r="AB917" s="246"/>
      <c r="AC917" s="246"/>
      <c r="AD917" s="246"/>
    </row>
    <row r="918" spans="26:30">
      <c r="Z918" s="246"/>
      <c r="AA918" s="246"/>
      <c r="AB918" s="246"/>
      <c r="AC918" s="246"/>
      <c r="AD918" s="246"/>
    </row>
    <row r="919" spans="26:30">
      <c r="Z919" s="246"/>
      <c r="AA919" s="246"/>
      <c r="AB919" s="246"/>
      <c r="AC919" s="246"/>
      <c r="AD919" s="246"/>
    </row>
    <row r="920" spans="26:30">
      <c r="Z920" s="246"/>
      <c r="AA920" s="246"/>
      <c r="AB920" s="246"/>
      <c r="AC920" s="246"/>
      <c r="AD920" s="246"/>
    </row>
    <row r="921" spans="26:30">
      <c r="Z921" s="246"/>
      <c r="AA921" s="246"/>
      <c r="AB921" s="246"/>
      <c r="AC921" s="246"/>
      <c r="AD921" s="246"/>
    </row>
    <row r="922" spans="26:30">
      <c r="Z922" s="246"/>
      <c r="AA922" s="246"/>
      <c r="AB922" s="246"/>
      <c r="AC922" s="246"/>
      <c r="AD922" s="246"/>
    </row>
    <row r="923" spans="26:30">
      <c r="Z923" s="246"/>
      <c r="AA923" s="246"/>
      <c r="AB923" s="246"/>
      <c r="AC923" s="246"/>
      <c r="AD923" s="246"/>
    </row>
    <row r="924" spans="26:30">
      <c r="Z924" s="246"/>
      <c r="AA924" s="246"/>
      <c r="AB924" s="246"/>
      <c r="AC924" s="246"/>
      <c r="AD924" s="246"/>
    </row>
    <row r="925" spans="26:30">
      <c r="Z925" s="246"/>
      <c r="AA925" s="246"/>
      <c r="AB925" s="246"/>
      <c r="AC925" s="246"/>
      <c r="AD925" s="246"/>
    </row>
    <row r="926" spans="26:30">
      <c r="Z926" s="246"/>
      <c r="AA926" s="246"/>
      <c r="AB926" s="246"/>
      <c r="AC926" s="246"/>
      <c r="AD926" s="246"/>
    </row>
    <row r="927" spans="26:30">
      <c r="Z927" s="246"/>
      <c r="AA927" s="246"/>
      <c r="AB927" s="246"/>
      <c r="AC927" s="246"/>
      <c r="AD927" s="246"/>
    </row>
    <row r="928" spans="26:30">
      <c r="Z928" s="246"/>
      <c r="AA928" s="246"/>
      <c r="AB928" s="246"/>
      <c r="AC928" s="246"/>
      <c r="AD928" s="246"/>
    </row>
    <row r="929" spans="26:30">
      <c r="Z929" s="246"/>
      <c r="AA929" s="246"/>
      <c r="AB929" s="246"/>
      <c r="AC929" s="246"/>
      <c r="AD929" s="246"/>
    </row>
    <row r="930" spans="26:30">
      <c r="Z930" s="246"/>
      <c r="AA930" s="246"/>
      <c r="AB930" s="246"/>
      <c r="AC930" s="246"/>
      <c r="AD930" s="246"/>
    </row>
    <row r="931" spans="26:30">
      <c r="Z931" s="246"/>
      <c r="AA931" s="246"/>
      <c r="AB931" s="246"/>
      <c r="AC931" s="246"/>
      <c r="AD931" s="246"/>
    </row>
    <row r="932" spans="26:30">
      <c r="Z932" s="246"/>
      <c r="AA932" s="246"/>
      <c r="AB932" s="246"/>
      <c r="AC932" s="246"/>
      <c r="AD932" s="246"/>
    </row>
    <row r="933" spans="26:30">
      <c r="Z933" s="246"/>
      <c r="AA933" s="246"/>
      <c r="AB933" s="246"/>
      <c r="AC933" s="246"/>
      <c r="AD933" s="246"/>
    </row>
    <row r="934" spans="26:30">
      <c r="Z934" s="246"/>
      <c r="AA934" s="246"/>
      <c r="AB934" s="246"/>
      <c r="AC934" s="246"/>
      <c r="AD934" s="246"/>
    </row>
    <row r="935" spans="26:30">
      <c r="Z935" s="246"/>
      <c r="AA935" s="246"/>
      <c r="AB935" s="246"/>
      <c r="AC935" s="246"/>
      <c r="AD935" s="246"/>
    </row>
    <row r="936" spans="26:30">
      <c r="Z936" s="246"/>
      <c r="AA936" s="246"/>
      <c r="AB936" s="246"/>
      <c r="AC936" s="246"/>
      <c r="AD936" s="246"/>
    </row>
    <row r="937" spans="26:30">
      <c r="Z937" s="246"/>
      <c r="AA937" s="246"/>
      <c r="AB937" s="246"/>
      <c r="AC937" s="246"/>
      <c r="AD937" s="246"/>
    </row>
    <row r="938" spans="26:30">
      <c r="Z938" s="246"/>
      <c r="AA938" s="246"/>
      <c r="AB938" s="246"/>
      <c r="AC938" s="246"/>
      <c r="AD938" s="246"/>
    </row>
    <row r="939" spans="26:30">
      <c r="Z939" s="246"/>
      <c r="AA939" s="246"/>
      <c r="AB939" s="246"/>
      <c r="AC939" s="246"/>
      <c r="AD939" s="246"/>
    </row>
    <row r="940" spans="26:30">
      <c r="Z940" s="246"/>
      <c r="AA940" s="246"/>
      <c r="AB940" s="246"/>
      <c r="AC940" s="246"/>
      <c r="AD940" s="246"/>
    </row>
    <row r="941" spans="26:30">
      <c r="Z941" s="246"/>
      <c r="AA941" s="246"/>
      <c r="AB941" s="246"/>
      <c r="AC941" s="246"/>
      <c r="AD941" s="246"/>
    </row>
    <row r="942" spans="26:30">
      <c r="Z942" s="246"/>
      <c r="AA942" s="246"/>
      <c r="AB942" s="246"/>
      <c r="AC942" s="246"/>
      <c r="AD942" s="246"/>
    </row>
    <row r="943" spans="26:30">
      <c r="Z943" s="246"/>
      <c r="AA943" s="246"/>
      <c r="AB943" s="246"/>
      <c r="AC943" s="246"/>
      <c r="AD943" s="246"/>
    </row>
    <row r="944" spans="26:30">
      <c r="Z944" s="246"/>
      <c r="AA944" s="246"/>
      <c r="AB944" s="246"/>
      <c r="AC944" s="246"/>
      <c r="AD944" s="246"/>
    </row>
    <row r="945" spans="26:30">
      <c r="Z945" s="246"/>
      <c r="AA945" s="246"/>
      <c r="AB945" s="246"/>
      <c r="AC945" s="246"/>
      <c r="AD945" s="246"/>
    </row>
    <row r="946" spans="26:30">
      <c r="Z946" s="246"/>
      <c r="AA946" s="246"/>
      <c r="AB946" s="246"/>
      <c r="AC946" s="246"/>
      <c r="AD946" s="246"/>
    </row>
    <row r="947" spans="26:30">
      <c r="Z947" s="246"/>
      <c r="AA947" s="246"/>
      <c r="AB947" s="246"/>
      <c r="AC947" s="246"/>
      <c r="AD947" s="246"/>
    </row>
    <row r="948" spans="26:30">
      <c r="Z948" s="246"/>
      <c r="AA948" s="246"/>
      <c r="AB948" s="246"/>
      <c r="AC948" s="246"/>
      <c r="AD948" s="246"/>
    </row>
    <row r="949" spans="26:30">
      <c r="Z949" s="246"/>
      <c r="AA949" s="246"/>
      <c r="AB949" s="246"/>
      <c r="AC949" s="246"/>
      <c r="AD949" s="246"/>
    </row>
    <row r="950" spans="26:30">
      <c r="Z950" s="246"/>
      <c r="AA950" s="246"/>
      <c r="AB950" s="246"/>
      <c r="AC950" s="246"/>
      <c r="AD950" s="246"/>
    </row>
    <row r="951" spans="26:30">
      <c r="Z951" s="246"/>
      <c r="AA951" s="246"/>
      <c r="AB951" s="246"/>
      <c r="AC951" s="246"/>
      <c r="AD951" s="246"/>
    </row>
    <row r="952" spans="26:30">
      <c r="Z952" s="246"/>
      <c r="AA952" s="246"/>
      <c r="AB952" s="246"/>
      <c r="AC952" s="246"/>
      <c r="AD952" s="246"/>
    </row>
    <row r="953" spans="26:30">
      <c r="Z953" s="246"/>
      <c r="AA953" s="246"/>
      <c r="AB953" s="246"/>
      <c r="AC953" s="246"/>
      <c r="AD953" s="246"/>
    </row>
    <row r="954" spans="26:30">
      <c r="Z954" s="246"/>
      <c r="AA954" s="246"/>
      <c r="AB954" s="246"/>
      <c r="AC954" s="246"/>
      <c r="AD954" s="246"/>
    </row>
    <row r="955" spans="26:30">
      <c r="Z955" s="246"/>
      <c r="AA955" s="246"/>
      <c r="AB955" s="246"/>
      <c r="AC955" s="246"/>
      <c r="AD955" s="246"/>
    </row>
    <row r="956" spans="26:30">
      <c r="Z956" s="246"/>
      <c r="AA956" s="246"/>
      <c r="AB956" s="246"/>
      <c r="AC956" s="246"/>
      <c r="AD956" s="246"/>
    </row>
    <row r="957" spans="26:30">
      <c r="Z957" s="246"/>
      <c r="AA957" s="246"/>
      <c r="AB957" s="246"/>
      <c r="AC957" s="246"/>
      <c r="AD957" s="246"/>
    </row>
    <row r="958" spans="26:30">
      <c r="Z958" s="246"/>
      <c r="AA958" s="246"/>
      <c r="AB958" s="246"/>
      <c r="AC958" s="246"/>
      <c r="AD958" s="246"/>
    </row>
    <row r="959" spans="26:30">
      <c r="Z959" s="246"/>
      <c r="AA959" s="246"/>
      <c r="AB959" s="246"/>
      <c r="AC959" s="246"/>
      <c r="AD959" s="246"/>
    </row>
    <row r="960" spans="26:30">
      <c r="Z960" s="246"/>
      <c r="AA960" s="246"/>
      <c r="AB960" s="246"/>
      <c r="AC960" s="246"/>
      <c r="AD960" s="246"/>
    </row>
    <row r="961" spans="26:30">
      <c r="Z961" s="246"/>
      <c r="AA961" s="246"/>
      <c r="AB961" s="246"/>
      <c r="AC961" s="246"/>
      <c r="AD961" s="246"/>
    </row>
    <row r="962" spans="26:30">
      <c r="Z962" s="246"/>
      <c r="AA962" s="246"/>
      <c r="AB962" s="246"/>
      <c r="AC962" s="246"/>
      <c r="AD962" s="246"/>
    </row>
    <row r="963" spans="26:30">
      <c r="Z963" s="246"/>
      <c r="AA963" s="246"/>
      <c r="AB963" s="246"/>
      <c r="AC963" s="246"/>
      <c r="AD963" s="246"/>
    </row>
    <row r="964" spans="26:30">
      <c r="Z964" s="246"/>
      <c r="AA964" s="246"/>
      <c r="AB964" s="246"/>
      <c r="AC964" s="246"/>
      <c r="AD964" s="246"/>
    </row>
    <row r="965" spans="26:30">
      <c r="Z965" s="246"/>
      <c r="AA965" s="246"/>
      <c r="AB965" s="246"/>
      <c r="AC965" s="246"/>
      <c r="AD965" s="246"/>
    </row>
    <row r="966" spans="26:30">
      <c r="Z966" s="246"/>
      <c r="AA966" s="246"/>
      <c r="AB966" s="246"/>
      <c r="AC966" s="246"/>
      <c r="AD966" s="246"/>
    </row>
    <row r="967" spans="26:30">
      <c r="Z967" s="246"/>
      <c r="AA967" s="246"/>
      <c r="AB967" s="246"/>
      <c r="AC967" s="246"/>
      <c r="AD967" s="246"/>
    </row>
    <row r="968" spans="26:30">
      <c r="Z968" s="246"/>
      <c r="AA968" s="246"/>
      <c r="AB968" s="246"/>
      <c r="AC968" s="246"/>
      <c r="AD968" s="246"/>
    </row>
    <row r="969" spans="26:30">
      <c r="Z969" s="246"/>
      <c r="AA969" s="246"/>
      <c r="AB969" s="246"/>
      <c r="AC969" s="246"/>
      <c r="AD969" s="246"/>
    </row>
    <row r="970" spans="26:30">
      <c r="Z970" s="246"/>
      <c r="AA970" s="246"/>
      <c r="AB970" s="246"/>
      <c r="AC970" s="246"/>
      <c r="AD970" s="246"/>
    </row>
    <row r="971" spans="26:30">
      <c r="Z971" s="246"/>
      <c r="AA971" s="246"/>
      <c r="AB971" s="246"/>
      <c r="AC971" s="246"/>
      <c r="AD971" s="246"/>
    </row>
    <row r="972" spans="26:30">
      <c r="Z972" s="246"/>
      <c r="AA972" s="246"/>
      <c r="AB972" s="246"/>
      <c r="AC972" s="246"/>
      <c r="AD972" s="246"/>
    </row>
    <row r="973" spans="26:30">
      <c r="Z973" s="246"/>
      <c r="AA973" s="246"/>
      <c r="AB973" s="246"/>
      <c r="AC973" s="246"/>
      <c r="AD973" s="246"/>
    </row>
    <row r="974" spans="26:30">
      <c r="Z974" s="246"/>
      <c r="AA974" s="246"/>
      <c r="AB974" s="246"/>
      <c r="AC974" s="246"/>
      <c r="AD974" s="246"/>
    </row>
    <row r="975" spans="26:30">
      <c r="Z975" s="246"/>
      <c r="AA975" s="246"/>
      <c r="AB975" s="246"/>
      <c r="AC975" s="246"/>
      <c r="AD975" s="246"/>
    </row>
    <row r="976" spans="26:30">
      <c r="Z976" s="246"/>
      <c r="AA976" s="246"/>
      <c r="AB976" s="246"/>
      <c r="AC976" s="246"/>
      <c r="AD976" s="246"/>
    </row>
    <row r="977" spans="26:30">
      <c r="Z977" s="246"/>
      <c r="AA977" s="246"/>
      <c r="AB977" s="246"/>
      <c r="AC977" s="246"/>
      <c r="AD977" s="246"/>
    </row>
    <row r="978" spans="26:30">
      <c r="Z978" s="246"/>
      <c r="AA978" s="246"/>
      <c r="AB978" s="246"/>
      <c r="AC978" s="246"/>
      <c r="AD978" s="246"/>
    </row>
    <row r="979" spans="26:30">
      <c r="Z979" s="246"/>
      <c r="AA979" s="246"/>
      <c r="AB979" s="246"/>
      <c r="AC979" s="246"/>
      <c r="AD979" s="246"/>
    </row>
    <row r="980" spans="26:30">
      <c r="Z980" s="246"/>
      <c r="AA980" s="246"/>
      <c r="AB980" s="246"/>
      <c r="AC980" s="246"/>
      <c r="AD980" s="246"/>
    </row>
    <row r="981" spans="26:30">
      <c r="Z981" s="246"/>
      <c r="AA981" s="246"/>
      <c r="AB981" s="246"/>
      <c r="AC981" s="246"/>
      <c r="AD981" s="246"/>
    </row>
    <row r="982" spans="26:30">
      <c r="Z982" s="246"/>
      <c r="AA982" s="246"/>
      <c r="AB982" s="246"/>
      <c r="AC982" s="246"/>
      <c r="AD982" s="246"/>
    </row>
    <row r="983" spans="26:30">
      <c r="Z983" s="246"/>
      <c r="AA983" s="246"/>
      <c r="AB983" s="246"/>
      <c r="AC983" s="246"/>
      <c r="AD983" s="246"/>
    </row>
    <row r="984" spans="26:30">
      <c r="Z984" s="246"/>
      <c r="AA984" s="246"/>
      <c r="AB984" s="246"/>
      <c r="AC984" s="246"/>
      <c r="AD984" s="246"/>
    </row>
    <row r="985" spans="26:30">
      <c r="Z985" s="246"/>
      <c r="AA985" s="246"/>
      <c r="AB985" s="246"/>
      <c r="AC985" s="246"/>
      <c r="AD985" s="246"/>
    </row>
    <row r="986" spans="26:30">
      <c r="Z986" s="246"/>
      <c r="AA986" s="246"/>
      <c r="AB986" s="246"/>
      <c r="AC986" s="246"/>
      <c r="AD986" s="246"/>
    </row>
    <row r="987" spans="26:30">
      <c r="Z987" s="246"/>
      <c r="AA987" s="246"/>
      <c r="AB987" s="246"/>
      <c r="AC987" s="246"/>
      <c r="AD987" s="246"/>
    </row>
    <row r="988" spans="26:30">
      <c r="Z988" s="246"/>
      <c r="AA988" s="246"/>
      <c r="AB988" s="246"/>
      <c r="AC988" s="246"/>
      <c r="AD988" s="246"/>
    </row>
    <row r="989" spans="26:30">
      <c r="Z989" s="246"/>
      <c r="AA989" s="246"/>
      <c r="AB989" s="246"/>
      <c r="AC989" s="246"/>
      <c r="AD989" s="246"/>
    </row>
    <row r="990" spans="26:30">
      <c r="Z990" s="246"/>
      <c r="AA990" s="246"/>
      <c r="AB990" s="246"/>
      <c r="AC990" s="246"/>
      <c r="AD990" s="246"/>
    </row>
    <row r="991" spans="26:30">
      <c r="Z991" s="246"/>
      <c r="AA991" s="246"/>
      <c r="AB991" s="246"/>
      <c r="AC991" s="246"/>
      <c r="AD991" s="246"/>
    </row>
    <row r="992" spans="26:30">
      <c r="Z992" s="246"/>
      <c r="AA992" s="246"/>
      <c r="AB992" s="246"/>
      <c r="AC992" s="246"/>
      <c r="AD992" s="246"/>
    </row>
    <row r="993" spans="26:30">
      <c r="Z993" s="246"/>
      <c r="AA993" s="246"/>
      <c r="AB993" s="246"/>
      <c r="AC993" s="246"/>
      <c r="AD993" s="246"/>
    </row>
    <row r="994" spans="26:30">
      <c r="Z994" s="246"/>
      <c r="AA994" s="246"/>
      <c r="AB994" s="246"/>
      <c r="AC994" s="246"/>
      <c r="AD994" s="246"/>
    </row>
    <row r="995" spans="26:30">
      <c r="Z995" s="246"/>
      <c r="AA995" s="246"/>
      <c r="AB995" s="246"/>
      <c r="AC995" s="246"/>
      <c r="AD995" s="246"/>
    </row>
    <row r="996" spans="26:30">
      <c r="Z996" s="246"/>
      <c r="AA996" s="246"/>
      <c r="AB996" s="246"/>
      <c r="AC996" s="246"/>
      <c r="AD996" s="246"/>
    </row>
    <row r="997" spans="26:30">
      <c r="Z997" s="246"/>
      <c r="AA997" s="246"/>
      <c r="AB997" s="246"/>
      <c r="AC997" s="246"/>
      <c r="AD997" s="246"/>
    </row>
    <row r="998" spans="26:30">
      <c r="Z998" s="246"/>
      <c r="AA998" s="246"/>
      <c r="AB998" s="246"/>
      <c r="AC998" s="246"/>
      <c r="AD998" s="246"/>
    </row>
    <row r="999" spans="26:30">
      <c r="Z999" s="246"/>
      <c r="AA999" s="246"/>
      <c r="AB999" s="246"/>
      <c r="AC999" s="246"/>
      <c r="AD999" s="246"/>
    </row>
    <row r="1000" spans="26:30">
      <c r="Z1000" s="246"/>
      <c r="AA1000" s="246"/>
      <c r="AB1000" s="246"/>
      <c r="AC1000" s="246"/>
      <c r="AD1000" s="246"/>
    </row>
    <row r="1001" spans="26:30">
      <c r="Z1001" s="246"/>
      <c r="AA1001" s="246"/>
      <c r="AB1001" s="246"/>
      <c r="AC1001" s="246"/>
      <c r="AD1001" s="246"/>
    </row>
    <row r="1002" spans="26:30">
      <c r="Z1002" s="246"/>
      <c r="AA1002" s="246"/>
      <c r="AB1002" s="246"/>
      <c r="AC1002" s="246"/>
      <c r="AD1002" s="246"/>
    </row>
    <row r="1003" spans="26:30">
      <c r="Z1003" s="246"/>
      <c r="AA1003" s="246"/>
      <c r="AB1003" s="246"/>
      <c r="AC1003" s="246"/>
      <c r="AD1003" s="246"/>
    </row>
    <row r="1004" spans="26:30">
      <c r="Z1004" s="246"/>
      <c r="AA1004" s="246"/>
      <c r="AB1004" s="246"/>
      <c r="AC1004" s="246"/>
      <c r="AD1004" s="246"/>
    </row>
    <row r="1005" spans="26:30">
      <c r="Z1005" s="246"/>
      <c r="AA1005" s="246"/>
      <c r="AB1005" s="246"/>
      <c r="AC1005" s="246"/>
      <c r="AD1005" s="246"/>
    </row>
    <row r="1006" spans="26:30">
      <c r="Z1006" s="246"/>
      <c r="AA1006" s="246"/>
      <c r="AB1006" s="246"/>
      <c r="AC1006" s="246"/>
      <c r="AD1006" s="246"/>
    </row>
    <row r="1007" spans="26:30">
      <c r="Z1007" s="246"/>
      <c r="AA1007" s="246"/>
      <c r="AB1007" s="246"/>
      <c r="AC1007" s="246"/>
      <c r="AD1007" s="246"/>
    </row>
    <row r="1008" spans="26:30">
      <c r="Z1008" s="246"/>
      <c r="AA1008" s="246"/>
      <c r="AB1008" s="246"/>
      <c r="AC1008" s="246"/>
      <c r="AD1008" s="246"/>
    </row>
    <row r="1009" spans="26:30">
      <c r="Z1009" s="246"/>
      <c r="AA1009" s="246"/>
      <c r="AB1009" s="246"/>
      <c r="AC1009" s="246"/>
      <c r="AD1009" s="246"/>
    </row>
    <row r="1010" spans="26:30">
      <c r="Z1010" s="246"/>
      <c r="AA1010" s="246"/>
      <c r="AB1010" s="246"/>
      <c r="AC1010" s="246"/>
      <c r="AD1010" s="246"/>
    </row>
    <row r="1011" spans="26:30">
      <c r="Z1011" s="246"/>
      <c r="AA1011" s="246"/>
      <c r="AB1011" s="246"/>
      <c r="AC1011" s="246"/>
      <c r="AD1011" s="246"/>
    </row>
    <row r="1012" spans="26:30">
      <c r="Z1012" s="246"/>
      <c r="AA1012" s="246"/>
      <c r="AB1012" s="246"/>
      <c r="AC1012" s="246"/>
      <c r="AD1012" s="246"/>
    </row>
    <row r="1013" spans="26:30">
      <c r="Z1013" s="246"/>
      <c r="AA1013" s="246"/>
      <c r="AB1013" s="246"/>
      <c r="AC1013" s="246"/>
      <c r="AD1013" s="246"/>
    </row>
    <row r="1014" spans="26:30">
      <c r="Z1014" s="246"/>
      <c r="AA1014" s="246"/>
      <c r="AB1014" s="246"/>
      <c r="AC1014" s="246"/>
      <c r="AD1014" s="246"/>
    </row>
    <row r="1015" spans="26:30">
      <c r="Z1015" s="246"/>
      <c r="AA1015" s="246"/>
      <c r="AB1015" s="246"/>
      <c r="AC1015" s="246"/>
      <c r="AD1015" s="246"/>
    </row>
    <row r="1016" spans="26:30">
      <c r="Z1016" s="246"/>
      <c r="AA1016" s="246"/>
      <c r="AB1016" s="246"/>
      <c r="AC1016" s="246"/>
      <c r="AD1016" s="246"/>
    </row>
    <row r="1017" spans="26:30">
      <c r="Z1017" s="246"/>
      <c r="AA1017" s="246"/>
      <c r="AB1017" s="246"/>
      <c r="AC1017" s="246"/>
      <c r="AD1017" s="246"/>
    </row>
    <row r="1018" spans="26:30">
      <c r="Z1018" s="246"/>
      <c r="AA1018" s="246"/>
      <c r="AB1018" s="246"/>
      <c r="AC1018" s="246"/>
      <c r="AD1018" s="246"/>
    </row>
    <row r="1019" spans="26:30">
      <c r="Z1019" s="246"/>
      <c r="AA1019" s="246"/>
      <c r="AB1019" s="246"/>
      <c r="AC1019" s="246"/>
      <c r="AD1019" s="246"/>
    </row>
    <row r="1020" spans="26:30">
      <c r="Z1020" s="246"/>
      <c r="AA1020" s="246"/>
      <c r="AB1020" s="246"/>
      <c r="AC1020" s="246"/>
      <c r="AD1020" s="246"/>
    </row>
    <row r="1021" spans="26:30">
      <c r="Z1021" s="246"/>
      <c r="AA1021" s="246"/>
      <c r="AB1021" s="246"/>
      <c r="AC1021" s="246"/>
      <c r="AD1021" s="246"/>
    </row>
    <row r="1022" spans="26:30">
      <c r="Z1022" s="246"/>
      <c r="AA1022" s="246"/>
      <c r="AB1022" s="246"/>
      <c r="AC1022" s="246"/>
      <c r="AD1022" s="246"/>
    </row>
    <row r="1023" spans="26:30">
      <c r="Z1023" s="246"/>
      <c r="AA1023" s="246"/>
      <c r="AB1023" s="246"/>
      <c r="AC1023" s="246"/>
      <c r="AD1023" s="246"/>
    </row>
    <row r="1024" spans="26:30">
      <c r="Z1024" s="246"/>
      <c r="AA1024" s="246"/>
      <c r="AB1024" s="246"/>
      <c r="AC1024" s="246"/>
      <c r="AD1024" s="246"/>
    </row>
    <row r="1025" spans="26:30">
      <c r="Z1025" s="246"/>
      <c r="AA1025" s="246"/>
      <c r="AB1025" s="246"/>
      <c r="AC1025" s="246"/>
      <c r="AD1025" s="246"/>
    </row>
    <row r="1026" spans="26:30">
      <c r="Z1026" s="246"/>
      <c r="AA1026" s="246"/>
      <c r="AB1026" s="246"/>
      <c r="AC1026" s="246"/>
      <c r="AD1026" s="246"/>
    </row>
    <row r="1027" spans="26:30">
      <c r="Z1027" s="246"/>
      <c r="AA1027" s="246"/>
      <c r="AB1027" s="246"/>
      <c r="AC1027" s="246"/>
      <c r="AD1027" s="246"/>
    </row>
    <row r="1028" spans="26:30">
      <c r="Z1028" s="246"/>
      <c r="AA1028" s="246"/>
      <c r="AB1028" s="246"/>
      <c r="AC1028" s="246"/>
      <c r="AD1028" s="246"/>
    </row>
    <row r="1029" spans="26:30">
      <c r="Z1029" s="246"/>
      <c r="AA1029" s="246"/>
      <c r="AB1029" s="246"/>
      <c r="AC1029" s="246"/>
      <c r="AD1029" s="246"/>
    </row>
    <row r="1030" spans="26:30">
      <c r="Z1030" s="246"/>
      <c r="AA1030" s="246"/>
      <c r="AB1030" s="246"/>
      <c r="AC1030" s="246"/>
      <c r="AD1030" s="246"/>
    </row>
    <row r="1031" spans="26:30">
      <c r="Z1031" s="246"/>
      <c r="AA1031" s="246"/>
      <c r="AB1031" s="246"/>
      <c r="AC1031" s="246"/>
      <c r="AD1031" s="246"/>
    </row>
    <row r="1032" spans="26:30">
      <c r="Z1032" s="246"/>
      <c r="AA1032" s="246"/>
      <c r="AB1032" s="246"/>
      <c r="AC1032" s="246"/>
      <c r="AD1032" s="246"/>
    </row>
    <row r="1033" spans="26:30">
      <c r="Z1033" s="246"/>
      <c r="AA1033" s="246"/>
      <c r="AB1033" s="246"/>
      <c r="AC1033" s="246"/>
      <c r="AD1033" s="246"/>
    </row>
    <row r="1034" spans="26:30">
      <c r="Z1034" s="246"/>
      <c r="AA1034" s="246"/>
      <c r="AB1034" s="246"/>
      <c r="AC1034" s="246"/>
      <c r="AD1034" s="246"/>
    </row>
    <row r="1035" spans="26:30">
      <c r="Z1035" s="246"/>
      <c r="AA1035" s="246"/>
      <c r="AB1035" s="246"/>
      <c r="AC1035" s="246"/>
      <c r="AD1035" s="246"/>
    </row>
    <row r="1036" spans="26:30">
      <c r="Z1036" s="246"/>
      <c r="AA1036" s="246"/>
      <c r="AB1036" s="246"/>
      <c r="AC1036" s="246"/>
      <c r="AD1036" s="246"/>
    </row>
    <row r="1037" spans="26:30">
      <c r="Z1037" s="246"/>
      <c r="AA1037" s="246"/>
      <c r="AB1037" s="246"/>
      <c r="AC1037" s="246"/>
      <c r="AD1037" s="246"/>
    </row>
    <row r="1038" spans="26:30">
      <c r="Z1038" s="246"/>
      <c r="AA1038" s="246"/>
      <c r="AB1038" s="246"/>
      <c r="AC1038" s="246"/>
      <c r="AD1038" s="246"/>
    </row>
    <row r="1039" spans="26:30">
      <c r="Z1039" s="246"/>
      <c r="AA1039" s="246"/>
      <c r="AB1039" s="246"/>
      <c r="AC1039" s="246"/>
      <c r="AD1039" s="246"/>
    </row>
    <row r="1040" spans="26:30">
      <c r="Z1040" s="246"/>
      <c r="AA1040" s="246"/>
      <c r="AB1040" s="246"/>
      <c r="AC1040" s="246"/>
      <c r="AD1040" s="246"/>
    </row>
    <row r="1041" spans="26:30">
      <c r="Z1041" s="246"/>
      <c r="AA1041" s="246"/>
      <c r="AB1041" s="246"/>
      <c r="AC1041" s="246"/>
      <c r="AD1041" s="246"/>
    </row>
    <row r="1042" spans="26:30">
      <c r="Z1042" s="246"/>
      <c r="AA1042" s="246"/>
      <c r="AB1042" s="246"/>
      <c r="AC1042" s="246"/>
      <c r="AD1042" s="246"/>
    </row>
    <row r="1043" spans="26:30">
      <c r="Z1043" s="246"/>
      <c r="AA1043" s="246"/>
      <c r="AB1043" s="246"/>
      <c r="AC1043" s="246"/>
      <c r="AD1043" s="246"/>
    </row>
    <row r="1044" spans="26:30">
      <c r="Z1044" s="246"/>
      <c r="AA1044" s="246"/>
      <c r="AB1044" s="246"/>
      <c r="AC1044" s="246"/>
      <c r="AD1044" s="246"/>
    </row>
    <row r="1045" spans="26:30">
      <c r="Z1045" s="246"/>
      <c r="AA1045" s="246"/>
      <c r="AB1045" s="246"/>
      <c r="AC1045" s="246"/>
      <c r="AD1045" s="246"/>
    </row>
    <row r="1046" spans="26:30">
      <c r="Z1046" s="246"/>
      <c r="AA1046" s="246"/>
      <c r="AB1046" s="246"/>
      <c r="AC1046" s="246"/>
      <c r="AD1046" s="246"/>
    </row>
    <row r="1047" spans="26:30">
      <c r="Z1047" s="246"/>
      <c r="AA1047" s="246"/>
      <c r="AB1047" s="246"/>
      <c r="AC1047" s="246"/>
      <c r="AD1047" s="246"/>
    </row>
    <row r="1048" spans="26:30">
      <c r="Z1048" s="246"/>
      <c r="AA1048" s="246"/>
      <c r="AB1048" s="246"/>
      <c r="AC1048" s="246"/>
      <c r="AD1048" s="246"/>
    </row>
    <row r="1049" spans="26:30">
      <c r="Z1049" s="246"/>
      <c r="AA1049" s="246"/>
      <c r="AB1049" s="246"/>
      <c r="AC1049" s="246"/>
      <c r="AD1049" s="246"/>
    </row>
    <row r="1050" spans="26:30">
      <c r="Z1050" s="246"/>
      <c r="AA1050" s="246"/>
      <c r="AB1050" s="246"/>
      <c r="AC1050" s="246"/>
      <c r="AD1050" s="246"/>
    </row>
    <row r="1051" spans="26:30">
      <c r="Z1051" s="246"/>
      <c r="AA1051" s="246"/>
      <c r="AB1051" s="246"/>
      <c r="AC1051" s="246"/>
      <c r="AD1051" s="246"/>
    </row>
    <row r="1052" spans="26:30">
      <c r="Z1052" s="246"/>
      <c r="AA1052" s="246"/>
      <c r="AB1052" s="246"/>
      <c r="AC1052" s="246"/>
      <c r="AD1052" s="246"/>
    </row>
    <row r="1053" spans="26:30">
      <c r="Z1053" s="246"/>
      <c r="AA1053" s="246"/>
      <c r="AB1053" s="246"/>
      <c r="AC1053" s="246"/>
      <c r="AD1053" s="246"/>
    </row>
    <row r="1054" spans="26:30">
      <c r="Z1054" s="246"/>
      <c r="AA1054" s="246"/>
      <c r="AB1054" s="246"/>
      <c r="AC1054" s="246"/>
      <c r="AD1054" s="246"/>
    </row>
    <row r="1055" spans="26:30">
      <c r="Z1055" s="246"/>
      <c r="AA1055" s="246"/>
      <c r="AB1055" s="246"/>
      <c r="AC1055" s="246"/>
      <c r="AD1055" s="246"/>
    </row>
    <row r="1056" spans="26:30">
      <c r="Z1056" s="246"/>
      <c r="AA1056" s="246"/>
      <c r="AB1056" s="246"/>
      <c r="AC1056" s="246"/>
      <c r="AD1056" s="246"/>
    </row>
    <row r="1057" spans="26:30">
      <c r="Z1057" s="246"/>
      <c r="AA1057" s="246"/>
      <c r="AB1057" s="246"/>
      <c r="AC1057" s="246"/>
      <c r="AD1057" s="246"/>
    </row>
    <row r="1058" spans="26:30">
      <c r="Z1058" s="246"/>
      <c r="AA1058" s="246"/>
      <c r="AB1058" s="246"/>
      <c r="AC1058" s="246"/>
      <c r="AD1058" s="246"/>
    </row>
    <row r="1059" spans="26:30">
      <c r="Z1059" s="246"/>
      <c r="AA1059" s="246"/>
      <c r="AB1059" s="246"/>
      <c r="AC1059" s="246"/>
      <c r="AD1059" s="246"/>
    </row>
    <row r="1060" spans="26:30">
      <c r="Z1060" s="246"/>
      <c r="AA1060" s="246"/>
      <c r="AB1060" s="246"/>
      <c r="AC1060" s="246"/>
      <c r="AD1060" s="246"/>
    </row>
    <row r="1061" spans="26:30">
      <c r="Z1061" s="246"/>
      <c r="AA1061" s="246"/>
      <c r="AB1061" s="246"/>
      <c r="AC1061" s="246"/>
      <c r="AD1061" s="246"/>
    </row>
    <row r="1062" spans="26:30">
      <c r="Z1062" s="246"/>
      <c r="AA1062" s="246"/>
      <c r="AB1062" s="246"/>
      <c r="AC1062" s="246"/>
      <c r="AD1062" s="246"/>
    </row>
    <row r="1063" spans="26:30">
      <c r="Z1063" s="246"/>
      <c r="AA1063" s="246"/>
      <c r="AB1063" s="246"/>
      <c r="AC1063" s="246"/>
      <c r="AD1063" s="246"/>
    </row>
    <row r="1064" spans="26:30">
      <c r="Z1064" s="246"/>
      <c r="AA1064" s="246"/>
      <c r="AB1064" s="246"/>
      <c r="AC1064" s="246"/>
      <c r="AD1064" s="246"/>
    </row>
    <row r="1065" spans="26:30">
      <c r="Z1065" s="246"/>
      <c r="AA1065" s="246"/>
      <c r="AB1065" s="246"/>
      <c r="AC1065" s="246"/>
      <c r="AD1065" s="246"/>
    </row>
    <row r="1066" spans="26:30">
      <c r="Z1066" s="246"/>
      <c r="AA1066" s="246"/>
      <c r="AB1066" s="246"/>
      <c r="AC1066" s="246"/>
      <c r="AD1066" s="246"/>
    </row>
    <row r="1067" spans="26:30">
      <c r="Z1067" s="246"/>
      <c r="AA1067" s="246"/>
      <c r="AB1067" s="246"/>
      <c r="AC1067" s="246"/>
      <c r="AD1067" s="246"/>
    </row>
    <row r="1068" spans="26:30">
      <c r="Z1068" s="246"/>
      <c r="AA1068" s="246"/>
      <c r="AB1068" s="246"/>
      <c r="AC1068" s="246"/>
      <c r="AD1068" s="246"/>
    </row>
    <row r="1069" spans="26:30">
      <c r="Z1069" s="246"/>
      <c r="AA1069" s="246"/>
      <c r="AB1069" s="246"/>
      <c r="AC1069" s="246"/>
      <c r="AD1069" s="246"/>
    </row>
    <row r="1070" spans="26:30">
      <c r="Z1070" s="246"/>
      <c r="AA1070" s="246"/>
      <c r="AB1070" s="246"/>
      <c r="AC1070" s="246"/>
      <c r="AD1070" s="246"/>
    </row>
    <row r="1071" spans="26:30">
      <c r="Z1071" s="246"/>
      <c r="AA1071" s="246"/>
      <c r="AB1071" s="246"/>
      <c r="AC1071" s="246"/>
      <c r="AD1071" s="246"/>
    </row>
    <row r="1072" spans="26:30">
      <c r="Z1072" s="246"/>
      <c r="AA1072" s="246"/>
      <c r="AB1072" s="246"/>
      <c r="AC1072" s="246"/>
      <c r="AD1072" s="246"/>
    </row>
    <row r="1073" spans="26:30">
      <c r="Z1073" s="246"/>
      <c r="AA1073" s="246"/>
      <c r="AB1073" s="246"/>
      <c r="AC1073" s="246"/>
      <c r="AD1073" s="246"/>
    </row>
    <row r="1074" spans="26:30">
      <c r="Z1074" s="246"/>
      <c r="AA1074" s="246"/>
      <c r="AB1074" s="246"/>
      <c r="AC1074" s="246"/>
      <c r="AD1074" s="246"/>
    </row>
    <row r="1075" spans="26:30">
      <c r="Z1075" s="246"/>
      <c r="AA1075" s="246"/>
      <c r="AB1075" s="246"/>
      <c r="AC1075" s="246"/>
      <c r="AD1075" s="246"/>
    </row>
    <row r="1076" spans="26:30">
      <c r="Z1076" s="246"/>
      <c r="AA1076" s="246"/>
      <c r="AB1076" s="246"/>
      <c r="AC1076" s="246"/>
      <c r="AD1076" s="246"/>
    </row>
    <row r="1077" spans="26:30">
      <c r="Z1077" s="246"/>
      <c r="AA1077" s="246"/>
      <c r="AB1077" s="246"/>
      <c r="AC1077" s="246"/>
      <c r="AD1077" s="246"/>
    </row>
    <row r="1078" spans="26:30">
      <c r="Z1078" s="246"/>
      <c r="AA1078" s="246"/>
      <c r="AB1078" s="246"/>
      <c r="AC1078" s="246"/>
      <c r="AD1078" s="246"/>
    </row>
    <row r="1079" spans="26:30">
      <c r="Z1079" s="246"/>
      <c r="AA1079" s="246"/>
      <c r="AB1079" s="246"/>
      <c r="AC1079" s="246"/>
      <c r="AD1079" s="246"/>
    </row>
    <row r="1080" spans="26:30">
      <c r="Z1080" s="246"/>
      <c r="AA1080" s="246"/>
      <c r="AB1080" s="246"/>
      <c r="AC1080" s="246"/>
      <c r="AD1080" s="246"/>
    </row>
    <row r="1081" spans="26:30">
      <c r="Z1081" s="246"/>
      <c r="AA1081" s="246"/>
      <c r="AB1081" s="246"/>
      <c r="AC1081" s="246"/>
      <c r="AD1081" s="246"/>
    </row>
    <row r="1082" spans="26:30">
      <c r="Z1082" s="246"/>
      <c r="AA1082" s="246"/>
      <c r="AB1082" s="246"/>
      <c r="AC1082" s="246"/>
      <c r="AD1082" s="246"/>
    </row>
    <row r="1083" spans="26:30">
      <c r="Z1083" s="246"/>
      <c r="AA1083" s="246"/>
      <c r="AB1083" s="246"/>
      <c r="AC1083" s="246"/>
      <c r="AD1083" s="246"/>
    </row>
    <row r="1084" spans="26:30">
      <c r="Z1084" s="246"/>
      <c r="AA1084" s="246"/>
      <c r="AB1084" s="246"/>
      <c r="AC1084" s="246"/>
      <c r="AD1084" s="246"/>
    </row>
    <row r="1085" spans="26:30">
      <c r="Z1085" s="246"/>
      <c r="AA1085" s="246"/>
      <c r="AB1085" s="246"/>
      <c r="AC1085" s="246"/>
      <c r="AD1085" s="246"/>
    </row>
    <row r="1086" spans="26:30">
      <c r="Z1086" s="246"/>
      <c r="AA1086" s="246"/>
      <c r="AB1086" s="246"/>
      <c r="AC1086" s="246"/>
      <c r="AD1086" s="246"/>
    </row>
    <row r="1087" spans="26:30">
      <c r="Z1087" s="246"/>
      <c r="AA1087" s="246"/>
      <c r="AB1087" s="246"/>
      <c r="AC1087" s="246"/>
      <c r="AD1087" s="246"/>
    </row>
    <row r="1088" spans="26:30">
      <c r="Z1088" s="246"/>
      <c r="AA1088" s="246"/>
      <c r="AB1088" s="246"/>
      <c r="AC1088" s="246"/>
      <c r="AD1088" s="246"/>
    </row>
    <row r="1089" spans="26:30">
      <c r="Z1089" s="246"/>
      <c r="AA1089" s="246"/>
      <c r="AB1089" s="246"/>
      <c r="AC1089" s="246"/>
      <c r="AD1089" s="246"/>
    </row>
    <row r="1090" spans="26:30">
      <c r="Z1090" s="246"/>
      <c r="AA1090" s="246"/>
      <c r="AB1090" s="246"/>
      <c r="AC1090" s="246"/>
      <c r="AD1090" s="246"/>
    </row>
    <row r="1091" spans="26:30">
      <c r="Z1091" s="246"/>
      <c r="AA1091" s="246"/>
      <c r="AB1091" s="246"/>
      <c r="AC1091" s="246"/>
      <c r="AD1091" s="246"/>
    </row>
    <row r="1092" spans="26:30">
      <c r="Z1092" s="246"/>
      <c r="AA1092" s="246"/>
      <c r="AB1092" s="246"/>
      <c r="AC1092" s="246"/>
      <c r="AD1092" s="246"/>
    </row>
    <row r="1093" spans="26:30">
      <c r="Z1093" s="246"/>
      <c r="AA1093" s="246"/>
      <c r="AB1093" s="246"/>
      <c r="AC1093" s="246"/>
      <c r="AD1093" s="246"/>
    </row>
    <row r="1094" spans="26:30">
      <c r="Z1094" s="246"/>
      <c r="AA1094" s="246"/>
      <c r="AB1094" s="246"/>
      <c r="AC1094" s="246"/>
      <c r="AD1094" s="246"/>
    </row>
    <row r="1095" spans="26:30">
      <c r="Z1095" s="246"/>
      <c r="AA1095" s="246"/>
      <c r="AB1095" s="246"/>
      <c r="AC1095" s="246"/>
      <c r="AD1095" s="246"/>
    </row>
    <row r="1096" spans="26:30">
      <c r="Z1096" s="246"/>
      <c r="AA1096" s="246"/>
      <c r="AB1096" s="246"/>
      <c r="AC1096" s="246"/>
      <c r="AD1096" s="246"/>
    </row>
    <row r="1097" spans="26:30">
      <c r="Z1097" s="246"/>
      <c r="AA1097" s="246"/>
      <c r="AB1097" s="246"/>
      <c r="AC1097" s="246"/>
      <c r="AD1097" s="246"/>
    </row>
    <row r="1098" spans="26:30">
      <c r="Z1098" s="246"/>
      <c r="AA1098" s="246"/>
      <c r="AB1098" s="246"/>
      <c r="AC1098" s="246"/>
      <c r="AD1098" s="246"/>
    </row>
    <row r="1099" spans="26:30">
      <c r="Z1099" s="246"/>
      <c r="AA1099" s="246"/>
      <c r="AB1099" s="246"/>
      <c r="AC1099" s="246"/>
      <c r="AD1099" s="246"/>
    </row>
    <row r="1100" spans="26:30">
      <c r="Z1100" s="246"/>
      <c r="AA1100" s="246"/>
      <c r="AB1100" s="246"/>
      <c r="AC1100" s="246"/>
      <c r="AD1100" s="246"/>
    </row>
    <row r="1101" spans="26:30">
      <c r="Z1101" s="246"/>
      <c r="AA1101" s="246"/>
      <c r="AB1101" s="246"/>
      <c r="AC1101" s="246"/>
      <c r="AD1101" s="246"/>
    </row>
    <row r="1102" spans="26:30">
      <c r="Z1102" s="246"/>
      <c r="AA1102" s="246"/>
      <c r="AB1102" s="246"/>
      <c r="AC1102" s="246"/>
      <c r="AD1102" s="246"/>
    </row>
    <row r="1103" spans="26:30">
      <c r="Z1103" s="246"/>
      <c r="AA1103" s="246"/>
      <c r="AB1103" s="246"/>
      <c r="AC1103" s="246"/>
      <c r="AD1103" s="246"/>
    </row>
    <row r="1104" spans="26:30">
      <c r="Z1104" s="246"/>
      <c r="AA1104" s="246"/>
      <c r="AB1104" s="246"/>
      <c r="AC1104" s="246"/>
      <c r="AD1104" s="246"/>
    </row>
    <row r="1105" spans="26:30">
      <c r="Z1105" s="246"/>
      <c r="AA1105" s="246"/>
      <c r="AB1105" s="246"/>
      <c r="AC1105" s="246"/>
      <c r="AD1105" s="246"/>
    </row>
    <row r="1106" spans="26:30">
      <c r="Z1106" s="246"/>
      <c r="AA1106" s="246"/>
      <c r="AB1106" s="246"/>
      <c r="AC1106" s="246"/>
      <c r="AD1106" s="246"/>
    </row>
    <row r="1107" spans="26:30">
      <c r="Z1107" s="246"/>
      <c r="AA1107" s="246"/>
      <c r="AB1107" s="246"/>
      <c r="AC1107" s="246"/>
      <c r="AD1107" s="246"/>
    </row>
    <row r="1108" spans="26:30">
      <c r="Z1108" s="246"/>
      <c r="AA1108" s="246"/>
      <c r="AB1108" s="246"/>
      <c r="AC1108" s="246"/>
      <c r="AD1108" s="246"/>
    </row>
    <row r="1109" spans="26:30">
      <c r="Z1109" s="246"/>
      <c r="AA1109" s="246"/>
      <c r="AB1109" s="246"/>
      <c r="AC1109" s="246"/>
      <c r="AD1109" s="246"/>
    </row>
    <row r="1110" spans="26:30">
      <c r="Z1110" s="246"/>
      <c r="AA1110" s="246"/>
      <c r="AB1110" s="246"/>
      <c r="AC1110" s="246"/>
      <c r="AD1110" s="246"/>
    </row>
    <row r="1111" spans="26:30">
      <c r="Z1111" s="246"/>
      <c r="AA1111" s="246"/>
      <c r="AB1111" s="246"/>
      <c r="AC1111" s="246"/>
      <c r="AD1111" s="246"/>
    </row>
    <row r="1112" spans="26:30">
      <c r="Z1112" s="246"/>
      <c r="AA1112" s="246"/>
      <c r="AB1112" s="246"/>
      <c r="AC1112" s="246"/>
      <c r="AD1112" s="246"/>
    </row>
    <row r="1113" spans="26:30">
      <c r="Z1113" s="246"/>
      <c r="AA1113" s="246"/>
      <c r="AB1113" s="246"/>
      <c r="AC1113" s="246"/>
      <c r="AD1113" s="246"/>
    </row>
    <row r="1114" spans="26:30">
      <c r="Z1114" s="246"/>
      <c r="AA1114" s="246"/>
      <c r="AB1114" s="246"/>
      <c r="AC1114" s="246"/>
      <c r="AD1114" s="246"/>
    </row>
    <row r="1115" spans="26:30">
      <c r="Z1115" s="246"/>
      <c r="AA1115" s="246"/>
      <c r="AB1115" s="246"/>
      <c r="AC1115" s="246"/>
      <c r="AD1115" s="246"/>
    </row>
    <row r="1116" spans="26:30">
      <c r="Z1116" s="246"/>
      <c r="AA1116" s="246"/>
      <c r="AB1116" s="246"/>
      <c r="AC1116" s="246"/>
      <c r="AD1116" s="246"/>
    </row>
    <row r="1117" spans="26:30">
      <c r="Z1117" s="246"/>
      <c r="AA1117" s="246"/>
      <c r="AB1117" s="246"/>
      <c r="AC1117" s="246"/>
      <c r="AD1117" s="246"/>
    </row>
    <row r="1118" spans="26:30">
      <c r="Z1118" s="246"/>
      <c r="AA1118" s="246"/>
      <c r="AB1118" s="246"/>
      <c r="AC1118" s="246"/>
      <c r="AD1118" s="246"/>
    </row>
    <row r="1119" spans="26:30">
      <c r="Z1119" s="246"/>
      <c r="AA1119" s="246"/>
      <c r="AB1119" s="246"/>
      <c r="AC1119" s="246"/>
      <c r="AD1119" s="246"/>
    </row>
    <row r="1120" spans="26:30">
      <c r="Z1120" s="246"/>
      <c r="AA1120" s="246"/>
      <c r="AB1120" s="246"/>
      <c r="AC1120" s="246"/>
      <c r="AD1120" s="246"/>
    </row>
    <row r="1121" spans="26:30">
      <c r="Z1121" s="246"/>
      <c r="AA1121" s="246"/>
      <c r="AB1121" s="246"/>
      <c r="AC1121" s="246"/>
      <c r="AD1121" s="246"/>
    </row>
    <row r="1122" spans="26:30">
      <c r="Z1122" s="246"/>
      <c r="AA1122" s="246"/>
      <c r="AB1122" s="246"/>
      <c r="AC1122" s="246"/>
      <c r="AD1122" s="246"/>
    </row>
    <row r="1123" spans="26:30">
      <c r="Z1123" s="246"/>
      <c r="AA1123" s="246"/>
      <c r="AB1123" s="246"/>
      <c r="AC1123" s="246"/>
      <c r="AD1123" s="246"/>
    </row>
    <row r="1124" spans="26:30">
      <c r="Z1124" s="246"/>
      <c r="AA1124" s="246"/>
      <c r="AB1124" s="246"/>
      <c r="AC1124" s="246"/>
      <c r="AD1124" s="246"/>
    </row>
    <row r="1125" spans="26:30">
      <c r="Z1125" s="246"/>
      <c r="AA1125" s="246"/>
      <c r="AB1125" s="246"/>
      <c r="AC1125" s="246"/>
      <c r="AD1125" s="246"/>
    </row>
    <row r="1126" spans="26:30">
      <c r="Z1126" s="246"/>
      <c r="AA1126" s="246"/>
      <c r="AB1126" s="246"/>
      <c r="AC1126" s="246"/>
      <c r="AD1126" s="246"/>
    </row>
    <row r="1127" spans="26:30">
      <c r="Z1127" s="246"/>
      <c r="AA1127" s="246"/>
      <c r="AB1127" s="246"/>
      <c r="AC1127" s="246"/>
      <c r="AD1127" s="246"/>
    </row>
    <row r="1128" spans="26:30">
      <c r="Z1128" s="246"/>
      <c r="AA1128" s="246"/>
      <c r="AB1128" s="246"/>
      <c r="AC1128" s="246"/>
      <c r="AD1128" s="246"/>
    </row>
    <row r="1129" spans="26:30">
      <c r="Z1129" s="246"/>
      <c r="AA1129" s="246"/>
      <c r="AB1129" s="246"/>
      <c r="AC1129" s="246"/>
      <c r="AD1129" s="246"/>
    </row>
    <row r="1130" spans="26:30">
      <c r="Z1130" s="246"/>
      <c r="AA1130" s="246"/>
      <c r="AB1130" s="246"/>
      <c r="AC1130" s="246"/>
      <c r="AD1130" s="246"/>
    </row>
    <row r="1131" spans="26:30">
      <c r="Z1131" s="246"/>
      <c r="AA1131" s="246"/>
      <c r="AB1131" s="246"/>
      <c r="AC1131" s="246"/>
      <c r="AD1131" s="246"/>
    </row>
    <row r="1132" spans="26:30">
      <c r="Z1132" s="246"/>
      <c r="AA1132" s="246"/>
      <c r="AB1132" s="246"/>
      <c r="AC1132" s="246"/>
      <c r="AD1132" s="246"/>
    </row>
    <row r="1133" spans="26:30">
      <c r="Z1133" s="246"/>
      <c r="AA1133" s="246"/>
      <c r="AB1133" s="246"/>
      <c r="AC1133" s="246"/>
      <c r="AD1133" s="246"/>
    </row>
    <row r="1134" spans="26:30">
      <c r="Z1134" s="246"/>
      <c r="AA1134" s="246"/>
      <c r="AB1134" s="246"/>
      <c r="AC1134" s="246"/>
      <c r="AD1134" s="246"/>
    </row>
    <row r="1135" spans="26:30">
      <c r="Z1135" s="246"/>
      <c r="AA1135" s="246"/>
      <c r="AB1135" s="246"/>
      <c r="AC1135" s="246"/>
      <c r="AD1135" s="246"/>
    </row>
    <row r="1136" spans="26:30">
      <c r="Z1136" s="246"/>
      <c r="AA1136" s="246"/>
      <c r="AB1136" s="246"/>
      <c r="AC1136" s="246"/>
      <c r="AD1136" s="246"/>
    </row>
    <row r="1137" spans="26:30">
      <c r="Z1137" s="246"/>
      <c r="AA1137" s="246"/>
      <c r="AB1137" s="246"/>
      <c r="AC1137" s="246"/>
      <c r="AD1137" s="246"/>
    </row>
    <row r="1138" spans="26:30">
      <c r="Z1138" s="246"/>
      <c r="AA1138" s="246"/>
      <c r="AB1138" s="246"/>
      <c r="AC1138" s="246"/>
      <c r="AD1138" s="246"/>
    </row>
    <row r="1139" spans="26:30">
      <c r="Z1139" s="246"/>
      <c r="AA1139" s="246"/>
      <c r="AB1139" s="246"/>
      <c r="AC1139" s="246"/>
      <c r="AD1139" s="246"/>
    </row>
    <row r="1140" spans="26:30">
      <c r="Z1140" s="246"/>
      <c r="AA1140" s="246"/>
      <c r="AB1140" s="246"/>
      <c r="AC1140" s="246"/>
      <c r="AD1140" s="246"/>
    </row>
    <row r="1141" spans="26:30">
      <c r="Z1141" s="246"/>
      <c r="AA1141" s="246"/>
      <c r="AB1141" s="246"/>
      <c r="AC1141" s="246"/>
      <c r="AD1141" s="246"/>
    </row>
    <row r="1142" spans="26:30">
      <c r="Z1142" s="246"/>
      <c r="AA1142" s="246"/>
      <c r="AB1142" s="246"/>
      <c r="AC1142" s="246"/>
      <c r="AD1142" s="246"/>
    </row>
    <row r="1143" spans="26:30">
      <c r="Z1143" s="246"/>
      <c r="AA1143" s="246"/>
      <c r="AB1143" s="246"/>
      <c r="AC1143" s="246"/>
      <c r="AD1143" s="246"/>
    </row>
    <row r="1144" spans="26:30">
      <c r="Z1144" s="246"/>
      <c r="AA1144" s="246"/>
      <c r="AB1144" s="246"/>
      <c r="AC1144" s="246"/>
      <c r="AD1144" s="246"/>
    </row>
    <row r="1145" spans="26:30">
      <c r="Z1145" s="246"/>
      <c r="AA1145" s="246"/>
      <c r="AB1145" s="246"/>
      <c r="AC1145" s="246"/>
      <c r="AD1145" s="246"/>
    </row>
    <row r="1146" spans="26:30">
      <c r="Z1146" s="246"/>
      <c r="AA1146" s="246"/>
      <c r="AB1146" s="246"/>
      <c r="AC1146" s="246"/>
      <c r="AD1146" s="246"/>
    </row>
    <row r="1147" spans="26:30">
      <c r="Z1147" s="246"/>
      <c r="AA1147" s="246"/>
      <c r="AB1147" s="246"/>
      <c r="AC1147" s="246"/>
      <c r="AD1147" s="246"/>
    </row>
    <row r="1148" spans="26:30">
      <c r="Z1148" s="246"/>
      <c r="AA1148" s="246"/>
      <c r="AB1148" s="246"/>
      <c r="AC1148" s="246"/>
      <c r="AD1148" s="246"/>
    </row>
    <row r="1149" spans="26:30">
      <c r="Z1149" s="246"/>
      <c r="AA1149" s="246"/>
      <c r="AB1149" s="246"/>
      <c r="AC1149" s="246"/>
      <c r="AD1149" s="246"/>
    </row>
    <row r="1150" spans="26:30">
      <c r="Z1150" s="246"/>
      <c r="AA1150" s="246"/>
      <c r="AB1150" s="246"/>
      <c r="AC1150" s="246"/>
      <c r="AD1150" s="246"/>
    </row>
    <row r="1151" spans="26:30">
      <c r="Z1151" s="246"/>
      <c r="AA1151" s="246"/>
      <c r="AB1151" s="246"/>
      <c r="AC1151" s="246"/>
      <c r="AD1151" s="246"/>
    </row>
    <row r="1152" spans="26:30">
      <c r="Z1152" s="246"/>
      <c r="AA1152" s="246"/>
      <c r="AB1152" s="246"/>
      <c r="AC1152" s="246"/>
      <c r="AD1152" s="246"/>
    </row>
    <row r="1153" spans="26:30">
      <c r="Z1153" s="246"/>
      <c r="AA1153" s="246"/>
      <c r="AB1153" s="246"/>
      <c r="AC1153" s="246"/>
      <c r="AD1153" s="246"/>
    </row>
    <row r="1154" spans="26:30">
      <c r="Z1154" s="246"/>
      <c r="AA1154" s="246"/>
      <c r="AB1154" s="246"/>
      <c r="AC1154" s="246"/>
      <c r="AD1154" s="246"/>
    </row>
    <row r="1155" spans="26:30">
      <c r="Z1155" s="246"/>
      <c r="AA1155" s="246"/>
      <c r="AB1155" s="246"/>
      <c r="AC1155" s="246"/>
      <c r="AD1155" s="246"/>
    </row>
    <row r="1156" spans="26:30">
      <c r="Z1156" s="246"/>
      <c r="AA1156" s="246"/>
      <c r="AB1156" s="246"/>
      <c r="AC1156" s="246"/>
      <c r="AD1156" s="246"/>
    </row>
    <row r="1157" spans="26:30">
      <c r="Z1157" s="246"/>
      <c r="AA1157" s="246"/>
      <c r="AB1157" s="246"/>
      <c r="AC1157" s="246"/>
      <c r="AD1157" s="246"/>
    </row>
    <row r="1158" spans="26:30">
      <c r="Z1158" s="246"/>
      <c r="AA1158" s="246"/>
      <c r="AB1158" s="246"/>
      <c r="AC1158" s="246"/>
      <c r="AD1158" s="246"/>
    </row>
    <row r="1159" spans="26:30">
      <c r="Z1159" s="246"/>
      <c r="AA1159" s="246"/>
      <c r="AB1159" s="246"/>
      <c r="AC1159" s="246"/>
      <c r="AD1159" s="246"/>
    </row>
    <row r="1160" spans="26:30">
      <c r="Z1160" s="246"/>
      <c r="AA1160" s="246"/>
      <c r="AB1160" s="246"/>
      <c r="AC1160" s="246"/>
      <c r="AD1160" s="246"/>
    </row>
    <row r="1161" spans="26:30">
      <c r="Z1161" s="246"/>
      <c r="AA1161" s="246"/>
      <c r="AB1161" s="246"/>
      <c r="AC1161" s="246"/>
      <c r="AD1161" s="246"/>
    </row>
    <row r="1162" spans="26:30">
      <c r="Z1162" s="246"/>
      <c r="AA1162" s="246"/>
      <c r="AB1162" s="246"/>
      <c r="AC1162" s="246"/>
      <c r="AD1162" s="246"/>
    </row>
    <row r="1163" spans="26:30">
      <c r="Z1163" s="246"/>
      <c r="AA1163" s="246"/>
      <c r="AB1163" s="246"/>
      <c r="AC1163" s="246"/>
      <c r="AD1163" s="246"/>
    </row>
    <row r="1164" spans="26:30">
      <c r="Z1164" s="246"/>
      <c r="AA1164" s="246"/>
      <c r="AB1164" s="246"/>
      <c r="AC1164" s="246"/>
      <c r="AD1164" s="246"/>
    </row>
    <row r="1165" spans="26:30">
      <c r="Z1165" s="246"/>
      <c r="AA1165" s="246"/>
      <c r="AB1165" s="246"/>
      <c r="AC1165" s="246"/>
      <c r="AD1165" s="246"/>
    </row>
    <row r="1166" spans="26:30">
      <c r="Z1166" s="246"/>
      <c r="AA1166" s="246"/>
      <c r="AB1166" s="246"/>
      <c r="AC1166" s="246"/>
      <c r="AD1166" s="246"/>
    </row>
    <row r="1167" spans="26:30">
      <c r="Z1167" s="246"/>
      <c r="AA1167" s="246"/>
      <c r="AB1167" s="246"/>
      <c r="AC1167" s="246"/>
      <c r="AD1167" s="246"/>
    </row>
    <row r="1168" spans="26:30">
      <c r="Z1168" s="246"/>
      <c r="AA1168" s="246"/>
      <c r="AB1168" s="246"/>
      <c r="AC1168" s="246"/>
      <c r="AD1168" s="246"/>
    </row>
    <row r="1169" spans="26:30">
      <c r="Z1169" s="246"/>
      <c r="AA1169" s="246"/>
      <c r="AB1169" s="246"/>
      <c r="AC1169" s="246"/>
      <c r="AD1169" s="246"/>
    </row>
    <row r="1170" spans="26:30">
      <c r="Z1170" s="246"/>
      <c r="AA1170" s="246"/>
      <c r="AB1170" s="246"/>
      <c r="AC1170" s="246"/>
      <c r="AD1170" s="246"/>
    </row>
    <row r="1171" spans="26:30">
      <c r="Z1171" s="246"/>
      <c r="AA1171" s="246"/>
      <c r="AB1171" s="246"/>
      <c r="AC1171" s="246"/>
      <c r="AD1171" s="246"/>
    </row>
    <row r="1172" spans="26:30">
      <c r="Z1172" s="246"/>
      <c r="AA1172" s="246"/>
      <c r="AB1172" s="246"/>
      <c r="AC1172" s="246"/>
      <c r="AD1172" s="246"/>
    </row>
    <row r="1173" spans="26:30">
      <c r="Z1173" s="246"/>
      <c r="AA1173" s="246"/>
      <c r="AB1173" s="246"/>
      <c r="AC1173" s="246"/>
      <c r="AD1173" s="246"/>
    </row>
    <row r="1174" spans="26:30">
      <c r="Z1174" s="246"/>
      <c r="AA1174" s="246"/>
      <c r="AB1174" s="246"/>
      <c r="AC1174" s="246"/>
      <c r="AD1174" s="246"/>
    </row>
    <row r="1175" spans="26:30">
      <c r="Z1175" s="246"/>
      <c r="AA1175" s="246"/>
      <c r="AB1175" s="246"/>
      <c r="AC1175" s="246"/>
      <c r="AD1175" s="246"/>
    </row>
    <row r="1176" spans="26:30">
      <c r="Z1176" s="246"/>
      <c r="AA1176" s="246"/>
      <c r="AB1176" s="246"/>
      <c r="AC1176" s="246"/>
      <c r="AD1176" s="246"/>
    </row>
    <row r="1177" spans="26:30">
      <c r="Z1177" s="246"/>
      <c r="AA1177" s="246"/>
      <c r="AB1177" s="246"/>
      <c r="AC1177" s="246"/>
      <c r="AD1177" s="246"/>
    </row>
    <row r="1178" spans="26:30">
      <c r="Z1178" s="246"/>
      <c r="AA1178" s="246"/>
      <c r="AB1178" s="246"/>
      <c r="AC1178" s="246"/>
      <c r="AD1178" s="246"/>
    </row>
    <row r="1179" spans="26:30">
      <c r="Z1179" s="246"/>
      <c r="AA1179" s="246"/>
      <c r="AB1179" s="246"/>
      <c r="AC1179" s="246"/>
      <c r="AD1179" s="246"/>
    </row>
    <row r="1180" spans="26:30">
      <c r="Z1180" s="246"/>
      <c r="AA1180" s="246"/>
      <c r="AB1180" s="246"/>
      <c r="AC1180" s="246"/>
      <c r="AD1180" s="246"/>
    </row>
    <row r="1181" spans="26:30">
      <c r="Z1181" s="246"/>
      <c r="AA1181" s="246"/>
      <c r="AB1181" s="246"/>
      <c r="AC1181" s="246"/>
      <c r="AD1181" s="246"/>
    </row>
    <row r="1182" spans="26:30">
      <c r="Z1182" s="246"/>
      <c r="AA1182" s="246"/>
      <c r="AB1182" s="246"/>
      <c r="AC1182" s="246"/>
      <c r="AD1182" s="246"/>
    </row>
    <row r="1183" spans="26:30">
      <c r="Z1183" s="246"/>
      <c r="AA1183" s="246"/>
      <c r="AB1183" s="246"/>
      <c r="AC1183" s="246"/>
      <c r="AD1183" s="246"/>
    </row>
    <row r="1184" spans="26:30">
      <c r="Z1184" s="246"/>
      <c r="AA1184" s="246"/>
      <c r="AB1184" s="246"/>
      <c r="AC1184" s="246"/>
      <c r="AD1184" s="246"/>
    </row>
    <row r="1185" spans="26:30">
      <c r="Z1185" s="246"/>
      <c r="AA1185" s="246"/>
      <c r="AB1185" s="246"/>
      <c r="AC1185" s="246"/>
      <c r="AD1185" s="246"/>
    </row>
    <row r="1186" spans="26:30">
      <c r="Z1186" s="246"/>
      <c r="AA1186" s="246"/>
      <c r="AB1186" s="246"/>
      <c r="AC1186" s="246"/>
      <c r="AD1186" s="246"/>
    </row>
    <row r="1187" spans="26:30">
      <c r="Z1187" s="246"/>
      <c r="AA1187" s="246"/>
      <c r="AB1187" s="246"/>
      <c r="AC1187" s="246"/>
      <c r="AD1187" s="246"/>
    </row>
    <row r="1188" spans="26:30">
      <c r="Z1188" s="246"/>
      <c r="AA1188" s="246"/>
      <c r="AB1188" s="246"/>
      <c r="AC1188" s="246"/>
      <c r="AD1188" s="246"/>
    </row>
    <row r="1189" spans="26:30">
      <c r="Z1189" s="246"/>
      <c r="AA1189" s="246"/>
      <c r="AB1189" s="246"/>
      <c r="AC1189" s="246"/>
      <c r="AD1189" s="246"/>
    </row>
    <row r="1190" spans="26:30">
      <c r="Z1190" s="246"/>
      <c r="AA1190" s="246"/>
      <c r="AB1190" s="246"/>
      <c r="AC1190" s="246"/>
      <c r="AD1190" s="246"/>
    </row>
    <row r="1191" spans="26:30">
      <c r="Z1191" s="246"/>
      <c r="AA1191" s="246"/>
      <c r="AB1191" s="246"/>
      <c r="AC1191" s="246"/>
      <c r="AD1191" s="246"/>
    </row>
    <row r="1192" spans="26:30">
      <c r="Z1192" s="246"/>
      <c r="AA1192" s="246"/>
      <c r="AB1192" s="246"/>
      <c r="AC1192" s="246"/>
      <c r="AD1192" s="246"/>
    </row>
    <row r="1193" spans="26:30">
      <c r="Z1193" s="246"/>
      <c r="AA1193" s="246"/>
      <c r="AB1193" s="246"/>
      <c r="AC1193" s="246"/>
      <c r="AD1193" s="246"/>
    </row>
    <row r="1194" spans="26:30">
      <c r="Z1194" s="246"/>
      <c r="AA1194" s="246"/>
      <c r="AB1194" s="246"/>
      <c r="AC1194" s="246"/>
      <c r="AD1194" s="246"/>
    </row>
    <row r="1195" spans="26:30">
      <c r="Z1195" s="246"/>
      <c r="AA1195" s="246"/>
      <c r="AB1195" s="246"/>
      <c r="AC1195" s="246"/>
      <c r="AD1195" s="246"/>
    </row>
    <row r="1196" spans="26:30">
      <c r="Z1196" s="246"/>
      <c r="AA1196" s="246"/>
      <c r="AB1196" s="246"/>
      <c r="AC1196" s="246"/>
      <c r="AD1196" s="246"/>
    </row>
    <row r="1197" spans="26:30">
      <c r="Z1197" s="246"/>
      <c r="AA1197" s="246"/>
      <c r="AB1197" s="246"/>
      <c r="AC1197" s="246"/>
      <c r="AD1197" s="246"/>
    </row>
    <row r="1198" spans="26:30">
      <c r="Z1198" s="246"/>
      <c r="AA1198" s="246"/>
      <c r="AB1198" s="246"/>
      <c r="AC1198" s="246"/>
      <c r="AD1198" s="246"/>
    </row>
    <row r="1199" spans="26:30">
      <c r="Z1199" s="246"/>
      <c r="AA1199" s="246"/>
      <c r="AB1199" s="246"/>
      <c r="AC1199" s="246"/>
      <c r="AD1199" s="246"/>
    </row>
    <row r="1200" spans="26:30">
      <c r="Z1200" s="246"/>
      <c r="AA1200" s="246"/>
      <c r="AB1200" s="246"/>
      <c r="AC1200" s="246"/>
      <c r="AD1200" s="246"/>
    </row>
    <row r="1201" spans="26:30">
      <c r="Z1201" s="246"/>
      <c r="AA1201" s="246"/>
      <c r="AB1201" s="246"/>
      <c r="AC1201" s="246"/>
      <c r="AD1201" s="246"/>
    </row>
    <row r="1202" spans="26:30">
      <c r="Z1202" s="246"/>
      <c r="AA1202" s="246"/>
      <c r="AB1202" s="246"/>
      <c r="AC1202" s="246"/>
      <c r="AD1202" s="246"/>
    </row>
    <row r="1203" spans="26:30">
      <c r="Z1203" s="246"/>
      <c r="AA1203" s="246"/>
      <c r="AB1203" s="246"/>
      <c r="AC1203" s="246"/>
      <c r="AD1203" s="246"/>
    </row>
    <row r="1204" spans="26:30">
      <c r="Z1204" s="246"/>
      <c r="AA1204" s="246"/>
      <c r="AB1204" s="246"/>
      <c r="AC1204" s="246"/>
      <c r="AD1204" s="246"/>
    </row>
    <row r="1205" spans="26:30">
      <c r="Z1205" s="246"/>
      <c r="AA1205" s="246"/>
      <c r="AB1205" s="246"/>
      <c r="AC1205" s="246"/>
      <c r="AD1205" s="246"/>
    </row>
    <row r="1206" spans="26:30">
      <c r="Z1206" s="246"/>
      <c r="AA1206" s="246"/>
      <c r="AB1206" s="246"/>
      <c r="AC1206" s="246"/>
      <c r="AD1206" s="246"/>
    </row>
    <row r="1207" spans="26:30">
      <c r="Z1207" s="246"/>
      <c r="AA1207" s="246"/>
      <c r="AB1207" s="246"/>
      <c r="AC1207" s="246"/>
      <c r="AD1207" s="246"/>
    </row>
    <row r="1208" spans="26:30">
      <c r="Z1208" s="246"/>
      <c r="AA1208" s="246"/>
      <c r="AB1208" s="246"/>
      <c r="AC1208" s="246"/>
      <c r="AD1208" s="246"/>
    </row>
    <row r="1209" spans="26:30">
      <c r="Z1209" s="246"/>
      <c r="AA1209" s="246"/>
      <c r="AB1209" s="246"/>
      <c r="AC1209" s="246"/>
      <c r="AD1209" s="246"/>
    </row>
    <row r="1210" spans="26:30">
      <c r="Z1210" s="246"/>
      <c r="AA1210" s="246"/>
      <c r="AB1210" s="246"/>
      <c r="AC1210" s="246"/>
      <c r="AD1210" s="246"/>
    </row>
    <row r="1211" spans="26:30">
      <c r="Z1211" s="246"/>
      <c r="AA1211" s="246"/>
      <c r="AB1211" s="246"/>
      <c r="AC1211" s="246"/>
      <c r="AD1211" s="246"/>
    </row>
    <row r="1212" spans="26:30">
      <c r="Z1212" s="246"/>
      <c r="AA1212" s="246"/>
      <c r="AB1212" s="246"/>
      <c r="AC1212" s="246"/>
      <c r="AD1212" s="246"/>
    </row>
    <row r="1213" spans="26:30">
      <c r="Z1213" s="246"/>
      <c r="AA1213" s="246"/>
      <c r="AB1213" s="246"/>
      <c r="AC1213" s="246"/>
      <c r="AD1213" s="246"/>
    </row>
    <row r="1214" spans="26:30">
      <c r="Z1214" s="246"/>
      <c r="AA1214" s="246"/>
      <c r="AB1214" s="246"/>
      <c r="AC1214" s="246"/>
      <c r="AD1214" s="246"/>
    </row>
    <row r="1215" spans="26:30">
      <c r="Z1215" s="246"/>
      <c r="AA1215" s="246"/>
      <c r="AB1215" s="246"/>
      <c r="AC1215" s="246"/>
      <c r="AD1215" s="246"/>
    </row>
    <row r="1216" spans="26:30">
      <c r="Z1216" s="246"/>
      <c r="AA1216" s="246"/>
      <c r="AB1216" s="246"/>
      <c r="AC1216" s="246"/>
      <c r="AD1216" s="246"/>
    </row>
    <row r="1217" spans="26:30">
      <c r="Z1217" s="246"/>
      <c r="AA1217" s="246"/>
      <c r="AB1217" s="246"/>
      <c r="AC1217" s="246"/>
      <c r="AD1217" s="246"/>
    </row>
    <row r="1218" spans="26:30">
      <c r="Z1218" s="246"/>
      <c r="AA1218" s="246"/>
      <c r="AB1218" s="246"/>
      <c r="AC1218" s="246"/>
      <c r="AD1218" s="246"/>
    </row>
    <row r="1219" spans="26:30">
      <c r="Z1219" s="246"/>
      <c r="AA1219" s="246"/>
      <c r="AB1219" s="246"/>
      <c r="AC1219" s="246"/>
      <c r="AD1219" s="246"/>
    </row>
    <row r="1220" spans="26:30">
      <c r="Z1220" s="246"/>
      <c r="AA1220" s="246"/>
      <c r="AB1220" s="246"/>
      <c r="AC1220" s="246"/>
      <c r="AD1220" s="246"/>
    </row>
    <row r="1221" spans="26:30">
      <c r="Z1221" s="246"/>
      <c r="AA1221" s="246"/>
      <c r="AB1221" s="246"/>
      <c r="AC1221" s="246"/>
      <c r="AD1221" s="246"/>
    </row>
    <row r="1222" spans="26:30">
      <c r="Z1222" s="246"/>
      <c r="AA1222" s="246"/>
      <c r="AB1222" s="246"/>
      <c r="AC1222" s="246"/>
      <c r="AD1222" s="246"/>
    </row>
    <row r="1223" spans="26:30">
      <c r="Z1223" s="246"/>
      <c r="AA1223" s="246"/>
      <c r="AB1223" s="246"/>
      <c r="AC1223" s="246"/>
      <c r="AD1223" s="246"/>
    </row>
    <row r="1224" spans="26:30">
      <c r="Z1224" s="246"/>
      <c r="AA1224" s="246"/>
      <c r="AB1224" s="246"/>
      <c r="AC1224" s="246"/>
      <c r="AD1224" s="246"/>
    </row>
    <row r="1225" spans="26:30">
      <c r="Z1225" s="246"/>
      <c r="AA1225" s="246"/>
      <c r="AB1225" s="246"/>
      <c r="AC1225" s="246"/>
      <c r="AD1225" s="246"/>
    </row>
    <row r="1226" spans="26:30">
      <c r="Z1226" s="246"/>
      <c r="AA1226" s="246"/>
      <c r="AB1226" s="246"/>
      <c r="AC1226" s="246"/>
      <c r="AD1226" s="246"/>
    </row>
    <row r="1227" spans="26:30">
      <c r="Z1227" s="246"/>
      <c r="AA1227" s="246"/>
      <c r="AB1227" s="246"/>
      <c r="AC1227" s="246"/>
      <c r="AD1227" s="246"/>
    </row>
    <row r="1228" spans="26:30">
      <c r="Z1228" s="246"/>
      <c r="AA1228" s="246"/>
      <c r="AB1228" s="246"/>
      <c r="AC1228" s="246"/>
      <c r="AD1228" s="246"/>
    </row>
    <row r="1229" spans="26:30">
      <c r="Z1229" s="246"/>
      <c r="AA1229" s="246"/>
      <c r="AB1229" s="246"/>
      <c r="AC1229" s="246"/>
      <c r="AD1229" s="246"/>
    </row>
    <row r="1230" spans="26:30">
      <c r="Z1230" s="246"/>
      <c r="AA1230" s="246"/>
      <c r="AB1230" s="246"/>
      <c r="AC1230" s="246"/>
      <c r="AD1230" s="246"/>
    </row>
    <row r="1231" spans="26:30">
      <c r="Z1231" s="246"/>
      <c r="AA1231" s="246"/>
      <c r="AB1231" s="246"/>
      <c r="AC1231" s="246"/>
      <c r="AD1231" s="246"/>
    </row>
    <row r="1232" spans="26:30">
      <c r="Z1232" s="246"/>
      <c r="AA1232" s="246"/>
      <c r="AB1232" s="246"/>
      <c r="AC1232" s="246"/>
      <c r="AD1232" s="246"/>
    </row>
    <row r="1233" spans="26:30">
      <c r="Z1233" s="246"/>
      <c r="AA1233" s="246"/>
      <c r="AB1233" s="246"/>
      <c r="AC1233" s="246"/>
      <c r="AD1233" s="246"/>
    </row>
    <row r="1234" spans="26:30">
      <c r="Z1234" s="246"/>
      <c r="AA1234" s="246"/>
      <c r="AB1234" s="246"/>
      <c r="AC1234" s="246"/>
      <c r="AD1234" s="246"/>
    </row>
    <row r="1235" spans="26:30">
      <c r="Z1235" s="246"/>
      <c r="AA1235" s="246"/>
      <c r="AB1235" s="246"/>
      <c r="AC1235" s="246"/>
      <c r="AD1235" s="246"/>
    </row>
    <row r="1236" spans="26:30">
      <c r="Z1236" s="246"/>
      <c r="AA1236" s="246"/>
      <c r="AB1236" s="246"/>
      <c r="AC1236" s="246"/>
      <c r="AD1236" s="246"/>
    </row>
    <row r="1237" spans="26:30">
      <c r="Z1237" s="246"/>
      <c r="AA1237" s="246"/>
      <c r="AB1237" s="246"/>
      <c r="AC1237" s="246"/>
      <c r="AD1237" s="246"/>
    </row>
    <row r="1238" spans="26:30">
      <c r="Z1238" s="246"/>
      <c r="AA1238" s="246"/>
      <c r="AB1238" s="246"/>
      <c r="AC1238" s="246"/>
      <c r="AD1238" s="246"/>
    </row>
    <row r="1239" spans="26:30">
      <c r="Z1239" s="246"/>
      <c r="AA1239" s="246"/>
      <c r="AB1239" s="246"/>
      <c r="AC1239" s="246"/>
      <c r="AD1239" s="246"/>
    </row>
    <row r="1240" spans="26:30">
      <c r="Z1240" s="246"/>
      <c r="AA1240" s="246"/>
      <c r="AB1240" s="246"/>
      <c r="AC1240" s="246"/>
      <c r="AD1240" s="246"/>
    </row>
    <row r="1241" spans="26:30">
      <c r="Z1241" s="246"/>
      <c r="AA1241" s="246"/>
      <c r="AB1241" s="246"/>
      <c r="AC1241" s="246"/>
      <c r="AD1241" s="246"/>
    </row>
    <row r="1242" spans="26:30">
      <c r="Z1242" s="246"/>
      <c r="AA1242" s="246"/>
      <c r="AB1242" s="246"/>
      <c r="AC1242" s="246"/>
      <c r="AD1242" s="246"/>
    </row>
    <row r="1243" spans="26:30">
      <c r="Z1243" s="246"/>
      <c r="AA1243" s="246"/>
      <c r="AB1243" s="246"/>
      <c r="AC1243" s="246"/>
      <c r="AD1243" s="246"/>
    </row>
    <row r="1244" spans="26:30">
      <c r="Z1244" s="246"/>
      <c r="AA1244" s="246"/>
      <c r="AB1244" s="246"/>
      <c r="AC1244" s="246"/>
      <c r="AD1244" s="246"/>
    </row>
    <row r="1245" spans="26:30">
      <c r="Z1245" s="246"/>
      <c r="AA1245" s="246"/>
      <c r="AB1245" s="246"/>
      <c r="AC1245" s="246"/>
      <c r="AD1245" s="246"/>
    </row>
    <row r="1246" spans="26:30">
      <c r="Z1246" s="246"/>
      <c r="AA1246" s="246"/>
      <c r="AB1246" s="246"/>
      <c r="AC1246" s="246"/>
      <c r="AD1246" s="246"/>
    </row>
    <row r="1247" spans="26:30">
      <c r="Z1247" s="246"/>
      <c r="AA1247" s="246"/>
      <c r="AB1247" s="246"/>
      <c r="AC1247" s="246"/>
      <c r="AD1247" s="246"/>
    </row>
    <row r="1248" spans="26:30">
      <c r="Z1248" s="246"/>
      <c r="AA1248" s="246"/>
      <c r="AB1248" s="246"/>
      <c r="AC1248" s="246"/>
      <c r="AD1248" s="246"/>
    </row>
    <row r="1249" spans="26:30">
      <c r="Z1249" s="246"/>
      <c r="AA1249" s="246"/>
      <c r="AB1249" s="246"/>
      <c r="AC1249" s="246"/>
      <c r="AD1249" s="246"/>
    </row>
    <row r="1250" spans="26:30">
      <c r="Z1250" s="246"/>
      <c r="AA1250" s="246"/>
      <c r="AB1250" s="246"/>
      <c r="AC1250" s="246"/>
      <c r="AD1250" s="246"/>
    </row>
    <row r="1251" spans="26:30">
      <c r="Z1251" s="246"/>
      <c r="AA1251" s="246"/>
      <c r="AB1251" s="246"/>
      <c r="AC1251" s="246"/>
      <c r="AD1251" s="246"/>
    </row>
    <row r="1252" spans="26:30">
      <c r="Z1252" s="246"/>
      <c r="AA1252" s="246"/>
      <c r="AB1252" s="246"/>
      <c r="AC1252" s="246"/>
      <c r="AD1252" s="246"/>
    </row>
    <row r="1253" spans="26:30">
      <c r="Z1253" s="246"/>
      <c r="AA1253" s="246"/>
      <c r="AB1253" s="246"/>
      <c r="AC1253" s="246"/>
      <c r="AD1253" s="246"/>
    </row>
    <row r="1254" spans="26:30">
      <c r="Z1254" s="246"/>
      <c r="AA1254" s="246"/>
      <c r="AB1254" s="246"/>
      <c r="AC1254" s="246"/>
      <c r="AD1254" s="246"/>
    </row>
    <row r="1255" spans="26:30">
      <c r="Z1255" s="246"/>
      <c r="AA1255" s="246"/>
      <c r="AB1255" s="246"/>
      <c r="AC1255" s="246"/>
      <c r="AD1255" s="246"/>
    </row>
    <row r="1256" spans="26:30">
      <c r="Z1256" s="246"/>
      <c r="AA1256" s="246"/>
      <c r="AB1256" s="246"/>
      <c r="AC1256" s="246"/>
      <c r="AD1256" s="246"/>
    </row>
    <row r="1257" spans="26:30">
      <c r="Z1257" s="246"/>
      <c r="AA1257" s="246"/>
      <c r="AB1257" s="246"/>
      <c r="AC1257" s="246"/>
      <c r="AD1257" s="246"/>
    </row>
    <row r="1258" spans="26:30">
      <c r="Z1258" s="246"/>
      <c r="AA1258" s="246"/>
      <c r="AB1258" s="246"/>
      <c r="AC1258" s="246"/>
      <c r="AD1258" s="246"/>
    </row>
    <row r="1259" spans="26:30">
      <c r="Z1259" s="246"/>
      <c r="AA1259" s="246"/>
      <c r="AB1259" s="246"/>
      <c r="AC1259" s="246"/>
      <c r="AD1259" s="246"/>
    </row>
    <row r="1260" spans="26:30">
      <c r="Z1260" s="246"/>
      <c r="AA1260" s="246"/>
      <c r="AB1260" s="246"/>
      <c r="AC1260" s="246"/>
      <c r="AD1260" s="246"/>
    </row>
    <row r="1261" spans="26:30">
      <c r="Z1261" s="246"/>
      <c r="AA1261" s="246"/>
      <c r="AB1261" s="246"/>
      <c r="AC1261" s="246"/>
      <c r="AD1261" s="246"/>
    </row>
    <row r="1262" spans="26:30">
      <c r="Z1262" s="246"/>
      <c r="AA1262" s="246"/>
      <c r="AB1262" s="246"/>
      <c r="AC1262" s="246"/>
      <c r="AD1262" s="246"/>
    </row>
    <row r="1263" spans="26:30">
      <c r="Z1263" s="246"/>
      <c r="AA1263" s="246"/>
      <c r="AB1263" s="246"/>
      <c r="AC1263" s="246"/>
      <c r="AD1263" s="246"/>
    </row>
    <row r="1264" spans="26:30">
      <c r="Z1264" s="246"/>
      <c r="AA1264" s="246"/>
      <c r="AB1264" s="246"/>
      <c r="AC1264" s="246"/>
      <c r="AD1264" s="246"/>
    </row>
    <row r="1265" spans="26:30">
      <c r="Z1265" s="246"/>
      <c r="AA1265" s="246"/>
      <c r="AB1265" s="246"/>
      <c r="AC1265" s="246"/>
      <c r="AD1265" s="246"/>
    </row>
    <row r="1266" spans="26:30">
      <c r="Z1266" s="246"/>
      <c r="AA1266" s="246"/>
      <c r="AB1266" s="246"/>
      <c r="AC1266" s="246"/>
      <c r="AD1266" s="246"/>
    </row>
    <row r="1267" spans="26:30">
      <c r="Z1267" s="246"/>
      <c r="AA1267" s="246"/>
      <c r="AB1267" s="246"/>
      <c r="AC1267" s="246"/>
      <c r="AD1267" s="246"/>
    </row>
    <row r="1268" spans="26:30">
      <c r="Z1268" s="246"/>
      <c r="AA1268" s="246"/>
      <c r="AB1268" s="246"/>
      <c r="AC1268" s="246"/>
      <c r="AD1268" s="246"/>
    </row>
    <row r="1269" spans="26:30">
      <c r="Z1269" s="246"/>
      <c r="AA1269" s="246"/>
      <c r="AB1269" s="246"/>
      <c r="AC1269" s="246"/>
      <c r="AD1269" s="246"/>
    </row>
    <row r="1270" spans="26:30">
      <c r="Z1270" s="246"/>
      <c r="AA1270" s="246"/>
      <c r="AB1270" s="246"/>
      <c r="AC1270" s="246"/>
      <c r="AD1270" s="246"/>
    </row>
    <row r="1271" spans="26:30">
      <c r="Z1271" s="246"/>
      <c r="AA1271" s="246"/>
      <c r="AB1271" s="246"/>
      <c r="AC1271" s="246"/>
      <c r="AD1271" s="246"/>
    </row>
    <row r="1272" spans="26:30">
      <c r="Z1272" s="246"/>
      <c r="AA1272" s="246"/>
      <c r="AB1272" s="246"/>
      <c r="AC1272" s="246"/>
      <c r="AD1272" s="246"/>
    </row>
    <row r="1273" spans="26:30">
      <c r="Z1273" s="246"/>
      <c r="AA1273" s="246"/>
      <c r="AB1273" s="246"/>
      <c r="AC1273" s="246"/>
      <c r="AD1273" s="246"/>
    </row>
    <row r="1274" spans="26:30">
      <c r="Z1274" s="246"/>
      <c r="AA1274" s="246"/>
      <c r="AB1274" s="246"/>
      <c r="AC1274" s="246"/>
      <c r="AD1274" s="246"/>
    </row>
    <row r="1275" spans="26:30">
      <c r="Z1275" s="246"/>
      <c r="AA1275" s="246"/>
      <c r="AB1275" s="246"/>
      <c r="AC1275" s="246"/>
      <c r="AD1275" s="246"/>
    </row>
    <row r="1276" spans="26:30">
      <c r="Z1276" s="246"/>
      <c r="AA1276" s="246"/>
      <c r="AB1276" s="246"/>
      <c r="AC1276" s="246"/>
      <c r="AD1276" s="246"/>
    </row>
    <row r="1277" spans="26:30">
      <c r="Z1277" s="246"/>
      <c r="AA1277" s="246"/>
      <c r="AB1277" s="246"/>
      <c r="AC1277" s="246"/>
      <c r="AD1277" s="246"/>
    </row>
    <row r="1278" spans="26:30">
      <c r="Z1278" s="246"/>
      <c r="AA1278" s="246"/>
      <c r="AB1278" s="246"/>
      <c r="AC1278" s="246"/>
      <c r="AD1278" s="246"/>
    </row>
    <row r="1279" spans="26:30">
      <c r="Z1279" s="246"/>
      <c r="AA1279" s="246"/>
      <c r="AB1279" s="246"/>
      <c r="AC1279" s="246"/>
      <c r="AD1279" s="246"/>
    </row>
    <row r="1280" spans="26:30">
      <c r="Z1280" s="246"/>
      <c r="AA1280" s="246"/>
      <c r="AB1280" s="246"/>
      <c r="AC1280" s="246"/>
      <c r="AD1280" s="246"/>
    </row>
    <row r="1281" spans="26:30">
      <c r="Z1281" s="246"/>
      <c r="AA1281" s="246"/>
      <c r="AB1281" s="246"/>
      <c r="AC1281" s="246"/>
      <c r="AD1281" s="246"/>
    </row>
    <row r="1282" spans="26:30">
      <c r="Z1282" s="246"/>
      <c r="AA1282" s="246"/>
      <c r="AB1282" s="246"/>
      <c r="AC1282" s="246"/>
      <c r="AD1282" s="246"/>
    </row>
    <row r="1283" spans="26:30">
      <c r="Z1283" s="246"/>
      <c r="AA1283" s="246"/>
      <c r="AB1283" s="246"/>
      <c r="AC1283" s="246"/>
      <c r="AD1283" s="246"/>
    </row>
    <row r="1284" spans="26:30">
      <c r="Z1284" s="246"/>
      <c r="AA1284" s="246"/>
      <c r="AB1284" s="246"/>
      <c r="AC1284" s="246"/>
      <c r="AD1284" s="246"/>
    </row>
    <row r="1285" spans="26:30">
      <c r="Z1285" s="246"/>
      <c r="AA1285" s="246"/>
      <c r="AB1285" s="246"/>
      <c r="AC1285" s="246"/>
      <c r="AD1285" s="246"/>
    </row>
    <row r="1286" spans="26:30">
      <c r="Z1286" s="246"/>
      <c r="AA1286" s="246"/>
      <c r="AB1286" s="246"/>
      <c r="AC1286" s="246"/>
      <c r="AD1286" s="246"/>
    </row>
    <row r="1287" spans="26:30">
      <c r="Z1287" s="246"/>
      <c r="AA1287" s="246"/>
      <c r="AB1287" s="246"/>
      <c r="AC1287" s="246"/>
      <c r="AD1287" s="246"/>
    </row>
    <row r="1288" spans="26:30">
      <c r="Z1288" s="246"/>
      <c r="AA1288" s="246"/>
      <c r="AB1288" s="246"/>
      <c r="AC1288" s="246"/>
      <c r="AD1288" s="246"/>
    </row>
    <row r="1289" spans="26:30">
      <c r="Z1289" s="246"/>
      <c r="AA1289" s="246"/>
      <c r="AB1289" s="246"/>
      <c r="AC1289" s="246"/>
      <c r="AD1289" s="246"/>
    </row>
    <row r="1290" spans="26:30">
      <c r="Z1290" s="246"/>
      <c r="AA1290" s="246"/>
      <c r="AB1290" s="246"/>
      <c r="AC1290" s="246"/>
      <c r="AD1290" s="246"/>
    </row>
    <row r="1291" spans="26:30">
      <c r="Z1291" s="246"/>
      <c r="AA1291" s="246"/>
      <c r="AB1291" s="246"/>
      <c r="AC1291" s="246"/>
      <c r="AD1291" s="246"/>
    </row>
    <row r="1292" spans="26:30">
      <c r="Z1292" s="246"/>
      <c r="AA1292" s="246"/>
      <c r="AB1292" s="246"/>
      <c r="AC1292" s="246"/>
      <c r="AD1292" s="246"/>
    </row>
    <row r="1293" spans="26:30">
      <c r="Z1293" s="246"/>
      <c r="AA1293" s="246"/>
      <c r="AB1293" s="246"/>
      <c r="AC1293" s="246"/>
      <c r="AD1293" s="246"/>
    </row>
    <row r="1294" spans="26:30">
      <c r="Z1294" s="246"/>
      <c r="AA1294" s="246"/>
      <c r="AB1294" s="246"/>
      <c r="AC1294" s="246"/>
      <c r="AD1294" s="246"/>
    </row>
    <row r="1295" spans="26:30">
      <c r="Z1295" s="246"/>
      <c r="AA1295" s="246"/>
      <c r="AB1295" s="246"/>
      <c r="AC1295" s="246"/>
      <c r="AD1295" s="246"/>
    </row>
    <row r="1296" spans="26:30">
      <c r="Z1296" s="246"/>
      <c r="AA1296" s="246"/>
      <c r="AB1296" s="246"/>
      <c r="AC1296" s="246"/>
      <c r="AD1296" s="246"/>
    </row>
    <row r="1297" spans="26:30">
      <c r="Z1297" s="246"/>
      <c r="AA1297" s="246"/>
      <c r="AB1297" s="246"/>
      <c r="AC1297" s="246"/>
      <c r="AD1297" s="246"/>
    </row>
    <row r="1298" spans="26:30">
      <c r="Z1298" s="246"/>
      <c r="AA1298" s="246"/>
      <c r="AB1298" s="246"/>
      <c r="AC1298" s="246"/>
      <c r="AD1298" s="246"/>
    </row>
    <row r="1299" spans="26:30">
      <c r="Z1299" s="246"/>
      <c r="AA1299" s="246"/>
      <c r="AB1299" s="246"/>
      <c r="AC1299" s="246"/>
      <c r="AD1299" s="246"/>
    </row>
    <row r="1300" spans="26:30">
      <c r="Z1300" s="246"/>
      <c r="AA1300" s="246"/>
      <c r="AB1300" s="246"/>
      <c r="AC1300" s="246"/>
      <c r="AD1300" s="246"/>
    </row>
    <row r="1301" spans="26:30">
      <c r="Z1301" s="246"/>
      <c r="AA1301" s="246"/>
      <c r="AB1301" s="246"/>
      <c r="AC1301" s="246"/>
      <c r="AD1301" s="246"/>
    </row>
    <row r="1302" spans="26:30">
      <c r="Z1302" s="246"/>
      <c r="AA1302" s="246"/>
      <c r="AB1302" s="246"/>
      <c r="AC1302" s="246"/>
      <c r="AD1302" s="246"/>
    </row>
    <row r="1303" spans="26:30">
      <c r="Z1303" s="246"/>
      <c r="AA1303" s="246"/>
      <c r="AB1303" s="246"/>
      <c r="AC1303" s="246"/>
      <c r="AD1303" s="246"/>
    </row>
    <row r="1304" spans="26:30">
      <c r="Z1304" s="246"/>
      <c r="AA1304" s="246"/>
      <c r="AB1304" s="246"/>
      <c r="AC1304" s="246"/>
      <c r="AD1304" s="246"/>
    </row>
    <row r="1305" spans="26:30">
      <c r="Z1305" s="246"/>
      <c r="AA1305" s="246"/>
      <c r="AB1305" s="246"/>
      <c r="AC1305" s="246"/>
      <c r="AD1305" s="246"/>
    </row>
    <row r="1306" spans="26:30">
      <c r="Z1306" s="246"/>
      <c r="AA1306" s="246"/>
      <c r="AB1306" s="246"/>
      <c r="AC1306" s="246"/>
      <c r="AD1306" s="246"/>
    </row>
    <row r="1307" spans="26:30">
      <c r="Z1307" s="246"/>
      <c r="AA1307" s="246"/>
      <c r="AB1307" s="246"/>
      <c r="AC1307" s="246"/>
      <c r="AD1307" s="246"/>
    </row>
    <row r="1308" spans="26:30">
      <c r="Z1308" s="246"/>
      <c r="AA1308" s="246"/>
      <c r="AB1308" s="246"/>
      <c r="AC1308" s="246"/>
      <c r="AD1308" s="246"/>
    </row>
    <row r="1309" spans="26:30">
      <c r="Z1309" s="246"/>
      <c r="AA1309" s="246"/>
      <c r="AB1309" s="246"/>
      <c r="AC1309" s="246"/>
      <c r="AD1309" s="246"/>
    </row>
    <row r="1310" spans="26:30">
      <c r="Z1310" s="246"/>
      <c r="AA1310" s="246"/>
      <c r="AB1310" s="246"/>
      <c r="AC1310" s="246"/>
      <c r="AD1310" s="246"/>
    </row>
    <row r="1311" spans="26:30">
      <c r="Z1311" s="246"/>
      <c r="AA1311" s="246"/>
      <c r="AB1311" s="246"/>
      <c r="AC1311" s="246"/>
      <c r="AD1311" s="246"/>
    </row>
    <row r="1312" spans="26:30">
      <c r="Z1312" s="246"/>
      <c r="AA1312" s="246"/>
      <c r="AB1312" s="246"/>
      <c r="AC1312" s="246"/>
      <c r="AD1312" s="246"/>
    </row>
    <row r="1313" spans="26:30">
      <c r="Z1313" s="246"/>
      <c r="AA1313" s="246"/>
      <c r="AB1313" s="246"/>
      <c r="AC1313" s="246"/>
      <c r="AD1313" s="246"/>
    </row>
    <row r="1314" spans="26:30">
      <c r="Z1314" s="246"/>
      <c r="AA1314" s="246"/>
      <c r="AB1314" s="246"/>
      <c r="AC1314" s="246"/>
      <c r="AD1314" s="246"/>
    </row>
    <row r="1315" spans="26:30">
      <c r="Z1315" s="246"/>
      <c r="AA1315" s="246"/>
      <c r="AB1315" s="246"/>
      <c r="AC1315" s="246"/>
      <c r="AD1315" s="246"/>
    </row>
    <row r="1316" spans="26:30">
      <c r="Z1316" s="246"/>
      <c r="AA1316" s="246"/>
      <c r="AB1316" s="246"/>
      <c r="AC1316" s="246"/>
      <c r="AD1316" s="246"/>
    </row>
    <row r="1317" spans="26:30">
      <c r="Z1317" s="246"/>
      <c r="AA1317" s="246"/>
      <c r="AB1317" s="246"/>
      <c r="AC1317" s="246"/>
      <c r="AD1317" s="246"/>
    </row>
    <row r="1318" spans="26:30">
      <c r="Z1318" s="246"/>
      <c r="AA1318" s="246"/>
      <c r="AB1318" s="246"/>
      <c r="AC1318" s="246"/>
      <c r="AD1318" s="246"/>
    </row>
    <row r="1319" spans="26:30">
      <c r="Z1319" s="246"/>
      <c r="AA1319" s="246"/>
      <c r="AB1319" s="246"/>
      <c r="AC1319" s="246"/>
      <c r="AD1319" s="246"/>
    </row>
    <row r="1320" spans="26:30">
      <c r="Z1320" s="246"/>
      <c r="AA1320" s="246"/>
      <c r="AB1320" s="246"/>
      <c r="AC1320" s="246"/>
      <c r="AD1320" s="246"/>
    </row>
    <row r="1321" spans="26:30">
      <c r="Z1321" s="246"/>
      <c r="AA1321" s="246"/>
      <c r="AB1321" s="246"/>
      <c r="AC1321" s="246"/>
      <c r="AD1321" s="246"/>
    </row>
    <row r="1322" spans="26:30">
      <c r="Z1322" s="246"/>
      <c r="AA1322" s="246"/>
      <c r="AB1322" s="246"/>
      <c r="AC1322" s="246"/>
      <c r="AD1322" s="246"/>
    </row>
    <row r="1323" spans="26:30">
      <c r="Z1323" s="246"/>
      <c r="AA1323" s="246"/>
      <c r="AB1323" s="246"/>
      <c r="AC1323" s="246"/>
      <c r="AD1323" s="246"/>
    </row>
    <row r="1324" spans="26:30">
      <c r="Z1324" s="246"/>
      <c r="AA1324" s="246"/>
      <c r="AB1324" s="246"/>
      <c r="AC1324" s="246"/>
      <c r="AD1324" s="246"/>
    </row>
    <row r="1325" spans="26:30">
      <c r="Z1325" s="246"/>
      <c r="AA1325" s="246"/>
      <c r="AB1325" s="246"/>
      <c r="AC1325" s="246"/>
      <c r="AD1325" s="246"/>
    </row>
    <row r="1326" spans="26:30">
      <c r="Z1326" s="246"/>
      <c r="AA1326" s="246"/>
      <c r="AB1326" s="246"/>
      <c r="AC1326" s="246"/>
      <c r="AD1326" s="246"/>
    </row>
    <row r="1327" spans="26:30">
      <c r="Z1327" s="246"/>
      <c r="AA1327" s="246"/>
      <c r="AB1327" s="246"/>
      <c r="AC1327" s="246"/>
      <c r="AD1327" s="246"/>
    </row>
    <row r="1328" spans="26:30">
      <c r="Z1328" s="246"/>
      <c r="AA1328" s="246"/>
      <c r="AB1328" s="246"/>
      <c r="AC1328" s="246"/>
      <c r="AD1328" s="246"/>
    </row>
    <row r="1329" spans="26:30">
      <c r="Z1329" s="246"/>
      <c r="AA1329" s="246"/>
      <c r="AB1329" s="246"/>
      <c r="AC1329" s="246"/>
      <c r="AD1329" s="246"/>
    </row>
    <row r="1330" spans="26:30">
      <c r="Z1330" s="246"/>
      <c r="AA1330" s="246"/>
      <c r="AB1330" s="246"/>
      <c r="AC1330" s="246"/>
      <c r="AD1330" s="246"/>
    </row>
    <row r="1331" spans="26:30">
      <c r="Z1331" s="246"/>
      <c r="AA1331" s="246"/>
      <c r="AB1331" s="246"/>
      <c r="AC1331" s="246"/>
      <c r="AD1331" s="246"/>
    </row>
    <row r="1332" spans="26:30">
      <c r="Z1332" s="246"/>
      <c r="AA1332" s="246"/>
      <c r="AB1332" s="246"/>
      <c r="AC1332" s="246"/>
      <c r="AD1332" s="246"/>
    </row>
    <row r="1333" spans="26:30">
      <c r="Z1333" s="246"/>
      <c r="AA1333" s="246"/>
      <c r="AB1333" s="246"/>
      <c r="AC1333" s="246"/>
      <c r="AD1333" s="246"/>
    </row>
    <row r="1334" spans="26:30">
      <c r="Z1334" s="246"/>
      <c r="AA1334" s="246"/>
      <c r="AB1334" s="246"/>
      <c r="AC1334" s="246"/>
      <c r="AD1334" s="246"/>
    </row>
    <row r="1335" spans="26:30">
      <c r="Z1335" s="246"/>
      <c r="AA1335" s="246"/>
      <c r="AB1335" s="246"/>
      <c r="AC1335" s="246"/>
      <c r="AD1335" s="246"/>
    </row>
    <row r="1336" spans="26:30">
      <c r="Z1336" s="246"/>
      <c r="AA1336" s="246"/>
      <c r="AB1336" s="246"/>
      <c r="AC1336" s="246"/>
      <c r="AD1336" s="246"/>
    </row>
    <row r="1337" spans="26:30">
      <c r="Z1337" s="246"/>
      <c r="AA1337" s="246"/>
      <c r="AB1337" s="246"/>
      <c r="AC1337" s="246"/>
      <c r="AD1337" s="246"/>
    </row>
    <row r="1338" spans="26:30">
      <c r="Z1338" s="246"/>
      <c r="AA1338" s="246"/>
      <c r="AB1338" s="246"/>
      <c r="AC1338" s="246"/>
      <c r="AD1338" s="246"/>
    </row>
    <row r="1339" spans="26:30">
      <c r="Z1339" s="246"/>
      <c r="AA1339" s="246"/>
      <c r="AB1339" s="246"/>
      <c r="AC1339" s="246"/>
      <c r="AD1339" s="246"/>
    </row>
    <row r="1340" spans="26:30">
      <c r="Z1340" s="246"/>
      <c r="AA1340" s="246"/>
      <c r="AB1340" s="246"/>
      <c r="AC1340" s="246"/>
      <c r="AD1340" s="246"/>
    </row>
    <row r="1341" spans="26:30">
      <c r="Z1341" s="246"/>
      <c r="AA1341" s="246"/>
      <c r="AB1341" s="246"/>
      <c r="AC1341" s="246"/>
      <c r="AD1341" s="246"/>
    </row>
    <row r="1342" spans="26:30">
      <c r="Z1342" s="246"/>
      <c r="AA1342" s="246"/>
      <c r="AB1342" s="246"/>
      <c r="AC1342" s="246"/>
      <c r="AD1342" s="246"/>
    </row>
    <row r="1343" spans="26:30">
      <c r="Z1343" s="246"/>
      <c r="AA1343" s="246"/>
      <c r="AB1343" s="246"/>
      <c r="AC1343" s="246"/>
      <c r="AD1343" s="246"/>
    </row>
    <row r="1344" spans="26:30">
      <c r="Z1344" s="246"/>
      <c r="AA1344" s="246"/>
      <c r="AB1344" s="246"/>
      <c r="AC1344" s="246"/>
      <c r="AD1344" s="246"/>
    </row>
    <row r="1345" spans="26:30">
      <c r="Z1345" s="246"/>
      <c r="AA1345" s="246"/>
      <c r="AB1345" s="246"/>
      <c r="AC1345" s="246"/>
      <c r="AD1345" s="246"/>
    </row>
    <row r="1346" spans="26:30">
      <c r="Z1346" s="246"/>
      <c r="AA1346" s="246"/>
      <c r="AB1346" s="246"/>
      <c r="AC1346" s="246"/>
      <c r="AD1346" s="246"/>
    </row>
    <row r="1347" spans="26:30">
      <c r="Z1347" s="246"/>
      <c r="AA1347" s="246"/>
      <c r="AB1347" s="246"/>
      <c r="AC1347" s="246"/>
      <c r="AD1347" s="246"/>
    </row>
    <row r="1348" spans="26:30">
      <c r="Z1348" s="246"/>
      <c r="AA1348" s="246"/>
      <c r="AB1348" s="246"/>
      <c r="AC1348" s="246"/>
      <c r="AD1348" s="246"/>
    </row>
    <row r="1349" spans="26:30">
      <c r="Z1349" s="246"/>
      <c r="AA1349" s="246"/>
      <c r="AB1349" s="246"/>
      <c r="AC1349" s="246"/>
      <c r="AD1349" s="246"/>
    </row>
    <row r="1350" spans="26:30">
      <c r="Z1350" s="246"/>
      <c r="AA1350" s="246"/>
      <c r="AB1350" s="246"/>
      <c r="AC1350" s="246"/>
      <c r="AD1350" s="246"/>
    </row>
    <row r="1351" spans="26:30">
      <c r="Z1351" s="246"/>
      <c r="AA1351" s="246"/>
      <c r="AB1351" s="246"/>
      <c r="AC1351" s="246"/>
      <c r="AD1351" s="246"/>
    </row>
    <row r="1352" spans="26:30">
      <c r="Z1352" s="246"/>
      <c r="AA1352" s="246"/>
      <c r="AB1352" s="246"/>
      <c r="AC1352" s="246"/>
      <c r="AD1352" s="246"/>
    </row>
    <row r="1353" spans="26:30">
      <c r="Z1353" s="246"/>
      <c r="AA1353" s="246"/>
      <c r="AB1353" s="246"/>
      <c r="AC1353" s="246"/>
      <c r="AD1353" s="246"/>
    </row>
    <row r="1354" spans="26:30">
      <c r="Z1354" s="246"/>
      <c r="AA1354" s="246"/>
      <c r="AB1354" s="246"/>
      <c r="AC1354" s="246"/>
      <c r="AD1354" s="246"/>
    </row>
    <row r="1355" spans="26:30">
      <c r="Z1355" s="246"/>
      <c r="AA1355" s="246"/>
      <c r="AB1355" s="246"/>
      <c r="AC1355" s="246"/>
      <c r="AD1355" s="246"/>
    </row>
    <row r="1356" spans="26:30">
      <c r="Z1356" s="246"/>
      <c r="AA1356" s="246"/>
      <c r="AB1356" s="246"/>
      <c r="AC1356" s="246"/>
      <c r="AD1356" s="246"/>
    </row>
    <row r="1357" spans="26:30">
      <c r="Z1357" s="246"/>
      <c r="AA1357" s="246"/>
      <c r="AB1357" s="246"/>
      <c r="AC1357" s="246"/>
      <c r="AD1357" s="246"/>
    </row>
    <row r="1358" spans="26:30">
      <c r="Z1358" s="246"/>
      <c r="AA1358" s="246"/>
      <c r="AB1358" s="246"/>
      <c r="AC1358" s="246"/>
      <c r="AD1358" s="246"/>
    </row>
    <row r="1359" spans="26:30">
      <c r="Z1359" s="246"/>
      <c r="AA1359" s="246"/>
      <c r="AB1359" s="246"/>
      <c r="AC1359" s="246"/>
      <c r="AD1359" s="246"/>
    </row>
    <row r="1360" spans="26:30">
      <c r="Z1360" s="246"/>
      <c r="AA1360" s="246"/>
      <c r="AB1360" s="246"/>
      <c r="AC1360" s="246"/>
      <c r="AD1360" s="246"/>
    </row>
    <row r="1361" spans="26:30">
      <c r="Z1361" s="246"/>
      <c r="AA1361" s="246"/>
      <c r="AB1361" s="246"/>
      <c r="AC1361" s="246"/>
      <c r="AD1361" s="246"/>
    </row>
    <row r="1362" spans="26:30">
      <c r="Z1362" s="246"/>
      <c r="AA1362" s="246"/>
      <c r="AB1362" s="246"/>
      <c r="AC1362" s="246"/>
      <c r="AD1362" s="246"/>
    </row>
    <row r="1363" spans="26:30">
      <c r="Z1363" s="246"/>
      <c r="AA1363" s="246"/>
      <c r="AB1363" s="246"/>
      <c r="AC1363" s="246"/>
      <c r="AD1363" s="246"/>
    </row>
    <row r="1364" spans="26:30">
      <c r="Z1364" s="246"/>
      <c r="AA1364" s="246"/>
      <c r="AB1364" s="246"/>
      <c r="AC1364" s="246"/>
      <c r="AD1364" s="246"/>
    </row>
    <row r="1365" spans="26:30">
      <c r="Z1365" s="246"/>
      <c r="AA1365" s="246"/>
      <c r="AB1365" s="246"/>
      <c r="AC1365" s="246"/>
      <c r="AD1365" s="246"/>
    </row>
    <row r="1366" spans="26:30">
      <c r="Z1366" s="246"/>
      <c r="AA1366" s="246"/>
      <c r="AB1366" s="246"/>
      <c r="AC1366" s="246"/>
      <c r="AD1366" s="246"/>
    </row>
    <row r="1367" spans="26:30">
      <c r="Z1367" s="246"/>
      <c r="AA1367" s="246"/>
      <c r="AB1367" s="246"/>
      <c r="AC1367" s="246"/>
      <c r="AD1367" s="246"/>
    </row>
    <row r="1368" spans="26:30">
      <c r="Z1368" s="246"/>
      <c r="AA1368" s="246"/>
      <c r="AB1368" s="246"/>
      <c r="AC1368" s="246"/>
      <c r="AD1368" s="246"/>
    </row>
    <row r="1369" spans="26:30">
      <c r="Z1369" s="246"/>
      <c r="AA1369" s="246"/>
      <c r="AB1369" s="246"/>
      <c r="AC1369" s="246"/>
      <c r="AD1369" s="246"/>
    </row>
    <row r="1370" spans="26:30">
      <c r="Z1370" s="246"/>
      <c r="AA1370" s="246"/>
      <c r="AB1370" s="246"/>
      <c r="AC1370" s="246"/>
      <c r="AD1370" s="246"/>
    </row>
    <row r="1371" spans="26:30">
      <c r="Z1371" s="246"/>
      <c r="AA1371" s="246"/>
      <c r="AB1371" s="246"/>
      <c r="AC1371" s="246"/>
      <c r="AD1371" s="246"/>
    </row>
    <row r="1372" spans="26:30">
      <c r="Z1372" s="246"/>
      <c r="AA1372" s="246"/>
      <c r="AB1372" s="246"/>
      <c r="AC1372" s="246"/>
      <c r="AD1372" s="246"/>
    </row>
    <row r="1373" spans="26:30">
      <c r="Z1373" s="246"/>
      <c r="AA1373" s="246"/>
      <c r="AB1373" s="246"/>
      <c r="AC1373" s="246"/>
      <c r="AD1373" s="246"/>
    </row>
    <row r="1374" spans="26:30">
      <c r="Z1374" s="246"/>
      <c r="AA1374" s="246"/>
      <c r="AB1374" s="246"/>
      <c r="AC1374" s="246"/>
      <c r="AD1374" s="246"/>
    </row>
    <row r="1375" spans="26:30">
      <c r="Z1375" s="246"/>
      <c r="AA1375" s="246"/>
      <c r="AB1375" s="246"/>
      <c r="AC1375" s="246"/>
      <c r="AD1375" s="246"/>
    </row>
    <row r="1376" spans="26:30">
      <c r="Z1376" s="246"/>
      <c r="AA1376" s="246"/>
      <c r="AB1376" s="246"/>
      <c r="AC1376" s="246"/>
      <c r="AD1376" s="246"/>
    </row>
    <row r="1377" spans="26:30">
      <c r="Z1377" s="246"/>
      <c r="AA1377" s="246"/>
      <c r="AB1377" s="246"/>
      <c r="AC1377" s="246"/>
      <c r="AD1377" s="246"/>
    </row>
    <row r="1378" spans="26:30">
      <c r="Z1378" s="246"/>
      <c r="AA1378" s="246"/>
      <c r="AB1378" s="246"/>
      <c r="AC1378" s="246"/>
      <c r="AD1378" s="246"/>
    </row>
    <row r="1379" spans="26:30">
      <c r="Z1379" s="246"/>
      <c r="AA1379" s="246"/>
      <c r="AB1379" s="246"/>
      <c r="AC1379" s="246"/>
      <c r="AD1379" s="246"/>
    </row>
    <row r="1380" spans="26:30">
      <c r="Z1380" s="246"/>
      <c r="AA1380" s="246"/>
      <c r="AB1380" s="246"/>
      <c r="AC1380" s="246"/>
      <c r="AD1380" s="246"/>
    </row>
    <row r="1381" spans="26:30">
      <c r="Z1381" s="246"/>
      <c r="AA1381" s="246"/>
      <c r="AB1381" s="246"/>
      <c r="AC1381" s="246"/>
      <c r="AD1381" s="246"/>
    </row>
    <row r="1382" spans="26:30">
      <c r="Z1382" s="246"/>
      <c r="AA1382" s="246"/>
      <c r="AB1382" s="246"/>
      <c r="AC1382" s="246"/>
      <c r="AD1382" s="246"/>
    </row>
    <row r="1383" spans="26:30">
      <c r="Z1383" s="246"/>
      <c r="AA1383" s="246"/>
      <c r="AB1383" s="246"/>
      <c r="AC1383" s="246"/>
      <c r="AD1383" s="246"/>
    </row>
    <row r="1384" spans="26:30">
      <c r="Z1384" s="246"/>
      <c r="AA1384" s="246"/>
      <c r="AB1384" s="246"/>
      <c r="AC1384" s="246"/>
      <c r="AD1384" s="246"/>
    </row>
    <row r="1385" spans="26:30">
      <c r="Z1385" s="246"/>
      <c r="AA1385" s="246"/>
      <c r="AB1385" s="246"/>
      <c r="AC1385" s="246"/>
      <c r="AD1385" s="246"/>
    </row>
    <row r="1386" spans="26:30">
      <c r="Z1386" s="246"/>
      <c r="AA1386" s="246"/>
      <c r="AB1386" s="246"/>
      <c r="AC1386" s="246"/>
      <c r="AD1386" s="246"/>
    </row>
    <row r="1387" spans="26:30">
      <c r="Z1387" s="246"/>
      <c r="AA1387" s="246"/>
      <c r="AB1387" s="246"/>
      <c r="AC1387" s="246"/>
      <c r="AD1387" s="246"/>
    </row>
    <row r="1388" spans="26:30">
      <c r="Z1388" s="246"/>
      <c r="AA1388" s="246"/>
      <c r="AB1388" s="246"/>
      <c r="AC1388" s="246"/>
      <c r="AD1388" s="246"/>
    </row>
    <row r="1389" spans="26:30">
      <c r="Z1389" s="246"/>
      <c r="AA1389" s="246"/>
      <c r="AB1389" s="246"/>
      <c r="AC1389" s="246"/>
      <c r="AD1389" s="246"/>
    </row>
    <row r="1390" spans="26:30">
      <c r="Z1390" s="246"/>
      <c r="AA1390" s="246"/>
      <c r="AB1390" s="246"/>
      <c r="AC1390" s="246"/>
      <c r="AD1390" s="246"/>
    </row>
    <row r="1391" spans="26:30">
      <c r="Z1391" s="246"/>
      <c r="AA1391" s="246"/>
      <c r="AB1391" s="246"/>
      <c r="AC1391" s="246"/>
      <c r="AD1391" s="246"/>
    </row>
    <row r="1392" spans="26:30">
      <c r="Z1392" s="246"/>
      <c r="AA1392" s="246"/>
      <c r="AB1392" s="246"/>
      <c r="AC1392" s="246"/>
      <c r="AD1392" s="246"/>
    </row>
    <row r="1393" spans="26:30">
      <c r="Z1393" s="246"/>
      <c r="AA1393" s="246"/>
      <c r="AB1393" s="246"/>
      <c r="AC1393" s="246"/>
      <c r="AD1393" s="246"/>
    </row>
    <row r="1394" spans="26:30">
      <c r="Z1394" s="246"/>
      <c r="AA1394" s="246"/>
      <c r="AB1394" s="246"/>
      <c r="AC1394" s="246"/>
      <c r="AD1394" s="246"/>
    </row>
    <row r="1395" spans="26:30">
      <c r="Z1395" s="246"/>
      <c r="AA1395" s="246"/>
      <c r="AB1395" s="246"/>
      <c r="AC1395" s="246"/>
      <c r="AD1395" s="246"/>
    </row>
    <row r="1396" spans="26:30">
      <c r="Z1396" s="246"/>
      <c r="AA1396" s="246"/>
      <c r="AB1396" s="246"/>
      <c r="AC1396" s="246"/>
      <c r="AD1396" s="246"/>
    </row>
    <row r="1397" spans="26:30">
      <c r="Z1397" s="246"/>
      <c r="AA1397" s="246"/>
      <c r="AB1397" s="246"/>
      <c r="AC1397" s="246"/>
      <c r="AD1397" s="246"/>
    </row>
    <row r="1398" spans="26:30">
      <c r="Z1398" s="246"/>
      <c r="AA1398" s="246"/>
      <c r="AB1398" s="246"/>
      <c r="AC1398" s="246"/>
      <c r="AD1398" s="246"/>
    </row>
    <row r="1399" spans="26:30">
      <c r="Z1399" s="246"/>
      <c r="AA1399" s="246"/>
      <c r="AB1399" s="246"/>
      <c r="AC1399" s="246"/>
      <c r="AD1399" s="246"/>
    </row>
    <row r="1400" spans="26:30">
      <c r="Z1400" s="246"/>
      <c r="AA1400" s="246"/>
      <c r="AB1400" s="246"/>
      <c r="AC1400" s="246"/>
      <c r="AD1400" s="246"/>
    </row>
    <row r="1401" spans="26:30">
      <c r="Z1401" s="246"/>
      <c r="AA1401" s="246"/>
      <c r="AB1401" s="246"/>
      <c r="AC1401" s="246"/>
      <c r="AD1401" s="246"/>
    </row>
    <row r="1402" spans="26:30">
      <c r="Z1402" s="246"/>
      <c r="AA1402" s="246"/>
      <c r="AB1402" s="246"/>
      <c r="AC1402" s="246"/>
      <c r="AD1402" s="246"/>
    </row>
    <row r="1403" spans="26:30">
      <c r="Z1403" s="246"/>
      <c r="AA1403" s="246"/>
      <c r="AB1403" s="246"/>
      <c r="AC1403" s="246"/>
      <c r="AD1403" s="246"/>
    </row>
    <row r="1404" spans="26:30">
      <c r="Z1404" s="246"/>
      <c r="AA1404" s="246"/>
      <c r="AB1404" s="246"/>
      <c r="AC1404" s="246"/>
      <c r="AD1404" s="246"/>
    </row>
    <row r="1405" spans="26:30">
      <c r="Z1405" s="246"/>
      <c r="AA1405" s="246"/>
      <c r="AB1405" s="246"/>
      <c r="AC1405" s="246"/>
      <c r="AD1405" s="246"/>
    </row>
    <row r="1406" spans="26:30">
      <c r="Z1406" s="246"/>
      <c r="AA1406" s="246"/>
      <c r="AB1406" s="246"/>
      <c r="AC1406" s="246"/>
      <c r="AD1406" s="246"/>
    </row>
    <row r="1407" spans="26:30">
      <c r="Z1407" s="246"/>
      <c r="AA1407" s="246"/>
      <c r="AB1407" s="246"/>
      <c r="AC1407" s="246"/>
      <c r="AD1407" s="246"/>
    </row>
    <row r="1408" spans="26:30">
      <c r="Z1408" s="246"/>
      <c r="AA1408" s="246"/>
      <c r="AB1408" s="246"/>
      <c r="AC1408" s="246"/>
      <c r="AD1408" s="246"/>
    </row>
    <row r="1409" spans="26:30">
      <c r="Z1409" s="246"/>
      <c r="AA1409" s="246"/>
      <c r="AB1409" s="246"/>
      <c r="AC1409" s="246"/>
      <c r="AD1409" s="246"/>
    </row>
    <row r="1410" spans="26:30">
      <c r="Z1410" s="246"/>
      <c r="AA1410" s="246"/>
      <c r="AB1410" s="246"/>
      <c r="AC1410" s="246"/>
      <c r="AD1410" s="246"/>
    </row>
    <row r="1411" spans="26:30">
      <c r="Z1411" s="246"/>
      <c r="AA1411" s="246"/>
      <c r="AB1411" s="246"/>
      <c r="AC1411" s="246"/>
      <c r="AD1411" s="246"/>
    </row>
    <row r="1412" spans="26:30">
      <c r="Z1412" s="246"/>
      <c r="AA1412" s="246"/>
      <c r="AB1412" s="246"/>
      <c r="AC1412" s="246"/>
      <c r="AD1412" s="246"/>
    </row>
    <row r="1413" spans="26:30">
      <c r="Z1413" s="246"/>
      <c r="AA1413" s="246"/>
      <c r="AB1413" s="246"/>
      <c r="AC1413" s="246"/>
      <c r="AD1413" s="246"/>
    </row>
    <row r="1414" spans="26:30">
      <c r="Z1414" s="246"/>
      <c r="AA1414" s="246"/>
      <c r="AB1414" s="246"/>
      <c r="AC1414" s="246"/>
      <c r="AD1414" s="246"/>
    </row>
    <row r="1415" spans="26:30">
      <c r="Z1415" s="246"/>
      <c r="AA1415" s="246"/>
      <c r="AB1415" s="246"/>
      <c r="AC1415" s="246"/>
      <c r="AD1415" s="246"/>
    </row>
    <row r="1416" spans="26:30">
      <c r="Z1416" s="246"/>
      <c r="AA1416" s="246"/>
      <c r="AB1416" s="246"/>
      <c r="AC1416" s="246"/>
      <c r="AD1416" s="246"/>
    </row>
    <row r="1417" spans="26:30">
      <c r="Z1417" s="246"/>
      <c r="AA1417" s="246"/>
      <c r="AB1417" s="246"/>
      <c r="AC1417" s="246"/>
      <c r="AD1417" s="246"/>
    </row>
    <row r="1418" spans="26:30">
      <c r="Z1418" s="246"/>
      <c r="AA1418" s="246"/>
      <c r="AB1418" s="246"/>
      <c r="AC1418" s="246"/>
      <c r="AD1418" s="246"/>
    </row>
    <row r="1419" spans="26:30">
      <c r="Z1419" s="246"/>
      <c r="AA1419" s="246"/>
      <c r="AB1419" s="246"/>
      <c r="AC1419" s="246"/>
      <c r="AD1419" s="246"/>
    </row>
    <row r="1420" spans="26:30">
      <c r="Z1420" s="246"/>
      <c r="AA1420" s="246"/>
      <c r="AB1420" s="246"/>
      <c r="AC1420" s="246"/>
      <c r="AD1420" s="246"/>
    </row>
    <row r="1421" spans="26:30">
      <c r="Z1421" s="246"/>
      <c r="AA1421" s="246"/>
      <c r="AB1421" s="246"/>
      <c r="AC1421" s="246"/>
      <c r="AD1421" s="246"/>
    </row>
    <row r="1422" spans="26:30">
      <c r="Z1422" s="246"/>
      <c r="AA1422" s="246"/>
      <c r="AB1422" s="246"/>
      <c r="AC1422" s="246"/>
      <c r="AD1422" s="246"/>
    </row>
    <row r="1423" spans="26:30">
      <c r="Z1423" s="246"/>
      <c r="AA1423" s="246"/>
      <c r="AB1423" s="246"/>
      <c r="AC1423" s="246"/>
      <c r="AD1423" s="246"/>
    </row>
    <row r="1424" spans="26:30">
      <c r="Z1424" s="246"/>
      <c r="AA1424" s="246"/>
      <c r="AB1424" s="246"/>
      <c r="AC1424" s="246"/>
      <c r="AD1424" s="246"/>
    </row>
    <row r="1425" spans="26:30">
      <c r="Z1425" s="246"/>
      <c r="AA1425" s="246"/>
      <c r="AB1425" s="246"/>
      <c r="AC1425" s="246"/>
      <c r="AD1425" s="246"/>
    </row>
    <row r="1426" spans="26:30">
      <c r="Z1426" s="246"/>
      <c r="AA1426" s="246"/>
      <c r="AB1426" s="246"/>
      <c r="AC1426" s="246"/>
      <c r="AD1426" s="246"/>
    </row>
    <row r="1427" spans="26:30">
      <c r="Z1427" s="246"/>
      <c r="AA1427" s="246"/>
      <c r="AB1427" s="246"/>
      <c r="AC1427" s="246"/>
      <c r="AD1427" s="246"/>
    </row>
    <row r="1428" spans="26:30">
      <c r="Z1428" s="246"/>
      <c r="AA1428" s="246"/>
      <c r="AB1428" s="246"/>
      <c r="AC1428" s="246"/>
      <c r="AD1428" s="246"/>
    </row>
    <row r="1429" spans="26:30">
      <c r="Z1429" s="246"/>
      <c r="AA1429" s="246"/>
      <c r="AB1429" s="246"/>
      <c r="AC1429" s="246"/>
      <c r="AD1429" s="246"/>
    </row>
    <row r="1430" spans="26:30">
      <c r="Z1430" s="246"/>
      <c r="AA1430" s="246"/>
      <c r="AB1430" s="246"/>
      <c r="AC1430" s="246"/>
      <c r="AD1430" s="246"/>
    </row>
    <row r="1431" spans="26:30">
      <c r="Z1431" s="246"/>
      <c r="AA1431" s="246"/>
      <c r="AB1431" s="246"/>
      <c r="AC1431" s="246"/>
      <c r="AD1431" s="246"/>
    </row>
    <row r="1432" spans="26:30">
      <c r="Z1432" s="246"/>
      <c r="AA1432" s="246"/>
      <c r="AB1432" s="246"/>
      <c r="AC1432" s="246"/>
      <c r="AD1432" s="246"/>
    </row>
    <row r="1433" spans="26:30">
      <c r="Z1433" s="246"/>
      <c r="AA1433" s="246"/>
      <c r="AB1433" s="246"/>
      <c r="AC1433" s="246"/>
      <c r="AD1433" s="246"/>
    </row>
    <row r="1434" spans="26:30">
      <c r="Z1434" s="246"/>
      <c r="AA1434" s="246"/>
      <c r="AB1434" s="246"/>
      <c r="AC1434" s="246"/>
      <c r="AD1434" s="246"/>
    </row>
    <row r="1435" spans="26:30">
      <c r="Z1435" s="246"/>
      <c r="AA1435" s="246"/>
      <c r="AB1435" s="246"/>
      <c r="AC1435" s="246"/>
      <c r="AD1435" s="246"/>
    </row>
    <row r="1436" spans="26:30">
      <c r="Z1436" s="246"/>
      <c r="AA1436" s="246"/>
      <c r="AB1436" s="246"/>
      <c r="AC1436" s="246"/>
      <c r="AD1436" s="246"/>
    </row>
    <row r="1437" spans="26:30">
      <c r="Z1437" s="246"/>
      <c r="AA1437" s="246"/>
      <c r="AB1437" s="246"/>
      <c r="AC1437" s="246"/>
      <c r="AD1437" s="246"/>
    </row>
    <row r="1438" spans="26:30">
      <c r="Z1438" s="246"/>
      <c r="AA1438" s="246"/>
      <c r="AB1438" s="246"/>
      <c r="AC1438" s="246"/>
      <c r="AD1438" s="246"/>
    </row>
    <row r="1439" spans="26:30">
      <c r="Z1439" s="246"/>
      <c r="AA1439" s="246"/>
      <c r="AB1439" s="246"/>
      <c r="AC1439" s="246"/>
      <c r="AD1439" s="246"/>
    </row>
    <row r="1440" spans="26:30">
      <c r="Z1440" s="246"/>
      <c r="AA1440" s="246"/>
      <c r="AB1440" s="246"/>
      <c r="AC1440" s="246"/>
      <c r="AD1440" s="246"/>
    </row>
    <row r="1441" spans="26:30">
      <c r="Z1441" s="246"/>
      <c r="AA1441" s="246"/>
      <c r="AB1441" s="246"/>
      <c r="AC1441" s="246"/>
      <c r="AD1441" s="246"/>
    </row>
    <row r="1442" spans="26:30">
      <c r="Z1442" s="246"/>
      <c r="AA1442" s="246"/>
      <c r="AB1442" s="246"/>
      <c r="AC1442" s="246"/>
      <c r="AD1442" s="246"/>
    </row>
    <row r="1443" spans="26:30">
      <c r="Z1443" s="246"/>
      <c r="AA1443" s="246"/>
      <c r="AB1443" s="246"/>
      <c r="AC1443" s="246"/>
      <c r="AD1443" s="246"/>
    </row>
    <row r="1444" spans="26:30">
      <c r="Z1444" s="246"/>
      <c r="AA1444" s="246"/>
      <c r="AB1444" s="246"/>
      <c r="AC1444" s="246"/>
      <c r="AD1444" s="246"/>
    </row>
    <row r="1445" spans="26:30">
      <c r="Z1445" s="246"/>
      <c r="AA1445" s="246"/>
      <c r="AB1445" s="246"/>
      <c r="AC1445" s="246"/>
      <c r="AD1445" s="246"/>
    </row>
    <row r="1446" spans="26:30">
      <c r="Z1446" s="246"/>
      <c r="AA1446" s="246"/>
      <c r="AB1446" s="246"/>
      <c r="AC1446" s="246"/>
      <c r="AD1446" s="246"/>
    </row>
    <row r="1447" spans="26:30">
      <c r="Z1447" s="246"/>
      <c r="AA1447" s="246"/>
      <c r="AB1447" s="246"/>
      <c r="AC1447" s="246"/>
      <c r="AD1447" s="246"/>
    </row>
    <row r="1448" spans="26:30">
      <c r="Z1448" s="246"/>
      <c r="AA1448" s="246"/>
      <c r="AB1448" s="246"/>
      <c r="AC1448" s="246"/>
      <c r="AD1448" s="246"/>
    </row>
    <row r="1449" spans="26:30">
      <c r="Z1449" s="246"/>
      <c r="AA1449" s="246"/>
      <c r="AB1449" s="246"/>
      <c r="AC1449" s="246"/>
      <c r="AD1449" s="246"/>
    </row>
    <row r="1450" spans="26:30">
      <c r="Z1450" s="246"/>
      <c r="AA1450" s="246"/>
      <c r="AB1450" s="246"/>
      <c r="AC1450" s="246"/>
      <c r="AD1450" s="246"/>
    </row>
    <row r="1451" spans="26:30">
      <c r="Z1451" s="246"/>
      <c r="AA1451" s="246"/>
      <c r="AB1451" s="246"/>
      <c r="AC1451" s="246"/>
      <c r="AD1451" s="246"/>
    </row>
    <row r="1452" spans="26:30">
      <c r="Z1452" s="246"/>
      <c r="AA1452" s="246"/>
      <c r="AB1452" s="246"/>
      <c r="AC1452" s="246"/>
      <c r="AD1452" s="246"/>
    </row>
    <row r="1453" spans="26:30">
      <c r="Z1453" s="246"/>
      <c r="AA1453" s="246"/>
      <c r="AB1453" s="246"/>
      <c r="AC1453" s="246"/>
      <c r="AD1453" s="246"/>
    </row>
    <row r="1454" spans="26:30">
      <c r="Z1454" s="246"/>
      <c r="AA1454" s="246"/>
      <c r="AB1454" s="246"/>
      <c r="AC1454" s="246"/>
      <c r="AD1454" s="246"/>
    </row>
    <row r="1455" spans="26:30">
      <c r="Z1455" s="246"/>
      <c r="AA1455" s="246"/>
      <c r="AB1455" s="246"/>
      <c r="AC1455" s="246"/>
      <c r="AD1455" s="246"/>
    </row>
    <row r="1456" spans="26:30">
      <c r="Z1456" s="246"/>
      <c r="AA1456" s="246"/>
      <c r="AB1456" s="246"/>
      <c r="AC1456" s="246"/>
      <c r="AD1456" s="246"/>
    </row>
    <row r="1457" spans="26:30">
      <c r="Z1457" s="246"/>
      <c r="AA1457" s="246"/>
      <c r="AB1457" s="246"/>
      <c r="AC1457" s="246"/>
      <c r="AD1457" s="246"/>
    </row>
    <row r="1458" spans="26:30">
      <c r="Z1458" s="246"/>
      <c r="AA1458" s="246"/>
      <c r="AB1458" s="246"/>
      <c r="AC1458" s="246"/>
      <c r="AD1458" s="246"/>
    </row>
    <row r="1459" spans="26:30">
      <c r="Z1459" s="246"/>
      <c r="AA1459" s="246"/>
      <c r="AB1459" s="246"/>
      <c r="AC1459" s="246"/>
      <c r="AD1459" s="246"/>
    </row>
    <row r="1460" spans="26:30">
      <c r="Z1460" s="246"/>
      <c r="AA1460" s="246"/>
      <c r="AB1460" s="246"/>
      <c r="AC1460" s="246"/>
      <c r="AD1460" s="246"/>
    </row>
    <row r="1461" spans="26:30">
      <c r="Z1461" s="246"/>
      <c r="AA1461" s="246"/>
      <c r="AB1461" s="246"/>
      <c r="AC1461" s="246"/>
      <c r="AD1461" s="246"/>
    </row>
    <row r="1462" spans="26:30">
      <c r="Z1462" s="246"/>
      <c r="AA1462" s="246"/>
      <c r="AB1462" s="246"/>
      <c r="AC1462" s="246"/>
      <c r="AD1462" s="246"/>
    </row>
    <row r="1463" spans="26:30">
      <c r="Z1463" s="246"/>
      <c r="AA1463" s="246"/>
      <c r="AB1463" s="246"/>
      <c r="AC1463" s="246"/>
      <c r="AD1463" s="246"/>
    </row>
    <row r="1464" spans="26:30">
      <c r="Z1464" s="246"/>
      <c r="AA1464" s="246"/>
      <c r="AB1464" s="246"/>
      <c r="AC1464" s="246"/>
      <c r="AD1464" s="246"/>
    </row>
    <row r="1465" spans="26:30">
      <c r="Z1465" s="246"/>
      <c r="AA1465" s="246"/>
      <c r="AB1465" s="246"/>
      <c r="AC1465" s="246"/>
      <c r="AD1465" s="246"/>
    </row>
    <row r="1466" spans="26:30">
      <c r="Z1466" s="246"/>
      <c r="AA1466" s="246"/>
      <c r="AB1466" s="246"/>
      <c r="AC1466" s="246"/>
      <c r="AD1466" s="246"/>
    </row>
    <row r="1467" spans="26:30">
      <c r="Z1467" s="246"/>
      <c r="AA1467" s="246"/>
      <c r="AB1467" s="246"/>
      <c r="AC1467" s="246"/>
      <c r="AD1467" s="246"/>
    </row>
    <row r="1468" spans="26:30">
      <c r="Z1468" s="246"/>
      <c r="AA1468" s="246"/>
      <c r="AB1468" s="246"/>
      <c r="AC1468" s="246"/>
      <c r="AD1468" s="246"/>
    </row>
    <row r="1469" spans="26:30">
      <c r="Z1469" s="246"/>
      <c r="AA1469" s="246"/>
      <c r="AB1469" s="246"/>
      <c r="AC1469" s="246"/>
      <c r="AD1469" s="246"/>
    </row>
    <row r="1470" spans="26:30">
      <c r="Z1470" s="246"/>
      <c r="AA1470" s="246"/>
      <c r="AB1470" s="246"/>
      <c r="AC1470" s="246"/>
      <c r="AD1470" s="246"/>
    </row>
    <row r="1471" spans="26:30">
      <c r="Z1471" s="246"/>
      <c r="AA1471" s="246"/>
      <c r="AB1471" s="246"/>
      <c r="AC1471" s="246"/>
      <c r="AD1471" s="246"/>
    </row>
    <row r="1472" spans="26:30">
      <c r="Z1472" s="246"/>
      <c r="AA1472" s="246"/>
      <c r="AB1472" s="246"/>
      <c r="AC1472" s="246"/>
      <c r="AD1472" s="246"/>
    </row>
    <row r="1473" spans="26:30">
      <c r="Z1473" s="246"/>
      <c r="AA1473" s="246"/>
      <c r="AB1473" s="246"/>
      <c r="AC1473" s="246"/>
      <c r="AD1473" s="246"/>
    </row>
    <row r="1474" spans="26:30">
      <c r="Z1474" s="246"/>
      <c r="AA1474" s="246"/>
      <c r="AB1474" s="246"/>
      <c r="AC1474" s="246"/>
      <c r="AD1474" s="246"/>
    </row>
    <row r="1475" spans="26:30">
      <c r="Z1475" s="246"/>
      <c r="AA1475" s="246"/>
      <c r="AB1475" s="246"/>
      <c r="AC1475" s="246"/>
      <c r="AD1475" s="246"/>
    </row>
    <row r="1476" spans="26:30">
      <c r="Z1476" s="246"/>
      <c r="AA1476" s="246"/>
      <c r="AB1476" s="246"/>
      <c r="AC1476" s="246"/>
      <c r="AD1476" s="246"/>
    </row>
    <row r="1477" spans="26:30">
      <c r="Z1477" s="246"/>
      <c r="AA1477" s="246"/>
      <c r="AB1477" s="246"/>
      <c r="AC1477" s="246"/>
      <c r="AD1477" s="246"/>
    </row>
    <row r="1478" spans="26:30">
      <c r="Z1478" s="246"/>
      <c r="AA1478" s="246"/>
      <c r="AB1478" s="246"/>
      <c r="AC1478" s="246"/>
      <c r="AD1478" s="246"/>
    </row>
    <row r="1479" spans="26:30">
      <c r="Z1479" s="246"/>
      <c r="AA1479" s="246"/>
      <c r="AB1479" s="246"/>
      <c r="AC1479" s="246"/>
      <c r="AD1479" s="246"/>
    </row>
    <row r="1480" spans="26:30">
      <c r="Z1480" s="246"/>
      <c r="AA1480" s="246"/>
      <c r="AB1480" s="246"/>
      <c r="AC1480" s="246"/>
      <c r="AD1480" s="246"/>
    </row>
    <row r="1481" spans="26:30">
      <c r="Z1481" s="246"/>
      <c r="AA1481" s="246"/>
      <c r="AB1481" s="246"/>
      <c r="AC1481" s="246"/>
      <c r="AD1481" s="246"/>
    </row>
    <row r="1482" spans="26:30">
      <c r="Z1482" s="246"/>
      <c r="AA1482" s="246"/>
      <c r="AB1482" s="246"/>
      <c r="AC1482" s="246"/>
      <c r="AD1482" s="246"/>
    </row>
    <row r="1483" spans="26:30">
      <c r="Z1483" s="246"/>
      <c r="AA1483" s="246"/>
      <c r="AB1483" s="246"/>
      <c r="AC1483" s="246"/>
      <c r="AD1483" s="246"/>
    </row>
    <row r="1484" spans="26:30">
      <c r="Z1484" s="246"/>
      <c r="AA1484" s="246"/>
      <c r="AB1484" s="246"/>
      <c r="AC1484" s="246"/>
      <c r="AD1484" s="246"/>
    </row>
    <row r="1485" spans="26:30">
      <c r="Z1485" s="246"/>
      <c r="AA1485" s="246"/>
      <c r="AB1485" s="246"/>
      <c r="AC1485" s="246"/>
      <c r="AD1485" s="246"/>
    </row>
    <row r="1486" spans="26:30">
      <c r="Z1486" s="246"/>
      <c r="AA1486" s="246"/>
      <c r="AB1486" s="246"/>
      <c r="AC1486" s="246"/>
      <c r="AD1486" s="246"/>
    </row>
    <row r="1487" spans="26:30">
      <c r="Z1487" s="246"/>
      <c r="AA1487" s="246"/>
      <c r="AB1487" s="246"/>
      <c r="AC1487" s="246"/>
      <c r="AD1487" s="246"/>
    </row>
    <row r="1488" spans="26:30">
      <c r="Z1488" s="246"/>
      <c r="AA1488" s="246"/>
      <c r="AB1488" s="246"/>
      <c r="AC1488" s="246"/>
      <c r="AD1488" s="246"/>
    </row>
    <row r="1489" spans="26:30">
      <c r="Z1489" s="246"/>
      <c r="AA1489" s="246"/>
      <c r="AB1489" s="246"/>
      <c r="AC1489" s="246"/>
      <c r="AD1489" s="246"/>
    </row>
    <row r="1490" spans="26:30">
      <c r="Z1490" s="246"/>
      <c r="AA1490" s="246"/>
      <c r="AB1490" s="246"/>
      <c r="AC1490" s="246"/>
      <c r="AD1490" s="246"/>
    </row>
    <row r="1491" spans="26:30">
      <c r="Z1491" s="246"/>
      <c r="AA1491" s="246"/>
      <c r="AB1491" s="246"/>
      <c r="AC1491" s="246"/>
      <c r="AD1491" s="246"/>
    </row>
    <row r="1492" spans="26:30">
      <c r="Z1492" s="246"/>
      <c r="AA1492" s="246"/>
      <c r="AB1492" s="246"/>
      <c r="AC1492" s="246"/>
      <c r="AD1492" s="246"/>
    </row>
    <row r="1493" spans="26:30">
      <c r="Z1493" s="246"/>
      <c r="AA1493" s="246"/>
      <c r="AB1493" s="246"/>
      <c r="AC1493" s="246"/>
      <c r="AD1493" s="246"/>
    </row>
    <row r="1494" spans="26:30">
      <c r="Z1494" s="246"/>
      <c r="AA1494" s="246"/>
      <c r="AB1494" s="246"/>
      <c r="AC1494" s="246"/>
      <c r="AD1494" s="246"/>
    </row>
    <row r="1495" spans="26:30">
      <c r="Z1495" s="246"/>
      <c r="AA1495" s="246"/>
      <c r="AB1495" s="246"/>
      <c r="AC1495" s="246"/>
      <c r="AD1495" s="246"/>
    </row>
    <row r="1496" spans="26:30">
      <c r="Z1496" s="246"/>
      <c r="AA1496" s="246"/>
      <c r="AB1496" s="246"/>
      <c r="AC1496" s="246"/>
      <c r="AD1496" s="246"/>
    </row>
    <row r="1497" spans="26:30">
      <c r="Z1497" s="246"/>
      <c r="AA1497" s="246"/>
      <c r="AB1497" s="246"/>
      <c r="AC1497" s="246"/>
      <c r="AD1497" s="246"/>
    </row>
    <row r="1498" spans="26:30">
      <c r="Z1498" s="246"/>
      <c r="AA1498" s="246"/>
      <c r="AB1498" s="246"/>
      <c r="AC1498" s="246"/>
      <c r="AD1498" s="246"/>
    </row>
    <row r="1499" spans="26:30">
      <c r="Z1499" s="246"/>
      <c r="AA1499" s="246"/>
      <c r="AB1499" s="246"/>
      <c r="AC1499" s="246"/>
      <c r="AD1499" s="246"/>
    </row>
    <row r="1500" spans="26:30">
      <c r="Z1500" s="246"/>
      <c r="AA1500" s="246"/>
      <c r="AB1500" s="246"/>
      <c r="AC1500" s="246"/>
      <c r="AD1500" s="246"/>
    </row>
    <row r="1501" spans="26:30">
      <c r="Z1501" s="246"/>
      <c r="AA1501" s="246"/>
      <c r="AB1501" s="246"/>
      <c r="AC1501" s="246"/>
      <c r="AD1501" s="246"/>
    </row>
    <row r="1502" spans="26:30">
      <c r="Z1502" s="246"/>
      <c r="AA1502" s="246"/>
      <c r="AB1502" s="246"/>
      <c r="AC1502" s="246"/>
      <c r="AD1502" s="246"/>
    </row>
    <row r="1503" spans="26:30">
      <c r="Z1503" s="246"/>
      <c r="AA1503" s="246"/>
      <c r="AB1503" s="246"/>
      <c r="AC1503" s="246"/>
      <c r="AD1503" s="246"/>
    </row>
    <row r="1504" spans="26:30">
      <c r="Z1504" s="246"/>
      <c r="AA1504" s="246"/>
      <c r="AB1504" s="246"/>
      <c r="AC1504" s="246"/>
      <c r="AD1504" s="246"/>
    </row>
    <row r="1505" spans="26:30">
      <c r="Z1505" s="246"/>
      <c r="AA1505" s="246"/>
      <c r="AB1505" s="246"/>
      <c r="AC1505" s="246"/>
      <c r="AD1505" s="246"/>
    </row>
    <row r="1506" spans="26:30">
      <c r="Z1506" s="246"/>
      <c r="AA1506" s="246"/>
      <c r="AB1506" s="246"/>
      <c r="AC1506" s="246"/>
      <c r="AD1506" s="246"/>
    </row>
    <row r="1507" spans="26:30">
      <c r="Z1507" s="246"/>
      <c r="AA1507" s="246"/>
      <c r="AB1507" s="246"/>
      <c r="AC1507" s="246"/>
      <c r="AD1507" s="246"/>
    </row>
    <row r="1508" spans="26:30">
      <c r="Z1508" s="246"/>
      <c r="AA1508" s="246"/>
      <c r="AB1508" s="246"/>
      <c r="AC1508" s="246"/>
      <c r="AD1508" s="246"/>
    </row>
    <row r="1509" spans="26:30">
      <c r="Z1509" s="246"/>
      <c r="AA1509" s="246"/>
      <c r="AB1509" s="246"/>
      <c r="AC1509" s="246"/>
      <c r="AD1509" s="246"/>
    </row>
    <row r="1510" spans="26:30">
      <c r="Z1510" s="246"/>
      <c r="AA1510" s="246"/>
      <c r="AB1510" s="246"/>
      <c r="AC1510" s="246"/>
      <c r="AD1510" s="246"/>
    </row>
    <row r="1511" spans="26:30">
      <c r="Z1511" s="246"/>
      <c r="AA1511" s="246"/>
      <c r="AB1511" s="246"/>
      <c r="AC1511" s="246"/>
      <c r="AD1511" s="246"/>
    </row>
    <row r="1512" spans="26:30">
      <c r="Z1512" s="246"/>
      <c r="AA1512" s="246"/>
      <c r="AB1512" s="246"/>
      <c r="AC1512" s="246"/>
      <c r="AD1512" s="246"/>
    </row>
    <row r="1513" spans="26:30">
      <c r="Z1513" s="246"/>
      <c r="AA1513" s="246"/>
      <c r="AB1513" s="246"/>
      <c r="AC1513" s="246"/>
      <c r="AD1513" s="246"/>
    </row>
    <row r="1514" spans="26:30">
      <c r="Z1514" s="246"/>
      <c r="AA1514" s="246"/>
      <c r="AB1514" s="246"/>
      <c r="AC1514" s="246"/>
      <c r="AD1514" s="246"/>
    </row>
    <row r="1515" spans="26:30">
      <c r="Z1515" s="246"/>
      <c r="AA1515" s="246"/>
      <c r="AB1515" s="246"/>
      <c r="AC1515" s="246"/>
      <c r="AD1515" s="246"/>
    </row>
    <row r="1516" spans="26:30">
      <c r="Z1516" s="246"/>
      <c r="AA1516" s="246"/>
      <c r="AB1516" s="246"/>
      <c r="AC1516" s="246"/>
      <c r="AD1516" s="246"/>
    </row>
    <row r="1517" spans="26:30">
      <c r="Z1517" s="246"/>
      <c r="AA1517" s="246"/>
      <c r="AB1517" s="246"/>
      <c r="AC1517" s="246"/>
      <c r="AD1517" s="246"/>
    </row>
    <row r="1518" spans="26:30">
      <c r="Z1518" s="246"/>
      <c r="AA1518" s="246"/>
      <c r="AB1518" s="246"/>
      <c r="AC1518" s="246"/>
      <c r="AD1518" s="246"/>
    </row>
    <row r="1519" spans="26:30">
      <c r="Z1519" s="246"/>
      <c r="AA1519" s="246"/>
      <c r="AB1519" s="246"/>
      <c r="AC1519" s="246"/>
      <c r="AD1519" s="246"/>
    </row>
    <row r="1520" spans="26:30">
      <c r="Z1520" s="246"/>
      <c r="AA1520" s="246"/>
      <c r="AB1520" s="246"/>
      <c r="AC1520" s="246"/>
      <c r="AD1520" s="246"/>
    </row>
    <row r="1521" spans="26:30">
      <c r="Z1521" s="246"/>
      <c r="AA1521" s="246"/>
      <c r="AB1521" s="246"/>
      <c r="AC1521" s="246"/>
      <c r="AD1521" s="246"/>
    </row>
    <row r="1522" spans="26:30">
      <c r="Z1522" s="246"/>
      <c r="AA1522" s="246"/>
      <c r="AB1522" s="246"/>
      <c r="AC1522" s="246"/>
      <c r="AD1522" s="246"/>
    </row>
    <row r="1523" spans="26:30">
      <c r="Z1523" s="246"/>
      <c r="AA1523" s="246"/>
      <c r="AB1523" s="246"/>
      <c r="AC1523" s="246"/>
      <c r="AD1523" s="246"/>
    </row>
    <row r="1524" spans="26:30">
      <c r="Z1524" s="246"/>
      <c r="AA1524" s="246"/>
      <c r="AB1524" s="246"/>
      <c r="AC1524" s="246"/>
      <c r="AD1524" s="246"/>
    </row>
    <row r="1525" spans="26:30">
      <c r="Z1525" s="246"/>
      <c r="AA1525" s="246"/>
      <c r="AB1525" s="246"/>
      <c r="AC1525" s="246"/>
      <c r="AD1525" s="246"/>
    </row>
    <row r="1526" spans="26:30">
      <c r="Z1526" s="246"/>
      <c r="AA1526" s="246"/>
      <c r="AB1526" s="246"/>
      <c r="AC1526" s="246"/>
      <c r="AD1526" s="246"/>
    </row>
    <row r="1527" spans="26:30">
      <c r="Z1527" s="246"/>
      <c r="AA1527" s="246"/>
      <c r="AB1527" s="246"/>
      <c r="AC1527" s="246"/>
      <c r="AD1527" s="246"/>
    </row>
    <row r="1528" spans="26:30">
      <c r="Z1528" s="246"/>
      <c r="AA1528" s="246"/>
      <c r="AB1528" s="246"/>
      <c r="AC1528" s="246"/>
      <c r="AD1528" s="246"/>
    </row>
    <row r="1529" spans="26:30">
      <c r="Z1529" s="246"/>
      <c r="AA1529" s="246"/>
      <c r="AB1529" s="246"/>
      <c r="AC1529" s="246"/>
      <c r="AD1529" s="246"/>
    </row>
    <row r="1530" spans="26:30">
      <c r="Z1530" s="246"/>
      <c r="AA1530" s="246"/>
      <c r="AB1530" s="246"/>
      <c r="AC1530" s="246"/>
      <c r="AD1530" s="246"/>
    </row>
    <row r="1531" spans="26:30">
      <c r="Z1531" s="246"/>
      <c r="AA1531" s="246"/>
      <c r="AB1531" s="246"/>
      <c r="AC1531" s="246"/>
      <c r="AD1531" s="246"/>
    </row>
    <row r="1532" spans="26:30">
      <c r="Z1532" s="246"/>
      <c r="AA1532" s="246"/>
      <c r="AB1532" s="246"/>
      <c r="AC1532" s="246"/>
      <c r="AD1532" s="246"/>
    </row>
    <row r="1533" spans="26:30">
      <c r="Z1533" s="246"/>
      <c r="AA1533" s="246"/>
      <c r="AB1533" s="246"/>
      <c r="AC1533" s="246"/>
      <c r="AD1533" s="246"/>
    </row>
    <row r="1534" spans="26:30">
      <c r="Z1534" s="246"/>
      <c r="AA1534" s="246"/>
      <c r="AB1534" s="246"/>
      <c r="AC1534" s="246"/>
      <c r="AD1534" s="246"/>
    </row>
    <row r="1535" spans="26:30">
      <c r="Z1535" s="246"/>
      <c r="AA1535" s="246"/>
      <c r="AB1535" s="246"/>
      <c r="AC1535" s="246"/>
      <c r="AD1535" s="246"/>
    </row>
    <row r="1536" spans="26:30">
      <c r="Z1536" s="246"/>
      <c r="AA1536" s="246"/>
      <c r="AB1536" s="246"/>
      <c r="AC1536" s="246"/>
      <c r="AD1536" s="246"/>
    </row>
    <row r="1537" spans="26:30">
      <c r="Z1537" s="246"/>
      <c r="AA1537" s="246"/>
      <c r="AB1537" s="246"/>
      <c r="AC1537" s="246"/>
      <c r="AD1537" s="246"/>
    </row>
    <row r="1538" spans="26:30">
      <c r="Z1538" s="246"/>
      <c r="AA1538" s="246"/>
      <c r="AB1538" s="246"/>
      <c r="AC1538" s="246"/>
      <c r="AD1538" s="246"/>
    </row>
    <row r="1539" spans="26:30">
      <c r="Z1539" s="246"/>
      <c r="AA1539" s="246"/>
      <c r="AB1539" s="246"/>
      <c r="AC1539" s="246"/>
      <c r="AD1539" s="246"/>
    </row>
    <row r="1540" spans="26:30">
      <c r="Z1540" s="246"/>
      <c r="AA1540" s="246"/>
      <c r="AB1540" s="246"/>
      <c r="AC1540" s="246"/>
      <c r="AD1540" s="246"/>
    </row>
    <row r="1541" spans="26:30">
      <c r="Z1541" s="246"/>
      <c r="AA1541" s="246"/>
      <c r="AB1541" s="246"/>
      <c r="AC1541" s="246"/>
      <c r="AD1541" s="246"/>
    </row>
    <row r="1542" spans="26:30">
      <c r="Z1542" s="246"/>
      <c r="AA1542" s="246"/>
      <c r="AB1542" s="246"/>
      <c r="AC1542" s="246"/>
      <c r="AD1542" s="246"/>
    </row>
    <row r="1543" spans="26:30">
      <c r="Z1543" s="246"/>
      <c r="AA1543" s="246"/>
      <c r="AB1543" s="246"/>
      <c r="AC1543" s="246"/>
      <c r="AD1543" s="246"/>
    </row>
    <row r="1544" spans="26:30">
      <c r="Z1544" s="246"/>
      <c r="AA1544" s="246"/>
      <c r="AB1544" s="246"/>
      <c r="AC1544" s="246"/>
      <c r="AD1544" s="246"/>
    </row>
    <row r="1545" spans="26:30">
      <c r="Z1545" s="246"/>
      <c r="AA1545" s="246"/>
      <c r="AB1545" s="246"/>
      <c r="AC1545" s="246"/>
      <c r="AD1545" s="246"/>
    </row>
    <row r="1546" spans="26:30">
      <c r="Z1546" s="246"/>
      <c r="AA1546" s="246"/>
      <c r="AB1546" s="246"/>
      <c r="AC1546" s="246"/>
      <c r="AD1546" s="246"/>
    </row>
    <row r="1547" spans="26:30">
      <c r="Z1547" s="246"/>
      <c r="AA1547" s="246"/>
      <c r="AB1547" s="246"/>
      <c r="AC1547" s="246"/>
      <c r="AD1547" s="246"/>
    </row>
    <row r="1548" spans="26:30">
      <c r="Z1548" s="246"/>
      <c r="AA1548" s="246"/>
      <c r="AB1548" s="246"/>
      <c r="AC1548" s="246"/>
      <c r="AD1548" s="246"/>
    </row>
    <row r="1549" spans="26:30">
      <c r="Z1549" s="246"/>
      <c r="AA1549" s="246"/>
      <c r="AB1549" s="246"/>
      <c r="AC1549" s="246"/>
      <c r="AD1549" s="246"/>
    </row>
    <row r="1550" spans="26:30">
      <c r="Z1550" s="246"/>
      <c r="AA1550" s="246"/>
      <c r="AB1550" s="246"/>
      <c r="AC1550" s="246"/>
      <c r="AD1550" s="246"/>
    </row>
    <row r="1551" spans="26:30">
      <c r="Z1551" s="246"/>
      <c r="AA1551" s="246"/>
      <c r="AB1551" s="246"/>
      <c r="AC1551" s="246"/>
      <c r="AD1551" s="246"/>
    </row>
    <row r="1552" spans="26:30">
      <c r="Z1552" s="246"/>
      <c r="AA1552" s="246"/>
      <c r="AB1552" s="246"/>
      <c r="AC1552" s="246"/>
      <c r="AD1552" s="246"/>
    </row>
    <row r="1553" spans="26:30">
      <c r="Z1553" s="246"/>
      <c r="AA1553" s="246"/>
      <c r="AB1553" s="246"/>
      <c r="AC1553" s="246"/>
      <c r="AD1553" s="246"/>
    </row>
    <row r="1554" spans="26:30">
      <c r="Z1554" s="246"/>
      <c r="AA1554" s="246"/>
      <c r="AB1554" s="246"/>
      <c r="AC1554" s="246"/>
      <c r="AD1554" s="246"/>
    </row>
    <row r="1555" spans="26:30">
      <c r="Z1555" s="246"/>
      <c r="AA1555" s="246"/>
      <c r="AB1555" s="246"/>
      <c r="AC1555" s="246"/>
      <c r="AD1555" s="246"/>
    </row>
    <row r="1556" spans="26:30">
      <c r="Z1556" s="246"/>
      <c r="AA1556" s="246"/>
      <c r="AB1556" s="246"/>
      <c r="AC1556" s="246"/>
      <c r="AD1556" s="246"/>
    </row>
    <row r="1557" spans="26:30">
      <c r="Z1557" s="246"/>
      <c r="AA1557" s="246"/>
      <c r="AB1557" s="246"/>
      <c r="AC1557" s="246"/>
      <c r="AD1557" s="246"/>
    </row>
    <row r="1558" spans="26:30">
      <c r="Z1558" s="246"/>
      <c r="AA1558" s="246"/>
      <c r="AB1558" s="246"/>
      <c r="AC1558" s="246"/>
      <c r="AD1558" s="246"/>
    </row>
    <row r="1559" spans="26:30">
      <c r="Z1559" s="246"/>
      <c r="AA1559" s="246"/>
      <c r="AB1559" s="246"/>
      <c r="AC1559" s="246"/>
      <c r="AD1559" s="246"/>
    </row>
    <row r="1560" spans="26:30">
      <c r="Z1560" s="246"/>
      <c r="AA1560" s="246"/>
      <c r="AB1560" s="246"/>
      <c r="AC1560" s="246"/>
      <c r="AD1560" s="246"/>
    </row>
    <row r="1561" spans="26:30">
      <c r="Z1561" s="246"/>
      <c r="AA1561" s="246"/>
      <c r="AB1561" s="246"/>
      <c r="AC1561" s="246"/>
      <c r="AD1561" s="246"/>
    </row>
    <row r="1562" spans="26:30">
      <c r="Z1562" s="246"/>
      <c r="AA1562" s="246"/>
      <c r="AB1562" s="246"/>
      <c r="AC1562" s="246"/>
      <c r="AD1562" s="246"/>
    </row>
    <row r="1563" spans="26:30">
      <c r="Z1563" s="246"/>
      <c r="AA1563" s="246"/>
      <c r="AB1563" s="246"/>
      <c r="AC1563" s="246"/>
      <c r="AD1563" s="246"/>
    </row>
    <row r="1564" spans="26:30">
      <c r="Z1564" s="246"/>
      <c r="AA1564" s="246"/>
      <c r="AB1564" s="246"/>
      <c r="AC1564" s="246"/>
      <c r="AD1564" s="246"/>
    </row>
    <row r="1565" spans="26:30">
      <c r="Z1565" s="246"/>
      <c r="AA1565" s="246"/>
      <c r="AB1565" s="246"/>
      <c r="AC1565" s="246"/>
      <c r="AD1565" s="246"/>
    </row>
    <row r="1566" spans="26:30">
      <c r="Z1566" s="246"/>
      <c r="AA1566" s="246"/>
      <c r="AB1566" s="246"/>
      <c r="AC1566" s="246"/>
      <c r="AD1566" s="246"/>
    </row>
    <row r="1567" spans="26:30">
      <c r="Z1567" s="246"/>
      <c r="AA1567" s="246"/>
      <c r="AB1567" s="246"/>
      <c r="AC1567" s="246"/>
      <c r="AD1567" s="246"/>
    </row>
    <row r="1568" spans="26:30">
      <c r="Z1568" s="246"/>
      <c r="AA1568" s="246"/>
      <c r="AB1568" s="246"/>
      <c r="AC1568" s="246"/>
      <c r="AD1568" s="246"/>
    </row>
    <row r="1569" spans="26:30">
      <c r="Z1569" s="246"/>
      <c r="AA1569" s="246"/>
      <c r="AB1569" s="246"/>
      <c r="AC1569" s="246"/>
      <c r="AD1569" s="246"/>
    </row>
    <row r="1570" spans="26:30">
      <c r="Z1570" s="246"/>
      <c r="AA1570" s="246"/>
      <c r="AB1570" s="246"/>
      <c r="AC1570" s="246"/>
      <c r="AD1570" s="246"/>
    </row>
    <row r="1571" spans="26:30">
      <c r="Z1571" s="246"/>
      <c r="AA1571" s="246"/>
      <c r="AB1571" s="246"/>
      <c r="AC1571" s="246"/>
      <c r="AD1571" s="246"/>
    </row>
    <row r="1572" spans="26:30">
      <c r="Z1572" s="246"/>
      <c r="AA1572" s="246"/>
      <c r="AB1572" s="246"/>
      <c r="AC1572" s="246"/>
      <c r="AD1572" s="246"/>
    </row>
    <row r="1573" spans="26:30">
      <c r="Z1573" s="246"/>
      <c r="AA1573" s="246"/>
      <c r="AB1573" s="246"/>
      <c r="AC1573" s="246"/>
      <c r="AD1573" s="246"/>
    </row>
    <row r="1574" spans="26:30">
      <c r="Z1574" s="246"/>
      <c r="AA1574" s="246"/>
      <c r="AB1574" s="246"/>
      <c r="AC1574" s="246"/>
      <c r="AD1574" s="246"/>
    </row>
    <row r="1575" spans="26:30">
      <c r="Z1575" s="246"/>
      <c r="AA1575" s="246"/>
      <c r="AB1575" s="246"/>
      <c r="AC1575" s="246"/>
      <c r="AD1575" s="246"/>
    </row>
    <row r="1576" spans="26:30">
      <c r="Z1576" s="246"/>
      <c r="AA1576" s="246"/>
      <c r="AB1576" s="246"/>
      <c r="AC1576" s="246"/>
      <c r="AD1576" s="246"/>
    </row>
    <row r="1577" spans="26:30">
      <c r="Z1577" s="246"/>
      <c r="AA1577" s="246"/>
      <c r="AB1577" s="246"/>
      <c r="AC1577" s="246"/>
      <c r="AD1577" s="246"/>
    </row>
    <row r="1578" spans="26:30">
      <c r="Z1578" s="246"/>
      <c r="AA1578" s="246"/>
      <c r="AB1578" s="246"/>
      <c r="AC1578" s="246"/>
      <c r="AD1578" s="246"/>
    </row>
    <row r="1579" spans="26:30">
      <c r="Z1579" s="246"/>
      <c r="AA1579" s="246"/>
      <c r="AB1579" s="246"/>
      <c r="AC1579" s="246"/>
      <c r="AD1579" s="246"/>
    </row>
    <row r="1580" spans="26:30">
      <c r="Z1580" s="246"/>
      <c r="AA1580" s="246"/>
      <c r="AB1580" s="246"/>
      <c r="AC1580" s="246"/>
      <c r="AD1580" s="246"/>
    </row>
    <row r="1581" spans="26:30">
      <c r="Z1581" s="246"/>
      <c r="AA1581" s="246"/>
      <c r="AB1581" s="246"/>
      <c r="AC1581" s="246"/>
      <c r="AD1581" s="246"/>
    </row>
    <row r="1582" spans="26:30">
      <c r="Z1582" s="246"/>
      <c r="AA1582" s="246"/>
      <c r="AB1582" s="246"/>
      <c r="AC1582" s="246"/>
      <c r="AD1582" s="246"/>
    </row>
    <row r="1583" spans="26:30">
      <c r="Z1583" s="246"/>
      <c r="AA1583" s="246"/>
      <c r="AB1583" s="246"/>
      <c r="AC1583" s="246"/>
      <c r="AD1583" s="246"/>
    </row>
    <row r="1584" spans="26:30">
      <c r="Z1584" s="246"/>
      <c r="AA1584" s="246"/>
      <c r="AB1584" s="246"/>
      <c r="AC1584" s="246"/>
      <c r="AD1584" s="246"/>
    </row>
    <row r="1585" spans="26:30">
      <c r="Z1585" s="246"/>
      <c r="AA1585" s="246"/>
      <c r="AB1585" s="246"/>
      <c r="AC1585" s="246"/>
      <c r="AD1585" s="246"/>
    </row>
    <row r="1586" spans="26:30">
      <c r="Z1586" s="246"/>
      <c r="AA1586" s="246"/>
      <c r="AB1586" s="246"/>
      <c r="AC1586" s="246"/>
      <c r="AD1586" s="246"/>
    </row>
    <row r="1587" spans="26:30">
      <c r="Z1587" s="246"/>
      <c r="AA1587" s="246"/>
      <c r="AB1587" s="246"/>
      <c r="AC1587" s="246"/>
      <c r="AD1587" s="246"/>
    </row>
    <row r="1588" spans="26:30">
      <c r="Z1588" s="246"/>
      <c r="AA1588" s="246"/>
      <c r="AB1588" s="246"/>
      <c r="AC1588" s="246"/>
      <c r="AD1588" s="246"/>
    </row>
    <row r="1589" spans="26:30">
      <c r="Z1589" s="246"/>
      <c r="AA1589" s="246"/>
      <c r="AB1589" s="246"/>
      <c r="AC1589" s="246"/>
      <c r="AD1589" s="246"/>
    </row>
    <row r="1590" spans="26:30">
      <c r="Z1590" s="246"/>
      <c r="AA1590" s="246"/>
      <c r="AB1590" s="246"/>
      <c r="AC1590" s="246"/>
      <c r="AD1590" s="246"/>
    </row>
    <row r="1591" spans="26:30">
      <c r="Z1591" s="246"/>
      <c r="AA1591" s="246"/>
      <c r="AB1591" s="246"/>
      <c r="AC1591" s="246"/>
      <c r="AD1591" s="246"/>
    </row>
    <row r="1592" spans="26:30">
      <c r="Z1592" s="246"/>
      <c r="AA1592" s="246"/>
      <c r="AB1592" s="246"/>
      <c r="AC1592" s="246"/>
      <c r="AD1592" s="246"/>
    </row>
    <row r="1593" spans="26:30">
      <c r="Z1593" s="246"/>
      <c r="AA1593" s="246"/>
      <c r="AB1593" s="246"/>
      <c r="AC1593" s="246"/>
      <c r="AD1593" s="246"/>
    </row>
    <row r="1594" spans="26:30">
      <c r="Z1594" s="246"/>
      <c r="AA1594" s="246"/>
      <c r="AB1594" s="246"/>
      <c r="AC1594" s="246"/>
      <c r="AD1594" s="246"/>
    </row>
    <row r="1595" spans="26:30">
      <c r="Z1595" s="246"/>
      <c r="AA1595" s="246"/>
      <c r="AB1595" s="246"/>
      <c r="AC1595" s="246"/>
      <c r="AD1595" s="246"/>
    </row>
    <row r="1596" spans="26:30">
      <c r="Z1596" s="246"/>
      <c r="AA1596" s="246"/>
      <c r="AB1596" s="246"/>
      <c r="AC1596" s="246"/>
      <c r="AD1596" s="246"/>
    </row>
    <row r="1597" spans="26:30">
      <c r="Z1597" s="246"/>
      <c r="AA1597" s="246"/>
      <c r="AB1597" s="246"/>
      <c r="AC1597" s="246"/>
      <c r="AD1597" s="246"/>
    </row>
    <row r="1598" spans="26:30">
      <c r="Z1598" s="246"/>
      <c r="AA1598" s="246"/>
      <c r="AB1598" s="246"/>
      <c r="AC1598" s="246"/>
      <c r="AD1598" s="246"/>
    </row>
    <row r="1599" spans="26:30">
      <c r="Z1599" s="246"/>
      <c r="AA1599" s="246"/>
      <c r="AB1599" s="246"/>
      <c r="AC1599" s="246"/>
      <c r="AD1599" s="246"/>
    </row>
    <row r="1600" spans="26:30">
      <c r="Z1600" s="246"/>
      <c r="AA1600" s="246"/>
      <c r="AB1600" s="246"/>
      <c r="AC1600" s="246"/>
      <c r="AD1600" s="246"/>
    </row>
    <row r="1601" spans="26:30">
      <c r="Z1601" s="246"/>
      <c r="AA1601" s="246"/>
      <c r="AB1601" s="246"/>
      <c r="AC1601" s="246"/>
      <c r="AD1601" s="246"/>
    </row>
    <row r="1602" spans="26:30">
      <c r="Z1602" s="246"/>
      <c r="AA1602" s="246"/>
      <c r="AB1602" s="246"/>
      <c r="AC1602" s="246"/>
      <c r="AD1602" s="246"/>
    </row>
    <row r="1603" spans="26:30">
      <c r="Z1603" s="246"/>
      <c r="AA1603" s="246"/>
      <c r="AB1603" s="246"/>
      <c r="AC1603" s="246"/>
      <c r="AD1603" s="246"/>
    </row>
    <row r="1604" spans="26:30">
      <c r="Z1604" s="246"/>
      <c r="AA1604" s="246"/>
      <c r="AB1604" s="246"/>
      <c r="AC1604" s="246"/>
      <c r="AD1604" s="246"/>
    </row>
    <row r="1605" spans="26:30">
      <c r="Z1605" s="246"/>
      <c r="AA1605" s="246"/>
      <c r="AB1605" s="246"/>
      <c r="AC1605" s="246"/>
      <c r="AD1605" s="246"/>
    </row>
    <row r="1606" spans="26:30">
      <c r="Z1606" s="246"/>
      <c r="AA1606" s="246"/>
      <c r="AB1606" s="246"/>
      <c r="AC1606" s="246"/>
      <c r="AD1606" s="246"/>
    </row>
    <row r="1607" spans="26:30">
      <c r="Z1607" s="246"/>
      <c r="AA1607" s="246"/>
      <c r="AB1607" s="246"/>
      <c r="AC1607" s="246"/>
      <c r="AD1607" s="246"/>
    </row>
    <row r="1608" spans="26:30">
      <c r="Z1608" s="246"/>
      <c r="AA1608" s="246"/>
      <c r="AB1608" s="246"/>
      <c r="AC1608" s="246"/>
      <c r="AD1608" s="246"/>
    </row>
    <row r="1609" spans="26:30">
      <c r="Z1609" s="246"/>
      <c r="AA1609" s="246"/>
      <c r="AB1609" s="246"/>
      <c r="AC1609" s="246"/>
      <c r="AD1609" s="246"/>
    </row>
    <row r="1610" spans="26:30">
      <c r="Z1610" s="246"/>
      <c r="AA1610" s="246"/>
      <c r="AB1610" s="246"/>
      <c r="AC1610" s="246"/>
      <c r="AD1610" s="246"/>
    </row>
    <row r="1611" spans="26:30">
      <c r="Z1611" s="246"/>
      <c r="AA1611" s="246"/>
      <c r="AB1611" s="246"/>
      <c r="AC1611" s="246"/>
      <c r="AD1611" s="246"/>
    </row>
    <row r="1612" spans="26:30">
      <c r="Z1612" s="246"/>
      <c r="AA1612" s="246"/>
      <c r="AB1612" s="246"/>
      <c r="AC1612" s="246"/>
      <c r="AD1612" s="246"/>
    </row>
    <row r="1613" spans="26:30">
      <c r="Z1613" s="246"/>
      <c r="AA1613" s="246"/>
      <c r="AB1613" s="246"/>
      <c r="AC1613" s="246"/>
      <c r="AD1613" s="246"/>
    </row>
    <row r="1614" spans="26:30">
      <c r="Z1614" s="246"/>
      <c r="AA1614" s="246"/>
      <c r="AB1614" s="246"/>
      <c r="AC1614" s="246"/>
      <c r="AD1614" s="246"/>
    </row>
    <row r="1615" spans="26:30">
      <c r="Z1615" s="246"/>
      <c r="AA1615" s="246"/>
      <c r="AB1615" s="246"/>
      <c r="AC1615" s="246"/>
      <c r="AD1615" s="246"/>
    </row>
    <row r="1616" spans="26:30">
      <c r="Z1616" s="246"/>
      <c r="AA1616" s="246"/>
      <c r="AB1616" s="246"/>
      <c r="AC1616" s="246"/>
      <c r="AD1616" s="246"/>
    </row>
    <row r="1617" spans="26:30">
      <c r="Z1617" s="246"/>
      <c r="AA1617" s="246"/>
      <c r="AB1617" s="246"/>
      <c r="AC1617" s="246"/>
      <c r="AD1617" s="246"/>
    </row>
    <row r="1618" spans="26:30">
      <c r="Z1618" s="246"/>
      <c r="AA1618" s="246"/>
      <c r="AB1618" s="246"/>
      <c r="AC1618" s="246"/>
      <c r="AD1618" s="246"/>
    </row>
    <row r="1619" spans="26:30">
      <c r="Z1619" s="246"/>
      <c r="AA1619" s="246"/>
      <c r="AB1619" s="246"/>
      <c r="AC1619" s="246"/>
      <c r="AD1619" s="246"/>
    </row>
    <row r="1620" spans="26:30">
      <c r="Z1620" s="246"/>
      <c r="AA1620" s="246"/>
      <c r="AB1620" s="246"/>
      <c r="AC1620" s="246"/>
      <c r="AD1620" s="246"/>
    </row>
    <row r="1621" spans="26:30">
      <c r="Z1621" s="246"/>
      <c r="AA1621" s="246"/>
      <c r="AB1621" s="246"/>
      <c r="AC1621" s="246"/>
      <c r="AD1621" s="246"/>
    </row>
    <row r="1622" spans="26:30">
      <c r="Z1622" s="246"/>
      <c r="AA1622" s="246"/>
      <c r="AB1622" s="246"/>
      <c r="AC1622" s="246"/>
      <c r="AD1622" s="246"/>
    </row>
    <row r="1623" spans="26:30">
      <c r="Z1623" s="246"/>
      <c r="AA1623" s="246"/>
      <c r="AB1623" s="246"/>
      <c r="AC1623" s="246"/>
      <c r="AD1623" s="246"/>
    </row>
    <row r="1624" spans="26:30">
      <c r="Z1624" s="246"/>
      <c r="AA1624" s="246"/>
      <c r="AB1624" s="246"/>
      <c r="AC1624" s="246"/>
      <c r="AD1624" s="246"/>
    </row>
    <row r="1625" spans="26:30">
      <c r="Z1625" s="246"/>
      <c r="AA1625" s="246"/>
      <c r="AB1625" s="246"/>
      <c r="AC1625" s="246"/>
      <c r="AD1625" s="246"/>
    </row>
    <row r="1626" spans="26:30">
      <c r="Z1626" s="246"/>
      <c r="AA1626" s="246"/>
      <c r="AB1626" s="246"/>
      <c r="AC1626" s="246"/>
      <c r="AD1626" s="246"/>
    </row>
    <row r="1627" spans="26:30">
      <c r="Z1627" s="246"/>
      <c r="AA1627" s="246"/>
      <c r="AB1627" s="246"/>
      <c r="AC1627" s="246"/>
      <c r="AD1627" s="246"/>
    </row>
    <row r="1628" spans="26:30">
      <c r="Z1628" s="246"/>
      <c r="AA1628" s="246"/>
      <c r="AB1628" s="246"/>
      <c r="AC1628" s="246"/>
      <c r="AD1628" s="246"/>
    </row>
    <row r="1629" spans="26:30">
      <c r="Z1629" s="246"/>
      <c r="AA1629" s="246"/>
      <c r="AB1629" s="246"/>
      <c r="AC1629" s="246"/>
      <c r="AD1629" s="246"/>
    </row>
    <row r="1630" spans="26:30">
      <c r="Z1630" s="246"/>
      <c r="AA1630" s="246"/>
      <c r="AB1630" s="246"/>
      <c r="AC1630" s="246"/>
      <c r="AD1630" s="246"/>
    </row>
    <row r="1631" spans="26:30">
      <c r="Z1631" s="246"/>
      <c r="AA1631" s="246"/>
      <c r="AB1631" s="246"/>
      <c r="AC1631" s="246"/>
      <c r="AD1631" s="246"/>
    </row>
    <row r="1632" spans="26:30">
      <c r="Z1632" s="246"/>
      <c r="AA1632" s="246"/>
      <c r="AB1632" s="246"/>
      <c r="AC1632" s="246"/>
      <c r="AD1632" s="246"/>
    </row>
    <row r="1633" spans="26:30">
      <c r="Z1633" s="246"/>
      <c r="AA1633" s="246"/>
      <c r="AB1633" s="246"/>
      <c r="AC1633" s="246"/>
      <c r="AD1633" s="246"/>
    </row>
    <row r="1634" spans="26:30">
      <c r="Z1634" s="246"/>
      <c r="AA1634" s="246"/>
      <c r="AB1634" s="246"/>
      <c r="AC1634" s="246"/>
      <c r="AD1634" s="246"/>
    </row>
    <row r="1635" spans="26:30">
      <c r="Z1635" s="246"/>
      <c r="AA1635" s="246"/>
      <c r="AB1635" s="246"/>
      <c r="AC1635" s="246"/>
      <c r="AD1635" s="246"/>
    </row>
    <row r="1636" spans="26:30">
      <c r="Z1636" s="246"/>
      <c r="AA1636" s="246"/>
      <c r="AB1636" s="246"/>
      <c r="AC1636" s="246"/>
      <c r="AD1636" s="246"/>
    </row>
    <row r="1637" spans="26:30">
      <c r="Z1637" s="246"/>
      <c r="AA1637" s="246"/>
      <c r="AB1637" s="246"/>
      <c r="AC1637" s="246"/>
      <c r="AD1637" s="246"/>
    </row>
    <row r="1638" spans="26:30">
      <c r="Z1638" s="246"/>
      <c r="AA1638" s="246"/>
      <c r="AB1638" s="246"/>
      <c r="AC1638" s="246"/>
      <c r="AD1638" s="246"/>
    </row>
    <row r="1639" spans="26:30">
      <c r="Z1639" s="246"/>
      <c r="AA1639" s="246"/>
      <c r="AB1639" s="246"/>
      <c r="AC1639" s="246"/>
      <c r="AD1639" s="246"/>
    </row>
    <row r="1640" spans="26:30">
      <c r="Z1640" s="246"/>
      <c r="AA1640" s="246"/>
      <c r="AB1640" s="246"/>
      <c r="AC1640" s="246"/>
      <c r="AD1640" s="246"/>
    </row>
    <row r="1641" spans="26:30">
      <c r="Z1641" s="246"/>
      <c r="AA1641" s="246"/>
      <c r="AB1641" s="246"/>
      <c r="AC1641" s="246"/>
      <c r="AD1641" s="246"/>
    </row>
    <row r="1642" spans="26:30">
      <c r="Z1642" s="246"/>
      <c r="AA1642" s="246"/>
      <c r="AB1642" s="246"/>
      <c r="AC1642" s="246"/>
      <c r="AD1642" s="246"/>
    </row>
    <row r="1643" spans="26:30">
      <c r="Z1643" s="246"/>
      <c r="AA1643" s="246"/>
      <c r="AB1643" s="246"/>
      <c r="AC1643" s="246"/>
      <c r="AD1643" s="246"/>
    </row>
    <row r="1644" spans="26:30">
      <c r="Z1644" s="246"/>
      <c r="AA1644" s="246"/>
      <c r="AB1644" s="246"/>
      <c r="AC1644" s="246"/>
      <c r="AD1644" s="246"/>
    </row>
    <row r="1645" spans="26:30">
      <c r="Z1645" s="246"/>
      <c r="AA1645" s="246"/>
      <c r="AB1645" s="246"/>
      <c r="AC1645" s="246"/>
      <c r="AD1645" s="246"/>
    </row>
    <row r="1646" spans="26:30">
      <c r="Z1646" s="246"/>
      <c r="AA1646" s="246"/>
      <c r="AB1646" s="246"/>
      <c r="AC1646" s="246"/>
      <c r="AD1646" s="246"/>
    </row>
    <row r="1647" spans="26:30">
      <c r="Z1647" s="246"/>
      <c r="AA1647" s="246"/>
      <c r="AB1647" s="246"/>
      <c r="AC1647" s="246"/>
      <c r="AD1647" s="246"/>
    </row>
    <row r="1648" spans="26:30">
      <c r="Z1648" s="246"/>
      <c r="AA1648" s="246"/>
      <c r="AB1648" s="246"/>
      <c r="AC1648" s="246"/>
      <c r="AD1648" s="246"/>
    </row>
    <row r="1649" spans="26:30">
      <c r="Z1649" s="246"/>
      <c r="AA1649" s="246"/>
      <c r="AB1649" s="246"/>
      <c r="AC1649" s="246"/>
      <c r="AD1649" s="246"/>
    </row>
    <row r="1650" spans="26:30">
      <c r="Z1650" s="246"/>
      <c r="AA1650" s="246"/>
      <c r="AB1650" s="246"/>
      <c r="AC1650" s="246"/>
      <c r="AD1650" s="246"/>
    </row>
    <row r="1651" spans="26:30">
      <c r="Z1651" s="246"/>
      <c r="AA1651" s="246"/>
      <c r="AB1651" s="246"/>
      <c r="AC1651" s="246"/>
      <c r="AD1651" s="246"/>
    </row>
    <row r="1652" spans="26:30">
      <c r="Z1652" s="246"/>
      <c r="AA1652" s="246"/>
      <c r="AB1652" s="246"/>
      <c r="AC1652" s="246"/>
      <c r="AD1652" s="246"/>
    </row>
    <row r="1653" spans="26:30">
      <c r="Z1653" s="246"/>
      <c r="AA1653" s="246"/>
      <c r="AB1653" s="246"/>
      <c r="AC1653" s="246"/>
      <c r="AD1653" s="246"/>
    </row>
    <row r="1654" spans="26:30">
      <c r="Z1654" s="246"/>
      <c r="AA1654" s="246"/>
      <c r="AB1654" s="246"/>
      <c r="AC1654" s="246"/>
      <c r="AD1654" s="246"/>
    </row>
    <row r="1655" spans="26:30">
      <c r="Z1655" s="246"/>
      <c r="AA1655" s="246"/>
      <c r="AB1655" s="246"/>
      <c r="AC1655" s="246"/>
      <c r="AD1655" s="246"/>
    </row>
    <row r="1656" spans="26:30">
      <c r="Z1656" s="246"/>
      <c r="AA1656" s="246"/>
      <c r="AB1656" s="246"/>
      <c r="AC1656" s="246"/>
      <c r="AD1656" s="246"/>
    </row>
    <row r="1657" spans="26:30">
      <c r="Z1657" s="246"/>
      <c r="AA1657" s="246"/>
      <c r="AB1657" s="246"/>
      <c r="AC1657" s="246"/>
      <c r="AD1657" s="246"/>
    </row>
    <row r="1658" spans="26:30">
      <c r="Z1658" s="246"/>
      <c r="AA1658" s="246"/>
      <c r="AB1658" s="246"/>
      <c r="AC1658" s="246"/>
      <c r="AD1658" s="246"/>
    </row>
    <row r="1659" spans="26:30">
      <c r="Z1659" s="246"/>
      <c r="AA1659" s="246"/>
      <c r="AB1659" s="246"/>
      <c r="AC1659" s="246"/>
      <c r="AD1659" s="246"/>
    </row>
    <row r="1660" spans="26:30">
      <c r="Z1660" s="246"/>
      <c r="AA1660" s="246"/>
      <c r="AB1660" s="246"/>
      <c r="AC1660" s="246"/>
      <c r="AD1660" s="246"/>
    </row>
    <row r="1661" spans="26:30">
      <c r="Z1661" s="246"/>
      <c r="AA1661" s="246"/>
      <c r="AB1661" s="246"/>
      <c r="AC1661" s="246"/>
      <c r="AD1661" s="246"/>
    </row>
    <row r="1662" spans="26:30">
      <c r="Z1662" s="246"/>
      <c r="AA1662" s="246"/>
      <c r="AB1662" s="246"/>
      <c r="AC1662" s="246"/>
      <c r="AD1662" s="246"/>
    </row>
    <row r="1663" spans="26:30">
      <c r="Z1663" s="246"/>
      <c r="AA1663" s="246"/>
      <c r="AB1663" s="246"/>
      <c r="AC1663" s="246"/>
      <c r="AD1663" s="246"/>
    </row>
    <row r="1664" spans="26:30">
      <c r="Z1664" s="246"/>
      <c r="AA1664" s="246"/>
      <c r="AB1664" s="246"/>
      <c r="AC1664" s="246"/>
      <c r="AD1664" s="246"/>
    </row>
    <row r="1665" spans="26:30">
      <c r="Z1665" s="246"/>
      <c r="AA1665" s="246"/>
      <c r="AB1665" s="246"/>
      <c r="AC1665" s="246"/>
      <c r="AD1665" s="246"/>
    </row>
    <row r="1666" spans="26:30">
      <c r="Z1666" s="246"/>
      <c r="AA1666" s="246"/>
      <c r="AB1666" s="246"/>
      <c r="AC1666" s="246"/>
      <c r="AD1666" s="246"/>
    </row>
    <row r="1667" spans="26:30">
      <c r="Z1667" s="246"/>
      <c r="AA1667" s="246"/>
      <c r="AB1667" s="246"/>
      <c r="AC1667" s="246"/>
      <c r="AD1667" s="246"/>
    </row>
    <row r="1668" spans="26:30">
      <c r="Z1668" s="246"/>
      <c r="AA1668" s="246"/>
      <c r="AB1668" s="246"/>
      <c r="AC1668" s="246"/>
      <c r="AD1668" s="246"/>
    </row>
    <row r="1669" spans="26:30">
      <c r="Z1669" s="246"/>
      <c r="AA1669" s="246"/>
      <c r="AB1669" s="246"/>
      <c r="AC1669" s="246"/>
      <c r="AD1669" s="246"/>
    </row>
    <row r="1670" spans="26:30">
      <c r="Z1670" s="246"/>
      <c r="AA1670" s="246"/>
      <c r="AB1670" s="246"/>
      <c r="AC1670" s="246"/>
      <c r="AD1670" s="246"/>
    </row>
    <row r="1671" spans="26:30">
      <c r="Z1671" s="246"/>
      <c r="AA1671" s="246"/>
      <c r="AB1671" s="246"/>
      <c r="AC1671" s="246"/>
      <c r="AD1671" s="246"/>
    </row>
    <row r="1672" spans="26:30">
      <c r="Z1672" s="246"/>
      <c r="AA1672" s="246"/>
      <c r="AB1672" s="246"/>
      <c r="AC1672" s="246"/>
      <c r="AD1672" s="246"/>
    </row>
    <row r="1673" spans="26:30">
      <c r="Z1673" s="246"/>
      <c r="AA1673" s="246"/>
      <c r="AB1673" s="246"/>
      <c r="AC1673" s="246"/>
      <c r="AD1673" s="246"/>
    </row>
    <row r="1674" spans="26:30">
      <c r="Z1674" s="246"/>
      <c r="AA1674" s="246"/>
      <c r="AB1674" s="246"/>
      <c r="AC1674" s="246"/>
      <c r="AD1674" s="246"/>
    </row>
    <row r="1675" spans="26:30">
      <c r="Z1675" s="246"/>
      <c r="AA1675" s="246"/>
      <c r="AB1675" s="246"/>
      <c r="AC1675" s="246"/>
      <c r="AD1675" s="246"/>
    </row>
    <row r="1676" spans="26:30">
      <c r="Z1676" s="246"/>
      <c r="AA1676" s="246"/>
      <c r="AB1676" s="246"/>
      <c r="AC1676" s="246"/>
      <c r="AD1676" s="246"/>
    </row>
    <row r="1677" spans="26:30">
      <c r="Z1677" s="246"/>
      <c r="AA1677" s="246"/>
      <c r="AB1677" s="246"/>
      <c r="AC1677" s="246"/>
      <c r="AD1677" s="246"/>
    </row>
    <row r="1678" spans="26:30">
      <c r="Z1678" s="246"/>
      <c r="AA1678" s="246"/>
      <c r="AB1678" s="246"/>
      <c r="AC1678" s="246"/>
      <c r="AD1678" s="246"/>
    </row>
    <row r="1679" spans="26:30">
      <c r="Z1679" s="246"/>
      <c r="AA1679" s="246"/>
      <c r="AB1679" s="246"/>
      <c r="AC1679" s="246"/>
      <c r="AD1679" s="246"/>
    </row>
    <row r="1680" spans="26:30">
      <c r="Z1680" s="246"/>
      <c r="AA1680" s="246"/>
      <c r="AB1680" s="246"/>
      <c r="AC1680" s="246"/>
      <c r="AD1680" s="246"/>
    </row>
    <row r="1681" spans="26:30">
      <c r="Z1681" s="246"/>
      <c r="AA1681" s="246"/>
      <c r="AB1681" s="246"/>
      <c r="AC1681" s="246"/>
      <c r="AD1681" s="246"/>
    </row>
    <row r="1682" spans="26:30">
      <c r="Z1682" s="246"/>
      <c r="AA1682" s="246"/>
      <c r="AB1682" s="246"/>
      <c r="AC1682" s="246"/>
      <c r="AD1682" s="246"/>
    </row>
    <row r="1683" spans="26:30">
      <c r="Z1683" s="246"/>
      <c r="AA1683" s="246"/>
      <c r="AB1683" s="246"/>
      <c r="AC1683" s="246"/>
      <c r="AD1683" s="246"/>
    </row>
    <row r="1684" spans="26:30">
      <c r="Z1684" s="246"/>
      <c r="AA1684" s="246"/>
      <c r="AB1684" s="246"/>
      <c r="AC1684" s="246"/>
      <c r="AD1684" s="246"/>
    </row>
    <row r="1685" spans="26:30">
      <c r="Z1685" s="246"/>
      <c r="AA1685" s="246"/>
      <c r="AB1685" s="246"/>
      <c r="AC1685" s="246"/>
      <c r="AD1685" s="246"/>
    </row>
    <row r="1686" spans="26:30">
      <c r="Z1686" s="246"/>
      <c r="AA1686" s="246"/>
      <c r="AB1686" s="246"/>
      <c r="AC1686" s="246"/>
      <c r="AD1686" s="246"/>
    </row>
    <row r="1687" spans="26:30">
      <c r="Z1687" s="246"/>
      <c r="AA1687" s="246"/>
      <c r="AB1687" s="246"/>
      <c r="AC1687" s="246"/>
      <c r="AD1687" s="246"/>
    </row>
    <row r="1688" spans="26:30">
      <c r="Z1688" s="246"/>
      <c r="AA1688" s="246"/>
      <c r="AB1688" s="246"/>
      <c r="AC1688" s="246"/>
      <c r="AD1688" s="246"/>
    </row>
    <row r="1689" spans="26:30">
      <c r="Z1689" s="246"/>
      <c r="AA1689" s="246"/>
      <c r="AB1689" s="246"/>
      <c r="AC1689" s="246"/>
      <c r="AD1689" s="246"/>
    </row>
    <row r="1690" spans="26:30">
      <c r="Z1690" s="246"/>
      <c r="AA1690" s="246"/>
      <c r="AB1690" s="246"/>
      <c r="AC1690" s="246"/>
      <c r="AD1690" s="246"/>
    </row>
    <row r="1691" spans="26:30">
      <c r="Z1691" s="246"/>
      <c r="AA1691" s="246"/>
      <c r="AB1691" s="246"/>
      <c r="AC1691" s="246"/>
      <c r="AD1691" s="246"/>
    </row>
    <row r="1692" spans="26:30">
      <c r="Z1692" s="246"/>
      <c r="AA1692" s="246"/>
      <c r="AB1692" s="246"/>
      <c r="AC1692" s="246"/>
      <c r="AD1692" s="246"/>
    </row>
    <row r="1693" spans="26:30">
      <c r="Z1693" s="246"/>
      <c r="AA1693" s="246"/>
      <c r="AB1693" s="246"/>
      <c r="AC1693" s="246"/>
      <c r="AD1693" s="246"/>
    </row>
    <row r="1694" spans="26:30">
      <c r="Z1694" s="246"/>
      <c r="AA1694" s="246"/>
      <c r="AB1694" s="246"/>
      <c r="AC1694" s="246"/>
      <c r="AD1694" s="246"/>
    </row>
    <row r="1695" spans="26:30">
      <c r="Z1695" s="246"/>
      <c r="AA1695" s="246"/>
      <c r="AB1695" s="246"/>
      <c r="AC1695" s="246"/>
      <c r="AD1695" s="246"/>
    </row>
    <row r="1696" spans="26:30">
      <c r="Z1696" s="246"/>
      <c r="AA1696" s="246"/>
      <c r="AB1696" s="246"/>
      <c r="AC1696" s="246"/>
      <c r="AD1696" s="246"/>
    </row>
    <row r="1697" spans="26:30">
      <c r="Z1697" s="246"/>
      <c r="AA1697" s="246"/>
      <c r="AB1697" s="246"/>
      <c r="AC1697" s="246"/>
      <c r="AD1697" s="246"/>
    </row>
    <row r="1698" spans="26:30">
      <c r="Z1698" s="246"/>
      <c r="AA1698" s="246"/>
      <c r="AB1698" s="246"/>
      <c r="AC1698" s="246"/>
      <c r="AD1698" s="246"/>
    </row>
    <row r="1699" spans="26:30">
      <c r="Z1699" s="246"/>
      <c r="AA1699" s="246"/>
      <c r="AB1699" s="246"/>
      <c r="AC1699" s="246"/>
      <c r="AD1699" s="246"/>
    </row>
    <row r="1700" spans="26:30">
      <c r="Z1700" s="246"/>
      <c r="AA1700" s="246"/>
      <c r="AB1700" s="246"/>
      <c r="AC1700" s="246"/>
      <c r="AD1700" s="246"/>
    </row>
    <row r="1701" spans="26:30">
      <c r="Z1701" s="246"/>
      <c r="AA1701" s="246"/>
      <c r="AB1701" s="246"/>
      <c r="AC1701" s="246"/>
      <c r="AD1701" s="246"/>
    </row>
    <row r="1702" spans="26:30">
      <c r="Z1702" s="246"/>
      <c r="AA1702" s="246"/>
      <c r="AB1702" s="246"/>
      <c r="AC1702" s="246"/>
      <c r="AD1702" s="246"/>
    </row>
    <row r="1703" spans="26:30">
      <c r="Z1703" s="246"/>
      <c r="AA1703" s="246"/>
      <c r="AB1703" s="246"/>
      <c r="AC1703" s="246"/>
      <c r="AD1703" s="246"/>
    </row>
    <row r="1704" spans="26:30">
      <c r="Z1704" s="246"/>
      <c r="AA1704" s="246"/>
      <c r="AB1704" s="246"/>
      <c r="AC1704" s="246"/>
      <c r="AD1704" s="246"/>
    </row>
    <row r="1705" spans="26:30">
      <c r="Z1705" s="246"/>
      <c r="AA1705" s="246"/>
      <c r="AB1705" s="246"/>
      <c r="AC1705" s="246"/>
      <c r="AD1705" s="246"/>
    </row>
    <row r="1706" spans="26:30">
      <c r="Z1706" s="246"/>
      <c r="AA1706" s="246"/>
      <c r="AB1706" s="246"/>
      <c r="AC1706" s="246"/>
      <c r="AD1706" s="246"/>
    </row>
    <row r="1707" spans="26:30">
      <c r="Z1707" s="246"/>
      <c r="AA1707" s="246"/>
      <c r="AB1707" s="246"/>
      <c r="AC1707" s="246"/>
      <c r="AD1707" s="246"/>
    </row>
    <row r="1708" spans="26:30">
      <c r="Z1708" s="246"/>
      <c r="AA1708" s="246"/>
      <c r="AB1708" s="246"/>
      <c r="AC1708" s="246"/>
      <c r="AD1708" s="246"/>
    </row>
    <row r="1709" spans="26:30">
      <c r="Z1709" s="246"/>
      <c r="AA1709" s="246"/>
      <c r="AB1709" s="246"/>
      <c r="AC1709" s="246"/>
      <c r="AD1709" s="246"/>
    </row>
    <row r="1710" spans="26:30">
      <c r="Z1710" s="246"/>
      <c r="AA1710" s="246"/>
      <c r="AB1710" s="246"/>
      <c r="AC1710" s="246"/>
      <c r="AD1710" s="246"/>
    </row>
    <row r="1711" spans="26:30">
      <c r="Z1711" s="246"/>
      <c r="AA1711" s="246"/>
      <c r="AB1711" s="246"/>
      <c r="AC1711" s="246"/>
      <c r="AD1711" s="246"/>
    </row>
    <row r="1712" spans="26:30">
      <c r="Z1712" s="246"/>
      <c r="AA1712" s="246"/>
      <c r="AB1712" s="246"/>
      <c r="AC1712" s="246"/>
      <c r="AD1712" s="246"/>
    </row>
    <row r="1713" spans="26:30">
      <c r="Z1713" s="246"/>
      <c r="AA1713" s="246"/>
      <c r="AB1713" s="246"/>
      <c r="AC1713" s="246"/>
      <c r="AD1713" s="246"/>
    </row>
    <row r="1714" spans="26:30">
      <c r="Z1714" s="246"/>
      <c r="AA1714" s="246"/>
      <c r="AB1714" s="246"/>
      <c r="AC1714" s="246"/>
      <c r="AD1714" s="246"/>
    </row>
    <row r="1715" spans="26:30">
      <c r="Z1715" s="246"/>
      <c r="AA1715" s="246"/>
      <c r="AB1715" s="246"/>
      <c r="AC1715" s="246"/>
      <c r="AD1715" s="246"/>
    </row>
    <row r="1716" spans="26:30">
      <c r="Z1716" s="246"/>
      <c r="AA1716" s="246"/>
      <c r="AB1716" s="246"/>
      <c r="AC1716" s="246"/>
      <c r="AD1716" s="246"/>
    </row>
    <row r="1717" spans="26:30">
      <c r="Z1717" s="246"/>
      <c r="AA1717" s="246"/>
      <c r="AB1717" s="246"/>
      <c r="AC1717" s="246"/>
      <c r="AD1717" s="246"/>
    </row>
    <row r="1718" spans="26:30">
      <c r="Z1718" s="246"/>
      <c r="AA1718" s="246"/>
      <c r="AB1718" s="246"/>
      <c r="AC1718" s="246"/>
      <c r="AD1718" s="246"/>
    </row>
    <row r="1719" spans="26:30">
      <c r="Z1719" s="246"/>
      <c r="AA1719" s="246"/>
      <c r="AB1719" s="246"/>
      <c r="AC1719" s="246"/>
      <c r="AD1719" s="246"/>
    </row>
    <row r="1720" spans="26:30">
      <c r="Z1720" s="246"/>
      <c r="AA1720" s="246"/>
      <c r="AB1720" s="246"/>
      <c r="AC1720" s="246"/>
      <c r="AD1720" s="246"/>
    </row>
    <row r="1721" spans="26:30">
      <c r="Z1721" s="246"/>
      <c r="AA1721" s="246"/>
      <c r="AB1721" s="246"/>
      <c r="AC1721" s="246"/>
      <c r="AD1721" s="246"/>
    </row>
    <row r="1722" spans="26:30">
      <c r="Z1722" s="246"/>
      <c r="AA1722" s="246"/>
      <c r="AB1722" s="246"/>
      <c r="AC1722" s="246"/>
      <c r="AD1722" s="246"/>
    </row>
    <row r="1723" spans="26:30">
      <c r="Z1723" s="246"/>
      <c r="AA1723" s="246"/>
      <c r="AB1723" s="246"/>
      <c r="AC1723" s="246"/>
      <c r="AD1723" s="246"/>
    </row>
    <row r="1724" spans="26:30">
      <c r="Z1724" s="246"/>
      <c r="AA1724" s="246"/>
      <c r="AB1724" s="246"/>
      <c r="AC1724" s="246"/>
      <c r="AD1724" s="246"/>
    </row>
    <row r="1725" spans="26:30">
      <c r="Z1725" s="246"/>
      <c r="AA1725" s="246"/>
      <c r="AB1725" s="246"/>
      <c r="AC1725" s="246"/>
      <c r="AD1725" s="246"/>
    </row>
    <row r="1726" spans="26:30">
      <c r="Z1726" s="246"/>
      <c r="AA1726" s="246"/>
      <c r="AB1726" s="246"/>
      <c r="AC1726" s="246"/>
      <c r="AD1726" s="246"/>
    </row>
    <row r="1727" spans="26:30">
      <c r="Z1727" s="246"/>
      <c r="AA1727" s="246"/>
      <c r="AB1727" s="246"/>
      <c r="AC1727" s="246"/>
      <c r="AD1727" s="246"/>
    </row>
    <row r="1728" spans="26:30">
      <c r="Z1728" s="246"/>
      <c r="AA1728" s="246"/>
      <c r="AB1728" s="246"/>
      <c r="AC1728" s="246"/>
      <c r="AD1728" s="246"/>
    </row>
    <row r="1729" spans="26:30">
      <c r="Z1729" s="246"/>
      <c r="AA1729" s="246"/>
      <c r="AB1729" s="246"/>
      <c r="AC1729" s="246"/>
      <c r="AD1729" s="246"/>
    </row>
    <row r="1730" spans="26:30">
      <c r="Z1730" s="246"/>
      <c r="AA1730" s="246"/>
      <c r="AB1730" s="246"/>
      <c r="AC1730" s="246"/>
      <c r="AD1730" s="246"/>
    </row>
    <row r="1731" spans="26:30">
      <c r="Z1731" s="246"/>
      <c r="AA1731" s="246"/>
      <c r="AB1731" s="246"/>
      <c r="AC1731" s="246"/>
      <c r="AD1731" s="246"/>
    </row>
    <row r="1732" spans="26:30">
      <c r="Z1732" s="246"/>
      <c r="AA1732" s="246"/>
      <c r="AB1732" s="246"/>
      <c r="AC1732" s="246"/>
      <c r="AD1732" s="246"/>
    </row>
    <row r="1733" spans="26:30">
      <c r="Z1733" s="246"/>
      <c r="AA1733" s="246"/>
      <c r="AB1733" s="246"/>
      <c r="AC1733" s="246"/>
      <c r="AD1733" s="246"/>
    </row>
    <row r="1734" spans="26:30">
      <c r="Z1734" s="246"/>
      <c r="AA1734" s="246"/>
      <c r="AB1734" s="246"/>
      <c r="AC1734" s="246"/>
      <c r="AD1734" s="246"/>
    </row>
    <row r="1735" spans="26:30">
      <c r="Z1735" s="246"/>
      <c r="AA1735" s="246"/>
      <c r="AB1735" s="246"/>
      <c r="AC1735" s="246"/>
      <c r="AD1735" s="246"/>
    </row>
    <row r="1736" spans="26:30">
      <c r="Z1736" s="246"/>
      <c r="AA1736" s="246"/>
      <c r="AB1736" s="246"/>
      <c r="AC1736" s="246"/>
      <c r="AD1736" s="246"/>
    </row>
    <row r="1737" spans="26:30">
      <c r="Z1737" s="246"/>
      <c r="AA1737" s="246"/>
      <c r="AB1737" s="246"/>
      <c r="AC1737" s="246"/>
      <c r="AD1737" s="246"/>
    </row>
    <row r="1738" spans="26:30">
      <c r="Z1738" s="246"/>
      <c r="AA1738" s="246"/>
      <c r="AB1738" s="246"/>
      <c r="AC1738" s="246"/>
      <c r="AD1738" s="246"/>
    </row>
    <row r="1739" spans="26:30">
      <c r="Z1739" s="246"/>
      <c r="AA1739" s="246"/>
      <c r="AB1739" s="246"/>
      <c r="AC1739" s="246"/>
      <c r="AD1739" s="246"/>
    </row>
    <row r="1740" spans="26:30">
      <c r="Z1740" s="246"/>
      <c r="AA1740" s="246"/>
      <c r="AB1740" s="246"/>
      <c r="AC1740" s="246"/>
      <c r="AD1740" s="246"/>
    </row>
    <row r="1741" spans="26:30">
      <c r="Z1741" s="246"/>
      <c r="AA1741" s="246"/>
      <c r="AB1741" s="246"/>
      <c r="AC1741" s="246"/>
      <c r="AD1741" s="246"/>
    </row>
    <row r="1742" spans="26:30">
      <c r="Z1742" s="246"/>
      <c r="AA1742" s="246"/>
      <c r="AB1742" s="246"/>
      <c r="AC1742" s="246"/>
      <c r="AD1742" s="246"/>
    </row>
    <row r="1743" spans="26:30">
      <c r="Z1743" s="246"/>
      <c r="AA1743" s="246"/>
      <c r="AB1743" s="246"/>
      <c r="AC1743" s="246"/>
      <c r="AD1743" s="246"/>
    </row>
    <row r="1744" spans="26:30">
      <c r="Z1744" s="246"/>
      <c r="AA1744" s="246"/>
      <c r="AB1744" s="246"/>
      <c r="AC1744" s="246"/>
      <c r="AD1744" s="246"/>
    </row>
    <row r="1745" spans="26:30">
      <c r="Z1745" s="246"/>
      <c r="AA1745" s="246"/>
      <c r="AB1745" s="246"/>
      <c r="AC1745" s="246"/>
      <c r="AD1745" s="246"/>
    </row>
    <row r="1746" spans="26:30">
      <c r="Z1746" s="246"/>
      <c r="AA1746" s="246"/>
      <c r="AB1746" s="246"/>
      <c r="AC1746" s="246"/>
      <c r="AD1746" s="246"/>
    </row>
    <row r="1747" spans="26:30">
      <c r="Z1747" s="246"/>
      <c r="AA1747" s="246"/>
      <c r="AB1747" s="246"/>
      <c r="AC1747" s="246"/>
      <c r="AD1747" s="246"/>
    </row>
    <row r="1748" spans="26:30">
      <c r="Z1748" s="246"/>
      <c r="AA1748" s="246"/>
      <c r="AB1748" s="246"/>
      <c r="AC1748" s="246"/>
      <c r="AD1748" s="246"/>
    </row>
    <row r="1749" spans="26:30">
      <c r="Z1749" s="246"/>
      <c r="AA1749" s="246"/>
      <c r="AB1749" s="246"/>
      <c r="AC1749" s="246"/>
      <c r="AD1749" s="246"/>
    </row>
    <row r="1750" spans="26:30">
      <c r="Z1750" s="246"/>
      <c r="AA1750" s="246"/>
      <c r="AB1750" s="246"/>
      <c r="AC1750" s="246"/>
      <c r="AD1750" s="246"/>
    </row>
    <row r="1751" spans="26:30">
      <c r="Z1751" s="246"/>
      <c r="AA1751" s="246"/>
      <c r="AB1751" s="246"/>
      <c r="AC1751" s="246"/>
      <c r="AD1751" s="246"/>
    </row>
    <row r="1752" spans="26:30">
      <c r="Z1752" s="246"/>
      <c r="AA1752" s="246"/>
      <c r="AB1752" s="246"/>
      <c r="AC1752" s="246"/>
      <c r="AD1752" s="246"/>
    </row>
    <row r="1753" spans="26:30">
      <c r="Z1753" s="246"/>
      <c r="AA1753" s="246"/>
      <c r="AB1753" s="246"/>
      <c r="AC1753" s="246"/>
      <c r="AD1753" s="246"/>
    </row>
    <row r="1754" spans="26:30">
      <c r="Z1754" s="246"/>
      <c r="AA1754" s="246"/>
      <c r="AB1754" s="246"/>
      <c r="AC1754" s="246"/>
      <c r="AD1754" s="246"/>
    </row>
    <row r="1755" spans="26:30">
      <c r="Z1755" s="246"/>
      <c r="AA1755" s="246"/>
      <c r="AB1755" s="246"/>
      <c r="AC1755" s="246"/>
      <c r="AD1755" s="246"/>
    </row>
    <row r="1756" spans="26:30">
      <c r="Z1756" s="246"/>
      <c r="AA1756" s="246"/>
      <c r="AB1756" s="246"/>
      <c r="AC1756" s="246"/>
      <c r="AD1756" s="246"/>
    </row>
    <row r="1757" spans="26:30">
      <c r="Z1757" s="246"/>
      <c r="AA1757" s="246"/>
      <c r="AB1757" s="246"/>
      <c r="AC1757" s="246"/>
      <c r="AD1757" s="246"/>
    </row>
    <row r="1758" spans="26:30">
      <c r="Z1758" s="246"/>
      <c r="AA1758" s="246"/>
      <c r="AB1758" s="246"/>
      <c r="AC1758" s="246"/>
      <c r="AD1758" s="246"/>
    </row>
    <row r="1759" spans="26:30">
      <c r="Z1759" s="246"/>
      <c r="AA1759" s="246"/>
      <c r="AB1759" s="246"/>
      <c r="AC1759" s="246"/>
      <c r="AD1759" s="246"/>
    </row>
    <row r="1760" spans="26:30">
      <c r="Z1760" s="246"/>
      <c r="AA1760" s="246"/>
      <c r="AB1760" s="246"/>
      <c r="AC1760" s="246"/>
      <c r="AD1760" s="246"/>
    </row>
    <row r="1761" spans="26:30">
      <c r="Z1761" s="246"/>
      <c r="AA1761" s="246"/>
      <c r="AB1761" s="246"/>
      <c r="AC1761" s="246"/>
      <c r="AD1761" s="246"/>
    </row>
    <row r="1762" spans="26:30">
      <c r="Z1762" s="246"/>
      <c r="AA1762" s="246"/>
      <c r="AB1762" s="246"/>
      <c r="AC1762" s="246"/>
      <c r="AD1762" s="246"/>
    </row>
    <row r="1763" spans="26:30">
      <c r="Z1763" s="246"/>
      <c r="AA1763" s="246"/>
      <c r="AB1763" s="246"/>
      <c r="AC1763" s="246"/>
      <c r="AD1763" s="246"/>
    </row>
    <row r="1764" spans="26:30">
      <c r="Z1764" s="246"/>
      <c r="AA1764" s="246"/>
      <c r="AB1764" s="246"/>
      <c r="AC1764" s="246"/>
      <c r="AD1764" s="246"/>
    </row>
    <row r="1765" spans="26:30">
      <c r="Z1765" s="246"/>
      <c r="AA1765" s="246"/>
      <c r="AB1765" s="246"/>
      <c r="AC1765" s="246"/>
      <c r="AD1765" s="246"/>
    </row>
    <row r="1766" spans="26:30">
      <c r="Z1766" s="246"/>
      <c r="AA1766" s="246"/>
      <c r="AB1766" s="246"/>
      <c r="AC1766" s="246"/>
      <c r="AD1766" s="246"/>
    </row>
    <row r="1767" spans="26:30">
      <c r="Z1767" s="246"/>
      <c r="AA1767" s="246"/>
      <c r="AB1767" s="246"/>
      <c r="AC1767" s="246"/>
      <c r="AD1767" s="246"/>
    </row>
    <row r="1768" spans="26:30">
      <c r="Z1768" s="246"/>
      <c r="AA1768" s="246"/>
      <c r="AB1768" s="246"/>
      <c r="AC1768" s="246"/>
      <c r="AD1768" s="246"/>
    </row>
    <row r="1769" spans="26:30">
      <c r="Z1769" s="246"/>
      <c r="AA1769" s="246"/>
      <c r="AB1769" s="246"/>
      <c r="AC1769" s="246"/>
      <c r="AD1769" s="246"/>
    </row>
    <row r="1770" spans="26:30">
      <c r="Z1770" s="246"/>
      <c r="AA1770" s="246"/>
      <c r="AB1770" s="246"/>
      <c r="AC1770" s="246"/>
      <c r="AD1770" s="246"/>
    </row>
    <row r="1771" spans="26:30">
      <c r="Z1771" s="246"/>
      <c r="AA1771" s="246"/>
      <c r="AB1771" s="246"/>
      <c r="AC1771" s="246"/>
      <c r="AD1771" s="246"/>
    </row>
    <row r="1772" spans="26:30">
      <c r="Z1772" s="246"/>
      <c r="AA1772" s="246"/>
      <c r="AB1772" s="246"/>
      <c r="AC1772" s="246"/>
      <c r="AD1772" s="246"/>
    </row>
    <row r="1773" spans="26:30">
      <c r="Z1773" s="246"/>
      <c r="AA1773" s="246"/>
      <c r="AB1773" s="246"/>
      <c r="AC1773" s="246"/>
      <c r="AD1773" s="246"/>
    </row>
    <row r="1774" spans="26:30">
      <c r="Z1774" s="246"/>
      <c r="AA1774" s="246"/>
      <c r="AB1774" s="246"/>
      <c r="AC1774" s="246"/>
      <c r="AD1774" s="246"/>
    </row>
    <row r="1775" spans="26:30">
      <c r="Z1775" s="246"/>
      <c r="AA1775" s="246"/>
      <c r="AB1775" s="246"/>
      <c r="AC1775" s="246"/>
      <c r="AD1775" s="246"/>
    </row>
    <row r="1776" spans="26:30">
      <c r="Z1776" s="246"/>
      <c r="AA1776" s="246"/>
      <c r="AB1776" s="246"/>
      <c r="AC1776" s="246"/>
      <c r="AD1776" s="246"/>
    </row>
    <row r="1777" spans="26:30">
      <c r="Z1777" s="246"/>
      <c r="AA1777" s="246"/>
      <c r="AB1777" s="246"/>
      <c r="AC1777" s="246"/>
      <c r="AD1777" s="246"/>
    </row>
    <row r="1778" spans="26:30">
      <c r="Z1778" s="246"/>
      <c r="AA1778" s="246"/>
      <c r="AB1778" s="246"/>
      <c r="AC1778" s="246"/>
      <c r="AD1778" s="246"/>
    </row>
    <row r="1779" spans="26:30">
      <c r="Z1779" s="246"/>
      <c r="AA1779" s="246"/>
      <c r="AB1779" s="246"/>
      <c r="AC1779" s="246"/>
      <c r="AD1779" s="246"/>
    </row>
    <row r="1780" spans="26:30">
      <c r="Z1780" s="246"/>
      <c r="AA1780" s="246"/>
      <c r="AB1780" s="246"/>
      <c r="AC1780" s="246"/>
      <c r="AD1780" s="246"/>
    </row>
    <row r="1781" spans="26:30">
      <c r="Z1781" s="246"/>
      <c r="AA1781" s="246"/>
      <c r="AB1781" s="246"/>
      <c r="AC1781" s="246"/>
      <c r="AD1781" s="246"/>
    </row>
    <row r="1782" spans="26:30">
      <c r="Z1782" s="246"/>
      <c r="AA1782" s="246"/>
      <c r="AB1782" s="246"/>
      <c r="AC1782" s="246"/>
      <c r="AD1782" s="246"/>
    </row>
    <row r="1783" spans="26:30">
      <c r="Z1783" s="246"/>
      <c r="AA1783" s="246"/>
      <c r="AB1783" s="246"/>
      <c r="AC1783" s="246"/>
      <c r="AD1783" s="246"/>
    </row>
    <row r="1784" spans="26:30">
      <c r="Z1784" s="246"/>
      <c r="AA1784" s="246"/>
      <c r="AB1784" s="246"/>
      <c r="AC1784" s="246"/>
      <c r="AD1784" s="246"/>
    </row>
    <row r="1785" spans="26:30">
      <c r="Z1785" s="246"/>
      <c r="AA1785" s="246"/>
      <c r="AB1785" s="246"/>
      <c r="AC1785" s="246"/>
      <c r="AD1785" s="246"/>
    </row>
    <row r="1786" spans="26:30">
      <c r="Z1786" s="246"/>
      <c r="AA1786" s="246"/>
      <c r="AB1786" s="246"/>
      <c r="AC1786" s="246"/>
      <c r="AD1786" s="246"/>
    </row>
    <row r="1787" spans="26:30">
      <c r="Z1787" s="246"/>
      <c r="AA1787" s="246"/>
      <c r="AB1787" s="246"/>
      <c r="AC1787" s="246"/>
      <c r="AD1787" s="246"/>
    </row>
    <row r="1788" spans="26:30">
      <c r="Z1788" s="246"/>
      <c r="AA1788" s="246"/>
      <c r="AB1788" s="246"/>
      <c r="AC1788" s="246"/>
      <c r="AD1788" s="246"/>
    </row>
    <row r="1789" spans="26:30">
      <c r="Z1789" s="246"/>
      <c r="AA1789" s="246"/>
      <c r="AB1789" s="246"/>
      <c r="AC1789" s="246"/>
      <c r="AD1789" s="246"/>
    </row>
    <row r="1790" spans="26:30">
      <c r="Z1790" s="246"/>
      <c r="AA1790" s="246"/>
      <c r="AB1790" s="246"/>
      <c r="AC1790" s="246"/>
      <c r="AD1790" s="246"/>
    </row>
    <row r="1791" spans="26:30">
      <c r="Z1791" s="246"/>
      <c r="AA1791" s="246"/>
      <c r="AB1791" s="246"/>
      <c r="AC1791" s="246"/>
      <c r="AD1791" s="246"/>
    </row>
    <row r="1792" spans="26:30">
      <c r="Z1792" s="246"/>
      <c r="AA1792" s="246"/>
      <c r="AB1792" s="246"/>
      <c r="AC1792" s="246"/>
      <c r="AD1792" s="246"/>
    </row>
    <row r="1793" spans="26:30">
      <c r="Z1793" s="246"/>
      <c r="AA1793" s="246"/>
      <c r="AB1793" s="246"/>
      <c r="AC1793" s="246"/>
      <c r="AD1793" s="246"/>
    </row>
    <row r="1794" spans="26:30">
      <c r="Z1794" s="246"/>
      <c r="AA1794" s="246"/>
      <c r="AB1794" s="246"/>
      <c r="AC1794" s="246"/>
      <c r="AD1794" s="246"/>
    </row>
    <row r="1795" spans="26:30">
      <c r="Z1795" s="246"/>
      <c r="AA1795" s="246"/>
      <c r="AB1795" s="246"/>
      <c r="AC1795" s="246"/>
      <c r="AD1795" s="246"/>
    </row>
    <row r="1796" spans="26:30">
      <c r="Z1796" s="246"/>
      <c r="AA1796" s="246"/>
      <c r="AB1796" s="246"/>
      <c r="AC1796" s="246"/>
      <c r="AD1796" s="246"/>
    </row>
    <row r="1797" spans="26:30">
      <c r="Z1797" s="246"/>
      <c r="AA1797" s="246"/>
      <c r="AB1797" s="246"/>
      <c r="AC1797" s="246"/>
      <c r="AD1797" s="246"/>
    </row>
    <row r="1798" spans="26:30">
      <c r="Z1798" s="246"/>
      <c r="AA1798" s="246"/>
      <c r="AB1798" s="246"/>
      <c r="AC1798" s="246"/>
      <c r="AD1798" s="246"/>
    </row>
    <row r="1799" spans="26:30">
      <c r="Z1799" s="246"/>
      <c r="AA1799" s="246"/>
      <c r="AB1799" s="246"/>
      <c r="AC1799" s="246"/>
      <c r="AD1799" s="246"/>
    </row>
    <row r="1800" spans="26:30">
      <c r="Z1800" s="246"/>
      <c r="AA1800" s="246"/>
      <c r="AB1800" s="246"/>
      <c r="AC1800" s="246"/>
      <c r="AD1800" s="246"/>
    </row>
    <row r="1801" spans="26:30">
      <c r="Z1801" s="246"/>
      <c r="AA1801" s="246"/>
      <c r="AB1801" s="246"/>
      <c r="AC1801" s="246"/>
      <c r="AD1801" s="246"/>
    </row>
    <row r="1802" spans="26:30">
      <c r="Z1802" s="246"/>
      <c r="AA1802" s="246"/>
      <c r="AB1802" s="246"/>
      <c r="AC1802" s="246"/>
      <c r="AD1802" s="246"/>
    </row>
    <row r="1803" spans="26:30">
      <c r="Z1803" s="246"/>
      <c r="AA1803" s="246"/>
      <c r="AB1803" s="246"/>
      <c r="AC1803" s="246"/>
      <c r="AD1803" s="246"/>
    </row>
    <row r="1804" spans="26:30">
      <c r="Z1804" s="246"/>
      <c r="AA1804" s="246"/>
      <c r="AB1804" s="246"/>
      <c r="AC1804" s="246"/>
      <c r="AD1804" s="246"/>
    </row>
    <row r="1805" spans="26:30">
      <c r="Z1805" s="246"/>
      <c r="AA1805" s="246"/>
      <c r="AB1805" s="246"/>
      <c r="AC1805" s="246"/>
      <c r="AD1805" s="246"/>
    </row>
  </sheetData>
  <sheetProtection sheet="1" objects="1" scenarios="1"/>
  <phoneticPr fontId="56" type="noConversion"/>
  <conditionalFormatting sqref="AD2:AD4 AN9:AN37 AM10:AM37">
    <cfRule type="expression" dxfId="0" priority="2">
      <formula>"column A &lt;&gt; 0"</formula>
    </cfRule>
  </conditionalFormatting>
  <pageMargins left="0.7" right="0.7" top="0.75" bottom="0.75" header="0.3" footer="0.3"/>
  <pageSetup scale="2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EEA5B5-D2E4-456B-B981-22F2E89B96FB}">
  <ds:schemaRefs>
    <ds:schemaRef ds:uri="http://www.w3.org/2001/XMLSchema"/>
  </ds:schemaRefs>
</ds:datastoreItem>
</file>

<file path=docMetadata/LabelInfo.xml><?xml version="1.0" encoding="utf-8"?>
<clbl:labelList xmlns:clbl="http://schemas.microsoft.com/office/2020/mipLabelMetadata">
  <clbl:label id="{fde86218-d80d-45c1-a56d-9317e2359db4}" enabled="0" method="" siteId="{fde86218-d80d-45c1-a56d-9317e2359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HVAC COST</vt:lpstr>
      <vt:lpstr>DEMOLITION</vt:lpstr>
      <vt:lpstr>Notes, Assumptions</vt:lpstr>
      <vt:lpstr>COMPUTATION</vt:lpstr>
      <vt:lpstr>MAT - TAKEOFF</vt:lpstr>
      <vt:lpstr>'HVAC COST'!Print_Area</vt:lpstr>
      <vt:lpstr>'MAT - TAKEOFF'!Print_Area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Krieger</dc:creator>
  <cp:lastModifiedBy>Michael Bongolan Bongolan</cp:lastModifiedBy>
  <cp:lastPrinted>2024-10-08T14:03:59Z</cp:lastPrinted>
  <dcterms:created xsi:type="dcterms:W3CDTF">2024-01-06T21:59:00Z</dcterms:created>
  <dcterms:modified xsi:type="dcterms:W3CDTF">2025-11-12T17:47:12Z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{9FEEA5B5-D2E4-456B-B981-22F2E89B96FB}</vt:lpwstr>
  </property>
  <property fmtid="{D5CDD505-2E9C-101B-9397-08002B2CF9AE}" pid="5" name="ICV">
    <vt:lpwstr>F98044302D8342FAA2B143BA873899A9_13</vt:lpwstr>
  </property>
  <property fmtid="{D5CDD505-2E9C-101B-9397-08002B2CF9AE}" pid="6" name="KSOProductBuildVer">
    <vt:lpwstr>1033-12.2.0.13472</vt:lpwstr>
  </property>
  <property fmtid="{D5CDD505-2E9C-101B-9397-08002B2CF9AE}" pid="7" name="MSIP_Label_e9d746c0-3369-42be-bf83-6862f3f56ae7_Enabled">
    <vt:lpwstr>true</vt:lpwstr>
  </property>
  <property fmtid="{D5CDD505-2E9C-101B-9397-08002B2CF9AE}" pid="8" name="MSIP_Label_e9d746c0-3369-42be-bf83-6862f3f56ae7_SetDate">
    <vt:lpwstr>2024-11-11T12:21:19Z</vt:lpwstr>
  </property>
  <property fmtid="{D5CDD505-2E9C-101B-9397-08002B2CF9AE}" pid="9" name="MSIP_Label_e9d746c0-3369-42be-bf83-6862f3f56ae7_Method">
    <vt:lpwstr>Standard</vt:lpwstr>
  </property>
  <property fmtid="{D5CDD505-2E9C-101B-9397-08002B2CF9AE}" pid="10" name="MSIP_Label_e9d746c0-3369-42be-bf83-6862f3f56ae7_Name">
    <vt:lpwstr>Fluor General</vt:lpwstr>
  </property>
  <property fmtid="{D5CDD505-2E9C-101B-9397-08002B2CF9AE}" pid="11" name="MSIP_Label_e9d746c0-3369-42be-bf83-6862f3f56ae7_SiteId">
    <vt:lpwstr>75864cfe-f26d-419c-b69d-c638695b5533</vt:lpwstr>
  </property>
  <property fmtid="{D5CDD505-2E9C-101B-9397-08002B2CF9AE}" pid="12" name="MSIP_Label_e9d746c0-3369-42be-bf83-6862f3f56ae7_ActionId">
    <vt:lpwstr>06a93f52-a75b-4596-99b5-113b2ad67afc</vt:lpwstr>
  </property>
  <property fmtid="{D5CDD505-2E9C-101B-9397-08002B2CF9AE}" pid="13" name="MSIP_Label_e9d746c0-3369-42be-bf83-6862f3f56ae7_ContentBits">
    <vt:lpwstr>0</vt:lpwstr>
  </property>
</Properties>
</file>