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REAM PC\Downloads\"/>
    </mc:Choice>
  </mc:AlternateContent>
  <xr:revisionPtr revIDLastSave="0" documentId="13_ncr:1_{83BAF769-4359-42FD-9A6B-FC922A2DD2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0" r:id="rId1"/>
    <sheet name="BREAKDOWN (BUILDING)" sheetId="7" r:id="rId2"/>
    <sheet name="BREAKDOWN (SITE)" sheetId="11" r:id="rId3"/>
    <sheet name="TAKEOFF DETAIL" sheetId="6" r:id="rId4"/>
  </sheets>
  <externalReferences>
    <externalReference r:id="rId5"/>
  </externalReferences>
  <definedNames>
    <definedName name="_xlnm._FilterDatabase" localSheetId="1" hidden="1">'BREAKDOWN (BUILDING)'!#REF!</definedName>
    <definedName name="_xlnm._FilterDatabase" localSheetId="2" hidden="1">'BREAKDOWN (SITE)'!#REF!</definedName>
    <definedName name="BuiltIn_Print_Area" localSheetId="1">#REF!</definedName>
    <definedName name="BuiltIn_Print_Area" localSheetId="2">#REF!</definedName>
    <definedName name="BuiltIn_Print_Area" localSheetId="0">#REF!</definedName>
    <definedName name="BuiltIn_Print_Area">#REF!</definedName>
    <definedName name="BuiltIn_Print_Area___0" localSheetId="1">#REF!</definedName>
    <definedName name="BuiltIn_Print_Area___0" localSheetId="2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Titles">#REF!</definedName>
    <definedName name="BuiltIn_Print_Titles___0">NA()</definedName>
    <definedName name="BuiltIn_Print_Titles___0___0">#REF!</definedName>
    <definedName name="BuiltIn_Print_Titles___0___0___0">#REF!</definedName>
    <definedName name="BuiltIn_Print_Titles___0___0___0___0">NA()</definedName>
    <definedName name="LAN">#REF!</definedName>
    <definedName name="PP">#REF!</definedName>
    <definedName name="_xlnm.Print_Area" localSheetId="1">'BREAKDOWN (BUILDING)'!$A$1:$U$109</definedName>
    <definedName name="_xlnm.Print_Area" localSheetId="2">'BREAKDOWN (SITE)'!$A$1:$U$13</definedName>
    <definedName name="_xlnm.Print_Area" localSheetId="0">SUMMARY!$A$1:$P$71</definedName>
    <definedName name="_xlnm.Print_Area" localSheetId="3">'TAKEOFF DETAIL'!$A$1:$BU$111</definedName>
    <definedName name="UnitType2" localSheetId="0">#REF!</definedName>
    <definedName name="UnitType2">#REF!</definedName>
    <definedName name="URURU" localSheetId="0">#REF!</definedName>
    <definedName name="URURU">#REF!</definedName>
    <definedName name="Validation_Equipment">OFFSET('[1]EQUIPMENT DYNAMIC LIST'!$N$2,,,COUNTIF('[1]EQUIPMENT DYNAMIC LIST'!$N$2:$N$500,"?*"))</definedName>
    <definedName name="Validation_Fans">OFFSET('[1]FAN DYNAMIC LIST'!$Q$2,,,COUNTIF('[1]FAN DYNAMIC LIST'!$Q$2:$Q$1000,"?*"))</definedName>
    <definedName name="Validation_Heaters">OFFSET('[1]HEATER DYNAMIC LIST'!$Q$2,,,COUNTIF('[1]HEATER DYNAMIC LIST'!$Q$2:$Q$1000,"?*"))</definedName>
    <definedName name="Validation_MiniSplit">OFFSET('[1]MINI SPLIT DYNAMIC LIST'!$Q$2,,,COUNTIF('[1]MINI SPLIT DYNAMIC LIST'!$Q$2:$Q$1000,"?*"))</definedName>
    <definedName name="Validation_PTAC">OFFSET('[1]PTAC DYNAMIC LIST'!$Q$2,,,COUNTIF('[1]PTAC DYNAMIC LIST'!$Q$2:$Q$1000,"?*"))</definedName>
    <definedName name="Validation_Thermstats">OFFSET('[1]THERMOSTAT DYNAMIC LIST'!$M$2,,,COUNTIF('[1]THERMOSTAT DYNAMIC LIST'!$M$2:$M$500,"?*"))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9" i="7" l="1"/>
  <c r="S40" i="7"/>
  <c r="S41" i="7"/>
  <c r="S42" i="7"/>
  <c r="S43" i="7"/>
  <c r="S44" i="7"/>
  <c r="S45" i="7"/>
  <c r="E25" i="10"/>
  <c r="D100" i="6" l="1"/>
  <c r="D102" i="6"/>
  <c r="C25" i="7" l="1"/>
  <c r="C26" i="7"/>
  <c r="C24" i="7"/>
  <c r="C71" i="7"/>
  <c r="BU12" i="6"/>
  <c r="BU13" i="6"/>
  <c r="BU17" i="6"/>
  <c r="BU20" i="6"/>
  <c r="BU18" i="6"/>
  <c r="BU21" i="6"/>
  <c r="BU22" i="6"/>
  <c r="BU27" i="6"/>
  <c r="BU28" i="6"/>
  <c r="BU29" i="6"/>
  <c r="BU32" i="6"/>
  <c r="BU30" i="6"/>
  <c r="BU33" i="6"/>
  <c r="BU34" i="6"/>
  <c r="BU35" i="6"/>
  <c r="BU36" i="6"/>
  <c r="BU31" i="6"/>
  <c r="BU37" i="6"/>
  <c r="BU48" i="6"/>
  <c r="BR48" i="6"/>
  <c r="K71" i="7" s="1"/>
  <c r="BH48" i="6"/>
  <c r="I71" i="7" s="1"/>
  <c r="D12" i="6"/>
  <c r="D17" i="6" s="1"/>
  <c r="C55" i="7"/>
  <c r="E103" i="6"/>
  <c r="E104" i="6"/>
  <c r="E105" i="6"/>
  <c r="E106" i="6"/>
  <c r="E107" i="6"/>
  <c r="E108" i="6"/>
  <c r="E109" i="6"/>
  <c r="N71" i="7" l="1"/>
  <c r="T71" i="7" s="1"/>
  <c r="P71" i="7" l="1"/>
  <c r="R71" i="7" s="1"/>
  <c r="U71" i="7" s="1"/>
  <c r="C21" i="7" l="1"/>
  <c r="Q45" i="7"/>
  <c r="Q44" i="7"/>
  <c r="Q41" i="7"/>
  <c r="Q43" i="7"/>
  <c r="Q40" i="7"/>
  <c r="C38" i="7" l="1"/>
  <c r="BU46" i="6"/>
  <c r="BU47" i="6"/>
  <c r="C45" i="7"/>
  <c r="C40" i="7"/>
  <c r="C43" i="7"/>
  <c r="C41" i="7"/>
  <c r="C44" i="7"/>
  <c r="C37" i="7"/>
  <c r="C65" i="7"/>
  <c r="C66" i="7"/>
  <c r="BS14" i="6"/>
  <c r="BR28" i="6"/>
  <c r="K22" i="7" s="1"/>
  <c r="BR29" i="6"/>
  <c r="K23" i="7" s="1"/>
  <c r="BR32" i="6"/>
  <c r="K27" i="7" s="1"/>
  <c r="BR30" i="6"/>
  <c r="BR33" i="6"/>
  <c r="K28" i="7" s="1"/>
  <c r="BR34" i="6"/>
  <c r="K29" i="7" s="1"/>
  <c r="BR35" i="6"/>
  <c r="K30" i="7" s="1"/>
  <c r="BR36" i="6"/>
  <c r="K31" i="7" s="1"/>
  <c r="BR31" i="6"/>
  <c r="K26" i="7" s="1"/>
  <c r="BR37" i="6"/>
  <c r="K32" i="7" s="1"/>
  <c r="BP11" i="6"/>
  <c r="BP16" i="6" s="1"/>
  <c r="BO11" i="6"/>
  <c r="BO19" i="6" s="1"/>
  <c r="BN11" i="6"/>
  <c r="BN16" i="6" s="1"/>
  <c r="BM11" i="6"/>
  <c r="C70" i="7"/>
  <c r="BR47" i="6"/>
  <c r="K70" i="7" s="1"/>
  <c r="BI13" i="6"/>
  <c r="BI22" i="6" s="1"/>
  <c r="BJ12" i="6"/>
  <c r="BK12" i="6"/>
  <c r="BK20" i="6" s="1"/>
  <c r="BR20" i="6" s="1"/>
  <c r="L43" i="7" s="1"/>
  <c r="BH20" i="6"/>
  <c r="J43" i="7" s="1"/>
  <c r="BK27" i="6"/>
  <c r="BJ27" i="6"/>
  <c r="BR17" i="6"/>
  <c r="L40" i="7" s="1"/>
  <c r="BR18" i="6"/>
  <c r="L41" i="7" s="1"/>
  <c r="BR23" i="6"/>
  <c r="BH27" i="6"/>
  <c r="I21" i="7" s="1"/>
  <c r="BI27" i="6"/>
  <c r="BH47" i="6"/>
  <c r="I70" i="7" s="1"/>
  <c r="BH22" i="6"/>
  <c r="J45" i="7" s="1"/>
  <c r="C32" i="7"/>
  <c r="BH31" i="6"/>
  <c r="I26" i="7" s="1"/>
  <c r="N26" i="7" s="1"/>
  <c r="BH37" i="6"/>
  <c r="I32" i="7" s="1"/>
  <c r="BG26" i="6"/>
  <c r="BG11" i="6"/>
  <c r="BG16" i="6" s="1"/>
  <c r="BF11" i="6"/>
  <c r="BF16" i="6" s="1"/>
  <c r="BF26" i="6"/>
  <c r="BE11" i="6"/>
  <c r="BE16" i="6" s="1"/>
  <c r="BD11" i="6"/>
  <c r="BD16" i="6" s="1"/>
  <c r="BD26" i="6"/>
  <c r="BC11" i="6"/>
  <c r="BC16" i="6" s="1"/>
  <c r="BC26" i="6"/>
  <c r="BA11" i="6"/>
  <c r="BA16" i="6" s="1"/>
  <c r="BA26" i="6"/>
  <c r="BB11" i="6"/>
  <c r="BB16" i="6" s="1"/>
  <c r="AZ26" i="6"/>
  <c r="AY11" i="6"/>
  <c r="AY16" i="6" s="1"/>
  <c r="AX11" i="6"/>
  <c r="AX16" i="6" s="1"/>
  <c r="AW11" i="6"/>
  <c r="AW16" i="6" s="1"/>
  <c r="AW26" i="6"/>
  <c r="AZ11" i="6"/>
  <c r="AZ16" i="6" s="1"/>
  <c r="AP26" i="6"/>
  <c r="AP11" i="6"/>
  <c r="AP16" i="6" s="1"/>
  <c r="C28" i="7"/>
  <c r="C29" i="7"/>
  <c r="C30" i="7"/>
  <c r="C31" i="7"/>
  <c r="AV11" i="6"/>
  <c r="AV16" i="6" s="1"/>
  <c r="AV26" i="6"/>
  <c r="AU11" i="6"/>
  <c r="AU16" i="6" s="1"/>
  <c r="AU26" i="6"/>
  <c r="AT11" i="6"/>
  <c r="AT16" i="6" s="1"/>
  <c r="AT26" i="6"/>
  <c r="AS26" i="6"/>
  <c r="AS11" i="6"/>
  <c r="AS16" i="6" s="1"/>
  <c r="AR11" i="6"/>
  <c r="AR16" i="6" s="1"/>
  <c r="AR26" i="6"/>
  <c r="AQ26" i="6"/>
  <c r="AQ11" i="6"/>
  <c r="AQ16" i="6" s="1"/>
  <c r="AO26" i="6"/>
  <c r="AO11" i="6"/>
  <c r="AO16" i="6" s="1"/>
  <c r="AN11" i="6"/>
  <c r="AN16" i="6" s="1"/>
  <c r="AN26" i="6"/>
  <c r="AM11" i="6"/>
  <c r="AM16" i="6" s="1"/>
  <c r="AM26" i="6"/>
  <c r="AL26" i="6"/>
  <c r="AL18" i="6"/>
  <c r="AL12" i="6"/>
  <c r="AK18" i="6"/>
  <c r="AK12" i="6"/>
  <c r="AK26" i="6"/>
  <c r="AJ11" i="6"/>
  <c r="AJ19" i="6" s="1"/>
  <c r="AI11" i="6"/>
  <c r="AI16" i="6" s="1"/>
  <c r="AI26" i="6"/>
  <c r="AH26" i="6"/>
  <c r="AH11" i="6"/>
  <c r="AH16" i="6" s="1"/>
  <c r="AG11" i="6"/>
  <c r="AG16" i="6" s="1"/>
  <c r="AG26" i="6"/>
  <c r="AF26" i="6"/>
  <c r="AF11" i="6"/>
  <c r="AF16" i="6" s="1"/>
  <c r="AE11" i="6"/>
  <c r="AE16" i="6" s="1"/>
  <c r="AE26" i="6"/>
  <c r="AD11" i="6"/>
  <c r="AD16" i="6" s="1"/>
  <c r="AD26" i="6"/>
  <c r="AC11" i="6"/>
  <c r="AC16" i="6" s="1"/>
  <c r="AC26" i="6"/>
  <c r="AB11" i="6"/>
  <c r="AB16" i="6" s="1"/>
  <c r="AB26" i="6"/>
  <c r="AA11" i="6"/>
  <c r="AA16" i="6" s="1"/>
  <c r="AA26" i="6"/>
  <c r="Z11" i="6"/>
  <c r="Z16" i="6" s="1"/>
  <c r="Y11" i="6"/>
  <c r="Y16" i="6" s="1"/>
  <c r="Z26" i="6"/>
  <c r="X11" i="6"/>
  <c r="X16" i="6" s="1"/>
  <c r="W11" i="6"/>
  <c r="W16" i="6" s="1"/>
  <c r="Y26" i="6"/>
  <c r="X26" i="6"/>
  <c r="W26" i="6"/>
  <c r="BH29" i="6"/>
  <c r="BH32" i="6"/>
  <c r="BH30" i="6"/>
  <c r="I24" i="7" s="1"/>
  <c r="BH33" i="6"/>
  <c r="I28" i="7" s="1"/>
  <c r="BH34" i="6"/>
  <c r="I29" i="7" s="1"/>
  <c r="N29" i="7" s="1"/>
  <c r="BH35" i="6"/>
  <c r="I30" i="7" s="1"/>
  <c r="N30" i="7" s="1"/>
  <c r="BH36" i="6"/>
  <c r="I31" i="7" s="1"/>
  <c r="N31" i="7" s="1"/>
  <c r="BH23" i="6"/>
  <c r="BH24" i="6"/>
  <c r="BH13" i="6"/>
  <c r="J38" i="7" s="1"/>
  <c r="BH14" i="6"/>
  <c r="V11" i="6"/>
  <c r="V16" i="6" s="1"/>
  <c r="V26" i="6"/>
  <c r="U26" i="6"/>
  <c r="U11" i="6"/>
  <c r="U16" i="6" s="1"/>
  <c r="T26" i="6"/>
  <c r="T11" i="6"/>
  <c r="T16" i="6" s="1"/>
  <c r="S26" i="6"/>
  <c r="S11" i="6"/>
  <c r="S16" i="6" s="1"/>
  <c r="R11" i="6"/>
  <c r="R16" i="6" s="1"/>
  <c r="R26" i="6"/>
  <c r="Q26" i="6"/>
  <c r="Q11" i="6"/>
  <c r="Q16" i="6" s="1"/>
  <c r="P12" i="6"/>
  <c r="P21" i="6" s="1"/>
  <c r="P26" i="6"/>
  <c r="O11" i="6"/>
  <c r="O16" i="6" s="1"/>
  <c r="O26" i="6"/>
  <c r="N12" i="6"/>
  <c r="N21" i="6" s="1"/>
  <c r="N26" i="6"/>
  <c r="M11" i="6"/>
  <c r="M16" i="6" s="1"/>
  <c r="M26" i="6"/>
  <c r="L26" i="6"/>
  <c r="L11" i="6"/>
  <c r="L16" i="6" s="1"/>
  <c r="K26" i="6"/>
  <c r="K11" i="6"/>
  <c r="K16" i="6" s="1"/>
  <c r="J11" i="6"/>
  <c r="J16" i="6" s="1"/>
  <c r="J26" i="6"/>
  <c r="I26" i="6"/>
  <c r="I11" i="6"/>
  <c r="I16" i="6" s="1"/>
  <c r="H11" i="6"/>
  <c r="H16" i="6" s="1"/>
  <c r="H26" i="6"/>
  <c r="G26" i="6"/>
  <c r="G12" i="6"/>
  <c r="G17" i="6" s="1"/>
  <c r="F12" i="6"/>
  <c r="E11" i="6"/>
  <c r="T26" i="7" l="1"/>
  <c r="P26" i="7"/>
  <c r="R26" i="7" s="1"/>
  <c r="K25" i="7"/>
  <c r="K24" i="7"/>
  <c r="N24" i="7" s="1"/>
  <c r="BS24" i="6"/>
  <c r="BU24" i="6" s="1"/>
  <c r="BU14" i="6"/>
  <c r="BM16" i="6"/>
  <c r="BR11" i="6"/>
  <c r="BH11" i="6"/>
  <c r="O43" i="7"/>
  <c r="N32" i="7"/>
  <c r="P32" i="7" s="1"/>
  <c r="R32" i="7" s="1"/>
  <c r="N28" i="7"/>
  <c r="P28" i="7" s="1"/>
  <c r="R28" i="7" s="1"/>
  <c r="T43" i="7"/>
  <c r="P43" i="7"/>
  <c r="R43" i="7" s="1"/>
  <c r="BS23" i="6"/>
  <c r="BU23" i="6" s="1"/>
  <c r="BR27" i="6"/>
  <c r="K21" i="7" s="1"/>
  <c r="N21" i="7" s="1"/>
  <c r="BR12" i="6"/>
  <c r="L37" i="7" s="1"/>
  <c r="BJ21" i="6"/>
  <c r="BR21" i="6" s="1"/>
  <c r="L44" i="7" s="1"/>
  <c r="BR22" i="6"/>
  <c r="L45" i="7" s="1"/>
  <c r="O45" i="7" s="1"/>
  <c r="BH21" i="6"/>
  <c r="J44" i="7" s="1"/>
  <c r="BH18" i="6"/>
  <c r="J41" i="7" s="1"/>
  <c r="O41" i="7" s="1"/>
  <c r="P41" i="7" s="1"/>
  <c r="R41" i="7" s="1"/>
  <c r="P29" i="7"/>
  <c r="R29" i="7" s="1"/>
  <c r="T29" i="7"/>
  <c r="T30" i="7"/>
  <c r="P30" i="7"/>
  <c r="R30" i="7" s="1"/>
  <c r="P31" i="7"/>
  <c r="R31" i="7" s="1"/>
  <c r="T31" i="7"/>
  <c r="BH12" i="6"/>
  <c r="J37" i="7" s="1"/>
  <c r="F17" i="6"/>
  <c r="BH17" i="6" s="1"/>
  <c r="J40" i="7" s="1"/>
  <c r="O40" i="7" s="1"/>
  <c r="T40" i="7" s="1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Q76" i="7"/>
  <c r="C77" i="7"/>
  <c r="K57" i="6"/>
  <c r="K59" i="6" s="1"/>
  <c r="L65" i="6"/>
  <c r="I25" i="7" s="1"/>
  <c r="L78" i="6"/>
  <c r="I89" i="7" s="1"/>
  <c r="N89" i="7" s="1"/>
  <c r="J57" i="6"/>
  <c r="J59" i="6" s="1"/>
  <c r="I57" i="6"/>
  <c r="I59" i="6" s="1"/>
  <c r="J61" i="6"/>
  <c r="I61" i="6"/>
  <c r="H57" i="6"/>
  <c r="H59" i="6" s="1"/>
  <c r="H61" i="6"/>
  <c r="L71" i="6"/>
  <c r="I82" i="7" s="1"/>
  <c r="G57" i="6"/>
  <c r="G59" i="6" s="1"/>
  <c r="G61" i="6"/>
  <c r="L85" i="6"/>
  <c r="I96" i="7" s="1"/>
  <c r="N96" i="7" s="1"/>
  <c r="L82" i="6"/>
  <c r="I93" i="7" s="1"/>
  <c r="N93" i="7" s="1"/>
  <c r="L81" i="6"/>
  <c r="I92" i="7" s="1"/>
  <c r="N92" i="7" s="1"/>
  <c r="L64" i="6"/>
  <c r="I77" i="7" s="1"/>
  <c r="N77" i="7" s="1"/>
  <c r="F57" i="6"/>
  <c r="F59" i="6" s="1"/>
  <c r="F61" i="6"/>
  <c r="L74" i="6"/>
  <c r="I85" i="7" s="1"/>
  <c r="E57" i="6"/>
  <c r="E59" i="6" s="1"/>
  <c r="E61" i="6"/>
  <c r="U26" i="7" l="1"/>
  <c r="T24" i="7"/>
  <c r="P24" i="7"/>
  <c r="R24" i="7" s="1"/>
  <c r="N25" i="7"/>
  <c r="T32" i="7"/>
  <c r="U32" i="7" s="1"/>
  <c r="O37" i="7"/>
  <c r="P37" i="7" s="1"/>
  <c r="R37" i="7" s="1"/>
  <c r="O44" i="7"/>
  <c r="P45" i="7"/>
  <c r="R45" i="7" s="1"/>
  <c r="T45" i="7"/>
  <c r="T21" i="7"/>
  <c r="P21" i="7"/>
  <c r="R21" i="7" s="1"/>
  <c r="T41" i="7"/>
  <c r="U41" i="7" s="1"/>
  <c r="T28" i="7"/>
  <c r="U28" i="7" s="1"/>
  <c r="P40" i="7"/>
  <c r="R40" i="7" s="1"/>
  <c r="U40" i="7" s="1"/>
  <c r="U43" i="7"/>
  <c r="U30" i="7"/>
  <c r="U31" i="7"/>
  <c r="U29" i="7"/>
  <c r="P92" i="7"/>
  <c r="R92" i="7" s="1"/>
  <c r="P96" i="7"/>
  <c r="R96" i="7" s="1"/>
  <c r="P89" i="7"/>
  <c r="R89" i="7" s="1"/>
  <c r="P93" i="7"/>
  <c r="R93" i="7" s="1"/>
  <c r="P77" i="7"/>
  <c r="R77" i="7" s="1"/>
  <c r="D57" i="6"/>
  <c r="D61" i="6"/>
  <c r="L61" i="6" s="1"/>
  <c r="L68" i="6"/>
  <c r="I79" i="7" s="1"/>
  <c r="L69" i="6"/>
  <c r="I80" i="7" s="1"/>
  <c r="L70" i="6"/>
  <c r="I81" i="7" s="1"/>
  <c r="L72" i="6"/>
  <c r="I83" i="7" s="1"/>
  <c r="L73" i="6"/>
  <c r="I84" i="7" s="1"/>
  <c r="L75" i="6"/>
  <c r="I86" i="7" s="1"/>
  <c r="N86" i="7" s="1"/>
  <c r="L76" i="6"/>
  <c r="I87" i="7" s="1"/>
  <c r="N87" i="7" s="1"/>
  <c r="L77" i="6"/>
  <c r="I88" i="7" s="1"/>
  <c r="N88" i="7" s="1"/>
  <c r="P88" i="7" s="1"/>
  <c r="R88" i="7" s="1"/>
  <c r="L79" i="6"/>
  <c r="I90" i="7" s="1"/>
  <c r="N90" i="7" s="1"/>
  <c r="P90" i="7" s="1"/>
  <c r="R90" i="7" s="1"/>
  <c r="L80" i="6"/>
  <c r="I91" i="7" s="1"/>
  <c r="N91" i="7" s="1"/>
  <c r="L83" i="6"/>
  <c r="I94" i="7" s="1"/>
  <c r="N94" i="7" s="1"/>
  <c r="P94" i="7" s="1"/>
  <c r="R94" i="7" s="1"/>
  <c r="L84" i="6"/>
  <c r="I95" i="7" s="1"/>
  <c r="N95" i="7" s="1"/>
  <c r="L86" i="6"/>
  <c r="I97" i="7" s="1"/>
  <c r="N97" i="7" s="1"/>
  <c r="L87" i="6"/>
  <c r="I98" i="7" s="1"/>
  <c r="N98" i="7" s="1"/>
  <c r="P98" i="7" s="1"/>
  <c r="R98" i="7" s="1"/>
  <c r="L88" i="6"/>
  <c r="I99" i="7" s="1"/>
  <c r="N99" i="7" s="1"/>
  <c r="P99" i="7" s="1"/>
  <c r="R99" i="7" s="1"/>
  <c r="L89" i="6"/>
  <c r="I100" i="7" s="1"/>
  <c r="N100" i="7" s="1"/>
  <c r="P100" i="7" s="1"/>
  <c r="R100" i="7" s="1"/>
  <c r="L90" i="6"/>
  <c r="I101" i="7" s="1"/>
  <c r="N101" i="7" s="1"/>
  <c r="P101" i="7" s="1"/>
  <c r="R101" i="7" s="1"/>
  <c r="L91" i="6"/>
  <c r="I102" i="7" s="1"/>
  <c r="N102" i="7" s="1"/>
  <c r="P102" i="7" s="1"/>
  <c r="R102" i="7" s="1"/>
  <c r="L92" i="6"/>
  <c r="I103" i="7" s="1"/>
  <c r="N103" i="7" s="1"/>
  <c r="U24" i="7" l="1"/>
  <c r="P25" i="7"/>
  <c r="R25" i="7" s="1"/>
  <c r="T25" i="7"/>
  <c r="D59" i="6"/>
  <c r="L57" i="6"/>
  <c r="T37" i="7"/>
  <c r="U37" i="7" s="1"/>
  <c r="U45" i="7"/>
  <c r="U21" i="7"/>
  <c r="P44" i="7"/>
  <c r="R44" i="7" s="1"/>
  <c r="T44" i="7"/>
  <c r="U90" i="7"/>
  <c r="U89" i="7"/>
  <c r="P97" i="7"/>
  <c r="R97" i="7" s="1"/>
  <c r="U97" i="7" s="1"/>
  <c r="U88" i="7"/>
  <c r="P95" i="7"/>
  <c r="R95" i="7" s="1"/>
  <c r="U95" i="7" s="1"/>
  <c r="U98" i="7"/>
  <c r="P103" i="7"/>
  <c r="R103" i="7" s="1"/>
  <c r="U103" i="7" s="1"/>
  <c r="P87" i="7"/>
  <c r="R87" i="7" s="1"/>
  <c r="U87" i="7" s="1"/>
  <c r="U99" i="7"/>
  <c r="P91" i="7"/>
  <c r="R91" i="7" s="1"/>
  <c r="U91" i="7" s="1"/>
  <c r="U101" i="7"/>
  <c r="U100" i="7"/>
  <c r="U102" i="7"/>
  <c r="U94" i="7"/>
  <c r="P86" i="7"/>
  <c r="R86" i="7" s="1"/>
  <c r="U86" i="7" s="1"/>
  <c r="U92" i="7"/>
  <c r="U96" i="7"/>
  <c r="U93" i="7"/>
  <c r="U77" i="7"/>
  <c r="BR24" i="6"/>
  <c r="U25" i="7" l="1"/>
  <c r="U44" i="7"/>
  <c r="Q42" i="7"/>
  <c r="C75" i="7" l="1"/>
  <c r="C76" i="7"/>
  <c r="C63" i="7"/>
  <c r="C64" i="7"/>
  <c r="C67" i="7"/>
  <c r="C68" i="7"/>
  <c r="C69" i="7"/>
  <c r="C62" i="7"/>
  <c r="C53" i="7"/>
  <c r="N54" i="7"/>
  <c r="P54" i="7" s="1"/>
  <c r="R54" i="7" s="1"/>
  <c r="C22" i="7"/>
  <c r="C23" i="7"/>
  <c r="C27" i="7"/>
  <c r="N13" i="7"/>
  <c r="C12" i="7"/>
  <c r="C11" i="7"/>
  <c r="C10" i="7"/>
  <c r="E100" i="6"/>
  <c r="J53" i="7" s="1"/>
  <c r="O53" i="7" s="1"/>
  <c r="E102" i="6"/>
  <c r="I55" i="7" s="1"/>
  <c r="N55" i="7" s="1"/>
  <c r="BU39" i="6"/>
  <c r="I62" i="7" s="1"/>
  <c r="N62" i="7" s="1"/>
  <c r="BR39" i="6"/>
  <c r="BR13" i="6"/>
  <c r="L38" i="7" s="1"/>
  <c r="O38" i="7" s="1"/>
  <c r="BR14" i="6"/>
  <c r="BR46" i="6"/>
  <c r="K69" i="7" s="1"/>
  <c r="BH46" i="6"/>
  <c r="I69" i="7" s="1"/>
  <c r="BH39" i="6"/>
  <c r="F26" i="6"/>
  <c r="E16" i="6"/>
  <c r="E26" i="6"/>
  <c r="D26" i="6"/>
  <c r="T55" i="7" l="1"/>
  <c r="P55" i="7"/>
  <c r="R55" i="7" s="1"/>
  <c r="T38" i="7"/>
  <c r="P38" i="7"/>
  <c r="R38" i="7" s="1"/>
  <c r="U38" i="7" s="1"/>
  <c r="J12" i="7"/>
  <c r="O12" i="7" s="1"/>
  <c r="T12" i="7" s="1"/>
  <c r="J10" i="7"/>
  <c r="O10" i="7" s="1"/>
  <c r="P10" i="7" s="1"/>
  <c r="R10" i="7" s="1"/>
  <c r="P53" i="7"/>
  <c r="R53" i="7" s="1"/>
  <c r="T53" i="7"/>
  <c r="P13" i="7"/>
  <c r="R13" i="7" s="1"/>
  <c r="U55" i="7" l="1"/>
  <c r="P12" i="7"/>
  <c r="R12" i="7" s="1"/>
  <c r="U12" i="7" s="1"/>
  <c r="J11" i="7"/>
  <c r="O11" i="7" s="1"/>
  <c r="T11" i="7" s="1"/>
  <c r="T10" i="7"/>
  <c r="S54" i="7"/>
  <c r="T54" i="7" s="1"/>
  <c r="U54" i="7" s="1"/>
  <c r="U53" i="7"/>
  <c r="L63" i="6"/>
  <c r="I76" i="7" s="1"/>
  <c r="U10" i="7" l="1"/>
  <c r="P11" i="7"/>
  <c r="R11" i="7" s="1"/>
  <c r="U11" i="7" s="1"/>
  <c r="T13" i="7"/>
  <c r="U13" i="7" s="1"/>
  <c r="Q39" i="7"/>
  <c r="L67" i="6" l="1"/>
  <c r="BH28" i="6" l="1"/>
  <c r="I22" i="7" s="1"/>
  <c r="N22" i="7" s="1"/>
  <c r="I23" i="7"/>
  <c r="I27" i="7"/>
  <c r="C42" i="7" l="1"/>
  <c r="C39" i="7"/>
  <c r="BU19" i="6" l="1"/>
  <c r="BR19" i="6"/>
  <c r="L42" i="7" s="1"/>
  <c r="L62" i="6"/>
  <c r="N76" i="7"/>
  <c r="N82" i="7"/>
  <c r="N83" i="7"/>
  <c r="N84" i="7"/>
  <c r="N85" i="7"/>
  <c r="I75" i="7" l="1"/>
  <c r="N75" i="7" s="1"/>
  <c r="P83" i="7"/>
  <c r="R83" i="7" s="1"/>
  <c r="P82" i="7"/>
  <c r="R82" i="7" s="1"/>
  <c r="P85" i="7"/>
  <c r="R85" i="7" s="1"/>
  <c r="P76" i="7"/>
  <c r="R76" i="7" s="1"/>
  <c r="P84" i="7"/>
  <c r="R84" i="7" s="1"/>
  <c r="L36" i="7"/>
  <c r="P75" i="7" l="1"/>
  <c r="R75" i="7" s="1"/>
  <c r="U85" i="7"/>
  <c r="U76" i="7"/>
  <c r="U82" i="7"/>
  <c r="U84" i="7"/>
  <c r="U83" i="7"/>
  <c r="U75" i="7" l="1"/>
  <c r="P57" i="7"/>
  <c r="N23" i="7" l="1"/>
  <c r="N27" i="7"/>
  <c r="P27" i="7" l="1"/>
  <c r="R27" i="7" s="1"/>
  <c r="T27" i="7"/>
  <c r="T22" i="7"/>
  <c r="P22" i="7"/>
  <c r="R22" i="7" s="1"/>
  <c r="P23" i="7"/>
  <c r="R23" i="7" s="1"/>
  <c r="T23" i="7"/>
  <c r="BH19" i="6"/>
  <c r="J42" i="7" s="1"/>
  <c r="U23" i="7" l="1"/>
  <c r="U22" i="7"/>
  <c r="U27" i="7"/>
  <c r="BU45" i="6"/>
  <c r="BR45" i="6"/>
  <c r="K68" i="7" s="1"/>
  <c r="BH45" i="6"/>
  <c r="I68" i="7" s="1"/>
  <c r="T62" i="7" l="1"/>
  <c r="P62" i="7" l="1"/>
  <c r="R62" i="7" s="1"/>
  <c r="U62" i="7" s="1"/>
  <c r="C78" i="7" l="1"/>
  <c r="C36" i="7"/>
  <c r="C20" i="7" l="1"/>
  <c r="BU26" i="6" l="1"/>
  <c r="BU16" i="6"/>
  <c r="BU11" i="6"/>
  <c r="O42" i="7" l="1"/>
  <c r="T42" i="7" s="1"/>
  <c r="P15" i="7" l="1"/>
  <c r="P16" i="7" s="1"/>
  <c r="P42" i="7"/>
  <c r="R42" i="7" s="1"/>
  <c r="R15" i="7"/>
  <c r="R16" i="7" s="1"/>
  <c r="N81" i="7"/>
  <c r="N80" i="7"/>
  <c r="N79" i="7"/>
  <c r="I78" i="7"/>
  <c r="L59" i="6"/>
  <c r="N70" i="7"/>
  <c r="N69" i="7"/>
  <c r="N68" i="7" l="1"/>
  <c r="P81" i="7"/>
  <c r="R81" i="7" s="1"/>
  <c r="U42" i="7"/>
  <c r="T15" i="7"/>
  <c r="T16" i="7" s="1"/>
  <c r="O19" i="10" s="1"/>
  <c r="U15" i="7"/>
  <c r="U16" i="7" s="1"/>
  <c r="T69" i="7"/>
  <c r="P69" i="7"/>
  <c r="R69" i="7" s="1"/>
  <c r="P70" i="7"/>
  <c r="R70" i="7" s="1"/>
  <c r="T70" i="7"/>
  <c r="J36" i="7"/>
  <c r="T68" i="7" l="1"/>
  <c r="P68" i="7"/>
  <c r="R68" i="7" s="1"/>
  <c r="U81" i="7"/>
  <c r="U69" i="7"/>
  <c r="O36" i="7"/>
  <c r="U70" i="7"/>
  <c r="N78" i="7"/>
  <c r="U68" i="7" l="1"/>
  <c r="P36" i="7"/>
  <c r="T36" i="7"/>
  <c r="P78" i="7"/>
  <c r="R36" i="7" l="1"/>
  <c r="R78" i="7"/>
  <c r="U36" i="7" l="1"/>
  <c r="U78" i="7"/>
  <c r="BR26" i="6"/>
  <c r="K20" i="7" s="1"/>
  <c r="BR16" i="6"/>
  <c r="L39" i="7" s="1"/>
  <c r="BH26" i="6" l="1"/>
  <c r="I20" i="7" s="1"/>
  <c r="BH16" i="6"/>
  <c r="J39" i="7" s="1"/>
  <c r="P73" i="7" l="1"/>
  <c r="T73" i="7" l="1"/>
  <c r="O25" i="10" s="1"/>
  <c r="U73" i="7" l="1"/>
  <c r="R73" i="7"/>
  <c r="R57" i="7" l="1"/>
  <c r="U57" i="7" l="1"/>
  <c r="T57" i="7"/>
  <c r="P22" i="10" l="1"/>
  <c r="E26" i="10" l="1"/>
  <c r="R58" i="7" l="1"/>
  <c r="P58" i="7"/>
  <c r="P80" i="7" l="1"/>
  <c r="R80" i="7" s="1"/>
  <c r="U80" i="7" l="1"/>
  <c r="B2" i="6" l="1"/>
  <c r="P44" i="10" l="1"/>
  <c r="P79" i="7" l="1"/>
  <c r="P105" i="7" s="1"/>
  <c r="R79" i="7" l="1"/>
  <c r="U79" i="7" l="1"/>
  <c r="R105" i="7"/>
  <c r="R106" i="7" s="1"/>
  <c r="T58" i="7"/>
  <c r="O21" i="10" s="1"/>
  <c r="U58" i="7" l="1"/>
  <c r="T105" i="7" l="1"/>
  <c r="T106" i="7" s="1"/>
  <c r="N20" i="7" l="1"/>
  <c r="T20" i="7" s="1"/>
  <c r="T34" i="7" s="1"/>
  <c r="C2" i="11"/>
  <c r="P26" i="10" l="1"/>
  <c r="N46" i="7" l="1"/>
  <c r="P106" i="7" l="1"/>
  <c r="C1" i="11" l="1"/>
  <c r="P43" i="10" l="1"/>
  <c r="P42" i="10"/>
  <c r="P41" i="10"/>
  <c r="P47" i="10" l="1"/>
  <c r="P51" i="10"/>
  <c r="P53" i="10" s="1"/>
  <c r="P27" i="10"/>
  <c r="P25" i="10"/>
  <c r="C3" i="11"/>
  <c r="P12" i="11"/>
  <c r="R12" i="11"/>
  <c r="U12" i="11"/>
  <c r="T12" i="11"/>
  <c r="O16" i="10" s="1"/>
  <c r="P16" i="10" s="1"/>
  <c r="E21" i="10" l="1"/>
  <c r="E20" i="10"/>
  <c r="E19" i="10"/>
  <c r="B9" i="10"/>
  <c r="B7" i="10"/>
  <c r="P46" i="7" l="1"/>
  <c r="R46" i="7" s="1"/>
  <c r="B8" i="10" l="1"/>
  <c r="B4" i="6" l="1"/>
  <c r="B3" i="6"/>
  <c r="P19" i="10" l="1"/>
  <c r="U105" i="7" l="1"/>
  <c r="U106" i="7" s="1"/>
  <c r="P20" i="7" l="1"/>
  <c r="P34" i="7" s="1"/>
  <c r="R20" i="7" l="1"/>
  <c r="R34" i="7" s="1"/>
  <c r="U20" i="7" l="1"/>
  <c r="U34" i="7" s="1"/>
  <c r="P21" i="10" l="1"/>
  <c r="O39" i="7" l="1"/>
  <c r="T39" i="7" s="1"/>
  <c r="S46" i="7" s="1"/>
  <c r="P39" i="7" l="1"/>
  <c r="R39" i="7" l="1"/>
  <c r="P48" i="7"/>
  <c r="P49" i="7" s="1"/>
  <c r="P108" i="7" s="1"/>
  <c r="T46" i="7"/>
  <c r="T48" i="7" s="1"/>
  <c r="R48" i="7" l="1"/>
  <c r="R49" i="7" s="1"/>
  <c r="R108" i="7" s="1"/>
  <c r="U39" i="7"/>
  <c r="M34" i="10"/>
  <c r="U46" i="7"/>
  <c r="T49" i="7"/>
  <c r="T108" i="7" s="1"/>
  <c r="N34" i="10" l="1"/>
  <c r="P34" i="10" s="1"/>
  <c r="M35" i="10"/>
  <c r="N35" i="10" s="1"/>
  <c r="P35" i="10" s="1"/>
  <c r="U48" i="7"/>
  <c r="U49" i="7" s="1"/>
  <c r="U108" i="7" s="1"/>
  <c r="O20" i="10"/>
  <c r="P20" i="10" s="1"/>
  <c r="P29" i="10" s="1"/>
  <c r="P37" i="10" l="1"/>
  <c r="M37" i="10"/>
  <c r="P31" i="10"/>
  <c r="P57" i="10" l="1"/>
  <c r="P61" i="10" s="1"/>
  <c r="P59" i="10" l="1"/>
  <c r="P69" i="10" s="1"/>
</calcChain>
</file>

<file path=xl/sharedStrings.xml><?xml version="1.0" encoding="utf-8"?>
<sst xmlns="http://schemas.openxmlformats.org/spreadsheetml/2006/main" count="747" uniqueCount="282">
  <si>
    <t>Labor Rate:</t>
  </si>
  <si>
    <t>Per Hour</t>
  </si>
  <si>
    <t>Source:</t>
  </si>
  <si>
    <t>Total Labor Hrs</t>
  </si>
  <si>
    <t>Labor Hours</t>
  </si>
  <si>
    <t>Material Pricing</t>
  </si>
  <si>
    <t>Total</t>
  </si>
  <si>
    <t>REFERENCE</t>
  </si>
  <si>
    <t>Item No.</t>
  </si>
  <si>
    <t>Description</t>
  </si>
  <si>
    <t>Qty</t>
  </si>
  <si>
    <t>Lin. Ft.</t>
  </si>
  <si>
    <t>LABOR HOURS</t>
  </si>
  <si>
    <t>A.1</t>
  </si>
  <si>
    <t>A.2</t>
  </si>
  <si>
    <t>TOTAL</t>
  </si>
  <si>
    <t>1ST FLOOR</t>
  </si>
  <si>
    <t>2ND FLOOR</t>
  </si>
  <si>
    <t>Total Material Pricing</t>
  </si>
  <si>
    <t>Total Labor Cost</t>
  </si>
  <si>
    <t>MAIN BUILDING ELECTRICAL WORKS</t>
  </si>
  <si>
    <t>POWER SYSTEM</t>
  </si>
  <si>
    <t>Wires</t>
  </si>
  <si>
    <t>Boxes and Wiring Devices</t>
  </si>
  <si>
    <t>LIGHTING SYSTEM</t>
  </si>
  <si>
    <t>Conduit</t>
  </si>
  <si>
    <t>A.3</t>
  </si>
  <si>
    <t>Electrical</t>
  </si>
  <si>
    <t>DESCRIPTION OF WORK</t>
  </si>
  <si>
    <t>UNIT</t>
  </si>
  <si>
    <t>TOTAL (Power)</t>
  </si>
  <si>
    <t>DEVICE DROP</t>
  </si>
  <si>
    <t>TERMINATION</t>
  </si>
  <si>
    <t>PANELBOARD DROP</t>
  </si>
  <si>
    <t>SERVICE WIRE LOOP</t>
  </si>
  <si>
    <t>ft</t>
  </si>
  <si>
    <t>ea</t>
  </si>
  <si>
    <t>A.5</t>
  </si>
  <si>
    <t>NECA</t>
  </si>
  <si>
    <t>`</t>
  </si>
  <si>
    <t>Panelboards and Equipments</t>
  </si>
  <si>
    <t>EXTERIOR ELECTRICAL WORKS</t>
  </si>
  <si>
    <t>EXTERIOR ELECTRICAL WORKS TOTAL</t>
  </si>
  <si>
    <t>Lighting Fixtures and Lighting Controls</t>
  </si>
  <si>
    <t>Junction Box</t>
  </si>
  <si>
    <t>Exterior Electrical Works</t>
  </si>
  <si>
    <r>
      <t xml:space="preserve">EXTERIOR ELECTRICAL WORKS </t>
    </r>
    <r>
      <rPr>
        <b/>
        <sz val="10"/>
        <color rgb="FFFF0000"/>
        <rFont val="Calibri"/>
        <family val="2"/>
        <scheme val="minor"/>
      </rPr>
      <t>(NOT IN SCOPE)</t>
    </r>
  </si>
  <si>
    <t>PROJECT PROPOSAL</t>
  </si>
  <si>
    <t>ITEM</t>
  </si>
  <si>
    <t>DESCRIPTION</t>
  </si>
  <si>
    <t>QUANTITY</t>
  </si>
  <si>
    <t>UOM</t>
  </si>
  <si>
    <t>TOTAL MATERIAL (US$)</t>
  </si>
  <si>
    <t>TOTAL LABOUR (US$)</t>
  </si>
  <si>
    <t>TOTAL AMOUNT(US$)</t>
  </si>
  <si>
    <t>I.</t>
  </si>
  <si>
    <t>A.</t>
    <phoneticPr fontId="1" type="noConversion"/>
  </si>
  <si>
    <t>lot</t>
  </si>
  <si>
    <t>III.</t>
  </si>
  <si>
    <t>II.</t>
  </si>
  <si>
    <t>IV.</t>
  </si>
  <si>
    <t>Added Description</t>
  </si>
  <si>
    <t>CONTRACTOR</t>
  </si>
  <si>
    <t>CLIENT / VENDOR</t>
  </si>
  <si>
    <t>PROVIDE</t>
  </si>
  <si>
    <t>INSTALL</t>
  </si>
  <si>
    <t>X</t>
  </si>
  <si>
    <t>Conduit Fittings, support and Wire connectors</t>
  </si>
  <si>
    <t>ELECTRICAL WORKS</t>
  </si>
  <si>
    <t>MATERIAL (NON-QUOTED)</t>
  </si>
  <si>
    <t>COMPANY OVERHEAD (10% OF TOTAL DIRECT COST)</t>
  </si>
  <si>
    <t>COMPANY PROFIT (15% OF TOTAL DIRECT COST)</t>
  </si>
  <si>
    <t>B.</t>
  </si>
  <si>
    <t>MATERIAL (QUOTED)</t>
  </si>
  <si>
    <t>Conduit and Wires (For Lighting and Small Power)</t>
  </si>
  <si>
    <t>MATERIALS</t>
  </si>
  <si>
    <t>TOTAL MATERIAL COST</t>
  </si>
  <si>
    <t>LABOR</t>
  </si>
  <si>
    <t>Scissor Lifts</t>
  </si>
  <si>
    <t>Title 24</t>
  </si>
  <si>
    <t>Temp Power/Lighting</t>
  </si>
  <si>
    <t>C.</t>
  </si>
  <si>
    <t>V.</t>
  </si>
  <si>
    <t>VI.</t>
  </si>
  <si>
    <t>VII.</t>
  </si>
  <si>
    <t>VIII.</t>
  </si>
  <si>
    <t>IX.</t>
  </si>
  <si>
    <t>X.</t>
  </si>
  <si>
    <t>D.</t>
  </si>
  <si>
    <t>SALES TAX (9.5% of A + B + C)</t>
  </si>
  <si>
    <t>DIRECT JOB EXPENSES</t>
  </si>
  <si>
    <t>TOTAL JOB EXPENSES</t>
  </si>
  <si>
    <t>BONDS, if any</t>
  </si>
  <si>
    <t>CONTINGENCY, if any</t>
  </si>
  <si>
    <t>BID ALTERNATES, if any</t>
  </si>
  <si>
    <t>MISCELLANEOUS</t>
  </si>
  <si>
    <t>TOTAL MISCELLANEOUS</t>
  </si>
  <si>
    <t>XI.</t>
  </si>
  <si>
    <t>Direct Labor</t>
  </si>
  <si>
    <t>XII.</t>
  </si>
  <si>
    <t>Others</t>
  </si>
  <si>
    <t>Power Supply for Lighting and Small Power</t>
  </si>
  <si>
    <t>Power Supply for Lighting and Small Power Total</t>
  </si>
  <si>
    <t>Low Voltage System Total</t>
  </si>
  <si>
    <t>TOTAL LABOR HOURS AND LABOR COST</t>
  </si>
  <si>
    <t>Non Productive Labor (20% of Direct Labor)</t>
  </si>
  <si>
    <t>equipment month</t>
  </si>
  <si>
    <t>Excavation Equipment (if needed)</t>
  </si>
  <si>
    <t>SUBCONTRACTS, if any</t>
  </si>
  <si>
    <t>DIRECT COST (I + II + III + IV + V)</t>
  </si>
  <si>
    <t>FINAL BID PRICE (VI + VII + VIII + IX + X + XI)</t>
  </si>
  <si>
    <t>SITE WORKS (not in scope)</t>
  </si>
  <si>
    <t>Lighting Fixtures</t>
  </si>
  <si>
    <t>Wiring Devices (Power Receptacles, Etc. includes boxes)</t>
  </si>
  <si>
    <t>Boards and Equipments</t>
  </si>
  <si>
    <t>ROOF PLAN</t>
  </si>
  <si>
    <t>TOTAL (LOW VOLTAGE)</t>
  </si>
  <si>
    <t>BOARD DROP</t>
  </si>
  <si>
    <t>Conduit and Wires</t>
  </si>
  <si>
    <t>ROOF</t>
  </si>
  <si>
    <t>Testing and Commissioning</t>
  </si>
  <si>
    <t>Demolition, Safe-Off (if needed)</t>
  </si>
  <si>
    <t>TOTAL (Feeder)</t>
  </si>
  <si>
    <t>FIRST FLOOR</t>
  </si>
  <si>
    <t>Boxes and Devices</t>
  </si>
  <si>
    <t>Conduit, Wires, Boxes, and Devices</t>
  </si>
  <si>
    <t>TOTAL (Lighting)
FIRST FLOOR</t>
  </si>
  <si>
    <t>Copper Wire, 2#12 AWG + 1#12G AWG</t>
  </si>
  <si>
    <t>Lighting Fixtures, Controls and Panelboards/Switchgears</t>
  </si>
  <si>
    <t xml:space="preserve">Lighting Fixtures, Controls and Panelboards/Switchgears </t>
  </si>
  <si>
    <t xml:space="preserve">Proposal Date: </t>
  </si>
  <si>
    <t>--------</t>
  </si>
  <si>
    <t>https://www.ebay.com/itm/226549530809?_skw=metal+electrical+junction+box&amp;itmmeta=01JVXRDW8S6A1GBJS5YHDZN1A2&amp;hash=item34bf6780b9:g:9GMAAOSwUZtniYw4&amp;itmprp=enc%3AAQAKAAABAFkggFvd1GGDu0w3yXCmi1fROv%2BanpVGQjrQrSpomIortIIFIs66dmyO0ZmiJAyOW2V0mBGWtA9F%2Fhcp4z9oxC9VtnupjwGVYI1SUM%2Fegq%2B7SpEIClT4M%2BjFaW2JbQhEu9nJBWoHs3IcCNJ323a5%2FOnNpEovt6ypfk%2FtE4dlbXv342OKyjtRz%2BG2AQVzXAv7zFqWDW7MSkr3LhssVvk8dkDFJy%2B%2B5Cd3CKrCyiRF65TXZITGP8QUMmPLcI5hf458hqojJPiigiBwE9oukqkFkBCO1dA0MiG4gylbi1K8gdk2kDyQGV5j3py4u4QSHKGbe83V8WzHNE0fHgZZ%2BaBttJQ%3D%7Ctkp%3ABk9SR8rEt7jfZQ</t>
  </si>
  <si>
    <t>Feeder Wires and Conduit</t>
  </si>
  <si>
    <t>Feeders Total</t>
  </si>
  <si>
    <t>Ckt #: 5</t>
  </si>
  <si>
    <t xml:space="preserve">FIRST FLOOR </t>
  </si>
  <si>
    <t xml:space="preserve">C.O. </t>
  </si>
  <si>
    <t>Ckt #: 14</t>
  </si>
  <si>
    <t>Copper Wire, 3#12 AWG + 1#12G AWG</t>
  </si>
  <si>
    <t>Ckt #: 25</t>
  </si>
  <si>
    <t>Ckt #: 29</t>
  </si>
  <si>
    <t>Ckt #: 4</t>
  </si>
  <si>
    <t>Ckt #: 6</t>
  </si>
  <si>
    <t>Ckt #: 8</t>
  </si>
  <si>
    <t>Ckt #: 9</t>
  </si>
  <si>
    <t>Ckt #: 10</t>
  </si>
  <si>
    <t>Ckt #: 11</t>
  </si>
  <si>
    <t>Ckt #: 12</t>
  </si>
  <si>
    <t>Ckt #: 13</t>
  </si>
  <si>
    <t>Ckt #: 15</t>
  </si>
  <si>
    <t>Ckt #: 16</t>
  </si>
  <si>
    <t>Ckt #: 7</t>
  </si>
  <si>
    <t>Ckt #: 23</t>
  </si>
  <si>
    <t>Ckt #: 17</t>
  </si>
  <si>
    <t>Ckt #: 19</t>
  </si>
  <si>
    <t>Ckt #: 20</t>
  </si>
  <si>
    <t>Ckt #: 21</t>
  </si>
  <si>
    <t>Ckt #: 22</t>
  </si>
  <si>
    <t>Ckt #: 32</t>
  </si>
  <si>
    <t>Ckt #: 18</t>
  </si>
  <si>
    <t>Ckt #: 27</t>
  </si>
  <si>
    <t>Ckt #: 8,10,12</t>
  </si>
  <si>
    <t>https://www.se.com/us/en/product/VH321NRB/safety-switch-visipact-heavy-duty-fused-viewing-window-nema-3r-240v-30a-3-pole-neutral-installed/?range=7273-heavy-duty-safety-switches&amp;selectedNodeId=12144223672</t>
  </si>
  <si>
    <t>Branches:</t>
  </si>
  <si>
    <t>assy</t>
  </si>
  <si>
    <t>1" EMT Conduit</t>
  </si>
  <si>
    <t>1-1/4" EMT Conduit</t>
  </si>
  <si>
    <t>Ckt #: 2,4,6</t>
  </si>
  <si>
    <t xml:space="preserve">FEEDER </t>
  </si>
  <si>
    <t>3/4" EMT Conduit</t>
  </si>
  <si>
    <t>Feeders</t>
  </si>
  <si>
    <t>Low Voltage System</t>
  </si>
  <si>
    <t xml:space="preserve">Conduit Fittings and Support </t>
  </si>
  <si>
    <t>LOW VOLTAGE SYSTEM</t>
  </si>
  <si>
    <t>Ckt #: 38</t>
  </si>
  <si>
    <t>Ckt #: 40</t>
  </si>
  <si>
    <t>Ckt #: 42</t>
  </si>
  <si>
    <t>Ckt #: 1</t>
  </si>
  <si>
    <t>Ckt #: 3</t>
  </si>
  <si>
    <t>1/2" EMT Conduit</t>
  </si>
  <si>
    <t>Ckt #: 7,9</t>
  </si>
  <si>
    <t>Copper Wire, 2#10 AWG + 1#10G AWG</t>
  </si>
  <si>
    <t>Ckt #: 11,13</t>
  </si>
  <si>
    <t>Copper Wire, 3#8 AWG + 1#10G AWG</t>
  </si>
  <si>
    <t>Ckt #: 24,26</t>
  </si>
  <si>
    <t>Ckt #: 28,30</t>
  </si>
  <si>
    <t>Ckt #: 34</t>
  </si>
  <si>
    <t>Ckt #: 36</t>
  </si>
  <si>
    <t>Ckt #: 2</t>
  </si>
  <si>
    <t>Ckt #: 23,25</t>
  </si>
  <si>
    <t>J-BOX</t>
  </si>
  <si>
    <t>Ckt #: 29,31</t>
  </si>
  <si>
    <t>Copper Wire, 2#8 AWG + 1#10G AWG</t>
  </si>
  <si>
    <t>Ckt #: 37,39</t>
  </si>
  <si>
    <t>Ckt #: 41</t>
  </si>
  <si>
    <r>
      <t xml:space="preserve">Panel Name: PANEL " A " (EXISTING) - </t>
    </r>
    <r>
      <rPr>
        <b/>
        <sz val="12"/>
        <color rgb="FFC00000"/>
        <rFont val="Arial Narrow"/>
        <family val="2"/>
      </rPr>
      <t>SHEET#: 003</t>
    </r>
  </si>
  <si>
    <t>Dis. Switch</t>
  </si>
  <si>
    <t>Junction Box, Weatherproof</t>
  </si>
  <si>
    <t>Copper Wire, 3#4 AWG + 1#10G AWG</t>
  </si>
  <si>
    <t>Ckt #: 14,16,18</t>
  </si>
  <si>
    <t>Copper Wire, 3#10 AWG + 1#10G AWG</t>
  </si>
  <si>
    <t>Ckt #: 10,12</t>
  </si>
  <si>
    <t>https://www.ebay.com/itm/305603188973?_skw=MOTION+SENSOR+SWITCH%2C+UNIT+SHALL+INCLUDE+MANUAL+ON%2FOFF+INTEGRAL+TO+SENSOR+UNIT%2C+WITH+POWERPACK%2C+WALL+MTD.&amp;itmmeta=01K8YW5GAS09715MMX1DAX3MNB&amp;hash=item47275e98ed:g:JsgAAOSwolZlgxfH&amp;itmprp=enc%3AAQAKAAABMFkggFvd1GGDu0w3yXCmi1c5PrZH9o2u20BnqrU9Zf5XZrCI63qMGBPSJyTe6r6bV932YEy6qWMCLF7X3jU27rdS2Z0PTSOczeVVyC7zaD%2Buo2zWUYveS3bmLzNF07StqxxyEb3Q4PE2n5AxGw%2FLcecdzu3GePYb3o0f4SURXsjax22qPONEuTIQJqnpItYIO0o8jHznPmzLhuS%2FYY%2FjswN4%2B51vYmzCdQx%2Bmh7iDZOPze07Ow0R24kX1S7gNFE1ISoXJdyESBtGh3WqI5XuYZAJt4Amuo37tKc%2FLTClalQl75Jw73T%2FLuUhZE%2FfIBSZHFBV%2FyImtrDq7S%2BNisebZehtSn5tpkXhQygKf2Xrd9vDagRocDRNt8URazDiUG3AGqUKz6zTocxU2w4OSwHoCuE%3D%7Ctkp%3ABk9SR8CFltzHZg</t>
  </si>
  <si>
    <t>https://www.ebay.com/itm/397021260933?_skw=DIMMER+SWITCH%2C+WALL+MTD.&amp;itmmeta=01K8YWH0K0SXBWQ1CTCQZCPC2R&amp;hash=item5c704fac85:g:ofcAAeSwRNJouG5I&amp;itmprp=enc%3AAQAKAAAA8FkggFvd1GGDu0w3yXCmi1fFGGYh32G7yZ1Kym2GQPAooift9NOfoQp3iquGwcwakUANKT07oyYAwwkPlXfYrgWFbpZRShM877qhsdeWewyH4r91eSF2P1RDaT0WCRUQGLrX4NNn3PlI9B0XmnbNAfbcemf2hCbs6SP3jkEsvL%2BUTW18Vdh%2Fh%2FoslbaF%2B39n8dz%2FqgWPLCbowOgZh07bMDF8d1h2l%2BKNqV7VQVjpA6lQRQsY6ZPicScfaQvPRT4rRlrDGQJkTMShruMjsRA3eS1DhoWjyg604w3w4iKTBE1rTEl7Khu3cwEUniH51i86Dg%3D%3D%7Ctkp%3ABFBM0InE3Mdm</t>
  </si>
  <si>
    <t>https://www.ebay.com/itm/355619900469?_skw=24VDC+DRIVER&amp;itmmeta=01K8YWXFDNSDK07F1F0PKQG1YZ&amp;hash=item52cc990c35:g:tqAAAOSwTP1mFWG3&amp;itmprp=enc%3AAQAKAAAA4FkggFvd1GGDu0w3yXCmi1cb0p2QHLfe6FlkI6bSLk%2FuAULcA%2FMHiEX5Zpavn4o3XeIOfJ1in355Abbirc2tYnkd%2B7fNFOjLkGzy4%2BY62TbREb%2Flp0QKfqTjOAa7wv1ZP51gmeJOXD8l1YxovG3D9%2FFRkXpEVSLfkjq2j827S4ve8q5sixQXNp4GmOUnb26h1ilSluNhCaKQRxcSP4n8y7sQsFPbEQ12H2JUe9yoF2McJDNvH77g86J%2BlpfKC08lePYdGO5roqEsvzuug%2BxiTXi56LIQE24I4OgtMG95zOm9%7Ctkp%3ABFBMgvf13Mdm</t>
  </si>
  <si>
    <t>SPEAKER GRILLE RECESSED - BLACK</t>
  </si>
  <si>
    <t>DIGITAL TEMPERATURE SENSOR</t>
  </si>
  <si>
    <t>SPEAKER PENDANT MOUNTED - BLACK</t>
  </si>
  <si>
    <t>MENU BOARD- DIGITAL MENU BOARD</t>
  </si>
  <si>
    <t xml:space="preserve"> MENU BOARD- DIGITAL MENU DISPLAY</t>
  </si>
  <si>
    <t>AMPLIFIER- 60W</t>
  </si>
  <si>
    <t>MUSIC SYSTEM</t>
  </si>
  <si>
    <t>Plan Date: 8/27/2025</t>
  </si>
  <si>
    <t>C.O. + Dis. Switch</t>
  </si>
  <si>
    <t xml:space="preserve">Panel " C " (NEW) to Panel " A " (EXISTING) </t>
  </si>
  <si>
    <t>Project Name: University Park Village (Starbucks 6212)</t>
  </si>
  <si>
    <t>Address: 1620 S University Dr, Fort Worth, TX 76107</t>
  </si>
  <si>
    <t>Disconnect Switch, 80A, 3P, in NEMA 3R Enclosure</t>
  </si>
  <si>
    <t>Disconnect Switch, 50A, 3P, in NEMA 3R Enclosure</t>
  </si>
  <si>
    <t>Disconnect Switch, 30A, 3P, in NEMA 3R Enclosure</t>
  </si>
  <si>
    <t>Disconnect Switch, 30A, 2P, in NEMA 3R Enclosure</t>
  </si>
  <si>
    <t>Panel " C ", 100A MLO, 120/208V, 3P, 4W, 10KAIC, Surface Mtd., in NEMA 1 Enclosure</t>
  </si>
  <si>
    <t>Panel: "A"</t>
  </si>
  <si>
    <t>Panel: "B"</t>
  </si>
  <si>
    <t>Panel: "C"</t>
  </si>
  <si>
    <t>Type " 19045 ", LED Exit Sign with Emergency Light</t>
  </si>
  <si>
    <t>Type " 19047 ", LED Exit Sign with Emergency Light</t>
  </si>
  <si>
    <t>Type " 19056 ", LED Emergency Light</t>
  </si>
  <si>
    <t>Type " 21769 ", Recessed Can Light</t>
  </si>
  <si>
    <t>Type " 21769 ", Recessed Can Light with Emergency Lighting Inverter</t>
  </si>
  <si>
    <t>Type " 21771 ", Recessed Can Light</t>
  </si>
  <si>
    <t>Type " 21772 ", Recessed Can Light</t>
  </si>
  <si>
    <t>Type " 21772 ", Recessed Can Light with Emergency Lighting Inverter</t>
  </si>
  <si>
    <t>Type " 20749 ", Wall Sconce</t>
  </si>
  <si>
    <t>Type " 20750 ", Wall Sconce</t>
  </si>
  <si>
    <t>Type " X0501 ", Wall Sconce</t>
  </si>
  <si>
    <t>Type " 17796 ", LED String Light @ 10'-9''</t>
  </si>
  <si>
    <t>Type " 17796 ", LED String Light @ 16'-6''</t>
  </si>
  <si>
    <t>Type " 21781 ", LED Tape Grazer @ 4'</t>
  </si>
  <si>
    <t>Type " 21781 ", LED Tape Grazer @ 6'-6"</t>
  </si>
  <si>
    <t>Type " 21781 ", LED Tape Grazer @ 12'-6"</t>
  </si>
  <si>
    <t>Type " 21782 ", LED Tape Light @ 12'-6"</t>
  </si>
  <si>
    <t>Type " 22217 ", LED Tape Flexible @ 6'-6"</t>
  </si>
  <si>
    <t>Type " 22217 ", LED Tape Flexible @ 13'-9"</t>
  </si>
  <si>
    <t>Type " 12947 ", 8' LED Track with connectors</t>
  </si>
  <si>
    <t>Type " 21777 ", LED Fixture with Snoot</t>
  </si>
  <si>
    <t>Type " 21779 ", LED Fixture with Snoot</t>
  </si>
  <si>
    <t>Type " X1060 ", 0.5A Current Limiter</t>
  </si>
  <si>
    <t>Type " X1120 ", 1A Current Limiter</t>
  </si>
  <si>
    <t>Type " X1240 ", 2A Current Limiter</t>
  </si>
  <si>
    <t>Type " 21783 " - Recessed LED Trofer</t>
  </si>
  <si>
    <t>24VDC Drive for LED Strip Light</t>
  </si>
  <si>
    <t>Wall Motion Sensor</t>
  </si>
  <si>
    <t>Switchbank complete with 9-Dimmer Switch</t>
  </si>
  <si>
    <t>Duplex Receptacle, GFCI Type WP</t>
  </si>
  <si>
    <t>"Owner Supplied"</t>
  </si>
  <si>
    <t>SUPPLY &amp; INSTALLATION OR INSTALLATION ONLY OF LIGHTING FIXTURES, EQUIPMENT, WIRING DEVICES ETC. FOR POWER, LIGHTING AND LOW VOLTAGE</t>
  </si>
  <si>
    <t xml:space="preserve">               1 - 15A, 2P, Circuit Breaker</t>
  </si>
  <si>
    <t xml:space="preserve">             18 - 20A, 1P, Circuit Breaker</t>
  </si>
  <si>
    <t xml:space="preserve">               3 - 15A, 1P, Circuit Breaker</t>
  </si>
  <si>
    <t xml:space="preserve">             19 - Space</t>
  </si>
  <si>
    <t>Copper Wire, 1#3 AWG</t>
  </si>
  <si>
    <t>Copper Wire, 1#8G AWG</t>
  </si>
  <si>
    <t>Duplex Receptacle</t>
  </si>
  <si>
    <t>Duplex Dedicated Receptacle</t>
  </si>
  <si>
    <t>Quadruplex Receptacle</t>
  </si>
  <si>
    <t>Duplex Receptacle, with Surge Protection Device</t>
  </si>
  <si>
    <t>Special Purpose Receptacle, NEMA 6-50R</t>
  </si>
  <si>
    <t>Special Purpose Receptacle, NEMA 5-15R</t>
  </si>
  <si>
    <t>Special Purpose Receptacle, NEMA 14-50R</t>
  </si>
  <si>
    <t>Special Purpose Receptacle, NEMA 6-30R</t>
  </si>
  <si>
    <t>Duplex Receptacle, Floor Mounted</t>
  </si>
  <si>
    <t>LeGrand Plugmold (MODEL#: BK20GB509TRUAC)</t>
  </si>
  <si>
    <t>https://www.fergusonhome.com/legrand-20gb509truac/s2057263?srsltid=AfmBOoqJXTpd5-ZjDsxTNyuVEugW0DsiyVGCqS0ikTJyKgVWGh5bQuUW</t>
  </si>
  <si>
    <t>https://www.mscdirect.com/product/details/48670590</t>
  </si>
  <si>
    <t>https://www.mscdirect.com/product/details/48670665</t>
  </si>
  <si>
    <t>https://www.mscdirect.com/product/details/60512597</t>
  </si>
  <si>
    <t>Single gang box with mudring</t>
  </si>
  <si>
    <t>Lighting Fixtures and Lighting Controls (Owner Supplied)</t>
  </si>
  <si>
    <t>GC LEGACY CONSTRUCTION</t>
  </si>
  <si>
    <t>Hauling Equipment (if needed)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</si>
</sst>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\ &quot;EA&quot;"/>
    <numFmt numFmtId="166" formatCode="0\ &quot;LF&quot;"/>
    <numFmt numFmtId="167" formatCode="0\ &quot;FT&quot;"/>
    <numFmt numFmtId="168" formatCode="0.0"/>
    <numFmt numFmtId="169" formatCode="0\ &quot;LOT&quot;"/>
    <numFmt numFmtId="170" formatCode="#,##0.0"/>
    <numFmt numFmtId="171" formatCode="#,##0.0_);\(#,##0.0\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 Narrow"/>
      <family val="2"/>
    </font>
    <font>
      <b/>
      <sz val="12"/>
      <name val="Arial Narrow"/>
      <family val="2"/>
    </font>
    <font>
      <b/>
      <sz val="18"/>
      <name val="Arial Narrow"/>
      <family val="2"/>
    </font>
    <font>
      <sz val="18"/>
      <name val="Arial Narrow"/>
      <family val="2"/>
    </font>
    <font>
      <b/>
      <sz val="12"/>
      <color rgb="FFFF0000"/>
      <name val="Arial Narrow"/>
      <family val="2"/>
    </font>
    <font>
      <sz val="12"/>
      <color rgb="FFFF0000"/>
      <name val="Arial Narrow"/>
      <family val="2"/>
    </font>
    <font>
      <b/>
      <sz val="10"/>
      <name val="Arial Narrow"/>
      <family val="2"/>
    </font>
    <font>
      <b/>
      <sz val="10"/>
      <name val="Arial"/>
      <family val="2"/>
    </font>
    <font>
      <b/>
      <i/>
      <sz val="12"/>
      <name val="Arial Narrow"/>
      <family val="2"/>
    </font>
    <font>
      <sz val="12"/>
      <color theme="1"/>
      <name val="Arial Narrow"/>
      <family val="2"/>
    </font>
    <font>
      <sz val="8"/>
      <name val="Calibri"/>
      <family val="2"/>
      <scheme val="minor"/>
    </font>
    <font>
      <sz val="11"/>
      <name val="Arial"/>
      <family val="2"/>
    </font>
    <font>
      <b/>
      <sz val="22"/>
      <name val="Arial Narrow"/>
      <family val="2"/>
    </font>
    <font>
      <sz val="14"/>
      <name val="Arial Narrow"/>
      <family val="2"/>
    </font>
    <font>
      <sz val="12"/>
      <name val="CG Omega"/>
      <family val="1"/>
    </font>
    <font>
      <b/>
      <u/>
      <sz val="20"/>
      <name val="Arial Narrow"/>
      <family val="2"/>
    </font>
    <font>
      <b/>
      <u/>
      <sz val="12"/>
      <name val="Arial Narrow"/>
      <family val="2"/>
    </font>
    <font>
      <b/>
      <sz val="11"/>
      <name val="Arial Narrow"/>
      <family val="2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i/>
      <sz val="13"/>
      <name val="Times New Roman"/>
      <family val="1"/>
    </font>
    <font>
      <b/>
      <i/>
      <sz val="12"/>
      <name val="Times New Roman"/>
      <family val="1"/>
    </font>
    <font>
      <sz val="11"/>
      <name val="Times New Roman"/>
      <family val="1"/>
    </font>
    <font>
      <sz val="13"/>
      <name val="Times New Roman"/>
      <family val="1"/>
    </font>
    <font>
      <b/>
      <i/>
      <sz val="11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Arial Narrow"/>
      <family val="2"/>
    </font>
    <font>
      <b/>
      <sz val="12"/>
      <color theme="1"/>
      <name val="Arial Narrow"/>
      <family val="2"/>
    </font>
    <font>
      <sz val="13"/>
      <color theme="1"/>
      <name val="Arial Narrow"/>
      <family val="2"/>
    </font>
    <font>
      <i/>
      <sz val="13"/>
      <color theme="1"/>
      <name val="Arial Narrow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4"/>
      <color theme="1"/>
      <name val="Arial Narrow"/>
      <family val="2"/>
    </font>
    <font>
      <b/>
      <sz val="18"/>
      <color theme="0"/>
      <name val="Arial Narrow"/>
      <family val="2"/>
    </font>
    <font>
      <sz val="12"/>
      <color rgb="FFC00000"/>
      <name val="Arial Narrow"/>
      <family val="2"/>
    </font>
    <font>
      <b/>
      <i/>
      <sz val="12"/>
      <color rgb="FFC00000"/>
      <name val="Arial Narrow"/>
      <family val="2"/>
    </font>
    <font>
      <b/>
      <sz val="12"/>
      <color rgb="FFC00000"/>
      <name val="Arial Narrow"/>
      <family val="2"/>
    </font>
    <font>
      <i/>
      <sz val="10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</fills>
  <borders count="8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2" tint="-0.2499465926084170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theme="2" tint="-0.2499465926084170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3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3" fillId="0" borderId="0" applyNumberFormat="0" applyFill="0" applyBorder="0" applyAlignment="0" applyProtection="0"/>
    <xf numFmtId="0" fontId="7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3" borderId="2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0" fontId="4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" borderId="2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30" fillId="0" borderId="0"/>
    <xf numFmtId="0" fontId="33" fillId="0" borderId="0"/>
  </cellStyleXfs>
  <cellXfs count="488">
    <xf numFmtId="0" fontId="0" fillId="0" borderId="0" xfId="0"/>
    <xf numFmtId="3" fontId="5" fillId="9" borderId="5" xfId="4" applyNumberFormat="1" applyFont="1" applyFill="1" applyBorder="1" applyAlignment="1">
      <alignment horizontal="center" vertical="center"/>
    </xf>
    <xf numFmtId="3" fontId="5" fillId="10" borderId="5" xfId="10" applyNumberFormat="1" applyFont="1" applyFill="1" applyBorder="1" applyAlignment="1">
      <alignment horizontal="center" vertical="center"/>
    </xf>
    <xf numFmtId="3" fontId="6" fillId="0" borderId="5" xfId="11" applyNumberFormat="1" applyFont="1" applyBorder="1" applyAlignment="1">
      <alignment horizontal="left" vertical="center" wrapText="1"/>
    </xf>
    <xf numFmtId="0" fontId="9" fillId="0" borderId="0" xfId="0" applyFont="1"/>
    <xf numFmtId="3" fontId="5" fillId="8" borderId="5" xfId="4" applyNumberFormat="1" applyFont="1" applyFill="1" applyBorder="1" applyAlignment="1">
      <alignment horizontal="center" vertical="center"/>
    </xf>
    <xf numFmtId="3" fontId="6" fillId="8" borderId="5" xfId="0" applyNumberFormat="1" applyFont="1" applyFill="1" applyBorder="1" applyAlignment="1">
      <alignment horizontal="left" vertical="center" wrapText="1"/>
    </xf>
    <xf numFmtId="165" fontId="6" fillId="8" borderId="5" xfId="6" applyNumberFormat="1" applyFont="1" applyFill="1" applyBorder="1" applyAlignment="1">
      <alignment horizontal="center" vertical="center"/>
    </xf>
    <xf numFmtId="166" fontId="6" fillId="8" borderId="5" xfId="1" applyNumberFormat="1" applyFont="1" applyFill="1" applyBorder="1" applyAlignment="1">
      <alignment horizontal="center" vertical="center"/>
    </xf>
    <xf numFmtId="165" fontId="6" fillId="0" borderId="5" xfId="6" applyNumberFormat="1" applyFont="1" applyBorder="1" applyAlignment="1">
      <alignment horizontal="center" vertical="center"/>
    </xf>
    <xf numFmtId="3" fontId="5" fillId="0" borderId="5" xfId="4" applyNumberFormat="1" applyFont="1" applyFill="1" applyBorder="1" applyAlignment="1">
      <alignment horizontal="center" vertical="center"/>
    </xf>
    <xf numFmtId="3" fontId="6" fillId="0" borderId="5" xfId="0" applyNumberFormat="1" applyFont="1" applyBorder="1" applyAlignment="1">
      <alignment horizontal="left" vertical="center" wrapText="1"/>
    </xf>
    <xf numFmtId="166" fontId="6" fillId="0" borderId="5" xfId="1" applyNumberFormat="1" applyFont="1" applyFill="1" applyBorder="1" applyAlignment="1">
      <alignment horizontal="center" vertical="center"/>
    </xf>
    <xf numFmtId="43" fontId="9" fillId="8" borderId="5" xfId="1" applyFont="1" applyFill="1" applyBorder="1" applyAlignment="1">
      <alignment horizontal="center" vertical="center"/>
    </xf>
    <xf numFmtId="44" fontId="10" fillId="8" borderId="5" xfId="2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3" fontId="11" fillId="10" borderId="5" xfId="10" applyNumberFormat="1" applyFont="1" applyFill="1" applyBorder="1" applyAlignment="1">
      <alignment horizontal="center" vertical="center"/>
    </xf>
    <xf numFmtId="3" fontId="9" fillId="0" borderId="5" xfId="11" applyNumberFormat="1" applyFont="1" applyBorder="1" applyAlignment="1">
      <alignment horizontal="left" vertical="center" wrapText="1"/>
    </xf>
    <xf numFmtId="165" fontId="9" fillId="0" borderId="5" xfId="6" applyNumberFormat="1" applyFont="1" applyBorder="1" applyAlignment="1">
      <alignment horizontal="center" vertical="center"/>
    </xf>
    <xf numFmtId="166" fontId="9" fillId="10" borderId="5" xfId="12" applyNumberFormat="1" applyFont="1" applyFill="1" applyBorder="1" applyAlignment="1">
      <alignment horizontal="center" vertical="center"/>
    </xf>
    <xf numFmtId="43" fontId="9" fillId="0" borderId="5" xfId="1" applyFont="1" applyFill="1" applyBorder="1" applyAlignment="1">
      <alignment horizontal="center" vertical="center"/>
    </xf>
    <xf numFmtId="44" fontId="9" fillId="0" borderId="5" xfId="2" applyFont="1" applyFill="1" applyBorder="1" applyAlignment="1">
      <alignment horizontal="center" vertical="center"/>
    </xf>
    <xf numFmtId="44" fontId="9" fillId="10" borderId="5" xfId="2" applyFont="1" applyFill="1" applyBorder="1" applyAlignment="1">
      <alignment horizontal="center" vertical="center"/>
    </xf>
    <xf numFmtId="43" fontId="9" fillId="10" borderId="5" xfId="1" applyFont="1" applyFill="1" applyBorder="1" applyAlignment="1">
      <alignment horizontal="center" vertical="center"/>
    </xf>
    <xf numFmtId="166" fontId="10" fillId="10" borderId="5" xfId="1" applyNumberFormat="1" applyFont="1" applyFill="1" applyBorder="1" applyAlignment="1">
      <alignment horizontal="center" vertical="center"/>
    </xf>
    <xf numFmtId="43" fontId="10" fillId="10" borderId="5" xfId="1" applyFont="1" applyFill="1" applyBorder="1" applyAlignment="1">
      <alignment horizontal="center" vertical="center"/>
    </xf>
    <xf numFmtId="44" fontId="10" fillId="10" borderId="5" xfId="2" applyFont="1" applyFill="1" applyBorder="1" applyAlignment="1">
      <alignment horizontal="center" vertical="center"/>
    </xf>
    <xf numFmtId="44" fontId="10" fillId="0" borderId="5" xfId="2" applyFont="1" applyFill="1" applyBorder="1" applyAlignment="1">
      <alignment horizontal="center" vertical="center"/>
    </xf>
    <xf numFmtId="3" fontId="9" fillId="0" borderId="5" xfId="4" applyNumberFormat="1" applyFont="1" applyFill="1" applyBorder="1" applyAlignment="1">
      <alignment horizontal="left" vertical="center" wrapText="1"/>
    </xf>
    <xf numFmtId="3" fontId="9" fillId="0" borderId="5" xfId="0" applyNumberFormat="1" applyFont="1" applyBorder="1" applyAlignment="1">
      <alignment horizontal="center" vertical="center" wrapText="1"/>
    </xf>
    <xf numFmtId="3" fontId="9" fillId="0" borderId="5" xfId="10" applyNumberFormat="1" applyFont="1" applyFill="1" applyBorder="1" applyAlignment="1">
      <alignment horizontal="left" vertical="center"/>
    </xf>
    <xf numFmtId="3" fontId="11" fillId="9" borderId="5" xfId="4" applyNumberFormat="1" applyFont="1" applyFill="1" applyBorder="1" applyAlignment="1">
      <alignment horizontal="left" vertical="center"/>
    </xf>
    <xf numFmtId="3" fontId="6" fillId="9" borderId="5" xfId="0" applyNumberFormat="1" applyFont="1" applyFill="1" applyBorder="1" applyAlignment="1">
      <alignment horizontal="left" vertical="center" wrapText="1"/>
    </xf>
    <xf numFmtId="3" fontId="6" fillId="9" borderId="5" xfId="0" applyNumberFormat="1" applyFont="1" applyFill="1" applyBorder="1" applyAlignment="1">
      <alignment horizontal="centerContinuous" vertical="center" wrapText="1"/>
    </xf>
    <xf numFmtId="165" fontId="6" fillId="9" borderId="5" xfId="6" applyNumberFormat="1" applyFont="1" applyFill="1" applyBorder="1" applyAlignment="1">
      <alignment horizontal="center" vertical="center"/>
    </xf>
    <xf numFmtId="166" fontId="6" fillId="9" borderId="5" xfId="1" applyNumberFormat="1" applyFont="1" applyFill="1" applyBorder="1" applyAlignment="1">
      <alignment horizontal="center" vertical="center"/>
    </xf>
    <xf numFmtId="43" fontId="9" fillId="9" borderId="5" xfId="1" applyFont="1" applyFill="1" applyBorder="1" applyAlignment="1">
      <alignment horizontal="center" vertical="center"/>
    </xf>
    <xf numFmtId="44" fontId="10" fillId="9" borderId="5" xfId="2" applyFont="1" applyFill="1" applyBorder="1" applyAlignment="1">
      <alignment horizontal="center" vertical="center"/>
    </xf>
    <xf numFmtId="44" fontId="11" fillId="9" borderId="5" xfId="2" applyFont="1" applyFill="1" applyBorder="1" applyAlignment="1">
      <alignment horizontal="center" vertical="center"/>
    </xf>
    <xf numFmtId="3" fontId="11" fillId="0" borderId="5" xfId="0" applyNumberFormat="1" applyFont="1" applyBorder="1" applyAlignment="1">
      <alignment horizontal="left" vertical="center" wrapText="1"/>
    </xf>
    <xf numFmtId="165" fontId="6" fillId="0" borderId="5" xfId="0" applyNumberFormat="1" applyFont="1" applyBorder="1" applyAlignment="1">
      <alignment horizontal="left" vertical="center" wrapText="1"/>
    </xf>
    <xf numFmtId="3" fontId="11" fillId="10" borderId="5" xfId="4" quotePrefix="1" applyNumberFormat="1" applyFont="1" applyFill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 vertical="center" wrapText="1"/>
    </xf>
    <xf numFmtId="0" fontId="10" fillId="0" borderId="0" xfId="0" applyFont="1"/>
    <xf numFmtId="3" fontId="6" fillId="10" borderId="5" xfId="10" applyNumberFormat="1" applyFont="1" applyFill="1" applyBorder="1" applyAlignment="1">
      <alignment horizontal="left" vertical="center"/>
    </xf>
    <xf numFmtId="166" fontId="6" fillId="10" borderId="5" xfId="12" applyNumberFormat="1" applyFont="1" applyFill="1" applyBorder="1" applyAlignment="1">
      <alignment horizontal="center" vertical="center"/>
    </xf>
    <xf numFmtId="43" fontId="9" fillId="0" borderId="0" xfId="12" applyFont="1" applyAlignment="1">
      <alignment horizontal="center" vertical="center"/>
    </xf>
    <xf numFmtId="43" fontId="9" fillId="0" borderId="0" xfId="12" applyFont="1" applyAlignment="1">
      <alignment horizontal="left" vertical="center"/>
    </xf>
    <xf numFmtId="0" fontId="9" fillId="0" borderId="0" xfId="11" applyFont="1"/>
    <xf numFmtId="0" fontId="11" fillId="0" borderId="0" xfId="0" applyFont="1"/>
    <xf numFmtId="0" fontId="9" fillId="4" borderId="0" xfId="0" applyFont="1" applyFill="1"/>
    <xf numFmtId="0" fontId="11" fillId="0" borderId="0" xfId="0" applyFont="1" applyAlignment="1">
      <alignment horizontal="right"/>
    </xf>
    <xf numFmtId="0" fontId="13" fillId="0" borderId="0" xfId="5" applyFont="1"/>
    <xf numFmtId="0" fontId="14" fillId="5" borderId="3" xfId="3" applyFont="1" applyFill="1" applyBorder="1" applyAlignment="1">
      <alignment vertical="center"/>
    </xf>
    <xf numFmtId="0" fontId="14" fillId="5" borderId="4" xfId="3" applyFont="1" applyFill="1" applyBorder="1" applyAlignment="1">
      <alignment vertical="center"/>
    </xf>
    <xf numFmtId="0" fontId="16" fillId="6" borderId="0" xfId="0" applyFont="1" applyFill="1" applyAlignment="1">
      <alignment horizontal="centerContinuous" vertical="center"/>
    </xf>
    <xf numFmtId="0" fontId="16" fillId="6" borderId="0" xfId="0" applyFont="1" applyFill="1" applyAlignment="1">
      <alignment horizontal="left" vertical="center"/>
    </xf>
    <xf numFmtId="0" fontId="16" fillId="6" borderId="0" xfId="0" applyFont="1" applyFill="1" applyAlignment="1">
      <alignment horizontal="center" vertical="center"/>
    </xf>
    <xf numFmtId="3" fontId="5" fillId="7" borderId="5" xfId="4" applyNumberFormat="1" applyFont="1" applyFill="1" applyBorder="1" applyAlignment="1">
      <alignment vertical="center"/>
    </xf>
    <xf numFmtId="3" fontId="5" fillId="7" borderId="5" xfId="4" applyNumberFormat="1" applyFont="1" applyFill="1" applyBorder="1" applyAlignment="1">
      <alignment vertical="center" wrapText="1"/>
    </xf>
    <xf numFmtId="0" fontId="11" fillId="7" borderId="5" xfId="4" applyFont="1" applyFill="1" applyBorder="1" applyAlignment="1">
      <alignment vertical="center" wrapText="1"/>
    </xf>
    <xf numFmtId="3" fontId="12" fillId="7" borderId="5" xfId="4" applyNumberFormat="1" applyFont="1" applyFill="1" applyBorder="1" applyAlignment="1">
      <alignment vertical="center" wrapText="1"/>
    </xf>
    <xf numFmtId="0" fontId="12" fillId="7" borderId="5" xfId="4" applyFont="1" applyFill="1" applyBorder="1" applyAlignment="1">
      <alignment horizontal="center" vertical="center" wrapText="1"/>
    </xf>
    <xf numFmtId="0" fontId="17" fillId="0" borderId="0" xfId="5" applyFont="1" applyAlignment="1">
      <alignment vertical="center"/>
    </xf>
    <xf numFmtId="43" fontId="9" fillId="8" borderId="5" xfId="1" applyFont="1" applyFill="1" applyBorder="1" applyAlignment="1">
      <alignment horizontal="right" vertical="center"/>
    </xf>
    <xf numFmtId="43" fontId="9" fillId="0" borderId="5" xfId="1" applyFont="1" applyFill="1" applyBorder="1" applyAlignment="1">
      <alignment horizontal="right" vertical="center"/>
    </xf>
    <xf numFmtId="43" fontId="9" fillId="10" borderId="5" xfId="1" applyFont="1" applyFill="1" applyBorder="1" applyAlignment="1">
      <alignment horizontal="right" vertical="center"/>
    </xf>
    <xf numFmtId="43" fontId="9" fillId="0" borderId="5" xfId="1" applyFont="1" applyBorder="1" applyAlignment="1">
      <alignment horizontal="center" vertical="center" wrapText="1"/>
    </xf>
    <xf numFmtId="0" fontId="14" fillId="12" borderId="11" xfId="3" applyFont="1" applyFill="1" applyBorder="1" applyAlignment="1">
      <alignment horizontal="center" vertical="center"/>
    </xf>
    <xf numFmtId="167" fontId="9" fillId="0" borderId="5" xfId="0" applyNumberFormat="1" applyFont="1" applyBorder="1" applyAlignment="1">
      <alignment horizontal="center" vertical="center" wrapText="1"/>
    </xf>
    <xf numFmtId="167" fontId="9" fillId="0" borderId="5" xfId="6" applyNumberFormat="1" applyFont="1" applyBorder="1" applyAlignment="1">
      <alignment horizontal="center" vertical="center"/>
    </xf>
    <xf numFmtId="0" fontId="8" fillId="10" borderId="0" xfId="18" applyFill="1"/>
    <xf numFmtId="0" fontId="22" fillId="10" borderId="0" xfId="18" applyFont="1" applyFill="1" applyAlignment="1">
      <alignment horizontal="center" vertical="center"/>
    </xf>
    <xf numFmtId="0" fontId="21" fillId="10" borderId="0" xfId="18" applyFont="1" applyFill="1" applyAlignment="1">
      <alignment horizontal="center" vertical="center"/>
    </xf>
    <xf numFmtId="0" fontId="8" fillId="0" borderId="0" xfId="18"/>
    <xf numFmtId="0" fontId="8" fillId="0" borderId="0" xfId="18" applyAlignment="1">
      <alignment wrapText="1"/>
    </xf>
    <xf numFmtId="0" fontId="19" fillId="10" borderId="0" xfId="18" applyFont="1" applyFill="1" applyAlignment="1">
      <alignment horizontal="center" vertical="center"/>
    </xf>
    <xf numFmtId="0" fontId="20" fillId="10" borderId="0" xfId="18" applyFont="1" applyFill="1" applyAlignment="1">
      <alignment horizontal="center" vertical="center"/>
    </xf>
    <xf numFmtId="0" fontId="24" fillId="10" borderId="0" xfId="18" applyFont="1" applyFill="1" applyAlignment="1">
      <alignment horizontal="center" vertical="center"/>
    </xf>
    <xf numFmtId="0" fontId="23" fillId="10" borderId="0" xfId="18" applyFont="1" applyFill="1" applyAlignment="1">
      <alignment horizontal="center" vertical="center"/>
    </xf>
    <xf numFmtId="0" fontId="26" fillId="10" borderId="0" xfId="18" applyFont="1" applyFill="1"/>
    <xf numFmtId="0" fontId="26" fillId="0" borderId="0" xfId="18" applyFont="1"/>
    <xf numFmtId="0" fontId="19" fillId="0" borderId="18" xfId="18" applyFont="1" applyBorder="1" applyAlignment="1">
      <alignment horizontal="center" vertical="center"/>
    </xf>
    <xf numFmtId="0" fontId="20" fillId="0" borderId="19" xfId="18" applyFont="1" applyBorder="1" applyAlignment="1">
      <alignment horizontal="center" vertical="center"/>
    </xf>
    <xf numFmtId="0" fontId="20" fillId="13" borderId="14" xfId="18" applyFont="1" applyFill="1" applyBorder="1" applyAlignment="1">
      <alignment horizontal="center" vertical="center"/>
    </xf>
    <xf numFmtId="0" fontId="20" fillId="14" borderId="14" xfId="18" applyFont="1" applyFill="1" applyBorder="1" applyAlignment="1">
      <alignment horizontal="center" vertical="center"/>
    </xf>
    <xf numFmtId="0" fontId="19" fillId="14" borderId="14" xfId="18" applyFont="1" applyFill="1" applyBorder="1" applyAlignment="1">
      <alignment horizontal="center" vertical="center"/>
    </xf>
    <xf numFmtId="0" fontId="20" fillId="14" borderId="19" xfId="18" applyFont="1" applyFill="1" applyBorder="1" applyAlignment="1">
      <alignment horizontal="center" vertical="center"/>
    </xf>
    <xf numFmtId="0" fontId="20" fillId="14" borderId="20" xfId="18" applyFont="1" applyFill="1" applyBorder="1" applyAlignment="1">
      <alignment horizontal="center" vertical="center"/>
    </xf>
    <xf numFmtId="43" fontId="28" fillId="10" borderId="14" xfId="18" applyNumberFormat="1" applyFont="1" applyFill="1" applyBorder="1" applyAlignment="1">
      <alignment horizontal="center" vertical="center"/>
    </xf>
    <xf numFmtId="168" fontId="19" fillId="14" borderId="20" xfId="18" applyNumberFormat="1" applyFont="1" applyFill="1" applyBorder="1" applyAlignment="1">
      <alignment horizontal="center" vertical="center"/>
    </xf>
    <xf numFmtId="0" fontId="27" fillId="14" borderId="14" xfId="18" applyFont="1" applyFill="1" applyBorder="1" applyAlignment="1">
      <alignment horizontal="left" vertical="center" wrapText="1"/>
    </xf>
    <xf numFmtId="0" fontId="19" fillId="14" borderId="14" xfId="18" applyFont="1" applyFill="1" applyBorder="1" applyAlignment="1">
      <alignment horizontal="center" vertical="center" wrapText="1"/>
    </xf>
    <xf numFmtId="168" fontId="20" fillId="14" borderId="20" xfId="18" applyNumberFormat="1" applyFont="1" applyFill="1" applyBorder="1" applyAlignment="1">
      <alignment horizontal="center" vertical="center" wrapText="1"/>
    </xf>
    <xf numFmtId="43" fontId="19" fillId="10" borderId="14" xfId="18" applyNumberFormat="1" applyFont="1" applyFill="1" applyBorder="1" applyAlignment="1">
      <alignment horizontal="center" vertical="center"/>
    </xf>
    <xf numFmtId="0" fontId="19" fillId="14" borderId="14" xfId="18" applyFont="1" applyFill="1" applyBorder="1" applyAlignment="1">
      <alignment vertical="center" wrapText="1"/>
    </xf>
    <xf numFmtId="0" fontId="19" fillId="14" borderId="22" xfId="18" applyFont="1" applyFill="1" applyBorder="1" applyAlignment="1">
      <alignment vertical="center" wrapText="1"/>
    </xf>
    <xf numFmtId="0" fontId="20" fillId="14" borderId="23" xfId="18" applyFont="1" applyFill="1" applyBorder="1" applyAlignment="1">
      <alignment vertical="center" wrapText="1"/>
    </xf>
    <xf numFmtId="0" fontId="20" fillId="14" borderId="24" xfId="18" applyFont="1" applyFill="1" applyBorder="1" applyAlignment="1">
      <alignment vertical="center" wrapText="1"/>
    </xf>
    <xf numFmtId="0" fontId="20" fillId="14" borderId="22" xfId="18" applyFont="1" applyFill="1" applyBorder="1" applyAlignment="1">
      <alignment vertical="center" wrapText="1"/>
    </xf>
    <xf numFmtId="0" fontId="19" fillId="10" borderId="0" xfId="18" applyFont="1" applyFill="1"/>
    <xf numFmtId="0" fontId="8" fillId="10" borderId="0" xfId="18" applyFill="1" applyAlignment="1">
      <alignment wrapText="1"/>
    </xf>
    <xf numFmtId="0" fontId="25" fillId="10" borderId="0" xfId="18" applyFont="1" applyFill="1" applyAlignment="1">
      <alignment horizontal="center" vertical="center" wrapText="1"/>
    </xf>
    <xf numFmtId="0" fontId="19" fillId="0" borderId="0" xfId="18" applyFont="1"/>
    <xf numFmtId="0" fontId="19" fillId="0" borderId="0" xfId="18" applyFont="1" applyAlignment="1">
      <alignment horizontal="center" vertical="center"/>
    </xf>
    <xf numFmtId="3" fontId="11" fillId="0" borderId="5" xfId="4" quotePrefix="1" applyNumberFormat="1" applyFont="1" applyFill="1" applyBorder="1" applyAlignment="1">
      <alignment horizontal="center" vertical="center"/>
    </xf>
    <xf numFmtId="0" fontId="17" fillId="0" borderId="0" xfId="5" applyFont="1" applyFill="1" applyAlignment="1">
      <alignment vertical="center"/>
    </xf>
    <xf numFmtId="3" fontId="9" fillId="10" borderId="5" xfId="4" applyNumberFormat="1" applyFont="1" applyFill="1" applyBorder="1" applyAlignment="1">
      <alignment horizontal="left" vertical="center" wrapText="1"/>
    </xf>
    <xf numFmtId="3" fontId="9" fillId="10" borderId="5" xfId="4" applyNumberFormat="1" applyFont="1" applyFill="1" applyBorder="1" applyAlignment="1">
      <alignment horizontal="left" vertical="center" wrapText="1" indent="2"/>
    </xf>
    <xf numFmtId="43" fontId="20" fillId="13" borderId="14" xfId="1" applyFont="1" applyFill="1" applyBorder="1" applyAlignment="1">
      <alignment horizontal="center" vertical="center"/>
    </xf>
    <xf numFmtId="43" fontId="20" fillId="14" borderId="14" xfId="1" applyFont="1" applyFill="1" applyBorder="1" applyAlignment="1">
      <alignment horizontal="center" vertical="center"/>
    </xf>
    <xf numFmtId="43" fontId="20" fillId="14" borderId="14" xfId="1" applyFont="1" applyFill="1" applyBorder="1" applyAlignment="1" applyProtection="1">
      <alignment vertical="center" wrapText="1"/>
    </xf>
    <xf numFmtId="43" fontId="20" fillId="14" borderId="22" xfId="1" applyFont="1" applyFill="1" applyBorder="1" applyAlignment="1" applyProtection="1">
      <alignment vertical="center" wrapText="1"/>
    </xf>
    <xf numFmtId="0" fontId="14" fillId="12" borderId="4" xfId="3" applyFont="1" applyFill="1" applyBorder="1" applyAlignment="1">
      <alignment horizontal="center" vertical="center"/>
    </xf>
    <xf numFmtId="0" fontId="14" fillId="5" borderId="4" xfId="3" applyFont="1" applyFill="1" applyBorder="1" applyAlignment="1">
      <alignment horizontal="center" vertical="center"/>
    </xf>
    <xf numFmtId="3" fontId="11" fillId="0" borderId="6" xfId="0" applyNumberFormat="1" applyFont="1" applyBorder="1" applyAlignment="1">
      <alignment horizontal="left" vertical="center" wrapText="1"/>
    </xf>
    <xf numFmtId="3" fontId="11" fillId="11" borderId="5" xfId="4" applyNumberFormat="1" applyFont="1" applyFill="1" applyBorder="1" applyAlignment="1">
      <alignment horizontal="left" vertical="center"/>
    </xf>
    <xf numFmtId="3" fontId="6" fillId="11" borderId="5" xfId="0" applyNumberFormat="1" applyFont="1" applyFill="1" applyBorder="1" applyAlignment="1">
      <alignment horizontal="centerContinuous" vertical="center" wrapText="1"/>
    </xf>
    <xf numFmtId="165" fontId="6" fillId="11" borderId="5" xfId="6" applyNumberFormat="1" applyFont="1" applyFill="1" applyBorder="1" applyAlignment="1">
      <alignment horizontal="center" vertical="center"/>
    </xf>
    <xf numFmtId="166" fontId="6" fillId="11" borderId="5" xfId="1" applyNumberFormat="1" applyFont="1" applyFill="1" applyBorder="1" applyAlignment="1">
      <alignment horizontal="center" vertical="center"/>
    </xf>
    <xf numFmtId="43" fontId="9" fillId="11" borderId="5" xfId="1" applyFont="1" applyFill="1" applyBorder="1" applyAlignment="1">
      <alignment horizontal="right" vertical="center"/>
    </xf>
    <xf numFmtId="43" fontId="9" fillId="11" borderId="5" xfId="1" applyFont="1" applyFill="1" applyBorder="1" applyAlignment="1">
      <alignment horizontal="center" vertical="center"/>
    </xf>
    <xf numFmtId="44" fontId="9" fillId="11" borderId="5" xfId="2" applyFont="1" applyFill="1" applyBorder="1" applyAlignment="1">
      <alignment horizontal="center" vertical="center"/>
    </xf>
    <xf numFmtId="44" fontId="10" fillId="11" borderId="5" xfId="2" applyFont="1" applyFill="1" applyBorder="1" applyAlignment="1">
      <alignment horizontal="center" vertical="center"/>
    </xf>
    <xf numFmtId="44" fontId="11" fillId="11" borderId="5" xfId="2" applyFont="1" applyFill="1" applyBorder="1" applyAlignment="1">
      <alignment horizontal="center" vertical="center"/>
    </xf>
    <xf numFmtId="44" fontId="6" fillId="0" borderId="5" xfId="2" applyFont="1" applyFill="1" applyBorder="1" applyAlignment="1">
      <alignment horizontal="center" vertical="center"/>
    </xf>
    <xf numFmtId="0" fontId="3" fillId="0" borderId="0" xfId="5" applyAlignment="1">
      <alignment vertical="center"/>
    </xf>
    <xf numFmtId="3" fontId="11" fillId="8" borderId="5" xfId="0" applyNumberFormat="1" applyFont="1" applyFill="1" applyBorder="1" applyAlignment="1">
      <alignment horizontal="right" vertical="center" wrapText="1"/>
    </xf>
    <xf numFmtId="165" fontId="6" fillId="8" borderId="5" xfId="0" applyNumberFormat="1" applyFont="1" applyFill="1" applyBorder="1" applyAlignment="1">
      <alignment horizontal="left" vertical="center" wrapText="1"/>
    </xf>
    <xf numFmtId="44" fontId="11" fillId="8" borderId="5" xfId="2" applyFont="1" applyFill="1" applyBorder="1" applyAlignment="1">
      <alignment horizontal="center" vertical="center"/>
    </xf>
    <xf numFmtId="3" fontId="9" fillId="0" borderId="5" xfId="4" applyNumberFormat="1" applyFont="1" applyFill="1" applyBorder="1" applyAlignment="1">
      <alignment horizontal="left" vertical="center" wrapText="1" indent="2"/>
    </xf>
    <xf numFmtId="166" fontId="10" fillId="0" borderId="5" xfId="1" applyNumberFormat="1" applyFont="1" applyFill="1" applyBorder="1" applyAlignment="1">
      <alignment horizontal="center" vertical="center"/>
    </xf>
    <xf numFmtId="44" fontId="11" fillId="0" borderId="5" xfId="2" applyFont="1" applyFill="1" applyBorder="1" applyAlignment="1">
      <alignment horizontal="center" vertical="center"/>
    </xf>
    <xf numFmtId="43" fontId="11" fillId="11" borderId="5" xfId="1" applyFont="1" applyFill="1" applyBorder="1" applyAlignment="1">
      <alignment horizontal="right" vertical="center"/>
    </xf>
    <xf numFmtId="3" fontId="11" fillId="9" borderId="5" xfId="0" applyNumberFormat="1" applyFont="1" applyFill="1" applyBorder="1" applyAlignment="1">
      <alignment horizontal="left" vertical="center" wrapText="1"/>
    </xf>
    <xf numFmtId="165" fontId="6" fillId="9" borderId="5" xfId="0" applyNumberFormat="1" applyFont="1" applyFill="1" applyBorder="1" applyAlignment="1">
      <alignment horizontal="left" vertical="center" wrapText="1"/>
    </xf>
    <xf numFmtId="0" fontId="3" fillId="0" borderId="0" xfId="5" applyFill="1"/>
    <xf numFmtId="3" fontId="11" fillId="0" borderId="5" xfId="0" applyNumberFormat="1" applyFont="1" applyBorder="1" applyAlignment="1">
      <alignment horizontal="right" vertical="center" wrapText="1"/>
    </xf>
    <xf numFmtId="0" fontId="3" fillId="0" borderId="0" xfId="5"/>
    <xf numFmtId="0" fontId="11" fillId="10" borderId="5" xfId="0" applyFont="1" applyFill="1" applyBorder="1" applyAlignment="1">
      <alignment vertical="center" wrapText="1"/>
    </xf>
    <xf numFmtId="0" fontId="9" fillId="10" borderId="5" xfId="0" applyFont="1" applyFill="1" applyBorder="1"/>
    <xf numFmtId="0" fontId="10" fillId="10" borderId="5" xfId="0" applyFont="1" applyFill="1" applyBorder="1"/>
    <xf numFmtId="0" fontId="11" fillId="10" borderId="5" xfId="0" applyFont="1" applyFill="1" applyBorder="1" applyAlignment="1">
      <alignment horizontal="right"/>
    </xf>
    <xf numFmtId="44" fontId="11" fillId="10" borderId="5" xfId="0" applyNumberFormat="1" applyFont="1" applyFill="1" applyBorder="1"/>
    <xf numFmtId="0" fontId="11" fillId="15" borderId="5" xfId="0" applyFont="1" applyFill="1" applyBorder="1" applyAlignment="1">
      <alignment vertical="center" wrapText="1"/>
    </xf>
    <xf numFmtId="0" fontId="20" fillId="16" borderId="26" xfId="37" applyFont="1" applyFill="1" applyBorder="1" applyAlignment="1">
      <alignment horizontal="centerContinuous" vertical="center"/>
    </xf>
    <xf numFmtId="0" fontId="20" fillId="16" borderId="27" xfId="37" applyFont="1" applyFill="1" applyBorder="1" applyAlignment="1">
      <alignment horizontal="centerContinuous" vertical="center"/>
    </xf>
    <xf numFmtId="0" fontId="20" fillId="16" borderId="28" xfId="37" applyFont="1" applyFill="1" applyBorder="1" applyAlignment="1">
      <alignment horizontal="centerContinuous" vertical="center"/>
    </xf>
    <xf numFmtId="0" fontId="20" fillId="16" borderId="29" xfId="37" applyFont="1" applyFill="1" applyBorder="1" applyAlignment="1">
      <alignment horizontal="centerContinuous" vertical="center"/>
    </xf>
    <xf numFmtId="0" fontId="20" fillId="16" borderId="30" xfId="37" applyFont="1" applyFill="1" applyBorder="1" applyAlignment="1">
      <alignment horizontal="centerContinuous" vertical="center"/>
    </xf>
    <xf numFmtId="0" fontId="20" fillId="16" borderId="31" xfId="37" applyFont="1" applyFill="1" applyBorder="1" applyAlignment="1">
      <alignment horizontal="center" vertical="center"/>
    </xf>
    <xf numFmtId="0" fontId="55" fillId="0" borderId="0" xfId="0" applyFont="1"/>
    <xf numFmtId="0" fontId="0" fillId="0" borderId="0" xfId="0" applyAlignment="1">
      <alignment horizontal="center"/>
    </xf>
    <xf numFmtId="0" fontId="56" fillId="0" borderId="0" xfId="0" applyFont="1"/>
    <xf numFmtId="0" fontId="9" fillId="15" borderId="16" xfId="0" applyFont="1" applyFill="1" applyBorder="1"/>
    <xf numFmtId="0" fontId="14" fillId="5" borderId="54" xfId="3" applyFont="1" applyFill="1" applyBorder="1" applyAlignment="1">
      <alignment horizontal="center" vertical="center"/>
    </xf>
    <xf numFmtId="0" fontId="11" fillId="15" borderId="16" xfId="0" applyFont="1" applyFill="1" applyBorder="1" applyAlignment="1">
      <alignment vertical="center" wrapText="1"/>
    </xf>
    <xf numFmtId="3" fontId="9" fillId="0" borderId="5" xfId="10" applyNumberFormat="1" applyFont="1" applyFill="1" applyBorder="1" applyAlignment="1">
      <alignment horizontal="center" vertical="center"/>
    </xf>
    <xf numFmtId="3" fontId="9" fillId="0" borderId="5" xfId="4" applyNumberFormat="1" applyFont="1" applyFill="1" applyBorder="1" applyAlignment="1">
      <alignment horizontal="center" vertical="center" wrapText="1"/>
    </xf>
    <xf numFmtId="169" fontId="9" fillId="0" borderId="5" xfId="0" applyNumberFormat="1" applyFont="1" applyBorder="1" applyAlignment="1">
      <alignment horizontal="center" vertical="center" wrapText="1"/>
    </xf>
    <xf numFmtId="169" fontId="9" fillId="0" borderId="5" xfId="6" applyNumberFormat="1" applyFont="1" applyBorder="1" applyAlignment="1">
      <alignment horizontal="center" vertical="center"/>
    </xf>
    <xf numFmtId="43" fontId="11" fillId="8" borderId="5" xfId="2" applyNumberFormat="1" applyFont="1" applyFill="1" applyBorder="1" applyAlignment="1">
      <alignment horizontal="center" vertical="center"/>
    </xf>
    <xf numFmtId="43" fontId="11" fillId="9" borderId="5" xfId="2" applyNumberFormat="1" applyFont="1" applyFill="1" applyBorder="1" applyAlignment="1">
      <alignment horizontal="center" vertical="center"/>
    </xf>
    <xf numFmtId="0" fontId="20" fillId="16" borderId="56" xfId="37" applyFont="1" applyFill="1" applyBorder="1" applyAlignment="1">
      <alignment horizontal="left" vertical="center"/>
    </xf>
    <xf numFmtId="0" fontId="38" fillId="10" borderId="38" xfId="37" quotePrefix="1" applyFont="1" applyFill="1" applyBorder="1" applyAlignment="1">
      <alignment horizontal="centerContinuous" vertical="center"/>
    </xf>
    <xf numFmtId="39" fontId="20" fillId="10" borderId="0" xfId="36" applyNumberFormat="1" applyFont="1" applyFill="1" applyAlignment="1">
      <alignment horizontal="center" vertical="center"/>
    </xf>
    <xf numFmtId="39" fontId="20" fillId="10" borderId="0" xfId="36" applyNumberFormat="1" applyFont="1" applyFill="1" applyAlignment="1">
      <alignment vertical="center"/>
    </xf>
    <xf numFmtId="0" fontId="18" fillId="10" borderId="0" xfId="0" applyFont="1" applyFill="1"/>
    <xf numFmtId="0" fontId="0" fillId="10" borderId="0" xfId="0" applyFill="1"/>
    <xf numFmtId="0" fontId="19" fillId="10" borderId="32" xfId="37" applyFont="1" applyFill="1" applyBorder="1" applyAlignment="1">
      <alignment horizontal="centerContinuous" vertical="center"/>
    </xf>
    <xf numFmtId="0" fontId="19" fillId="10" borderId="33" xfId="37" applyFont="1" applyFill="1" applyBorder="1" applyAlignment="1">
      <alignment horizontal="centerContinuous" vertical="center"/>
    </xf>
    <xf numFmtId="0" fontId="35" fillId="10" borderId="34" xfId="37" applyFont="1" applyFill="1" applyBorder="1" applyAlignment="1">
      <alignment vertical="center"/>
    </xf>
    <xf numFmtId="0" fontId="19" fillId="10" borderId="35" xfId="37" applyFont="1" applyFill="1" applyBorder="1" applyAlignment="1">
      <alignment vertical="center"/>
    </xf>
    <xf numFmtId="0" fontId="19" fillId="10" borderId="33" xfId="37" applyFont="1" applyFill="1" applyBorder="1" applyAlignment="1">
      <alignment vertical="center"/>
    </xf>
    <xf numFmtId="0" fontId="19" fillId="10" borderId="36" xfId="37" applyFont="1" applyFill="1" applyBorder="1" applyAlignment="1">
      <alignment horizontal="center" vertical="center"/>
    </xf>
    <xf numFmtId="0" fontId="19" fillId="10" borderId="25" xfId="37" applyFont="1" applyFill="1" applyBorder="1" applyAlignment="1">
      <alignment horizontal="center" vertical="center"/>
    </xf>
    <xf numFmtId="0" fontId="19" fillId="10" borderId="25" xfId="37" applyFont="1" applyFill="1" applyBorder="1" applyAlignment="1">
      <alignment vertical="center"/>
    </xf>
    <xf numFmtId="4" fontId="36" fillId="10" borderId="37" xfId="37" applyNumberFormat="1" applyFont="1" applyFill="1" applyBorder="1" applyAlignment="1">
      <alignment horizontal="right" vertical="center"/>
    </xf>
    <xf numFmtId="0" fontId="37" fillId="10" borderId="38" xfId="37" quotePrefix="1" applyFont="1" applyFill="1" applyBorder="1" applyAlignment="1">
      <alignment horizontal="centerContinuous" vertical="center"/>
    </xf>
    <xf numFmtId="0" fontId="37" fillId="10" borderId="21" xfId="37" applyFont="1" applyFill="1" applyBorder="1" applyAlignment="1">
      <alignment horizontal="centerContinuous" vertical="center"/>
    </xf>
    <xf numFmtId="0" fontId="37" fillId="10" borderId="13" xfId="37" applyFont="1" applyFill="1" applyBorder="1" applyAlignment="1">
      <alignment vertical="center"/>
    </xf>
    <xf numFmtId="4" fontId="39" fillId="10" borderId="21" xfId="37" applyNumberFormat="1" applyFont="1" applyFill="1" applyBorder="1" applyAlignment="1">
      <alignment horizontal="right" vertical="center"/>
    </xf>
    <xf numFmtId="4" fontId="39" fillId="10" borderId="14" xfId="7" applyNumberFormat="1" applyFont="1" applyFill="1" applyBorder="1" applyAlignment="1" applyProtection="1">
      <alignment horizontal="center" vertical="center"/>
    </xf>
    <xf numFmtId="4" fontId="39" fillId="10" borderId="14" xfId="7" applyNumberFormat="1" applyFont="1" applyFill="1" applyBorder="1" applyAlignment="1" applyProtection="1">
      <alignment horizontal="right" vertical="center"/>
    </xf>
    <xf numFmtId="164" fontId="40" fillId="10" borderId="40" xfId="7" applyFont="1" applyFill="1" applyBorder="1" applyAlignment="1" applyProtection="1">
      <alignment horizontal="right" vertical="center"/>
    </xf>
    <xf numFmtId="0" fontId="38" fillId="10" borderId="39" xfId="37" applyFont="1" applyFill="1" applyBorder="1" applyAlignment="1">
      <alignment vertical="center"/>
    </xf>
    <xf numFmtId="168" fontId="38" fillId="10" borderId="13" xfId="37" quotePrefix="1" applyNumberFormat="1" applyFont="1" applyFill="1" applyBorder="1" applyAlignment="1">
      <alignment horizontal="center" vertical="center"/>
    </xf>
    <xf numFmtId="3" fontId="38" fillId="10" borderId="13" xfId="37" applyNumberFormat="1" applyFont="1" applyFill="1" applyBorder="1" applyAlignment="1">
      <alignment horizontal="left" vertical="center"/>
    </xf>
    <xf numFmtId="0" fontId="38" fillId="10" borderId="13" xfId="37" applyFont="1" applyFill="1" applyBorder="1" applyAlignment="1">
      <alignment vertical="center"/>
    </xf>
    <xf numFmtId="0" fontId="38" fillId="10" borderId="13" xfId="37" applyFont="1" applyFill="1" applyBorder="1" applyAlignment="1">
      <alignment horizontal="center" vertical="center"/>
    </xf>
    <xf numFmtId="4" fontId="38" fillId="10" borderId="21" xfId="37" applyNumberFormat="1" applyFont="1" applyFill="1" applyBorder="1" applyAlignment="1">
      <alignment horizontal="right" vertical="center"/>
    </xf>
    <xf numFmtId="4" fontId="38" fillId="10" borderId="14" xfId="7" applyNumberFormat="1" applyFont="1" applyFill="1" applyBorder="1" applyAlignment="1" applyProtection="1">
      <alignment horizontal="center" vertical="center"/>
    </xf>
    <xf numFmtId="4" fontId="38" fillId="10" borderId="14" xfId="7" applyNumberFormat="1" applyFont="1" applyFill="1" applyBorder="1" applyAlignment="1" applyProtection="1">
      <alignment horizontal="right" vertical="center"/>
    </xf>
    <xf numFmtId="0" fontId="41" fillId="10" borderId="38" xfId="37" quotePrefix="1" applyFont="1" applyFill="1" applyBorder="1" applyAlignment="1">
      <alignment horizontal="centerContinuous" vertical="center"/>
    </xf>
    <xf numFmtId="0" fontId="41" fillId="10" borderId="21" xfId="37" applyFont="1" applyFill="1" applyBorder="1" applyAlignment="1">
      <alignment horizontal="centerContinuous" vertical="center"/>
    </xf>
    <xf numFmtId="0" fontId="42" fillId="10" borderId="39" xfId="37" applyFont="1" applyFill="1" applyBorder="1" applyAlignment="1">
      <alignment vertical="center"/>
    </xf>
    <xf numFmtId="168" fontId="39" fillId="10" borderId="13" xfId="37" quotePrefix="1" applyNumberFormat="1" applyFont="1" applyFill="1" applyBorder="1" applyAlignment="1">
      <alignment horizontal="center" vertical="center"/>
    </xf>
    <xf numFmtId="3" fontId="39" fillId="10" borderId="13" xfId="37" applyNumberFormat="1" applyFont="1" applyFill="1" applyBorder="1" applyAlignment="1">
      <alignment horizontal="left" vertical="center"/>
    </xf>
    <xf numFmtId="0" fontId="39" fillId="10" borderId="13" xfId="37" applyFont="1" applyFill="1" applyBorder="1" applyAlignment="1">
      <alignment vertical="center"/>
    </xf>
    <xf numFmtId="0" fontId="39" fillId="10" borderId="13" xfId="37" applyFont="1" applyFill="1" applyBorder="1" applyAlignment="1">
      <alignment horizontal="center" vertical="center"/>
    </xf>
    <xf numFmtId="0" fontId="44" fillId="10" borderId="13" xfId="37" applyFont="1" applyFill="1" applyBorder="1" applyAlignment="1">
      <alignment vertical="center"/>
    </xf>
    <xf numFmtId="164" fontId="39" fillId="10" borderId="14" xfId="1" applyNumberFormat="1" applyFont="1" applyFill="1" applyBorder="1" applyAlignment="1" applyProtection="1">
      <alignment horizontal="right" vertical="center"/>
    </xf>
    <xf numFmtId="164" fontId="39" fillId="10" borderId="40" xfId="7" applyFont="1" applyFill="1" applyBorder="1" applyAlignment="1" applyProtection="1">
      <alignment horizontal="right" vertical="center"/>
    </xf>
    <xf numFmtId="0" fontId="45" fillId="10" borderId="0" xfId="0" applyFont="1" applyFill="1"/>
    <xf numFmtId="168" fontId="43" fillId="10" borderId="13" xfId="37" quotePrefix="1" applyNumberFormat="1" applyFont="1" applyFill="1" applyBorder="1" applyAlignment="1">
      <alignment horizontal="center" vertical="center"/>
    </xf>
    <xf numFmtId="3" fontId="43" fillId="10" borderId="13" xfId="37" applyNumberFormat="1" applyFont="1" applyFill="1" applyBorder="1" applyAlignment="1">
      <alignment horizontal="left" vertical="center"/>
    </xf>
    <xf numFmtId="43" fontId="39" fillId="10" borderId="14" xfId="1" applyFont="1" applyFill="1" applyBorder="1" applyAlignment="1" applyProtection="1">
      <alignment horizontal="right" vertical="center"/>
    </xf>
    <xf numFmtId="164" fontId="38" fillId="10" borderId="40" xfId="7" applyFont="1" applyFill="1" applyBorder="1" applyAlignment="1" applyProtection="1">
      <alignment horizontal="right" vertical="center"/>
    </xf>
    <xf numFmtId="164" fontId="39" fillId="10" borderId="14" xfId="7" applyFont="1" applyFill="1" applyBorder="1" applyAlignment="1" applyProtection="1">
      <alignment horizontal="right" vertical="center"/>
    </xf>
    <xf numFmtId="10" fontId="0" fillId="10" borderId="0" xfId="0" applyNumberFormat="1" applyFill="1"/>
    <xf numFmtId="4" fontId="49" fillId="10" borderId="14" xfId="7" applyNumberFormat="1" applyFont="1" applyFill="1" applyBorder="1" applyAlignment="1" applyProtection="1">
      <alignment horizontal="right" vertical="center"/>
    </xf>
    <xf numFmtId="164" fontId="48" fillId="10" borderId="40" xfId="7" applyFont="1" applyFill="1" applyBorder="1" applyAlignment="1" applyProtection="1">
      <alignment horizontal="right" vertical="center"/>
    </xf>
    <xf numFmtId="9" fontId="0" fillId="10" borderId="0" xfId="0" applyNumberFormat="1" applyFill="1"/>
    <xf numFmtId="0" fontId="20" fillId="10" borderId="0" xfId="37" applyFont="1" applyFill="1" applyAlignment="1">
      <alignment horizontal="left" vertical="center"/>
    </xf>
    <xf numFmtId="0" fontId="39" fillId="10" borderId="38" xfId="37" applyFont="1" applyFill="1" applyBorder="1" applyAlignment="1">
      <alignment horizontal="centerContinuous" vertical="center"/>
    </xf>
    <xf numFmtId="0" fontId="39" fillId="10" borderId="21" xfId="37" applyFont="1" applyFill="1" applyBorder="1" applyAlignment="1">
      <alignment horizontal="centerContinuous" vertical="center"/>
    </xf>
    <xf numFmtId="0" fontId="46" fillId="10" borderId="39" xfId="37" quotePrefix="1" applyFont="1" applyFill="1" applyBorder="1" applyAlignment="1">
      <alignment horizontal="center" vertical="center"/>
    </xf>
    <xf numFmtId="0" fontId="46" fillId="10" borderId="13" xfId="37" applyFont="1" applyFill="1" applyBorder="1" applyAlignment="1">
      <alignment vertical="center"/>
    </xf>
    <xf numFmtId="0" fontId="47" fillId="10" borderId="13" xfId="37" applyFont="1" applyFill="1" applyBorder="1" applyAlignment="1">
      <alignment vertical="center"/>
    </xf>
    <xf numFmtId="4" fontId="46" fillId="10" borderId="21" xfId="37" applyNumberFormat="1" applyFont="1" applyFill="1" applyBorder="1" applyAlignment="1">
      <alignment horizontal="right" vertical="center"/>
    </xf>
    <xf numFmtId="4" fontId="46" fillId="10" borderId="14" xfId="7" applyNumberFormat="1" applyFont="1" applyFill="1" applyBorder="1" applyAlignment="1" applyProtection="1">
      <alignment horizontal="center" vertical="center"/>
    </xf>
    <xf numFmtId="4" fontId="46" fillId="10" borderId="14" xfId="7" applyNumberFormat="1" applyFont="1" applyFill="1" applyBorder="1" applyAlignment="1" applyProtection="1">
      <alignment horizontal="right" vertical="center"/>
    </xf>
    <xf numFmtId="164" fontId="57" fillId="10" borderId="40" xfId="7" applyFont="1" applyFill="1" applyBorder="1" applyAlignment="1" applyProtection="1">
      <alignment horizontal="right" vertical="center"/>
    </xf>
    <xf numFmtId="0" fontId="48" fillId="10" borderId="39" xfId="37" applyFont="1" applyFill="1" applyBorder="1" applyAlignment="1">
      <alignment vertical="center"/>
    </xf>
    <xf numFmtId="4" fontId="49" fillId="10" borderId="14" xfId="7" applyNumberFormat="1" applyFont="1" applyFill="1" applyBorder="1" applyAlignment="1" applyProtection="1">
      <alignment horizontal="center" vertical="center"/>
    </xf>
    <xf numFmtId="0" fontId="50" fillId="10" borderId="13" xfId="37" applyFont="1" applyFill="1" applyBorder="1" applyAlignment="1">
      <alignment vertical="center"/>
    </xf>
    <xf numFmtId="4" fontId="49" fillId="10" borderId="21" xfId="37" applyNumberFormat="1" applyFont="1" applyFill="1" applyBorder="1" applyAlignment="1">
      <alignment horizontal="right" vertical="center"/>
    </xf>
    <xf numFmtId="4" fontId="49" fillId="10" borderId="41" xfId="7" applyNumberFormat="1" applyFont="1" applyFill="1" applyBorder="1" applyAlignment="1" applyProtection="1">
      <alignment horizontal="right" vertical="center"/>
    </xf>
    <xf numFmtId="164" fontId="48" fillId="10" borderId="42" xfId="7" applyFont="1" applyFill="1" applyBorder="1" applyAlignment="1" applyProtection="1">
      <alignment horizontal="right" vertical="center"/>
    </xf>
    <xf numFmtId="0" fontId="20" fillId="10" borderId="47" xfId="37" applyFont="1" applyFill="1" applyBorder="1" applyAlignment="1">
      <alignment horizontal="centerContinuous" vertical="center"/>
    </xf>
    <xf numFmtId="0" fontId="51" fillId="10" borderId="48" xfId="37" applyFont="1" applyFill="1" applyBorder="1" applyAlignment="1">
      <alignment horizontal="centerContinuous" vertical="center"/>
    </xf>
    <xf numFmtId="0" fontId="52" fillId="10" borderId="49" xfId="37" applyFont="1" applyFill="1" applyBorder="1" applyAlignment="1">
      <alignment horizontal="left" vertical="center"/>
    </xf>
    <xf numFmtId="0" fontId="53" fillId="10" borderId="50" xfId="37" applyFont="1" applyFill="1" applyBorder="1" applyAlignment="1">
      <alignment vertical="center"/>
    </xf>
    <xf numFmtId="0" fontId="54" fillId="10" borderId="50" xfId="37" quotePrefix="1" applyFont="1" applyFill="1" applyBorder="1" applyAlignment="1">
      <alignment horizontal="left" vertical="center"/>
    </xf>
    <xf numFmtId="4" fontId="28" fillId="10" borderId="48" xfId="37" applyNumberFormat="1" applyFont="1" applyFill="1" applyBorder="1" applyAlignment="1">
      <alignment horizontal="right" vertical="center"/>
    </xf>
    <xf numFmtId="4" fontId="28" fillId="10" borderId="51" xfId="7" applyNumberFormat="1" applyFont="1" applyFill="1" applyBorder="1" applyAlignment="1" applyProtection="1">
      <alignment horizontal="right" vertical="center"/>
    </xf>
    <xf numFmtId="164" fontId="52" fillId="10" borderId="52" xfId="7" applyFont="1" applyFill="1" applyBorder="1" applyAlignment="1" applyProtection="1">
      <alignment horizontal="right" vertical="center"/>
    </xf>
    <xf numFmtId="0" fontId="38" fillId="10" borderId="43" xfId="37" applyFont="1" applyFill="1" applyBorder="1" applyAlignment="1">
      <alignment horizontal="centerContinuous" vertical="center"/>
    </xf>
    <xf numFmtId="0" fontId="37" fillId="10" borderId="44" xfId="37" applyFont="1" applyFill="1" applyBorder="1" applyAlignment="1">
      <alignment horizontal="centerContinuous" vertical="center"/>
    </xf>
    <xf numFmtId="0" fontId="48" fillId="10" borderId="45" xfId="37" applyFont="1" applyFill="1" applyBorder="1" applyAlignment="1">
      <alignment vertical="center"/>
    </xf>
    <xf numFmtId="0" fontId="50" fillId="10" borderId="46" xfId="37" applyFont="1" applyFill="1" applyBorder="1" applyAlignment="1">
      <alignment vertical="center"/>
    </xf>
    <xf numFmtId="4" fontId="49" fillId="10" borderId="44" xfId="37" applyNumberFormat="1" applyFont="1" applyFill="1" applyBorder="1" applyAlignment="1">
      <alignment horizontal="right" vertical="center"/>
    </xf>
    <xf numFmtId="0" fontId="20" fillId="10" borderId="53" xfId="37" applyFont="1" applyFill="1" applyBorder="1" applyAlignment="1">
      <alignment horizontal="centerContinuous" vertical="center"/>
    </xf>
    <xf numFmtId="0" fontId="51" fillId="10" borderId="8" xfId="37" applyFont="1" applyFill="1" applyBorder="1" applyAlignment="1">
      <alignment horizontal="centerContinuous" vertical="center"/>
    </xf>
    <xf numFmtId="0" fontId="52" fillId="10" borderId="56" xfId="37" applyFont="1" applyFill="1" applyBorder="1" applyAlignment="1">
      <alignment horizontal="left" vertical="center"/>
    </xf>
    <xf numFmtId="0" fontId="53" fillId="10" borderId="0" xfId="37" applyFont="1" applyFill="1" applyAlignment="1">
      <alignment vertical="center"/>
    </xf>
    <xf numFmtId="0" fontId="54" fillId="10" borderId="0" xfId="37" quotePrefix="1" applyFont="1" applyFill="1" applyAlignment="1">
      <alignment horizontal="left" vertical="center"/>
    </xf>
    <xf numFmtId="4" fontId="28" fillId="10" borderId="8" xfId="37" applyNumberFormat="1" applyFont="1" applyFill="1" applyBorder="1" applyAlignment="1">
      <alignment horizontal="right" vertical="center"/>
    </xf>
    <xf numFmtId="4" fontId="28" fillId="10" borderId="16" xfId="7" applyNumberFormat="1" applyFont="1" applyFill="1" applyBorder="1" applyAlignment="1" applyProtection="1">
      <alignment horizontal="right" vertical="center"/>
    </xf>
    <xf numFmtId="164" fontId="52" fillId="10" borderId="57" xfId="7" applyFont="1" applyFill="1" applyBorder="1" applyAlignment="1" applyProtection="1">
      <alignment horizontal="right" vertical="center"/>
    </xf>
    <xf numFmtId="0" fontId="38" fillId="17" borderId="26" xfId="37" quotePrefix="1" applyFont="1" applyFill="1" applyBorder="1" applyAlignment="1">
      <alignment horizontal="centerContinuous" vertical="center"/>
    </xf>
    <xf numFmtId="0" fontId="37" fillId="17" borderId="27" xfId="37" applyFont="1" applyFill="1" applyBorder="1" applyAlignment="1">
      <alignment horizontal="centerContinuous" vertical="center"/>
    </xf>
    <xf numFmtId="0" fontId="48" fillId="17" borderId="29" xfId="37" applyFont="1" applyFill="1" applyBorder="1" applyAlignment="1">
      <alignment vertical="center"/>
    </xf>
    <xf numFmtId="0" fontId="53" fillId="17" borderId="28" xfId="37" applyFont="1" applyFill="1" applyBorder="1" applyAlignment="1">
      <alignment vertical="center"/>
    </xf>
    <xf numFmtId="0" fontId="54" fillId="17" borderId="28" xfId="37" quotePrefix="1" applyFont="1" applyFill="1" applyBorder="1" applyAlignment="1">
      <alignment horizontal="left" vertical="center"/>
    </xf>
    <xf numFmtId="4" fontId="28" fillId="17" borderId="27" xfId="37" applyNumberFormat="1" applyFont="1" applyFill="1" applyBorder="1" applyAlignment="1">
      <alignment horizontal="right" vertical="center"/>
    </xf>
    <xf numFmtId="4" fontId="28" fillId="17" borderId="30" xfId="7" applyNumberFormat="1" applyFont="1" applyFill="1" applyBorder="1" applyAlignment="1" applyProtection="1">
      <alignment horizontal="right" vertical="center"/>
    </xf>
    <xf numFmtId="43" fontId="11" fillId="9" borderId="5" xfId="1" applyFont="1" applyFill="1" applyBorder="1" applyAlignment="1">
      <alignment horizontal="center" vertical="center"/>
    </xf>
    <xf numFmtId="4" fontId="49" fillId="15" borderId="14" xfId="7" applyNumberFormat="1" applyFont="1" applyFill="1" applyBorder="1" applyAlignment="1" applyProtection="1">
      <alignment horizontal="right" vertical="center"/>
    </xf>
    <xf numFmtId="164" fontId="48" fillId="15" borderId="40" xfId="7" applyFont="1" applyFill="1" applyBorder="1" applyAlignment="1" applyProtection="1">
      <alignment horizontal="right" vertical="center"/>
    </xf>
    <xf numFmtId="0" fontId="38" fillId="15" borderId="38" xfId="37" quotePrefix="1" applyFont="1" applyFill="1" applyBorder="1" applyAlignment="1">
      <alignment horizontal="centerContinuous" vertical="center"/>
    </xf>
    <xf numFmtId="0" fontId="44" fillId="15" borderId="21" xfId="37" applyFont="1" applyFill="1" applyBorder="1" applyAlignment="1">
      <alignment horizontal="centerContinuous" vertical="center"/>
    </xf>
    <xf numFmtId="0" fontId="37" fillId="15" borderId="38" xfId="37" quotePrefix="1" applyFont="1" applyFill="1" applyBorder="1" applyAlignment="1">
      <alignment horizontal="centerContinuous" vertical="center"/>
    </xf>
    <xf numFmtId="0" fontId="37" fillId="15" borderId="21" xfId="37" applyFont="1" applyFill="1" applyBorder="1" applyAlignment="1">
      <alignment horizontal="centerContinuous" vertical="center"/>
    </xf>
    <xf numFmtId="4" fontId="39" fillId="15" borderId="14" xfId="7" applyNumberFormat="1" applyFont="1" applyFill="1" applyBorder="1" applyAlignment="1" applyProtection="1">
      <alignment horizontal="center" vertical="center"/>
    </xf>
    <xf numFmtId="4" fontId="39" fillId="15" borderId="14" xfId="7" applyNumberFormat="1" applyFont="1" applyFill="1" applyBorder="1" applyAlignment="1" applyProtection="1">
      <alignment horizontal="right" vertical="center"/>
    </xf>
    <xf numFmtId="164" fontId="38" fillId="15" borderId="40" xfId="7" applyFont="1" applyFill="1" applyBorder="1" applyAlignment="1" applyProtection="1">
      <alignment horizontal="right" vertical="center"/>
    </xf>
    <xf numFmtId="4" fontId="38" fillId="15" borderId="14" xfId="7" applyNumberFormat="1" applyFont="1" applyFill="1" applyBorder="1" applyAlignment="1" applyProtection="1">
      <alignment horizontal="right" vertical="center"/>
    </xf>
    <xf numFmtId="39" fontId="31" fillId="10" borderId="0" xfId="36" applyNumberFormat="1" applyFont="1" applyFill="1" applyAlignment="1">
      <alignment vertical="center"/>
    </xf>
    <xf numFmtId="0" fontId="31" fillId="10" borderId="0" xfId="36" applyFont="1" applyFill="1" applyAlignment="1">
      <alignment vertical="center"/>
    </xf>
    <xf numFmtId="4" fontId="39" fillId="10" borderId="14" xfId="7" applyNumberFormat="1" applyFont="1" applyFill="1" applyBorder="1" applyAlignment="1" applyProtection="1">
      <alignment horizontal="center" vertical="center" wrapText="1"/>
    </xf>
    <xf numFmtId="164" fontId="58" fillId="17" borderId="31" xfId="7" applyFont="1" applyFill="1" applyBorder="1" applyAlignment="1" applyProtection="1">
      <alignment horizontal="right" vertical="center"/>
    </xf>
    <xf numFmtId="168" fontId="19" fillId="10" borderId="58" xfId="18" applyNumberFormat="1" applyFont="1" applyFill="1" applyBorder="1" applyAlignment="1">
      <alignment horizontal="center" vertical="center"/>
    </xf>
    <xf numFmtId="0" fontId="20" fillId="14" borderId="59" xfId="18" applyFont="1" applyFill="1" applyBorder="1" applyAlignment="1">
      <alignment vertical="center" wrapText="1"/>
    </xf>
    <xf numFmtId="168" fontId="19" fillId="10" borderId="60" xfId="18" applyNumberFormat="1" applyFont="1" applyFill="1" applyBorder="1" applyAlignment="1">
      <alignment horizontal="center" vertical="center"/>
    </xf>
    <xf numFmtId="168" fontId="19" fillId="10" borderId="61" xfId="18" applyNumberFormat="1" applyFont="1" applyFill="1" applyBorder="1" applyAlignment="1">
      <alignment horizontal="center" vertical="center"/>
    </xf>
    <xf numFmtId="0" fontId="20" fillId="0" borderId="18" xfId="18" applyFont="1" applyBorder="1" applyAlignment="1">
      <alignment vertical="center"/>
    </xf>
    <xf numFmtId="0" fontId="27" fillId="14" borderId="14" xfId="18" applyFont="1" applyFill="1" applyBorder="1" applyAlignment="1">
      <alignment vertical="center"/>
    </xf>
    <xf numFmtId="39" fontId="19" fillId="0" borderId="14" xfId="18" applyNumberFormat="1" applyFont="1" applyBorder="1" applyAlignment="1">
      <alignment vertical="center" wrapText="1"/>
    </xf>
    <xf numFmtId="0" fontId="27" fillId="14" borderId="14" xfId="18" applyFont="1" applyFill="1" applyBorder="1" applyAlignment="1">
      <alignment vertical="center" wrapText="1"/>
    </xf>
    <xf numFmtId="0" fontId="19" fillId="10" borderId="14" xfId="18" applyFont="1" applyFill="1" applyBorder="1" applyAlignment="1">
      <alignment vertical="center" wrapText="1"/>
    </xf>
    <xf numFmtId="0" fontId="27" fillId="14" borderId="22" xfId="18" applyFont="1" applyFill="1" applyBorder="1" applyAlignment="1">
      <alignment vertical="center" wrapText="1"/>
    </xf>
    <xf numFmtId="0" fontId="19" fillId="10" borderId="41" xfId="18" applyFont="1" applyFill="1" applyBorder="1" applyAlignment="1">
      <alignment vertical="center" wrapText="1"/>
    </xf>
    <xf numFmtId="168" fontId="19" fillId="10" borderId="62" xfId="18" applyNumberFormat="1" applyFont="1" applyFill="1" applyBorder="1" applyAlignment="1">
      <alignment horizontal="center" vertical="center"/>
    </xf>
    <xf numFmtId="0" fontId="20" fillId="14" borderId="64" xfId="18" applyFont="1" applyFill="1" applyBorder="1" applyAlignment="1">
      <alignment vertical="center" wrapText="1"/>
    </xf>
    <xf numFmtId="168" fontId="19" fillId="10" borderId="65" xfId="18" applyNumberFormat="1" applyFont="1" applyFill="1" applyBorder="1" applyAlignment="1">
      <alignment horizontal="center" vertical="center"/>
    </xf>
    <xf numFmtId="0" fontId="20" fillId="14" borderId="19" xfId="18" applyFont="1" applyFill="1" applyBorder="1" applyAlignment="1">
      <alignment vertical="center" wrapText="1"/>
    </xf>
    <xf numFmtId="0" fontId="20" fillId="14" borderId="20" xfId="18" applyFont="1" applyFill="1" applyBorder="1" applyAlignment="1">
      <alignment vertical="center" wrapText="1"/>
    </xf>
    <xf numFmtId="0" fontId="20" fillId="14" borderId="58" xfId="18" applyFont="1" applyFill="1" applyBorder="1" applyAlignment="1">
      <alignment vertical="center" wrapText="1"/>
    </xf>
    <xf numFmtId="0" fontId="20" fillId="14" borderId="63" xfId="18" applyFont="1" applyFill="1" applyBorder="1" applyAlignment="1">
      <alignment vertical="center" wrapText="1"/>
    </xf>
    <xf numFmtId="0" fontId="20" fillId="14" borderId="14" xfId="18" applyFont="1" applyFill="1" applyBorder="1" applyAlignment="1">
      <alignment vertical="center" wrapText="1"/>
    </xf>
    <xf numFmtId="3" fontId="39" fillId="10" borderId="13" xfId="37" applyNumberFormat="1" applyFont="1" applyFill="1" applyBorder="1" applyAlignment="1">
      <alignment vertical="center" wrapText="1"/>
    </xf>
    <xf numFmtId="3" fontId="39" fillId="10" borderId="21" xfId="37" applyNumberFormat="1" applyFont="1" applyFill="1" applyBorder="1" applyAlignment="1">
      <alignment vertical="center" wrapText="1"/>
    </xf>
    <xf numFmtId="3" fontId="39" fillId="10" borderId="13" xfId="37" applyNumberFormat="1" applyFont="1" applyFill="1" applyBorder="1" applyAlignment="1">
      <alignment vertical="center"/>
    </xf>
    <xf numFmtId="0" fontId="20" fillId="0" borderId="39" xfId="18" applyFont="1" applyBorder="1" applyAlignment="1">
      <alignment horizontal="center" vertical="center"/>
    </xf>
    <xf numFmtId="0" fontId="20" fillId="14" borderId="39" xfId="18" applyFont="1" applyFill="1" applyBorder="1" applyAlignment="1">
      <alignment horizontal="center" vertical="center"/>
    </xf>
    <xf numFmtId="0" fontId="20" fillId="14" borderId="66" xfId="18" applyFont="1" applyFill="1" applyBorder="1" applyAlignment="1">
      <alignment vertical="center" wrapText="1"/>
    </xf>
    <xf numFmtId="168" fontId="20" fillId="14" borderId="20" xfId="18" applyNumberFormat="1" applyFont="1" applyFill="1" applyBorder="1" applyAlignment="1">
      <alignment vertical="center" wrapText="1"/>
    </xf>
    <xf numFmtId="43" fontId="20" fillId="14" borderId="14" xfId="1" applyFont="1" applyFill="1" applyBorder="1" applyAlignment="1">
      <alignment horizontal="center" vertical="center" wrapText="1"/>
    </xf>
    <xf numFmtId="43" fontId="20" fillId="14" borderId="14" xfId="1" applyFont="1" applyFill="1" applyBorder="1" applyAlignment="1">
      <alignment vertical="center" wrapText="1"/>
    </xf>
    <xf numFmtId="43" fontId="20" fillId="14" borderId="22" xfId="1" applyFont="1" applyFill="1" applyBorder="1" applyAlignment="1">
      <alignment vertical="center" wrapText="1"/>
    </xf>
    <xf numFmtId="43" fontId="8" fillId="10" borderId="0" xfId="1" applyFont="1" applyFill="1" applyAlignment="1">
      <alignment wrapText="1"/>
    </xf>
    <xf numFmtId="43" fontId="19" fillId="10" borderId="14" xfId="18" applyNumberFormat="1" applyFont="1" applyFill="1" applyBorder="1" applyAlignment="1">
      <alignment horizontal="center"/>
    </xf>
    <xf numFmtId="168" fontId="19" fillId="10" borderId="20" xfId="18" applyNumberFormat="1" applyFont="1" applyFill="1" applyBorder="1" applyAlignment="1">
      <alignment horizontal="center"/>
    </xf>
    <xf numFmtId="0" fontId="59" fillId="10" borderId="0" xfId="18" applyFont="1" applyFill="1" applyAlignment="1">
      <alignment vertical="center"/>
    </xf>
    <xf numFmtId="170" fontId="19" fillId="10" borderId="19" xfId="18" applyNumberFormat="1" applyFont="1" applyFill="1" applyBorder="1" applyAlignment="1">
      <alignment horizontal="center" vertical="center"/>
    </xf>
    <xf numFmtId="170" fontId="19" fillId="14" borderId="19" xfId="18" applyNumberFormat="1" applyFont="1" applyFill="1" applyBorder="1" applyAlignment="1">
      <alignment horizontal="center" vertical="center"/>
    </xf>
    <xf numFmtId="170" fontId="19" fillId="0" borderId="19" xfId="18" applyNumberFormat="1" applyFont="1" applyBorder="1" applyAlignment="1">
      <alignment horizontal="center" vertical="center"/>
    </xf>
    <xf numFmtId="170" fontId="20" fillId="14" borderId="19" xfId="18" applyNumberFormat="1" applyFont="1" applyFill="1" applyBorder="1" applyAlignment="1">
      <alignment horizontal="center" vertical="center" wrapText="1"/>
    </xf>
    <xf numFmtId="0" fontId="19" fillId="10" borderId="41" xfId="18" applyFont="1" applyFill="1" applyBorder="1" applyAlignment="1">
      <alignment horizontal="left" vertical="center" wrapText="1"/>
    </xf>
    <xf numFmtId="43" fontId="19" fillId="10" borderId="41" xfId="18" applyNumberFormat="1" applyFont="1" applyFill="1" applyBorder="1" applyAlignment="1">
      <alignment horizontal="center" vertical="center"/>
    </xf>
    <xf numFmtId="0" fontId="20" fillId="10" borderId="9" xfId="34" applyFont="1" applyFill="1" applyBorder="1" applyAlignment="1">
      <alignment horizontal="left" vertical="center"/>
    </xf>
    <xf numFmtId="0" fontId="20" fillId="10" borderId="12" xfId="18" applyFont="1" applyFill="1" applyBorder="1"/>
    <xf numFmtId="0" fontId="19" fillId="0" borderId="67" xfId="18" applyFont="1" applyBorder="1" applyAlignment="1">
      <alignment horizontal="center" vertical="center" wrapText="1"/>
    </xf>
    <xf numFmtId="0" fontId="20" fillId="10" borderId="0" xfId="18" applyFont="1" applyFill="1" applyAlignment="1">
      <alignment horizontal="center" vertical="center" wrapText="1"/>
    </xf>
    <xf numFmtId="43" fontId="20" fillId="10" borderId="0" xfId="1" applyFont="1" applyFill="1" applyBorder="1" applyAlignment="1">
      <alignment horizontal="center" vertical="center"/>
    </xf>
    <xf numFmtId="0" fontId="20" fillId="10" borderId="0" xfId="18" applyFont="1" applyFill="1" applyAlignment="1">
      <alignment vertical="center" wrapText="1"/>
    </xf>
    <xf numFmtId="0" fontId="20" fillId="14" borderId="69" xfId="18" applyFont="1" applyFill="1" applyBorder="1" applyAlignment="1">
      <alignment horizontal="center" vertical="center"/>
    </xf>
    <xf numFmtId="171" fontId="19" fillId="0" borderId="19" xfId="18" applyNumberFormat="1" applyFont="1" applyBorder="1" applyAlignment="1">
      <alignment horizontal="center" vertical="center"/>
    </xf>
    <xf numFmtId="0" fontId="11" fillId="10" borderId="0" xfId="0" applyFont="1" applyFill="1"/>
    <xf numFmtId="0" fontId="19" fillId="10" borderId="55" xfId="18" applyFont="1" applyFill="1" applyBorder="1" applyAlignment="1">
      <alignment horizontal="center" vertical="center" wrapText="1"/>
    </xf>
    <xf numFmtId="43" fontId="19" fillId="10" borderId="41" xfId="18" applyNumberFormat="1" applyFont="1" applyFill="1" applyBorder="1" applyAlignment="1">
      <alignment horizontal="center"/>
    </xf>
    <xf numFmtId="168" fontId="19" fillId="10" borderId="61" xfId="18" applyNumberFormat="1" applyFont="1" applyFill="1" applyBorder="1" applyAlignment="1">
      <alignment horizontal="center"/>
    </xf>
    <xf numFmtId="0" fontId="20" fillId="10" borderId="7" xfId="18" applyFont="1" applyFill="1" applyBorder="1"/>
    <xf numFmtId="0" fontId="20" fillId="14" borderId="39" xfId="18" applyFont="1" applyFill="1" applyBorder="1" applyAlignment="1">
      <alignment vertical="center" wrapText="1"/>
    </xf>
    <xf numFmtId="0" fontId="20" fillId="13" borderId="18" xfId="18" applyFont="1" applyFill="1" applyBorder="1" applyAlignment="1">
      <alignment horizontal="center" vertical="center"/>
    </xf>
    <xf numFmtId="0" fontId="19" fillId="10" borderId="71" xfId="18" applyFont="1" applyFill="1" applyBorder="1" applyAlignment="1">
      <alignment horizontal="center" vertical="center" wrapText="1"/>
    </xf>
    <xf numFmtId="0" fontId="20" fillId="14" borderId="72" xfId="18" applyFont="1" applyFill="1" applyBorder="1" applyAlignment="1">
      <alignment horizontal="center" vertical="center"/>
    </xf>
    <xf numFmtId="168" fontId="19" fillId="14" borderId="58" xfId="18" applyNumberFormat="1" applyFont="1" applyFill="1" applyBorder="1" applyAlignment="1">
      <alignment horizontal="center" vertical="center"/>
    </xf>
    <xf numFmtId="168" fontId="20" fillId="14" borderId="58" xfId="18" applyNumberFormat="1" applyFont="1" applyFill="1" applyBorder="1" applyAlignment="1">
      <alignment horizontal="center" vertical="center" wrapText="1"/>
    </xf>
    <xf numFmtId="168" fontId="19" fillId="10" borderId="0" xfId="18" applyNumberFormat="1" applyFont="1" applyFill="1" applyAlignment="1">
      <alignment horizontal="center" vertical="center"/>
    </xf>
    <xf numFmtId="168" fontId="20" fillId="10" borderId="0" xfId="18" applyNumberFormat="1" applyFont="1" applyFill="1" applyAlignment="1">
      <alignment horizontal="center" vertical="center" wrapText="1"/>
    </xf>
    <xf numFmtId="0" fontId="20" fillId="10" borderId="70" xfId="18" applyFont="1" applyFill="1" applyBorder="1" applyAlignment="1">
      <alignment horizontal="center" vertical="center" wrapText="1"/>
    </xf>
    <xf numFmtId="170" fontId="19" fillId="14" borderId="39" xfId="18" applyNumberFormat="1" applyFont="1" applyFill="1" applyBorder="1" applyAlignment="1">
      <alignment horizontal="center" vertical="center"/>
    </xf>
    <xf numFmtId="170" fontId="19" fillId="0" borderId="39" xfId="18" applyNumberFormat="1" applyFont="1" applyBorder="1" applyAlignment="1">
      <alignment horizontal="center" vertical="center"/>
    </xf>
    <xf numFmtId="170" fontId="20" fillId="14" borderId="39" xfId="18" applyNumberFormat="1" applyFont="1" applyFill="1" applyBorder="1" applyAlignment="1">
      <alignment horizontal="center" vertical="center" wrapText="1"/>
    </xf>
    <xf numFmtId="170" fontId="19" fillId="10" borderId="39" xfId="18" applyNumberFormat="1" applyFont="1" applyFill="1" applyBorder="1" applyAlignment="1">
      <alignment horizontal="center" vertical="center"/>
    </xf>
    <xf numFmtId="0" fontId="19" fillId="0" borderId="25" xfId="18" applyFont="1" applyBorder="1" applyAlignment="1">
      <alignment horizontal="center" vertical="center"/>
    </xf>
    <xf numFmtId="0" fontId="19" fillId="10" borderId="0" xfId="18" applyFont="1" applyFill="1" applyAlignment="1">
      <alignment horizontal="center" vertical="center" wrapText="1"/>
    </xf>
    <xf numFmtId="0" fontId="20" fillId="0" borderId="25" xfId="18" applyFont="1" applyBorder="1" applyAlignment="1">
      <alignment vertical="center"/>
    </xf>
    <xf numFmtId="43" fontId="20" fillId="13" borderId="25" xfId="1" applyFont="1" applyFill="1" applyBorder="1" applyAlignment="1">
      <alignment horizontal="center" vertical="center"/>
    </xf>
    <xf numFmtId="0" fontId="20" fillId="10" borderId="56" xfId="18" applyFont="1" applyFill="1" applyBorder="1" applyAlignment="1">
      <alignment wrapText="1"/>
    </xf>
    <xf numFmtId="0" fontId="20" fillId="10" borderId="0" xfId="18" applyFont="1" applyFill="1" applyAlignment="1">
      <alignment wrapText="1"/>
    </xf>
    <xf numFmtId="0" fontId="20" fillId="10" borderId="56" xfId="18" applyFont="1" applyFill="1" applyBorder="1"/>
    <xf numFmtId="0" fontId="20" fillId="10" borderId="0" xfId="18" applyFont="1" applyFill="1"/>
    <xf numFmtId="0" fontId="19" fillId="10" borderId="56" xfId="18" applyFont="1" applyFill="1" applyBorder="1" applyAlignment="1">
      <alignment horizontal="center" vertical="center" wrapText="1"/>
    </xf>
    <xf numFmtId="168" fontId="19" fillId="10" borderId="56" xfId="18" applyNumberFormat="1" applyFont="1" applyFill="1" applyBorder="1" applyAlignment="1">
      <alignment horizontal="center" vertical="center"/>
    </xf>
    <xf numFmtId="0" fontId="19" fillId="10" borderId="0" xfId="18" quotePrefix="1" applyFont="1" applyFill="1" applyAlignment="1">
      <alignment horizontal="center" vertical="center" wrapText="1"/>
    </xf>
    <xf numFmtId="0" fontId="20" fillId="10" borderId="56" xfId="18" applyFont="1" applyFill="1" applyBorder="1" applyAlignment="1">
      <alignment horizontal="center" vertical="center"/>
    </xf>
    <xf numFmtId="168" fontId="20" fillId="10" borderId="56" xfId="18" applyNumberFormat="1" applyFont="1" applyFill="1" applyBorder="1" applyAlignment="1">
      <alignment horizontal="center" vertical="center" wrapText="1"/>
    </xf>
    <xf numFmtId="0" fontId="20" fillId="10" borderId="56" xfId="18" applyFont="1" applyFill="1" applyBorder="1" applyAlignment="1">
      <alignment vertical="center" wrapText="1"/>
    </xf>
    <xf numFmtId="44" fontId="9" fillId="15" borderId="5" xfId="2" applyFont="1" applyFill="1" applyBorder="1" applyAlignment="1">
      <alignment horizontal="center" vertical="center"/>
    </xf>
    <xf numFmtId="0" fontId="3" fillId="0" borderId="0" xfId="5" applyAlignment="1">
      <alignment horizontal="left" vertical="center"/>
    </xf>
    <xf numFmtId="170" fontId="19" fillId="10" borderId="60" xfId="18" applyNumberFormat="1" applyFont="1" applyFill="1" applyBorder="1" applyAlignment="1">
      <alignment horizontal="center" vertical="center"/>
    </xf>
    <xf numFmtId="170" fontId="19" fillId="10" borderId="45" xfId="18" applyNumberFormat="1" applyFont="1" applyFill="1" applyBorder="1" applyAlignment="1">
      <alignment horizontal="center" vertical="center"/>
    </xf>
    <xf numFmtId="168" fontId="19" fillId="10" borderId="0" xfId="18" applyNumberFormat="1" applyFont="1" applyFill="1" applyAlignment="1">
      <alignment horizontal="center"/>
    </xf>
    <xf numFmtId="0" fontId="60" fillId="10" borderId="0" xfId="18" applyFont="1" applyFill="1" applyAlignment="1">
      <alignment horizontal="center" vertical="center" wrapText="1"/>
    </xf>
    <xf numFmtId="168" fontId="20" fillId="10" borderId="0" xfId="18" applyNumberFormat="1" applyFont="1" applyFill="1" applyAlignment="1">
      <alignment vertical="center" wrapText="1"/>
    </xf>
    <xf numFmtId="43" fontId="20" fillId="10" borderId="0" xfId="1" applyFont="1" applyFill="1" applyBorder="1" applyAlignment="1" applyProtection="1">
      <alignment vertical="center" wrapText="1"/>
    </xf>
    <xf numFmtId="168" fontId="19" fillId="10" borderId="20" xfId="18" applyNumberFormat="1" applyFont="1" applyFill="1" applyBorder="1" applyAlignment="1">
      <alignment horizontal="center" vertical="center"/>
    </xf>
    <xf numFmtId="165" fontId="9" fillId="10" borderId="5" xfId="6" applyNumberFormat="1" applyFont="1" applyFill="1" applyBorder="1" applyAlignment="1">
      <alignment horizontal="center" vertical="center"/>
    </xf>
    <xf numFmtId="168" fontId="19" fillId="10" borderId="39" xfId="18" applyNumberFormat="1" applyFont="1" applyFill="1" applyBorder="1" applyAlignment="1">
      <alignment horizontal="center" vertical="center"/>
    </xf>
    <xf numFmtId="39" fontId="19" fillId="10" borderId="14" xfId="18" applyNumberFormat="1" applyFont="1" applyFill="1" applyBorder="1" applyAlignment="1">
      <alignment vertical="center" wrapText="1"/>
    </xf>
    <xf numFmtId="3" fontId="9" fillId="10" borderId="5" xfId="4" applyNumberFormat="1" applyFont="1" applyFill="1" applyBorder="1" applyAlignment="1">
      <alignment horizontal="center" vertical="center" wrapText="1"/>
    </xf>
    <xf numFmtId="168" fontId="19" fillId="10" borderId="45" xfId="18" applyNumberFormat="1" applyFont="1" applyFill="1" applyBorder="1" applyAlignment="1">
      <alignment horizontal="center" vertical="center"/>
    </xf>
    <xf numFmtId="43" fontId="10" fillId="0" borderId="0" xfId="0" applyNumberFormat="1" applyFont="1"/>
    <xf numFmtId="0" fontId="19" fillId="10" borderId="73" xfId="18" applyFont="1" applyFill="1" applyBorder="1" applyAlignment="1">
      <alignment horizontal="center" vertical="center" wrapText="1"/>
    </xf>
    <xf numFmtId="168" fontId="19" fillId="10" borderId="13" xfId="18" applyNumberFormat="1" applyFont="1" applyFill="1" applyBorder="1" applyAlignment="1">
      <alignment horizontal="center" vertical="center"/>
    </xf>
    <xf numFmtId="168" fontId="19" fillId="14" borderId="13" xfId="18" applyNumberFormat="1" applyFont="1" applyFill="1" applyBorder="1" applyAlignment="1">
      <alignment horizontal="center" vertical="center"/>
    </xf>
    <xf numFmtId="168" fontId="20" fillId="14" borderId="13" xfId="18" applyNumberFormat="1" applyFont="1" applyFill="1" applyBorder="1" applyAlignment="1">
      <alignment horizontal="center" vertical="center" wrapText="1"/>
    </xf>
    <xf numFmtId="168" fontId="19" fillId="10" borderId="46" xfId="18" applyNumberFormat="1" applyFont="1" applyFill="1" applyBorder="1" applyAlignment="1">
      <alignment horizontal="center" vertical="center"/>
    </xf>
    <xf numFmtId="0" fontId="20" fillId="14" borderId="13" xfId="18" applyFont="1" applyFill="1" applyBorder="1" applyAlignment="1">
      <alignment vertical="center" wrapText="1"/>
    </xf>
    <xf numFmtId="0" fontId="19" fillId="10" borderId="68" xfId="18" applyFont="1" applyFill="1" applyBorder="1" applyAlignment="1">
      <alignment horizontal="center" vertical="center" wrapText="1"/>
    </xf>
    <xf numFmtId="0" fontId="20" fillId="14" borderId="75" xfId="18" applyFont="1" applyFill="1" applyBorder="1" applyAlignment="1">
      <alignment horizontal="center" vertical="center"/>
    </xf>
    <xf numFmtId="168" fontId="19" fillId="10" borderId="19" xfId="18" applyNumberFormat="1" applyFont="1" applyFill="1" applyBorder="1" applyAlignment="1">
      <alignment horizontal="center" vertical="center"/>
    </xf>
    <xf numFmtId="168" fontId="19" fillId="14" borderId="19" xfId="18" applyNumberFormat="1" applyFont="1" applyFill="1" applyBorder="1" applyAlignment="1">
      <alignment horizontal="center" vertical="center"/>
    </xf>
    <xf numFmtId="168" fontId="20" fillId="14" borderId="19" xfId="18" applyNumberFormat="1" applyFont="1" applyFill="1" applyBorder="1" applyAlignment="1">
      <alignment horizontal="center" vertical="center" wrapText="1"/>
    </xf>
    <xf numFmtId="0" fontId="20" fillId="13" borderId="18" xfId="18" applyFont="1" applyFill="1" applyBorder="1" applyAlignment="1">
      <alignment horizontal="center" vertical="center" wrapText="1"/>
    </xf>
    <xf numFmtId="0" fontId="19" fillId="10" borderId="5" xfId="18" applyFont="1" applyFill="1" applyBorder="1" applyAlignment="1">
      <alignment horizontal="center" vertical="center"/>
    </xf>
    <xf numFmtId="0" fontId="60" fillId="0" borderId="55" xfId="18" applyFont="1" applyBorder="1" applyAlignment="1">
      <alignment horizontal="center" vertical="center" wrapText="1"/>
    </xf>
    <xf numFmtId="0" fontId="19" fillId="10" borderId="14" xfId="0" applyFont="1" applyFill="1" applyBorder="1" applyAlignment="1">
      <alignment horizontal="left" wrapText="1"/>
    </xf>
    <xf numFmtId="0" fontId="61" fillId="10" borderId="7" xfId="18" applyFont="1" applyFill="1" applyBorder="1" applyAlignment="1">
      <alignment wrapText="1"/>
    </xf>
    <xf numFmtId="0" fontId="19" fillId="0" borderId="10" xfId="18" quotePrefix="1" applyFont="1" applyBorder="1" applyAlignment="1">
      <alignment horizontal="center" vertical="center" wrapText="1"/>
    </xf>
    <xf numFmtId="0" fontId="20" fillId="14" borderId="76" xfId="18" applyFont="1" applyFill="1" applyBorder="1" applyAlignment="1">
      <alignment vertical="center" wrapText="1"/>
    </xf>
    <xf numFmtId="0" fontId="20" fillId="14" borderId="13" xfId="18" applyFont="1" applyFill="1" applyBorder="1" applyAlignment="1">
      <alignment horizontal="center" vertical="center"/>
    </xf>
    <xf numFmtId="0" fontId="19" fillId="10" borderId="14" xfId="18" applyFont="1" applyFill="1" applyBorder="1" applyAlignment="1">
      <alignment horizontal="left" vertical="center" wrapText="1"/>
    </xf>
    <xf numFmtId="0" fontId="3" fillId="0" borderId="0" xfId="5" applyFill="1" applyAlignment="1">
      <alignment vertical="center"/>
    </xf>
    <xf numFmtId="0" fontId="60" fillId="0" borderId="70" xfId="18" applyFont="1" applyBorder="1" applyAlignment="1">
      <alignment horizontal="center" vertical="center" wrapText="1"/>
    </xf>
    <xf numFmtId="168" fontId="19" fillId="14" borderId="39" xfId="18" applyNumberFormat="1" applyFont="1" applyFill="1" applyBorder="1" applyAlignment="1">
      <alignment horizontal="center" vertical="center"/>
    </xf>
    <xf numFmtId="168" fontId="20" fillId="14" borderId="39" xfId="18" applyNumberFormat="1" applyFont="1" applyFill="1" applyBorder="1" applyAlignment="1">
      <alignment horizontal="center" vertical="center" wrapText="1"/>
    </xf>
    <xf numFmtId="168" fontId="20" fillId="14" borderId="58" xfId="18" applyNumberFormat="1" applyFont="1" applyFill="1" applyBorder="1" applyAlignment="1">
      <alignment vertical="center" wrapText="1"/>
    </xf>
    <xf numFmtId="168" fontId="19" fillId="10" borderId="58" xfId="18" applyNumberFormat="1" applyFont="1" applyFill="1" applyBorder="1" applyAlignment="1">
      <alignment horizontal="center"/>
    </xf>
    <xf numFmtId="168" fontId="19" fillId="10" borderId="62" xfId="18" applyNumberFormat="1" applyFont="1" applyFill="1" applyBorder="1" applyAlignment="1">
      <alignment horizontal="center"/>
    </xf>
    <xf numFmtId="0" fontId="60" fillId="0" borderId="77" xfId="18" applyFont="1" applyBorder="1" applyAlignment="1">
      <alignment horizontal="center" vertical="center" wrapText="1"/>
    </xf>
    <xf numFmtId="0" fontId="20" fillId="14" borderId="78" xfId="18" applyFont="1" applyFill="1" applyBorder="1" applyAlignment="1">
      <alignment horizontal="center" vertical="center"/>
    </xf>
    <xf numFmtId="168" fontId="19" fillId="10" borderId="78" xfId="18" applyNumberFormat="1" applyFont="1" applyFill="1" applyBorder="1" applyAlignment="1">
      <alignment horizontal="center" vertical="center"/>
    </xf>
    <xf numFmtId="168" fontId="19" fillId="14" borderId="78" xfId="18" applyNumberFormat="1" applyFont="1" applyFill="1" applyBorder="1" applyAlignment="1">
      <alignment horizontal="center" vertical="center"/>
    </xf>
    <xf numFmtId="168" fontId="20" fillId="14" borderId="78" xfId="18" applyNumberFormat="1" applyFont="1" applyFill="1" applyBorder="1" applyAlignment="1">
      <alignment horizontal="center" vertical="center" wrapText="1"/>
    </xf>
    <xf numFmtId="168" fontId="20" fillId="14" borderId="39" xfId="18" applyNumberFormat="1" applyFont="1" applyFill="1" applyBorder="1" applyAlignment="1">
      <alignment vertical="center" wrapText="1"/>
    </xf>
    <xf numFmtId="168" fontId="20" fillId="14" borderId="78" xfId="18" applyNumberFormat="1" applyFont="1" applyFill="1" applyBorder="1" applyAlignment="1">
      <alignment vertical="center" wrapText="1"/>
    </xf>
    <xf numFmtId="168" fontId="19" fillId="10" borderId="39" xfId="18" applyNumberFormat="1" applyFont="1" applyFill="1" applyBorder="1" applyAlignment="1">
      <alignment horizontal="center"/>
    </xf>
    <xf numFmtId="168" fontId="19" fillId="10" borderId="78" xfId="18" applyNumberFormat="1" applyFont="1" applyFill="1" applyBorder="1" applyAlignment="1">
      <alignment horizontal="center"/>
    </xf>
    <xf numFmtId="168" fontId="19" fillId="10" borderId="45" xfId="18" applyNumberFormat="1" applyFont="1" applyFill="1" applyBorder="1" applyAlignment="1">
      <alignment horizontal="center"/>
    </xf>
    <xf numFmtId="168" fontId="19" fillId="10" borderId="79" xfId="18" applyNumberFormat="1" applyFont="1" applyFill="1" applyBorder="1" applyAlignment="1">
      <alignment horizontal="center"/>
    </xf>
    <xf numFmtId="0" fontId="20" fillId="14" borderId="80" xfId="18" applyFont="1" applyFill="1" applyBorder="1" applyAlignment="1">
      <alignment vertical="center" wrapText="1"/>
    </xf>
    <xf numFmtId="0" fontId="19" fillId="10" borderId="10" xfId="18" quotePrefix="1" applyFont="1" applyFill="1" applyBorder="1" applyAlignment="1">
      <alignment horizontal="center" vertical="center" wrapText="1"/>
    </xf>
    <xf numFmtId="0" fontId="20" fillId="14" borderId="58" xfId="18" applyFont="1" applyFill="1" applyBorder="1" applyAlignment="1">
      <alignment horizontal="center" vertical="center"/>
    </xf>
    <xf numFmtId="0" fontId="20" fillId="10" borderId="10" xfId="18" applyFont="1" applyFill="1" applyBorder="1"/>
    <xf numFmtId="0" fontId="19" fillId="0" borderId="5" xfId="18" applyFont="1" applyBorder="1" applyAlignment="1">
      <alignment horizontal="center" vertical="center" wrapText="1"/>
    </xf>
    <xf numFmtId="0" fontId="19" fillId="10" borderId="82" xfId="18" applyFont="1" applyFill="1" applyBorder="1" applyAlignment="1">
      <alignment horizontal="center" vertical="center" wrapText="1"/>
    </xf>
    <xf numFmtId="0" fontId="20" fillId="14" borderId="83" xfId="18" applyFont="1" applyFill="1" applyBorder="1" applyAlignment="1">
      <alignment horizontal="center" vertical="center"/>
    </xf>
    <xf numFmtId="168" fontId="19" fillId="10" borderId="21" xfId="18" applyNumberFormat="1" applyFont="1" applyFill="1" applyBorder="1" applyAlignment="1">
      <alignment horizontal="center" vertical="center"/>
    </xf>
    <xf numFmtId="168" fontId="19" fillId="14" borderId="21" xfId="18" applyNumberFormat="1" applyFont="1" applyFill="1" applyBorder="1" applyAlignment="1">
      <alignment horizontal="center" vertical="center"/>
    </xf>
    <xf numFmtId="168" fontId="20" fillId="14" borderId="21" xfId="18" applyNumberFormat="1" applyFont="1" applyFill="1" applyBorder="1" applyAlignment="1">
      <alignment horizontal="center" vertical="center" wrapText="1"/>
    </xf>
    <xf numFmtId="168" fontId="19" fillId="10" borderId="44" xfId="18" applyNumberFormat="1" applyFont="1" applyFill="1" applyBorder="1" applyAlignment="1">
      <alignment horizontal="center" vertical="center"/>
    </xf>
    <xf numFmtId="0" fontId="20" fillId="14" borderId="21" xfId="18" applyFont="1" applyFill="1" applyBorder="1" applyAlignment="1">
      <alignment vertical="center" wrapText="1"/>
    </xf>
    <xf numFmtId="168" fontId="19" fillId="10" borderId="79" xfId="18" applyNumberFormat="1" applyFont="1" applyFill="1" applyBorder="1" applyAlignment="1">
      <alignment horizontal="center" vertical="center"/>
    </xf>
    <xf numFmtId="0" fontId="19" fillId="0" borderId="15" xfId="18" applyFont="1" applyBorder="1" applyAlignment="1">
      <alignment horizontal="center" vertical="center" wrapText="1"/>
    </xf>
    <xf numFmtId="0" fontId="19" fillId="10" borderId="77" xfId="18" applyFont="1" applyFill="1" applyBorder="1" applyAlignment="1">
      <alignment horizontal="center" vertical="center" wrapText="1"/>
    </xf>
    <xf numFmtId="0" fontId="20" fillId="14" borderId="81" xfId="18" applyFont="1" applyFill="1" applyBorder="1" applyAlignment="1">
      <alignment horizontal="center" vertical="center"/>
    </xf>
    <xf numFmtId="0" fontId="20" fillId="14" borderId="78" xfId="18" applyFont="1" applyFill="1" applyBorder="1" applyAlignment="1">
      <alignment vertical="center" wrapText="1"/>
    </xf>
    <xf numFmtId="0" fontId="19" fillId="10" borderId="84" xfId="18" applyFont="1" applyFill="1" applyBorder="1" applyAlignment="1">
      <alignment horizontal="center" vertical="center" wrapText="1"/>
    </xf>
    <xf numFmtId="0" fontId="20" fillId="14" borderId="70" xfId="18" applyFont="1" applyFill="1" applyBorder="1" applyAlignment="1">
      <alignment horizontal="center" vertical="center"/>
    </xf>
    <xf numFmtId="0" fontId="19" fillId="10" borderId="75" xfId="18" applyFont="1" applyFill="1" applyBorder="1" applyAlignment="1">
      <alignment horizontal="center" vertical="center"/>
    </xf>
    <xf numFmtId="0" fontId="20" fillId="10" borderId="6" xfId="18" applyFont="1" applyFill="1" applyBorder="1" applyAlignment="1">
      <alignment horizontal="center"/>
    </xf>
    <xf numFmtId="0" fontId="20" fillId="10" borderId="7" xfId="18" applyFont="1" applyFill="1" applyBorder="1" applyAlignment="1">
      <alignment horizontal="center"/>
    </xf>
    <xf numFmtId="0" fontId="19" fillId="10" borderId="6" xfId="18" applyFont="1" applyFill="1" applyBorder="1" applyAlignment="1">
      <alignment horizontal="center" vertical="center"/>
    </xf>
    <xf numFmtId="168" fontId="20" fillId="14" borderId="19" xfId="18" applyNumberFormat="1" applyFont="1" applyFill="1" applyBorder="1" applyAlignment="1">
      <alignment vertical="center" wrapText="1"/>
    </xf>
    <xf numFmtId="168" fontId="19" fillId="10" borderId="19" xfId="18" applyNumberFormat="1" applyFont="1" applyFill="1" applyBorder="1" applyAlignment="1">
      <alignment horizontal="center"/>
    </xf>
    <xf numFmtId="168" fontId="19" fillId="10" borderId="60" xfId="18" applyNumberFormat="1" applyFont="1" applyFill="1" applyBorder="1" applyAlignment="1">
      <alignment horizontal="center"/>
    </xf>
    <xf numFmtId="0" fontId="20" fillId="0" borderId="71" xfId="18" applyFont="1" applyBorder="1" applyAlignment="1">
      <alignment horizontal="center" vertical="center"/>
    </xf>
    <xf numFmtId="44" fontId="6" fillId="10" borderId="5" xfId="2" applyFont="1" applyFill="1" applyBorder="1" applyAlignment="1">
      <alignment horizontal="center" vertical="center"/>
    </xf>
    <xf numFmtId="165" fontId="9" fillId="10" borderId="5" xfId="0" applyNumberFormat="1" applyFont="1" applyFill="1" applyBorder="1" applyAlignment="1">
      <alignment horizontal="center" vertical="center" wrapText="1"/>
    </xf>
    <xf numFmtId="3" fontId="9" fillId="10" borderId="5" xfId="0" applyNumberFormat="1" applyFont="1" applyFill="1" applyBorder="1" applyAlignment="1">
      <alignment horizontal="center" vertical="center" wrapText="1"/>
    </xf>
    <xf numFmtId="167" fontId="9" fillId="10" borderId="5" xfId="0" applyNumberFormat="1" applyFont="1" applyFill="1" applyBorder="1" applyAlignment="1">
      <alignment horizontal="center" vertical="center" wrapText="1"/>
    </xf>
    <xf numFmtId="43" fontId="9" fillId="10" borderId="5" xfId="1" applyFont="1" applyFill="1" applyBorder="1" applyAlignment="1">
      <alignment horizontal="center" vertical="center" wrapText="1"/>
    </xf>
    <xf numFmtId="167" fontId="9" fillId="10" borderId="5" xfId="6" applyNumberFormat="1" applyFont="1" applyFill="1" applyBorder="1" applyAlignment="1">
      <alignment horizontal="center" vertical="center"/>
    </xf>
    <xf numFmtId="169" fontId="9" fillId="10" borderId="5" xfId="0" applyNumberFormat="1" applyFont="1" applyFill="1" applyBorder="1" applyAlignment="1">
      <alignment horizontal="center" vertical="center" wrapText="1"/>
    </xf>
    <xf numFmtId="169" fontId="9" fillId="10" borderId="5" xfId="6" applyNumberFormat="1" applyFont="1" applyFill="1" applyBorder="1" applyAlignment="1">
      <alignment horizontal="center" vertical="center"/>
    </xf>
    <xf numFmtId="3" fontId="11" fillId="10" borderId="6" xfId="0" applyNumberFormat="1" applyFont="1" applyFill="1" applyBorder="1" applyAlignment="1">
      <alignment horizontal="left" vertical="center" wrapText="1"/>
    </xf>
    <xf numFmtId="44" fontId="63" fillId="15" borderId="5" xfId="2" applyFont="1" applyFill="1" applyBorder="1" applyAlignment="1">
      <alignment horizontal="center" vertical="center"/>
    </xf>
    <xf numFmtId="0" fontId="11" fillId="15" borderId="5" xfId="0" applyFont="1" applyFill="1" applyBorder="1" applyAlignment="1">
      <alignment horizontal="right" vertical="center"/>
    </xf>
    <xf numFmtId="43" fontId="11" fillId="15" borderId="16" xfId="0" applyNumberFormat="1" applyFont="1" applyFill="1" applyBorder="1" applyAlignment="1">
      <alignment vertical="center"/>
    </xf>
    <xf numFmtId="0" fontId="9" fillId="15" borderId="16" xfId="0" applyFont="1" applyFill="1" applyBorder="1" applyAlignment="1">
      <alignment vertical="center"/>
    </xf>
    <xf numFmtId="44" fontId="11" fillId="15" borderId="16" xfId="0" applyNumberFormat="1" applyFont="1" applyFill="1" applyBorder="1" applyAlignment="1">
      <alignment vertical="center"/>
    </xf>
    <xf numFmtId="0" fontId="19" fillId="0" borderId="12" xfId="18" applyFont="1" applyBorder="1" applyAlignment="1">
      <alignment horizontal="center" vertical="center" wrapText="1"/>
    </xf>
    <xf numFmtId="0" fontId="20" fillId="14" borderId="74" xfId="18" applyFont="1" applyFill="1" applyBorder="1" applyAlignment="1">
      <alignment horizontal="center" vertical="center"/>
    </xf>
    <xf numFmtId="0" fontId="48" fillId="15" borderId="39" xfId="37" applyFont="1" applyFill="1" applyBorder="1" applyAlignment="1">
      <alignment horizontal="center" vertical="center"/>
    </xf>
    <xf numFmtId="0" fontId="48" fillId="15" borderId="13" xfId="37" applyFont="1" applyFill="1" applyBorder="1" applyAlignment="1">
      <alignment horizontal="center" vertical="center"/>
    </xf>
    <xf numFmtId="0" fontId="48" fillId="15" borderId="21" xfId="37" applyFont="1" applyFill="1" applyBorder="1" applyAlignment="1">
      <alignment horizontal="center" vertical="center"/>
    </xf>
    <xf numFmtId="39" fontId="20" fillId="10" borderId="0" xfId="36" applyNumberFormat="1" applyFont="1" applyFill="1" applyAlignment="1">
      <alignment horizontal="center" vertical="center"/>
    </xf>
    <xf numFmtId="0" fontId="34" fillId="10" borderId="0" xfId="37" applyFont="1" applyFill="1" applyAlignment="1">
      <alignment horizontal="center" vertical="center"/>
    </xf>
    <xf numFmtId="39" fontId="31" fillId="10" borderId="0" xfId="36" quotePrefix="1" applyNumberFormat="1" applyFont="1" applyFill="1" applyAlignment="1">
      <alignment horizontal="center" vertical="center"/>
    </xf>
    <xf numFmtId="39" fontId="31" fillId="10" borderId="0" xfId="36" applyNumberFormat="1" applyFont="1" applyFill="1" applyAlignment="1">
      <alignment horizontal="center" vertical="center"/>
    </xf>
    <xf numFmtId="39" fontId="32" fillId="10" borderId="0" xfId="36" quotePrefix="1" applyNumberFormat="1" applyFont="1" applyFill="1" applyAlignment="1">
      <alignment horizontal="center" vertical="center"/>
    </xf>
    <xf numFmtId="39" fontId="32" fillId="10" borderId="0" xfId="36" applyNumberFormat="1" applyFont="1" applyFill="1" applyAlignment="1">
      <alignment horizontal="center" vertical="center"/>
    </xf>
    <xf numFmtId="3" fontId="6" fillId="7" borderId="6" xfId="0" applyNumberFormat="1" applyFont="1" applyFill="1" applyBorder="1" applyAlignment="1">
      <alignment horizontal="center" vertical="center" wrapText="1"/>
    </xf>
    <xf numFmtId="3" fontId="6" fillId="7" borderId="10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/>
    </xf>
    <xf numFmtId="3" fontId="6" fillId="7" borderId="10" xfId="0" applyNumberFormat="1" applyFont="1" applyFill="1" applyBorder="1" applyAlignment="1">
      <alignment horizontal="center" vertical="center"/>
    </xf>
    <xf numFmtId="0" fontId="14" fillId="12" borderId="4" xfId="3" applyFont="1" applyFill="1" applyBorder="1" applyAlignment="1">
      <alignment horizontal="center" vertical="center"/>
    </xf>
    <xf numFmtId="0" fontId="14" fillId="5" borderId="4" xfId="3" applyFont="1" applyFill="1" applyBorder="1" applyAlignment="1">
      <alignment horizontal="center" vertical="center"/>
    </xf>
    <xf numFmtId="0" fontId="15" fillId="12" borderId="0" xfId="3" applyFont="1" applyFill="1" applyBorder="1" applyAlignment="1">
      <alignment horizontal="center" vertical="center" wrapText="1"/>
    </xf>
    <xf numFmtId="0" fontId="15" fillId="12" borderId="9" xfId="3" applyFont="1" applyFill="1" applyBorder="1" applyAlignment="1">
      <alignment horizontal="center" vertical="center" wrapText="1"/>
    </xf>
    <xf numFmtId="0" fontId="15" fillId="5" borderId="0" xfId="3" applyFont="1" applyFill="1" applyBorder="1" applyAlignment="1">
      <alignment horizontal="center" vertical="center" wrapText="1"/>
    </xf>
    <xf numFmtId="0" fontId="15" fillId="5" borderId="8" xfId="3" applyFont="1" applyFill="1" applyBorder="1" applyAlignment="1">
      <alignment horizontal="center" vertical="center" wrapText="1"/>
    </xf>
    <xf numFmtId="0" fontId="19" fillId="10" borderId="0" xfId="18" applyFont="1" applyFill="1" applyAlignment="1">
      <alignment horizontal="center" vertical="center" wrapText="1"/>
    </xf>
    <xf numFmtId="0" fontId="19" fillId="0" borderId="15" xfId="18" quotePrefix="1" applyFont="1" applyBorder="1" applyAlignment="1">
      <alignment horizontal="center" vertical="center" wrapText="1"/>
    </xf>
    <xf numFmtId="0" fontId="19" fillId="0" borderId="17" xfId="18" quotePrefix="1" applyFont="1" applyBorder="1" applyAlignment="1">
      <alignment horizontal="center" vertical="center" wrapText="1"/>
    </xf>
    <xf numFmtId="43" fontId="20" fillId="10" borderId="0" xfId="1" applyFont="1" applyFill="1" applyBorder="1" applyAlignment="1" applyProtection="1">
      <alignment horizontal="center" vertical="center" wrapText="1"/>
    </xf>
    <xf numFmtId="0" fontId="20" fillId="10" borderId="15" xfId="18" applyFont="1" applyFill="1" applyBorder="1" applyAlignment="1">
      <alignment horizontal="center" vertical="center" wrapText="1"/>
    </xf>
    <xf numFmtId="0" fontId="20" fillId="10" borderId="16" xfId="18" applyFont="1" applyFill="1" applyBorder="1" applyAlignment="1">
      <alignment horizontal="center" vertical="center" wrapText="1"/>
    </xf>
    <xf numFmtId="0" fontId="20" fillId="10" borderId="17" xfId="18" applyFont="1" applyFill="1" applyBorder="1" applyAlignment="1">
      <alignment horizontal="center" vertical="center" wrapText="1"/>
    </xf>
    <xf numFmtId="0" fontId="20" fillId="10" borderId="7" xfId="18" applyFont="1" applyFill="1" applyBorder="1" applyAlignment="1">
      <alignment horizontal="left" wrapText="1"/>
    </xf>
    <xf numFmtId="0" fontId="20" fillId="13" borderId="15" xfId="18" applyFont="1" applyFill="1" applyBorder="1" applyAlignment="1">
      <alignment horizontal="center" vertical="center" wrapText="1"/>
    </xf>
    <xf numFmtId="0" fontId="20" fillId="13" borderId="16" xfId="18" applyFont="1" applyFill="1" applyBorder="1" applyAlignment="1">
      <alignment horizontal="center" vertical="center" wrapText="1"/>
    </xf>
    <xf numFmtId="0" fontId="20" fillId="13" borderId="17" xfId="18" applyFont="1" applyFill="1" applyBorder="1" applyAlignment="1">
      <alignment horizontal="center" vertical="center" wrapText="1"/>
    </xf>
    <xf numFmtId="0" fontId="20" fillId="10" borderId="6" xfId="18" applyFont="1" applyFill="1" applyBorder="1" applyAlignment="1">
      <alignment horizontal="left" wrapText="1"/>
    </xf>
    <xf numFmtId="0" fontId="20" fillId="10" borderId="10" xfId="18" applyFont="1" applyFill="1" applyBorder="1" applyAlignment="1">
      <alignment horizontal="left" wrapText="1"/>
    </xf>
    <xf numFmtId="0" fontId="20" fillId="10" borderId="0" xfId="18" applyFont="1" applyFill="1" applyAlignment="1">
      <alignment horizontal="center" vertical="center" wrapText="1"/>
    </xf>
    <xf numFmtId="43" fontId="20" fillId="13" borderId="5" xfId="1" applyFont="1" applyFill="1" applyBorder="1" applyAlignment="1" applyProtection="1">
      <alignment horizontal="center" vertical="center" wrapText="1"/>
    </xf>
    <xf numFmtId="0" fontId="20" fillId="10" borderId="6" xfId="18" applyFont="1" applyFill="1" applyBorder="1" applyAlignment="1">
      <alignment horizontal="center"/>
    </xf>
    <xf numFmtId="0" fontId="20" fillId="10" borderId="7" xfId="18" applyFont="1" applyFill="1" applyBorder="1" applyAlignment="1">
      <alignment horizontal="center"/>
    </xf>
    <xf numFmtId="0" fontId="20" fillId="10" borderId="10" xfId="18" applyFont="1" applyFill="1" applyBorder="1" applyAlignment="1">
      <alignment horizontal="center"/>
    </xf>
    <xf numFmtId="0" fontId="20" fillId="10" borderId="6" xfId="18" applyFont="1" applyFill="1" applyBorder="1" applyAlignment="1">
      <alignment horizontal="center" wrapText="1"/>
    </xf>
    <xf numFmtId="0" fontId="20" fillId="10" borderId="7" xfId="18" applyFont="1" applyFill="1" applyBorder="1" applyAlignment="1">
      <alignment horizontal="center" wrapText="1"/>
    </xf>
    <xf numFmtId="0" fontId="20" fillId="10" borderId="10" xfId="18" applyFont="1" applyFill="1" applyBorder="1" applyAlignment="1">
      <alignment horizontal="center" wrapText="1"/>
    </xf>
  </cellXfs>
  <cellStyles count="38">
    <cellStyle name="Comma" xfId="1" builtinId="3"/>
    <cellStyle name="Comma 2" xfId="7" xr:uid="{00000000-0005-0000-0000-000001000000}"/>
    <cellStyle name="Comma 2 2" xfId="15" xr:uid="{00000000-0005-0000-0000-000002000000}"/>
    <cellStyle name="Comma 2 2 2" xfId="27" xr:uid="{00000000-0005-0000-0000-000003000000}"/>
    <cellStyle name="Comma 2 2 2 2" xfId="33" xr:uid="{00000000-0005-0000-0000-000004000000}"/>
    <cellStyle name="Comma 2 2 3" xfId="29" xr:uid="{00000000-0005-0000-0000-000005000000}"/>
    <cellStyle name="Comma 2 3" xfId="24" xr:uid="{00000000-0005-0000-0000-000006000000}"/>
    <cellStyle name="Comma 2 3 2" xfId="30" xr:uid="{00000000-0005-0000-0000-000007000000}"/>
    <cellStyle name="Comma 2 4" xfId="28" xr:uid="{00000000-0005-0000-0000-000008000000}"/>
    <cellStyle name="Comma 3" xfId="12" xr:uid="{00000000-0005-0000-0000-000009000000}"/>
    <cellStyle name="Comma 3 2" xfId="26" xr:uid="{00000000-0005-0000-0000-00000A000000}"/>
    <cellStyle name="Comma 3 2 2" xfId="32" xr:uid="{00000000-0005-0000-0000-00000B000000}"/>
    <cellStyle name="Comma 4" xfId="8" xr:uid="{00000000-0005-0000-0000-00000C000000}"/>
    <cellStyle name="Comma 4 2" xfId="25" xr:uid="{00000000-0005-0000-0000-00000D000000}"/>
    <cellStyle name="Comma 4 2 2" xfId="31" xr:uid="{00000000-0005-0000-0000-00000E000000}"/>
    <cellStyle name="Comma 5" xfId="35" xr:uid="{00000000-0005-0000-0000-00000F000000}"/>
    <cellStyle name="Currency" xfId="2" builtinId="4"/>
    <cellStyle name="Currency 2" xfId="13" xr:uid="{00000000-0005-0000-0000-000011000000}"/>
    <cellStyle name="Currency 3" xfId="9" xr:uid="{00000000-0005-0000-0000-000012000000}"/>
    <cellStyle name="Hyperlink" xfId="5" builtinId="8"/>
    <cellStyle name="Normal" xfId="0" builtinId="0"/>
    <cellStyle name="Normal 2" xfId="14" xr:uid="{00000000-0005-0000-0000-000015000000}"/>
    <cellStyle name="Normal 2 2" xfId="16" xr:uid="{00000000-0005-0000-0000-000016000000}"/>
    <cellStyle name="Normal 2 3" xfId="6" xr:uid="{00000000-0005-0000-0000-000017000000}"/>
    <cellStyle name="Normal 2 4" xfId="34" xr:uid="{00000000-0005-0000-0000-000018000000}"/>
    <cellStyle name="Normal 3" xfId="17" xr:uid="{00000000-0005-0000-0000-000019000000}"/>
    <cellStyle name="Normal 3 2" xfId="18" xr:uid="{00000000-0005-0000-0000-00001A000000}"/>
    <cellStyle name="Normal 4" xfId="19" xr:uid="{00000000-0005-0000-0000-00001B000000}"/>
    <cellStyle name="Normal 4 2" xfId="11" xr:uid="{00000000-0005-0000-0000-00001C000000}"/>
    <cellStyle name="Normal 4 3" xfId="20" xr:uid="{00000000-0005-0000-0000-00001D000000}"/>
    <cellStyle name="Normal 5" xfId="21" xr:uid="{00000000-0005-0000-0000-00001E000000}"/>
    <cellStyle name="Normal 6" xfId="22" xr:uid="{00000000-0005-0000-0000-00001F000000}"/>
    <cellStyle name="Normal_sanyo denki (new).ew" xfId="36" xr:uid="{00000000-0005-0000-0000-000020000000}"/>
    <cellStyle name="Normal_sANYO -SITE $ummary" xfId="37" xr:uid="{00000000-0005-0000-0000-000021000000}"/>
    <cellStyle name="Note" xfId="4" builtinId="10"/>
    <cellStyle name="Note 2" xfId="10" xr:uid="{00000000-0005-0000-0000-000023000000}"/>
    <cellStyle name="Note 3" xfId="23" xr:uid="{00000000-0005-0000-0000-000024000000}"/>
    <cellStyle name="Output" xfId="3" builtinId="21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IME3/Desktop/Vintage%20Stonetrace/Equipment%20Schedule%20-%20VINTAGE%20STONETRACE%20APARTMENTS%206.30.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TER DYNAMIC LIST"/>
      <sheetName val="PTAC DYNAMIC LIST"/>
      <sheetName val="1 BLDG. SCH."/>
      <sheetName val="2 APTS EQUIP. SCH."/>
      <sheetName val="3 COMM. AREA &amp; CORR EQUIP. "/>
      <sheetName val="4 MINI SPLIT"/>
      <sheetName val="PTAC"/>
      <sheetName val="5 UNIT TYP. DEATILS"/>
      <sheetName val="THERMOSTAT DYNAMIC LIST"/>
      <sheetName val="FAN DYNAMIC LIST"/>
      <sheetName val="MINI SPLIT DYNAMIC LIST"/>
      <sheetName val="EQUIPMENT DYNAMIC LIST"/>
      <sheetName val="Sheet2"/>
      <sheetName val="6 EXT FAN SCH"/>
      <sheetName val="7 ELEC HTR SCH"/>
      <sheetName val="8 WALL CAP"/>
      <sheetName val="9 LOUVER "/>
      <sheetName val="9 DRYER BOX"/>
      <sheetName val="10 FLT SW SCH"/>
      <sheetName val="11 GRILLES"/>
      <sheetName val="12 RAD DMP"/>
      <sheetName val="MECH NOTES"/>
      <sheetName val="Sheet1"/>
    </sheetNames>
    <sheetDataSet>
      <sheetData sheetId="0">
        <row r="2">
          <cell r="Q2">
            <v>0</v>
          </cell>
        </row>
        <row r="3">
          <cell r="Q3">
            <v>0</v>
          </cell>
        </row>
        <row r="4">
          <cell r="Q4">
            <v>0</v>
          </cell>
        </row>
        <row r="5">
          <cell r="Q5">
            <v>0</v>
          </cell>
        </row>
        <row r="6">
          <cell r="Q6">
            <v>0</v>
          </cell>
        </row>
        <row r="7">
          <cell r="Q7">
            <v>0</v>
          </cell>
        </row>
        <row r="8">
          <cell r="Q8">
            <v>0</v>
          </cell>
        </row>
        <row r="9">
          <cell r="Q9">
            <v>0</v>
          </cell>
        </row>
        <row r="10">
          <cell r="Q10">
            <v>0</v>
          </cell>
        </row>
        <row r="11">
          <cell r="Q11">
            <v>0</v>
          </cell>
        </row>
        <row r="12">
          <cell r="Q12">
            <v>0</v>
          </cell>
        </row>
        <row r="13">
          <cell r="Q13">
            <v>0</v>
          </cell>
        </row>
        <row r="14">
          <cell r="Q14">
            <v>0</v>
          </cell>
        </row>
        <row r="15">
          <cell r="Q15">
            <v>0</v>
          </cell>
        </row>
        <row r="16">
          <cell r="Q16">
            <v>0</v>
          </cell>
        </row>
        <row r="17">
          <cell r="Q17">
            <v>0</v>
          </cell>
        </row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  <row r="21">
          <cell r="Q21">
            <v>0</v>
          </cell>
        </row>
        <row r="22">
          <cell r="Q22">
            <v>0</v>
          </cell>
        </row>
        <row r="23">
          <cell r="Q23">
            <v>0</v>
          </cell>
        </row>
        <row r="24">
          <cell r="Q24">
            <v>0</v>
          </cell>
        </row>
        <row r="25">
          <cell r="Q25">
            <v>0</v>
          </cell>
        </row>
        <row r="26">
          <cell r="Q26">
            <v>0</v>
          </cell>
        </row>
        <row r="27">
          <cell r="Q27">
            <v>0</v>
          </cell>
        </row>
        <row r="28">
          <cell r="Q28">
            <v>0</v>
          </cell>
        </row>
        <row r="29">
          <cell r="Q29">
            <v>0</v>
          </cell>
        </row>
        <row r="30">
          <cell r="Q30">
            <v>0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  <row r="34">
          <cell r="Q34">
            <v>0</v>
          </cell>
        </row>
        <row r="35">
          <cell r="Q35">
            <v>0</v>
          </cell>
        </row>
        <row r="36">
          <cell r="Q36">
            <v>0</v>
          </cell>
        </row>
        <row r="37">
          <cell r="Q37">
            <v>0</v>
          </cell>
        </row>
        <row r="38">
          <cell r="Q38">
            <v>0</v>
          </cell>
        </row>
        <row r="39">
          <cell r="Q39">
            <v>0</v>
          </cell>
        </row>
        <row r="40">
          <cell r="Q40">
            <v>0</v>
          </cell>
        </row>
        <row r="41">
          <cell r="Q41">
            <v>0</v>
          </cell>
        </row>
        <row r="42">
          <cell r="Q42">
            <v>0</v>
          </cell>
        </row>
        <row r="43">
          <cell r="Q43">
            <v>0</v>
          </cell>
        </row>
        <row r="44">
          <cell r="Q44">
            <v>0</v>
          </cell>
        </row>
        <row r="45">
          <cell r="Q45">
            <v>0</v>
          </cell>
        </row>
        <row r="46">
          <cell r="Q46">
            <v>0</v>
          </cell>
        </row>
        <row r="47">
          <cell r="Q47">
            <v>0</v>
          </cell>
        </row>
        <row r="48">
          <cell r="Q48">
            <v>0</v>
          </cell>
        </row>
        <row r="49">
          <cell r="Q49">
            <v>0</v>
          </cell>
        </row>
        <row r="50">
          <cell r="Q50">
            <v>0</v>
          </cell>
        </row>
        <row r="51">
          <cell r="Q51">
            <v>0</v>
          </cell>
        </row>
        <row r="52">
          <cell r="Q52">
            <v>0</v>
          </cell>
        </row>
        <row r="53">
          <cell r="Q53">
            <v>0</v>
          </cell>
        </row>
        <row r="54">
          <cell r="Q54">
            <v>0</v>
          </cell>
        </row>
        <row r="55">
          <cell r="Q55">
            <v>0</v>
          </cell>
        </row>
        <row r="56">
          <cell r="Q56">
            <v>0</v>
          </cell>
        </row>
        <row r="57">
          <cell r="Q57">
            <v>0</v>
          </cell>
        </row>
        <row r="58">
          <cell r="Q58">
            <v>0</v>
          </cell>
        </row>
        <row r="59">
          <cell r="Q59">
            <v>0</v>
          </cell>
        </row>
        <row r="60">
          <cell r="Q60">
            <v>0</v>
          </cell>
        </row>
        <row r="61">
          <cell r="Q61">
            <v>0</v>
          </cell>
        </row>
        <row r="62">
          <cell r="Q62">
            <v>0</v>
          </cell>
        </row>
        <row r="63">
          <cell r="Q63">
            <v>0</v>
          </cell>
        </row>
        <row r="64">
          <cell r="Q64">
            <v>0</v>
          </cell>
        </row>
        <row r="65">
          <cell r="Q65">
            <v>0</v>
          </cell>
        </row>
        <row r="66">
          <cell r="Q66">
            <v>0</v>
          </cell>
        </row>
        <row r="67">
          <cell r="Q67">
            <v>0</v>
          </cell>
        </row>
        <row r="68">
          <cell r="Q68">
            <v>0</v>
          </cell>
        </row>
        <row r="69">
          <cell r="Q69">
            <v>0</v>
          </cell>
        </row>
        <row r="70">
          <cell r="Q70">
            <v>0</v>
          </cell>
        </row>
        <row r="71">
          <cell r="Q71">
            <v>0</v>
          </cell>
        </row>
        <row r="72">
          <cell r="Q72">
            <v>0</v>
          </cell>
        </row>
        <row r="73">
          <cell r="Q73">
            <v>0</v>
          </cell>
        </row>
        <row r="74">
          <cell r="Q74">
            <v>0</v>
          </cell>
        </row>
        <row r="75">
          <cell r="Q75">
            <v>0</v>
          </cell>
        </row>
        <row r="76">
          <cell r="Q76">
            <v>0</v>
          </cell>
        </row>
        <row r="77">
          <cell r="Q77">
            <v>0</v>
          </cell>
        </row>
        <row r="78">
          <cell r="Q78">
            <v>0</v>
          </cell>
        </row>
        <row r="79">
          <cell r="Q79">
            <v>0</v>
          </cell>
        </row>
        <row r="80">
          <cell r="Q80">
            <v>0</v>
          </cell>
        </row>
        <row r="81">
          <cell r="Q81">
            <v>0</v>
          </cell>
        </row>
        <row r="82">
          <cell r="Q82">
            <v>0</v>
          </cell>
        </row>
        <row r="83">
          <cell r="Q83">
            <v>0</v>
          </cell>
        </row>
        <row r="84">
          <cell r="Q84">
            <v>0</v>
          </cell>
        </row>
        <row r="85">
          <cell r="Q85">
            <v>0</v>
          </cell>
        </row>
        <row r="86">
          <cell r="Q86">
            <v>0</v>
          </cell>
        </row>
        <row r="87">
          <cell r="Q87">
            <v>0</v>
          </cell>
        </row>
        <row r="88">
          <cell r="Q88">
            <v>0</v>
          </cell>
        </row>
        <row r="89">
          <cell r="Q89">
            <v>0</v>
          </cell>
        </row>
        <row r="90">
          <cell r="Q90">
            <v>0</v>
          </cell>
        </row>
        <row r="91">
          <cell r="Q91">
            <v>0</v>
          </cell>
        </row>
        <row r="92">
          <cell r="Q92">
            <v>0</v>
          </cell>
        </row>
        <row r="93">
          <cell r="Q93">
            <v>0</v>
          </cell>
        </row>
        <row r="94">
          <cell r="Q94">
            <v>0</v>
          </cell>
        </row>
        <row r="95">
          <cell r="Q95">
            <v>0</v>
          </cell>
        </row>
        <row r="96">
          <cell r="Q96">
            <v>0</v>
          </cell>
        </row>
        <row r="97">
          <cell r="Q97">
            <v>0</v>
          </cell>
        </row>
        <row r="98">
          <cell r="Q98">
            <v>0</v>
          </cell>
        </row>
        <row r="99">
          <cell r="Q99">
            <v>0</v>
          </cell>
        </row>
        <row r="100">
          <cell r="Q100">
            <v>0</v>
          </cell>
        </row>
        <row r="101">
          <cell r="Q101">
            <v>0</v>
          </cell>
        </row>
        <row r="102">
          <cell r="Q102">
            <v>0</v>
          </cell>
        </row>
        <row r="103">
          <cell r="Q103">
            <v>0</v>
          </cell>
        </row>
        <row r="104">
          <cell r="Q104">
            <v>0</v>
          </cell>
        </row>
        <row r="105">
          <cell r="Q105">
            <v>0</v>
          </cell>
        </row>
        <row r="106">
          <cell r="Q106">
            <v>0</v>
          </cell>
        </row>
        <row r="107">
          <cell r="Q107">
            <v>0</v>
          </cell>
        </row>
        <row r="108">
          <cell r="Q108">
            <v>0</v>
          </cell>
        </row>
        <row r="109">
          <cell r="Q109">
            <v>0</v>
          </cell>
        </row>
        <row r="110">
          <cell r="Q110">
            <v>0</v>
          </cell>
        </row>
        <row r="111">
          <cell r="Q111">
            <v>0</v>
          </cell>
        </row>
        <row r="112">
          <cell r="Q112">
            <v>0</v>
          </cell>
        </row>
        <row r="113">
          <cell r="Q113">
            <v>0</v>
          </cell>
        </row>
        <row r="114">
          <cell r="Q114">
            <v>0</v>
          </cell>
        </row>
        <row r="115">
          <cell r="Q115">
            <v>0</v>
          </cell>
        </row>
        <row r="116">
          <cell r="Q116">
            <v>0</v>
          </cell>
        </row>
        <row r="117">
          <cell r="Q117">
            <v>0</v>
          </cell>
        </row>
        <row r="118">
          <cell r="Q118">
            <v>0</v>
          </cell>
        </row>
        <row r="119">
          <cell r="Q119">
            <v>0</v>
          </cell>
        </row>
        <row r="120">
          <cell r="Q120">
            <v>0</v>
          </cell>
        </row>
        <row r="121">
          <cell r="Q121">
            <v>0</v>
          </cell>
        </row>
        <row r="122">
          <cell r="Q122">
            <v>0</v>
          </cell>
        </row>
        <row r="123">
          <cell r="Q123">
            <v>0</v>
          </cell>
        </row>
        <row r="124">
          <cell r="Q124">
            <v>0</v>
          </cell>
        </row>
        <row r="125">
          <cell r="Q125">
            <v>0</v>
          </cell>
        </row>
        <row r="126">
          <cell r="Q126">
            <v>0</v>
          </cell>
        </row>
        <row r="127">
          <cell r="Q127">
            <v>0</v>
          </cell>
        </row>
        <row r="128">
          <cell r="Q128">
            <v>0</v>
          </cell>
        </row>
        <row r="129">
          <cell r="Q129">
            <v>0</v>
          </cell>
        </row>
        <row r="130">
          <cell r="Q130">
            <v>0</v>
          </cell>
        </row>
        <row r="131">
          <cell r="Q131">
            <v>0</v>
          </cell>
        </row>
        <row r="132">
          <cell r="Q132">
            <v>0</v>
          </cell>
        </row>
        <row r="133">
          <cell r="Q133">
            <v>0</v>
          </cell>
        </row>
        <row r="134">
          <cell r="Q134">
            <v>0</v>
          </cell>
        </row>
        <row r="135">
          <cell r="Q135">
            <v>0</v>
          </cell>
        </row>
        <row r="136">
          <cell r="Q136">
            <v>0</v>
          </cell>
        </row>
        <row r="137">
          <cell r="Q137">
            <v>0</v>
          </cell>
        </row>
        <row r="138">
          <cell r="Q138">
            <v>0</v>
          </cell>
        </row>
        <row r="139">
          <cell r="Q139">
            <v>0</v>
          </cell>
        </row>
        <row r="140">
          <cell r="Q140">
            <v>0</v>
          </cell>
        </row>
        <row r="141">
          <cell r="Q141">
            <v>0</v>
          </cell>
        </row>
        <row r="142">
          <cell r="Q142">
            <v>0</v>
          </cell>
        </row>
        <row r="143">
          <cell r="Q143">
            <v>0</v>
          </cell>
        </row>
        <row r="144">
          <cell r="Q144">
            <v>0</v>
          </cell>
        </row>
        <row r="145">
          <cell r="Q145">
            <v>0</v>
          </cell>
        </row>
        <row r="146">
          <cell r="Q146">
            <v>0</v>
          </cell>
        </row>
        <row r="147">
          <cell r="Q147">
            <v>0</v>
          </cell>
        </row>
        <row r="148">
          <cell r="Q148">
            <v>0</v>
          </cell>
        </row>
        <row r="149">
          <cell r="Q149">
            <v>0</v>
          </cell>
        </row>
        <row r="150">
          <cell r="Q150">
            <v>0</v>
          </cell>
        </row>
        <row r="151">
          <cell r="Q151">
            <v>0</v>
          </cell>
        </row>
        <row r="152">
          <cell r="Q152">
            <v>0</v>
          </cell>
        </row>
        <row r="153">
          <cell r="Q153">
            <v>0</v>
          </cell>
        </row>
        <row r="154">
          <cell r="Q154">
            <v>0</v>
          </cell>
        </row>
        <row r="155">
          <cell r="Q155">
            <v>0</v>
          </cell>
        </row>
        <row r="156">
          <cell r="Q156">
            <v>0</v>
          </cell>
        </row>
        <row r="157">
          <cell r="Q157">
            <v>0</v>
          </cell>
        </row>
        <row r="158">
          <cell r="Q158">
            <v>0</v>
          </cell>
        </row>
        <row r="159">
          <cell r="Q159">
            <v>0</v>
          </cell>
        </row>
        <row r="160">
          <cell r="Q160">
            <v>0</v>
          </cell>
        </row>
        <row r="161">
          <cell r="Q161">
            <v>0</v>
          </cell>
        </row>
        <row r="162">
          <cell r="Q162">
            <v>0</v>
          </cell>
        </row>
        <row r="163">
          <cell r="Q163">
            <v>0</v>
          </cell>
        </row>
        <row r="164">
          <cell r="Q164">
            <v>0</v>
          </cell>
        </row>
        <row r="165">
          <cell r="Q165">
            <v>0</v>
          </cell>
        </row>
        <row r="166">
          <cell r="Q166">
            <v>0</v>
          </cell>
        </row>
        <row r="167">
          <cell r="Q167">
            <v>0</v>
          </cell>
        </row>
        <row r="168">
          <cell r="Q168">
            <v>0</v>
          </cell>
        </row>
        <row r="169">
          <cell r="Q169">
            <v>0</v>
          </cell>
        </row>
        <row r="170">
          <cell r="Q170">
            <v>0</v>
          </cell>
        </row>
        <row r="171">
          <cell r="Q171">
            <v>0</v>
          </cell>
        </row>
        <row r="172">
          <cell r="Q172">
            <v>0</v>
          </cell>
        </row>
        <row r="173">
          <cell r="Q173">
            <v>0</v>
          </cell>
        </row>
        <row r="174">
          <cell r="Q174">
            <v>0</v>
          </cell>
        </row>
        <row r="175">
          <cell r="Q175">
            <v>0</v>
          </cell>
        </row>
        <row r="176">
          <cell r="Q176">
            <v>0</v>
          </cell>
        </row>
        <row r="177">
          <cell r="Q177">
            <v>0</v>
          </cell>
        </row>
        <row r="178">
          <cell r="Q178">
            <v>0</v>
          </cell>
        </row>
        <row r="179">
          <cell r="Q179">
            <v>0</v>
          </cell>
        </row>
        <row r="180">
          <cell r="Q180">
            <v>0</v>
          </cell>
        </row>
        <row r="181">
          <cell r="Q181">
            <v>0</v>
          </cell>
        </row>
        <row r="182">
          <cell r="Q182">
            <v>0</v>
          </cell>
        </row>
        <row r="183">
          <cell r="Q183">
            <v>0</v>
          </cell>
        </row>
        <row r="184">
          <cell r="Q184">
            <v>0</v>
          </cell>
        </row>
        <row r="185">
          <cell r="Q185">
            <v>0</v>
          </cell>
        </row>
        <row r="186">
          <cell r="Q186">
            <v>0</v>
          </cell>
        </row>
        <row r="187">
          <cell r="Q187">
            <v>0</v>
          </cell>
        </row>
        <row r="188">
          <cell r="Q188">
            <v>0</v>
          </cell>
        </row>
        <row r="189">
          <cell r="Q189">
            <v>0</v>
          </cell>
        </row>
        <row r="190">
          <cell r="Q190">
            <v>0</v>
          </cell>
        </row>
        <row r="191">
          <cell r="Q191">
            <v>0</v>
          </cell>
        </row>
        <row r="192">
          <cell r="Q192">
            <v>0</v>
          </cell>
        </row>
        <row r="193">
          <cell r="Q193">
            <v>0</v>
          </cell>
        </row>
        <row r="194">
          <cell r="Q194">
            <v>0</v>
          </cell>
        </row>
        <row r="195">
          <cell r="Q195">
            <v>0</v>
          </cell>
        </row>
        <row r="196">
          <cell r="Q196">
            <v>0</v>
          </cell>
        </row>
        <row r="197">
          <cell r="Q197">
            <v>0</v>
          </cell>
        </row>
        <row r="198">
          <cell r="Q198">
            <v>0</v>
          </cell>
        </row>
        <row r="199">
          <cell r="Q199">
            <v>0</v>
          </cell>
        </row>
        <row r="200">
          <cell r="Q200">
            <v>0</v>
          </cell>
        </row>
        <row r="201">
          <cell r="Q201">
            <v>0</v>
          </cell>
        </row>
        <row r="202">
          <cell r="Q202">
            <v>0</v>
          </cell>
        </row>
        <row r="203">
          <cell r="Q203">
            <v>0</v>
          </cell>
        </row>
        <row r="204">
          <cell r="Q204">
            <v>0</v>
          </cell>
        </row>
        <row r="205">
          <cell r="Q205">
            <v>0</v>
          </cell>
        </row>
        <row r="206">
          <cell r="Q206">
            <v>0</v>
          </cell>
        </row>
        <row r="207">
          <cell r="Q207">
            <v>0</v>
          </cell>
        </row>
        <row r="208">
          <cell r="Q208">
            <v>0</v>
          </cell>
        </row>
        <row r="209">
          <cell r="Q209">
            <v>0</v>
          </cell>
        </row>
        <row r="210">
          <cell r="Q210">
            <v>0</v>
          </cell>
        </row>
        <row r="211">
          <cell r="Q211">
            <v>0</v>
          </cell>
        </row>
        <row r="212">
          <cell r="Q212">
            <v>0</v>
          </cell>
        </row>
        <row r="213">
          <cell r="Q213">
            <v>0</v>
          </cell>
        </row>
        <row r="214">
          <cell r="Q214">
            <v>0</v>
          </cell>
        </row>
        <row r="215">
          <cell r="Q215">
            <v>0</v>
          </cell>
        </row>
        <row r="216">
          <cell r="Q216">
            <v>0</v>
          </cell>
        </row>
        <row r="217">
          <cell r="Q217">
            <v>0</v>
          </cell>
        </row>
        <row r="218">
          <cell r="Q218">
            <v>0</v>
          </cell>
        </row>
        <row r="219">
          <cell r="Q219">
            <v>0</v>
          </cell>
        </row>
        <row r="220">
          <cell r="Q220">
            <v>0</v>
          </cell>
        </row>
        <row r="221">
          <cell r="Q221">
            <v>0</v>
          </cell>
        </row>
        <row r="222">
          <cell r="Q222">
            <v>0</v>
          </cell>
        </row>
        <row r="223">
          <cell r="Q223">
            <v>0</v>
          </cell>
        </row>
        <row r="224">
          <cell r="Q224">
            <v>0</v>
          </cell>
        </row>
        <row r="225">
          <cell r="Q225">
            <v>0</v>
          </cell>
        </row>
        <row r="226">
          <cell r="Q226">
            <v>0</v>
          </cell>
        </row>
        <row r="227">
          <cell r="Q227">
            <v>0</v>
          </cell>
        </row>
        <row r="228">
          <cell r="Q228">
            <v>0</v>
          </cell>
        </row>
        <row r="229">
          <cell r="Q229">
            <v>0</v>
          </cell>
        </row>
        <row r="230">
          <cell r="Q230">
            <v>0</v>
          </cell>
        </row>
        <row r="231">
          <cell r="Q231">
            <v>0</v>
          </cell>
        </row>
        <row r="232">
          <cell r="Q232">
            <v>0</v>
          </cell>
        </row>
        <row r="233">
          <cell r="Q233">
            <v>0</v>
          </cell>
        </row>
        <row r="234">
          <cell r="Q234">
            <v>0</v>
          </cell>
        </row>
        <row r="235">
          <cell r="Q235">
            <v>0</v>
          </cell>
        </row>
        <row r="236">
          <cell r="Q236">
            <v>0</v>
          </cell>
        </row>
        <row r="237">
          <cell r="Q237">
            <v>0</v>
          </cell>
        </row>
        <row r="238">
          <cell r="Q238">
            <v>0</v>
          </cell>
        </row>
        <row r="239">
          <cell r="Q239">
            <v>0</v>
          </cell>
        </row>
        <row r="240">
          <cell r="Q240">
            <v>0</v>
          </cell>
        </row>
        <row r="241">
          <cell r="Q241">
            <v>0</v>
          </cell>
        </row>
        <row r="242">
          <cell r="Q242">
            <v>0</v>
          </cell>
        </row>
        <row r="243">
          <cell r="Q243">
            <v>0</v>
          </cell>
        </row>
        <row r="244">
          <cell r="Q244">
            <v>0</v>
          </cell>
        </row>
        <row r="245">
          <cell r="Q245">
            <v>0</v>
          </cell>
        </row>
        <row r="246">
          <cell r="Q246">
            <v>0</v>
          </cell>
        </row>
        <row r="247">
          <cell r="Q247">
            <v>0</v>
          </cell>
        </row>
        <row r="248">
          <cell r="Q248">
            <v>0</v>
          </cell>
        </row>
        <row r="249">
          <cell r="Q249">
            <v>0</v>
          </cell>
        </row>
        <row r="250">
          <cell r="Q250">
            <v>0</v>
          </cell>
        </row>
        <row r="251">
          <cell r="Q251">
            <v>0</v>
          </cell>
        </row>
        <row r="252">
          <cell r="Q252">
            <v>0</v>
          </cell>
        </row>
        <row r="253">
          <cell r="Q253">
            <v>0</v>
          </cell>
        </row>
        <row r="254">
          <cell r="Q254">
            <v>0</v>
          </cell>
        </row>
        <row r="255">
          <cell r="Q255">
            <v>0</v>
          </cell>
        </row>
        <row r="256">
          <cell r="Q256">
            <v>0</v>
          </cell>
        </row>
        <row r="257">
          <cell r="Q257">
            <v>0</v>
          </cell>
        </row>
        <row r="258">
          <cell r="Q258">
            <v>0</v>
          </cell>
        </row>
        <row r="259">
          <cell r="Q259">
            <v>0</v>
          </cell>
        </row>
        <row r="260">
          <cell r="Q260">
            <v>0</v>
          </cell>
        </row>
        <row r="261">
          <cell r="Q261">
            <v>0</v>
          </cell>
        </row>
        <row r="262">
          <cell r="Q262">
            <v>0</v>
          </cell>
        </row>
        <row r="263">
          <cell r="Q263">
            <v>0</v>
          </cell>
        </row>
        <row r="264">
          <cell r="Q264">
            <v>0</v>
          </cell>
        </row>
        <row r="265">
          <cell r="Q265">
            <v>0</v>
          </cell>
        </row>
        <row r="266">
          <cell r="Q266">
            <v>0</v>
          </cell>
        </row>
        <row r="267">
          <cell r="Q267">
            <v>0</v>
          </cell>
        </row>
        <row r="268">
          <cell r="Q268">
            <v>0</v>
          </cell>
        </row>
        <row r="269">
          <cell r="Q269">
            <v>0</v>
          </cell>
        </row>
        <row r="270">
          <cell r="Q270">
            <v>0</v>
          </cell>
        </row>
        <row r="271">
          <cell r="Q271">
            <v>0</v>
          </cell>
        </row>
        <row r="272">
          <cell r="Q272">
            <v>0</v>
          </cell>
        </row>
        <row r="273">
          <cell r="Q273">
            <v>0</v>
          </cell>
        </row>
        <row r="274">
          <cell r="Q274">
            <v>0</v>
          </cell>
        </row>
        <row r="275">
          <cell r="Q275">
            <v>0</v>
          </cell>
        </row>
        <row r="276">
          <cell r="Q276">
            <v>0</v>
          </cell>
        </row>
        <row r="277">
          <cell r="Q277">
            <v>0</v>
          </cell>
        </row>
        <row r="278">
          <cell r="Q278">
            <v>0</v>
          </cell>
        </row>
        <row r="279">
          <cell r="Q279">
            <v>0</v>
          </cell>
        </row>
        <row r="280">
          <cell r="Q280">
            <v>0</v>
          </cell>
        </row>
        <row r="281">
          <cell r="Q281">
            <v>0</v>
          </cell>
        </row>
        <row r="282">
          <cell r="Q282">
            <v>0</v>
          </cell>
        </row>
        <row r="283">
          <cell r="Q283">
            <v>0</v>
          </cell>
        </row>
        <row r="284">
          <cell r="Q284">
            <v>0</v>
          </cell>
        </row>
        <row r="285">
          <cell r="Q285">
            <v>0</v>
          </cell>
        </row>
        <row r="286">
          <cell r="Q286">
            <v>0</v>
          </cell>
        </row>
        <row r="287">
          <cell r="Q287">
            <v>0</v>
          </cell>
        </row>
        <row r="288">
          <cell r="Q288">
            <v>0</v>
          </cell>
        </row>
        <row r="289">
          <cell r="Q289">
            <v>0</v>
          </cell>
        </row>
        <row r="290">
          <cell r="Q290">
            <v>0</v>
          </cell>
        </row>
        <row r="291">
          <cell r="Q291">
            <v>0</v>
          </cell>
        </row>
        <row r="292">
          <cell r="Q292">
            <v>0</v>
          </cell>
        </row>
        <row r="293">
          <cell r="Q293">
            <v>0</v>
          </cell>
        </row>
        <row r="294">
          <cell r="Q294">
            <v>0</v>
          </cell>
        </row>
        <row r="295">
          <cell r="Q295">
            <v>0</v>
          </cell>
        </row>
        <row r="296">
          <cell r="Q296">
            <v>0</v>
          </cell>
        </row>
        <row r="297">
          <cell r="Q297">
            <v>0</v>
          </cell>
        </row>
        <row r="298">
          <cell r="Q298">
            <v>0</v>
          </cell>
        </row>
        <row r="299">
          <cell r="Q299">
            <v>0</v>
          </cell>
        </row>
        <row r="300">
          <cell r="Q300">
            <v>0</v>
          </cell>
        </row>
        <row r="301">
          <cell r="Q301">
            <v>0</v>
          </cell>
        </row>
        <row r="302">
          <cell r="Q302">
            <v>0</v>
          </cell>
        </row>
        <row r="303">
          <cell r="Q303">
            <v>0</v>
          </cell>
        </row>
        <row r="304">
          <cell r="Q304">
            <v>0</v>
          </cell>
        </row>
        <row r="305">
          <cell r="Q305">
            <v>0</v>
          </cell>
        </row>
        <row r="306">
          <cell r="Q306">
            <v>0</v>
          </cell>
        </row>
        <row r="307">
          <cell r="Q307">
            <v>0</v>
          </cell>
        </row>
        <row r="308">
          <cell r="Q308">
            <v>0</v>
          </cell>
        </row>
        <row r="309">
          <cell r="Q309">
            <v>0</v>
          </cell>
        </row>
        <row r="310">
          <cell r="Q310">
            <v>0</v>
          </cell>
        </row>
        <row r="311">
          <cell r="Q311">
            <v>0</v>
          </cell>
        </row>
        <row r="312">
          <cell r="Q312">
            <v>0</v>
          </cell>
        </row>
        <row r="313">
          <cell r="Q313">
            <v>0</v>
          </cell>
        </row>
        <row r="314">
          <cell r="Q314">
            <v>0</v>
          </cell>
        </row>
        <row r="315">
          <cell r="Q315">
            <v>0</v>
          </cell>
        </row>
        <row r="316">
          <cell r="Q316">
            <v>0</v>
          </cell>
        </row>
        <row r="317">
          <cell r="Q317">
            <v>0</v>
          </cell>
        </row>
        <row r="318">
          <cell r="Q318">
            <v>0</v>
          </cell>
        </row>
        <row r="319">
          <cell r="Q319">
            <v>0</v>
          </cell>
        </row>
        <row r="320">
          <cell r="Q320">
            <v>0</v>
          </cell>
        </row>
        <row r="321">
          <cell r="Q321">
            <v>0</v>
          </cell>
        </row>
        <row r="322">
          <cell r="Q322">
            <v>0</v>
          </cell>
        </row>
        <row r="323">
          <cell r="Q323">
            <v>0</v>
          </cell>
        </row>
        <row r="324">
          <cell r="Q324">
            <v>0</v>
          </cell>
        </row>
        <row r="325">
          <cell r="Q325">
            <v>0</v>
          </cell>
        </row>
        <row r="326">
          <cell r="Q326">
            <v>0</v>
          </cell>
        </row>
        <row r="327">
          <cell r="Q327">
            <v>0</v>
          </cell>
        </row>
        <row r="328">
          <cell r="Q328">
            <v>0</v>
          </cell>
        </row>
        <row r="329">
          <cell r="Q329">
            <v>0</v>
          </cell>
        </row>
        <row r="330">
          <cell r="Q330">
            <v>0</v>
          </cell>
        </row>
        <row r="331">
          <cell r="Q331">
            <v>0</v>
          </cell>
        </row>
        <row r="332">
          <cell r="Q332">
            <v>0</v>
          </cell>
        </row>
        <row r="333">
          <cell r="Q333">
            <v>0</v>
          </cell>
        </row>
        <row r="334">
          <cell r="Q334">
            <v>0</v>
          </cell>
        </row>
        <row r="335">
          <cell r="Q335">
            <v>0</v>
          </cell>
        </row>
        <row r="336">
          <cell r="Q336">
            <v>0</v>
          </cell>
        </row>
        <row r="337">
          <cell r="Q337">
            <v>0</v>
          </cell>
        </row>
        <row r="338">
          <cell r="Q338">
            <v>0</v>
          </cell>
        </row>
        <row r="339">
          <cell r="Q339">
            <v>0</v>
          </cell>
        </row>
        <row r="340">
          <cell r="Q340">
            <v>0</v>
          </cell>
        </row>
        <row r="341">
          <cell r="Q341">
            <v>0</v>
          </cell>
        </row>
        <row r="342">
          <cell r="Q342">
            <v>0</v>
          </cell>
        </row>
        <row r="343">
          <cell r="Q343">
            <v>0</v>
          </cell>
        </row>
        <row r="344">
          <cell r="Q344">
            <v>0</v>
          </cell>
        </row>
        <row r="345">
          <cell r="Q345">
            <v>0</v>
          </cell>
        </row>
        <row r="346">
          <cell r="Q346">
            <v>0</v>
          </cell>
        </row>
        <row r="347">
          <cell r="Q347">
            <v>0</v>
          </cell>
        </row>
        <row r="348">
          <cell r="Q348">
            <v>0</v>
          </cell>
        </row>
        <row r="349">
          <cell r="Q349">
            <v>0</v>
          </cell>
        </row>
        <row r="350">
          <cell r="Q350">
            <v>0</v>
          </cell>
        </row>
        <row r="351">
          <cell r="Q351">
            <v>0</v>
          </cell>
        </row>
        <row r="352">
          <cell r="Q352">
            <v>0</v>
          </cell>
        </row>
        <row r="353">
          <cell r="Q353">
            <v>0</v>
          </cell>
        </row>
        <row r="354">
          <cell r="Q354">
            <v>0</v>
          </cell>
        </row>
        <row r="355">
          <cell r="Q355">
            <v>0</v>
          </cell>
        </row>
        <row r="356">
          <cell r="Q356">
            <v>0</v>
          </cell>
        </row>
        <row r="357">
          <cell r="Q357">
            <v>0</v>
          </cell>
        </row>
        <row r="358">
          <cell r="Q358">
            <v>0</v>
          </cell>
        </row>
        <row r="359">
          <cell r="Q359">
            <v>0</v>
          </cell>
        </row>
        <row r="360">
          <cell r="Q360">
            <v>0</v>
          </cell>
        </row>
        <row r="361">
          <cell r="Q361">
            <v>0</v>
          </cell>
        </row>
        <row r="362">
          <cell r="Q362">
            <v>0</v>
          </cell>
        </row>
        <row r="363">
          <cell r="Q363">
            <v>0</v>
          </cell>
        </row>
        <row r="364">
          <cell r="Q364">
            <v>0</v>
          </cell>
        </row>
        <row r="365">
          <cell r="Q365">
            <v>0</v>
          </cell>
        </row>
        <row r="366">
          <cell r="Q366">
            <v>0</v>
          </cell>
        </row>
        <row r="367">
          <cell r="Q367">
            <v>0</v>
          </cell>
        </row>
        <row r="368">
          <cell r="Q368">
            <v>0</v>
          </cell>
        </row>
        <row r="369">
          <cell r="Q369">
            <v>0</v>
          </cell>
        </row>
        <row r="370">
          <cell r="Q370">
            <v>0</v>
          </cell>
        </row>
        <row r="371">
          <cell r="Q371">
            <v>0</v>
          </cell>
        </row>
        <row r="372">
          <cell r="Q372">
            <v>0</v>
          </cell>
        </row>
        <row r="373">
          <cell r="Q373">
            <v>0</v>
          </cell>
        </row>
        <row r="374">
          <cell r="Q374">
            <v>0</v>
          </cell>
        </row>
        <row r="375">
          <cell r="Q375">
            <v>0</v>
          </cell>
        </row>
        <row r="376">
          <cell r="Q376">
            <v>0</v>
          </cell>
        </row>
        <row r="377">
          <cell r="Q377">
            <v>0</v>
          </cell>
        </row>
        <row r="378">
          <cell r="Q378">
            <v>0</v>
          </cell>
        </row>
        <row r="379">
          <cell r="Q379">
            <v>0</v>
          </cell>
        </row>
        <row r="380">
          <cell r="Q380">
            <v>0</v>
          </cell>
        </row>
        <row r="381">
          <cell r="Q381">
            <v>0</v>
          </cell>
        </row>
        <row r="382">
          <cell r="Q382">
            <v>0</v>
          </cell>
        </row>
        <row r="383">
          <cell r="Q383">
            <v>0</v>
          </cell>
        </row>
        <row r="384">
          <cell r="Q384">
            <v>0</v>
          </cell>
        </row>
        <row r="385">
          <cell r="Q385">
            <v>0</v>
          </cell>
        </row>
        <row r="386">
          <cell r="Q386">
            <v>0</v>
          </cell>
        </row>
        <row r="387">
          <cell r="Q387">
            <v>0</v>
          </cell>
        </row>
        <row r="388">
          <cell r="Q388">
            <v>0</v>
          </cell>
        </row>
        <row r="389">
          <cell r="Q389">
            <v>0</v>
          </cell>
        </row>
        <row r="390">
          <cell r="Q390">
            <v>0</v>
          </cell>
        </row>
        <row r="391">
          <cell r="Q391">
            <v>0</v>
          </cell>
        </row>
        <row r="392">
          <cell r="Q392">
            <v>0</v>
          </cell>
        </row>
        <row r="393">
          <cell r="Q393">
            <v>0</v>
          </cell>
        </row>
        <row r="394">
          <cell r="Q394">
            <v>0</v>
          </cell>
        </row>
        <row r="395">
          <cell r="Q395">
            <v>0</v>
          </cell>
        </row>
        <row r="396">
          <cell r="Q396">
            <v>0</v>
          </cell>
        </row>
        <row r="397">
          <cell r="Q397">
            <v>0</v>
          </cell>
        </row>
        <row r="398">
          <cell r="Q398">
            <v>0</v>
          </cell>
        </row>
        <row r="399">
          <cell r="Q399">
            <v>0</v>
          </cell>
        </row>
        <row r="400">
          <cell r="Q400">
            <v>0</v>
          </cell>
        </row>
        <row r="401">
          <cell r="Q401">
            <v>0</v>
          </cell>
        </row>
        <row r="402">
          <cell r="Q402">
            <v>0</v>
          </cell>
        </row>
        <row r="403">
          <cell r="Q403">
            <v>0</v>
          </cell>
        </row>
        <row r="404">
          <cell r="Q404">
            <v>0</v>
          </cell>
        </row>
        <row r="405">
          <cell r="Q405">
            <v>0</v>
          </cell>
        </row>
        <row r="406">
          <cell r="Q406">
            <v>0</v>
          </cell>
        </row>
        <row r="407">
          <cell r="Q407">
            <v>0</v>
          </cell>
        </row>
        <row r="408">
          <cell r="Q408">
            <v>0</v>
          </cell>
        </row>
        <row r="409">
          <cell r="Q409">
            <v>0</v>
          </cell>
        </row>
        <row r="410">
          <cell r="Q410">
            <v>0</v>
          </cell>
        </row>
        <row r="411">
          <cell r="Q411">
            <v>0</v>
          </cell>
        </row>
        <row r="412">
          <cell r="Q412">
            <v>0</v>
          </cell>
        </row>
        <row r="413">
          <cell r="Q413">
            <v>0</v>
          </cell>
        </row>
        <row r="414">
          <cell r="Q414">
            <v>0</v>
          </cell>
        </row>
        <row r="415">
          <cell r="Q415">
            <v>0</v>
          </cell>
        </row>
        <row r="416">
          <cell r="Q416">
            <v>0</v>
          </cell>
        </row>
        <row r="417">
          <cell r="Q417">
            <v>0</v>
          </cell>
        </row>
        <row r="418">
          <cell r="Q418">
            <v>0</v>
          </cell>
        </row>
        <row r="419">
          <cell r="Q419">
            <v>0</v>
          </cell>
        </row>
        <row r="420">
          <cell r="Q420">
            <v>0</v>
          </cell>
        </row>
        <row r="421">
          <cell r="Q421">
            <v>0</v>
          </cell>
        </row>
        <row r="422">
          <cell r="Q422">
            <v>0</v>
          </cell>
        </row>
        <row r="423">
          <cell r="Q423">
            <v>0</v>
          </cell>
        </row>
        <row r="424">
          <cell r="Q424">
            <v>0</v>
          </cell>
        </row>
        <row r="425">
          <cell r="Q425">
            <v>0</v>
          </cell>
        </row>
        <row r="426">
          <cell r="Q426">
            <v>0</v>
          </cell>
        </row>
        <row r="427">
          <cell r="Q427">
            <v>0</v>
          </cell>
        </row>
        <row r="428">
          <cell r="Q428">
            <v>0</v>
          </cell>
        </row>
        <row r="429">
          <cell r="Q429">
            <v>0</v>
          </cell>
        </row>
        <row r="430">
          <cell r="Q430">
            <v>0</v>
          </cell>
        </row>
        <row r="431">
          <cell r="Q431">
            <v>0</v>
          </cell>
        </row>
        <row r="432">
          <cell r="Q432">
            <v>0</v>
          </cell>
        </row>
        <row r="433">
          <cell r="Q433">
            <v>0</v>
          </cell>
        </row>
        <row r="434">
          <cell r="Q434">
            <v>0</v>
          </cell>
        </row>
        <row r="435">
          <cell r="Q435">
            <v>0</v>
          </cell>
        </row>
        <row r="436">
          <cell r="Q436">
            <v>0</v>
          </cell>
        </row>
        <row r="437">
          <cell r="Q437">
            <v>0</v>
          </cell>
        </row>
        <row r="438">
          <cell r="Q438">
            <v>0</v>
          </cell>
        </row>
        <row r="439">
          <cell r="Q439">
            <v>0</v>
          </cell>
        </row>
        <row r="440">
          <cell r="Q440">
            <v>0</v>
          </cell>
        </row>
        <row r="441">
          <cell r="Q441">
            <v>0</v>
          </cell>
        </row>
        <row r="442">
          <cell r="Q442">
            <v>0</v>
          </cell>
        </row>
        <row r="443">
          <cell r="Q443">
            <v>0</v>
          </cell>
        </row>
        <row r="444">
          <cell r="Q444">
            <v>0</v>
          </cell>
        </row>
        <row r="445">
          <cell r="Q445">
            <v>0</v>
          </cell>
        </row>
        <row r="446">
          <cell r="Q446">
            <v>0</v>
          </cell>
        </row>
        <row r="447">
          <cell r="Q447">
            <v>0</v>
          </cell>
        </row>
        <row r="448">
          <cell r="Q448">
            <v>0</v>
          </cell>
        </row>
        <row r="449">
          <cell r="Q449">
            <v>0</v>
          </cell>
        </row>
        <row r="450">
          <cell r="Q450">
            <v>0</v>
          </cell>
        </row>
        <row r="451">
          <cell r="Q451">
            <v>0</v>
          </cell>
        </row>
        <row r="452">
          <cell r="Q452">
            <v>0</v>
          </cell>
        </row>
        <row r="453">
          <cell r="Q453">
            <v>0</v>
          </cell>
        </row>
        <row r="454">
          <cell r="Q454">
            <v>0</v>
          </cell>
        </row>
        <row r="455">
          <cell r="Q455">
            <v>0</v>
          </cell>
        </row>
        <row r="456">
          <cell r="Q456">
            <v>0</v>
          </cell>
        </row>
        <row r="457">
          <cell r="Q457">
            <v>0</v>
          </cell>
        </row>
        <row r="458">
          <cell r="Q458">
            <v>0</v>
          </cell>
        </row>
        <row r="459">
          <cell r="Q459">
            <v>0</v>
          </cell>
        </row>
        <row r="460">
          <cell r="Q460">
            <v>0</v>
          </cell>
        </row>
        <row r="461">
          <cell r="Q461">
            <v>0</v>
          </cell>
        </row>
        <row r="462">
          <cell r="Q462">
            <v>0</v>
          </cell>
        </row>
        <row r="463">
          <cell r="Q463">
            <v>0</v>
          </cell>
        </row>
        <row r="464">
          <cell r="Q464">
            <v>0</v>
          </cell>
        </row>
        <row r="465">
          <cell r="Q465">
            <v>0</v>
          </cell>
        </row>
        <row r="466">
          <cell r="Q466">
            <v>0</v>
          </cell>
        </row>
        <row r="467">
          <cell r="Q467">
            <v>0</v>
          </cell>
        </row>
        <row r="468">
          <cell r="Q468">
            <v>0</v>
          </cell>
        </row>
        <row r="469">
          <cell r="Q469">
            <v>0</v>
          </cell>
        </row>
        <row r="470">
          <cell r="Q470">
            <v>0</v>
          </cell>
        </row>
        <row r="471">
          <cell r="Q471">
            <v>0</v>
          </cell>
        </row>
        <row r="472">
          <cell r="Q472">
            <v>0</v>
          </cell>
        </row>
        <row r="473">
          <cell r="Q473">
            <v>0</v>
          </cell>
        </row>
        <row r="474">
          <cell r="Q474">
            <v>0</v>
          </cell>
        </row>
        <row r="475">
          <cell r="Q475">
            <v>0</v>
          </cell>
        </row>
        <row r="476">
          <cell r="Q476">
            <v>0</v>
          </cell>
        </row>
        <row r="477">
          <cell r="Q477">
            <v>0</v>
          </cell>
        </row>
        <row r="478">
          <cell r="Q478">
            <v>0</v>
          </cell>
        </row>
        <row r="479">
          <cell r="Q479">
            <v>0</v>
          </cell>
        </row>
        <row r="480">
          <cell r="Q480">
            <v>0</v>
          </cell>
        </row>
        <row r="481">
          <cell r="Q481">
            <v>0</v>
          </cell>
        </row>
        <row r="482">
          <cell r="Q482">
            <v>0</v>
          </cell>
        </row>
        <row r="483">
          <cell r="Q483">
            <v>0</v>
          </cell>
        </row>
        <row r="484">
          <cell r="Q484">
            <v>0</v>
          </cell>
        </row>
        <row r="485">
          <cell r="Q485">
            <v>0</v>
          </cell>
        </row>
        <row r="486">
          <cell r="Q486">
            <v>0</v>
          </cell>
        </row>
        <row r="487">
          <cell r="Q487">
            <v>0</v>
          </cell>
        </row>
        <row r="488">
          <cell r="Q488">
            <v>0</v>
          </cell>
        </row>
        <row r="489">
          <cell r="Q489">
            <v>0</v>
          </cell>
        </row>
        <row r="490">
          <cell r="Q490">
            <v>0</v>
          </cell>
        </row>
        <row r="491">
          <cell r="Q491">
            <v>0</v>
          </cell>
        </row>
        <row r="492">
          <cell r="Q492">
            <v>0</v>
          </cell>
        </row>
        <row r="493">
          <cell r="Q493">
            <v>0</v>
          </cell>
        </row>
        <row r="494">
          <cell r="Q494">
            <v>0</v>
          </cell>
        </row>
        <row r="495">
          <cell r="Q495">
            <v>0</v>
          </cell>
        </row>
        <row r="496">
          <cell r="Q496">
            <v>0</v>
          </cell>
        </row>
        <row r="497">
          <cell r="Q497">
            <v>0</v>
          </cell>
        </row>
        <row r="498">
          <cell r="Q498">
            <v>0</v>
          </cell>
        </row>
        <row r="499">
          <cell r="Q499">
            <v>0</v>
          </cell>
        </row>
        <row r="500">
          <cell r="Q500">
            <v>0</v>
          </cell>
        </row>
        <row r="501">
          <cell r="Q501">
            <v>0</v>
          </cell>
        </row>
        <row r="502">
          <cell r="Q502">
            <v>0</v>
          </cell>
        </row>
        <row r="503">
          <cell r="Q503">
            <v>0</v>
          </cell>
        </row>
        <row r="504">
          <cell r="Q504">
            <v>0</v>
          </cell>
        </row>
        <row r="505">
          <cell r="Q505">
            <v>0</v>
          </cell>
        </row>
        <row r="506">
          <cell r="Q506">
            <v>0</v>
          </cell>
        </row>
        <row r="507">
          <cell r="Q507">
            <v>0</v>
          </cell>
        </row>
        <row r="508">
          <cell r="Q508">
            <v>0</v>
          </cell>
        </row>
        <row r="509">
          <cell r="Q509">
            <v>0</v>
          </cell>
        </row>
        <row r="510">
          <cell r="Q510">
            <v>0</v>
          </cell>
        </row>
        <row r="511">
          <cell r="Q511">
            <v>0</v>
          </cell>
        </row>
        <row r="512">
          <cell r="Q512">
            <v>0</v>
          </cell>
        </row>
        <row r="513">
          <cell r="Q513">
            <v>0</v>
          </cell>
        </row>
        <row r="514">
          <cell r="Q514">
            <v>0</v>
          </cell>
        </row>
        <row r="515">
          <cell r="Q515">
            <v>0</v>
          </cell>
        </row>
        <row r="516">
          <cell r="Q516">
            <v>0</v>
          </cell>
        </row>
        <row r="517">
          <cell r="Q517">
            <v>0</v>
          </cell>
        </row>
        <row r="518">
          <cell r="Q518">
            <v>0</v>
          </cell>
        </row>
        <row r="519">
          <cell r="Q519">
            <v>0</v>
          </cell>
        </row>
        <row r="520">
          <cell r="Q520">
            <v>0</v>
          </cell>
        </row>
        <row r="521">
          <cell r="Q521">
            <v>0</v>
          </cell>
        </row>
        <row r="522">
          <cell r="Q522">
            <v>0</v>
          </cell>
        </row>
        <row r="523">
          <cell r="Q523">
            <v>0</v>
          </cell>
        </row>
        <row r="524">
          <cell r="Q524">
            <v>0</v>
          </cell>
        </row>
        <row r="525">
          <cell r="Q525">
            <v>0</v>
          </cell>
        </row>
        <row r="526">
          <cell r="Q526">
            <v>0</v>
          </cell>
        </row>
        <row r="527">
          <cell r="Q527">
            <v>0</v>
          </cell>
        </row>
        <row r="528">
          <cell r="Q528">
            <v>0</v>
          </cell>
        </row>
        <row r="529">
          <cell r="Q529">
            <v>0</v>
          </cell>
        </row>
        <row r="530">
          <cell r="Q530">
            <v>0</v>
          </cell>
        </row>
        <row r="531">
          <cell r="Q531">
            <v>0</v>
          </cell>
        </row>
        <row r="532">
          <cell r="Q532">
            <v>0</v>
          </cell>
        </row>
        <row r="533">
          <cell r="Q533">
            <v>0</v>
          </cell>
        </row>
        <row r="534">
          <cell r="Q534">
            <v>0</v>
          </cell>
        </row>
        <row r="535">
          <cell r="Q535">
            <v>0</v>
          </cell>
        </row>
        <row r="536">
          <cell r="Q536">
            <v>0</v>
          </cell>
        </row>
        <row r="537">
          <cell r="Q537">
            <v>0</v>
          </cell>
        </row>
        <row r="538">
          <cell r="Q538">
            <v>0</v>
          </cell>
        </row>
        <row r="539">
          <cell r="Q539">
            <v>0</v>
          </cell>
        </row>
        <row r="540">
          <cell r="Q540">
            <v>0</v>
          </cell>
        </row>
        <row r="541">
          <cell r="Q541">
            <v>0</v>
          </cell>
        </row>
        <row r="542">
          <cell r="Q542">
            <v>0</v>
          </cell>
        </row>
        <row r="543">
          <cell r="Q543">
            <v>0</v>
          </cell>
        </row>
        <row r="544">
          <cell r="Q544">
            <v>0</v>
          </cell>
        </row>
        <row r="545">
          <cell r="Q545">
            <v>0</v>
          </cell>
        </row>
        <row r="546">
          <cell r="Q546">
            <v>0</v>
          </cell>
        </row>
        <row r="547">
          <cell r="Q547">
            <v>0</v>
          </cell>
        </row>
        <row r="548">
          <cell r="Q548">
            <v>0</v>
          </cell>
        </row>
        <row r="549">
          <cell r="Q549">
            <v>0</v>
          </cell>
        </row>
        <row r="550">
          <cell r="Q550">
            <v>0</v>
          </cell>
        </row>
        <row r="551">
          <cell r="Q551">
            <v>0</v>
          </cell>
        </row>
        <row r="552">
          <cell r="Q552">
            <v>0</v>
          </cell>
        </row>
        <row r="553">
          <cell r="Q553">
            <v>0</v>
          </cell>
        </row>
        <row r="554">
          <cell r="Q554">
            <v>0</v>
          </cell>
        </row>
        <row r="555">
          <cell r="Q555">
            <v>0</v>
          </cell>
        </row>
        <row r="556">
          <cell r="Q556">
            <v>0</v>
          </cell>
        </row>
        <row r="557">
          <cell r="Q557">
            <v>0</v>
          </cell>
        </row>
        <row r="558">
          <cell r="Q558">
            <v>0</v>
          </cell>
        </row>
        <row r="559">
          <cell r="Q559">
            <v>0</v>
          </cell>
        </row>
        <row r="560">
          <cell r="Q560">
            <v>0</v>
          </cell>
        </row>
        <row r="561">
          <cell r="Q561">
            <v>0</v>
          </cell>
        </row>
        <row r="562">
          <cell r="Q562">
            <v>0</v>
          </cell>
        </row>
        <row r="563">
          <cell r="Q563">
            <v>0</v>
          </cell>
        </row>
        <row r="564">
          <cell r="Q564">
            <v>0</v>
          </cell>
        </row>
        <row r="565">
          <cell r="Q565">
            <v>0</v>
          </cell>
        </row>
        <row r="566">
          <cell r="Q566">
            <v>0</v>
          </cell>
        </row>
        <row r="567">
          <cell r="Q567">
            <v>0</v>
          </cell>
        </row>
        <row r="568">
          <cell r="Q568">
            <v>0</v>
          </cell>
        </row>
        <row r="569">
          <cell r="Q569">
            <v>0</v>
          </cell>
        </row>
        <row r="570">
          <cell r="Q570">
            <v>0</v>
          </cell>
        </row>
        <row r="571">
          <cell r="Q571">
            <v>0</v>
          </cell>
        </row>
        <row r="572">
          <cell r="Q572">
            <v>0</v>
          </cell>
        </row>
        <row r="573">
          <cell r="Q573">
            <v>0</v>
          </cell>
        </row>
        <row r="574">
          <cell r="Q574">
            <v>0</v>
          </cell>
        </row>
        <row r="575">
          <cell r="Q575">
            <v>0</v>
          </cell>
        </row>
        <row r="576">
          <cell r="Q576">
            <v>0</v>
          </cell>
        </row>
        <row r="577">
          <cell r="Q577">
            <v>0</v>
          </cell>
        </row>
        <row r="578">
          <cell r="Q578">
            <v>0</v>
          </cell>
        </row>
        <row r="579">
          <cell r="Q579">
            <v>0</v>
          </cell>
        </row>
        <row r="580">
          <cell r="Q580">
            <v>0</v>
          </cell>
        </row>
        <row r="581">
          <cell r="Q581">
            <v>0</v>
          </cell>
        </row>
        <row r="582">
          <cell r="Q582">
            <v>0</v>
          </cell>
        </row>
        <row r="583">
          <cell r="Q583">
            <v>0</v>
          </cell>
        </row>
        <row r="584">
          <cell r="Q584">
            <v>0</v>
          </cell>
        </row>
        <row r="585">
          <cell r="Q585">
            <v>0</v>
          </cell>
        </row>
        <row r="586">
          <cell r="Q586">
            <v>0</v>
          </cell>
        </row>
        <row r="587">
          <cell r="Q587">
            <v>0</v>
          </cell>
        </row>
        <row r="588">
          <cell r="Q588">
            <v>0</v>
          </cell>
        </row>
        <row r="589">
          <cell r="Q589">
            <v>0</v>
          </cell>
        </row>
        <row r="590">
          <cell r="Q590">
            <v>0</v>
          </cell>
        </row>
        <row r="591">
          <cell r="Q591">
            <v>0</v>
          </cell>
        </row>
        <row r="592">
          <cell r="Q592">
            <v>0</v>
          </cell>
        </row>
        <row r="593">
          <cell r="Q593">
            <v>0</v>
          </cell>
        </row>
        <row r="594">
          <cell r="Q594">
            <v>0</v>
          </cell>
        </row>
        <row r="595">
          <cell r="Q595">
            <v>0</v>
          </cell>
        </row>
        <row r="596">
          <cell r="Q596">
            <v>0</v>
          </cell>
        </row>
        <row r="597">
          <cell r="Q597">
            <v>0</v>
          </cell>
        </row>
        <row r="598">
          <cell r="Q598">
            <v>0</v>
          </cell>
        </row>
        <row r="599">
          <cell r="Q599">
            <v>0</v>
          </cell>
        </row>
        <row r="600">
          <cell r="Q600">
            <v>0</v>
          </cell>
        </row>
        <row r="601">
          <cell r="Q601">
            <v>0</v>
          </cell>
        </row>
        <row r="602">
          <cell r="Q602">
            <v>0</v>
          </cell>
        </row>
        <row r="603">
          <cell r="Q603">
            <v>0</v>
          </cell>
        </row>
        <row r="604">
          <cell r="Q604">
            <v>0</v>
          </cell>
        </row>
        <row r="605">
          <cell r="Q605">
            <v>0</v>
          </cell>
        </row>
        <row r="606">
          <cell r="Q606">
            <v>0</v>
          </cell>
        </row>
        <row r="607">
          <cell r="Q607">
            <v>0</v>
          </cell>
        </row>
        <row r="608">
          <cell r="Q608">
            <v>0</v>
          </cell>
        </row>
        <row r="609">
          <cell r="Q609">
            <v>0</v>
          </cell>
        </row>
        <row r="610">
          <cell r="Q610">
            <v>0</v>
          </cell>
        </row>
        <row r="611">
          <cell r="Q611">
            <v>0</v>
          </cell>
        </row>
        <row r="612">
          <cell r="Q612">
            <v>0</v>
          </cell>
        </row>
        <row r="613">
          <cell r="Q613">
            <v>0</v>
          </cell>
        </row>
        <row r="614">
          <cell r="Q614">
            <v>0</v>
          </cell>
        </row>
        <row r="615">
          <cell r="Q615">
            <v>0</v>
          </cell>
        </row>
        <row r="616">
          <cell r="Q616">
            <v>0</v>
          </cell>
        </row>
        <row r="617">
          <cell r="Q617">
            <v>0</v>
          </cell>
        </row>
        <row r="618">
          <cell r="Q618">
            <v>0</v>
          </cell>
        </row>
        <row r="619">
          <cell r="Q619">
            <v>0</v>
          </cell>
        </row>
        <row r="620">
          <cell r="Q620">
            <v>0</v>
          </cell>
        </row>
        <row r="621">
          <cell r="Q621">
            <v>0</v>
          </cell>
        </row>
        <row r="622">
          <cell r="Q622">
            <v>0</v>
          </cell>
        </row>
        <row r="623">
          <cell r="Q623">
            <v>0</v>
          </cell>
        </row>
        <row r="624">
          <cell r="Q624">
            <v>0</v>
          </cell>
        </row>
        <row r="625">
          <cell r="Q625">
            <v>0</v>
          </cell>
        </row>
        <row r="626">
          <cell r="Q626">
            <v>0</v>
          </cell>
        </row>
        <row r="627">
          <cell r="Q627">
            <v>0</v>
          </cell>
        </row>
        <row r="628">
          <cell r="Q628">
            <v>0</v>
          </cell>
        </row>
        <row r="629">
          <cell r="Q629">
            <v>0</v>
          </cell>
        </row>
        <row r="630">
          <cell r="Q630">
            <v>0</v>
          </cell>
        </row>
        <row r="631">
          <cell r="Q631">
            <v>0</v>
          </cell>
        </row>
        <row r="632">
          <cell r="Q632">
            <v>0</v>
          </cell>
        </row>
        <row r="633">
          <cell r="Q633">
            <v>0</v>
          </cell>
        </row>
        <row r="634">
          <cell r="Q634">
            <v>0</v>
          </cell>
        </row>
        <row r="635">
          <cell r="Q635">
            <v>0</v>
          </cell>
        </row>
        <row r="636">
          <cell r="Q636">
            <v>0</v>
          </cell>
        </row>
        <row r="637">
          <cell r="Q637">
            <v>0</v>
          </cell>
        </row>
        <row r="638">
          <cell r="Q638">
            <v>0</v>
          </cell>
        </row>
        <row r="639">
          <cell r="Q639">
            <v>0</v>
          </cell>
        </row>
        <row r="640">
          <cell r="Q640">
            <v>0</v>
          </cell>
        </row>
        <row r="641">
          <cell r="Q641">
            <v>0</v>
          </cell>
        </row>
        <row r="642">
          <cell r="Q642">
            <v>0</v>
          </cell>
        </row>
        <row r="643">
          <cell r="Q643">
            <v>0</v>
          </cell>
        </row>
        <row r="644">
          <cell r="Q644">
            <v>0</v>
          </cell>
        </row>
        <row r="645">
          <cell r="Q645">
            <v>0</v>
          </cell>
        </row>
        <row r="646">
          <cell r="Q646">
            <v>0</v>
          </cell>
        </row>
        <row r="647">
          <cell r="Q647">
            <v>0</v>
          </cell>
        </row>
        <row r="648">
          <cell r="Q648">
            <v>0</v>
          </cell>
        </row>
        <row r="649">
          <cell r="Q649">
            <v>0</v>
          </cell>
        </row>
        <row r="650">
          <cell r="Q650">
            <v>0</v>
          </cell>
        </row>
        <row r="651">
          <cell r="Q651">
            <v>0</v>
          </cell>
        </row>
        <row r="652">
          <cell r="Q652">
            <v>0</v>
          </cell>
        </row>
        <row r="653">
          <cell r="Q653">
            <v>0</v>
          </cell>
        </row>
        <row r="654">
          <cell r="Q654">
            <v>0</v>
          </cell>
        </row>
        <row r="655">
          <cell r="Q655">
            <v>0</v>
          </cell>
        </row>
        <row r="656">
          <cell r="Q656">
            <v>0</v>
          </cell>
        </row>
        <row r="657">
          <cell r="Q657">
            <v>0</v>
          </cell>
        </row>
        <row r="658">
          <cell r="Q658">
            <v>0</v>
          </cell>
        </row>
        <row r="659">
          <cell r="Q659">
            <v>0</v>
          </cell>
        </row>
        <row r="660">
          <cell r="Q660">
            <v>0</v>
          </cell>
        </row>
        <row r="661">
          <cell r="Q661">
            <v>0</v>
          </cell>
        </row>
        <row r="662">
          <cell r="Q662">
            <v>0</v>
          </cell>
        </row>
        <row r="663">
          <cell r="Q663">
            <v>0</v>
          </cell>
        </row>
        <row r="664">
          <cell r="Q664">
            <v>0</v>
          </cell>
        </row>
        <row r="665">
          <cell r="Q665">
            <v>0</v>
          </cell>
        </row>
        <row r="666">
          <cell r="Q666">
            <v>0</v>
          </cell>
        </row>
        <row r="667">
          <cell r="Q667">
            <v>0</v>
          </cell>
        </row>
        <row r="668">
          <cell r="Q668">
            <v>0</v>
          </cell>
        </row>
        <row r="669">
          <cell r="Q669">
            <v>0</v>
          </cell>
        </row>
        <row r="670">
          <cell r="Q670">
            <v>0</v>
          </cell>
        </row>
        <row r="671">
          <cell r="Q671">
            <v>0</v>
          </cell>
        </row>
        <row r="672">
          <cell r="Q672">
            <v>0</v>
          </cell>
        </row>
        <row r="673">
          <cell r="Q673">
            <v>0</v>
          </cell>
        </row>
        <row r="674">
          <cell r="Q674">
            <v>0</v>
          </cell>
        </row>
        <row r="675">
          <cell r="Q675">
            <v>0</v>
          </cell>
        </row>
        <row r="676">
          <cell r="Q676">
            <v>0</v>
          </cell>
        </row>
        <row r="677">
          <cell r="Q677">
            <v>0</v>
          </cell>
        </row>
        <row r="678">
          <cell r="Q678">
            <v>0</v>
          </cell>
        </row>
        <row r="679">
          <cell r="Q679">
            <v>0</v>
          </cell>
        </row>
        <row r="680">
          <cell r="Q680">
            <v>0</v>
          </cell>
        </row>
        <row r="681">
          <cell r="Q681">
            <v>0</v>
          </cell>
        </row>
        <row r="682">
          <cell r="Q682">
            <v>0</v>
          </cell>
        </row>
        <row r="683">
          <cell r="Q683">
            <v>0</v>
          </cell>
        </row>
        <row r="684">
          <cell r="Q684">
            <v>0</v>
          </cell>
        </row>
        <row r="685">
          <cell r="Q685">
            <v>0</v>
          </cell>
        </row>
        <row r="686">
          <cell r="Q686">
            <v>0</v>
          </cell>
        </row>
        <row r="687">
          <cell r="Q687">
            <v>0</v>
          </cell>
        </row>
        <row r="688">
          <cell r="Q688">
            <v>0</v>
          </cell>
        </row>
        <row r="689">
          <cell r="Q689">
            <v>0</v>
          </cell>
        </row>
        <row r="690">
          <cell r="Q690">
            <v>0</v>
          </cell>
        </row>
        <row r="691">
          <cell r="Q691">
            <v>0</v>
          </cell>
        </row>
        <row r="692">
          <cell r="Q692">
            <v>0</v>
          </cell>
        </row>
        <row r="693">
          <cell r="Q693">
            <v>0</v>
          </cell>
        </row>
        <row r="694">
          <cell r="Q694">
            <v>0</v>
          </cell>
        </row>
        <row r="695">
          <cell r="Q695">
            <v>0</v>
          </cell>
        </row>
        <row r="696">
          <cell r="Q696">
            <v>0</v>
          </cell>
        </row>
        <row r="697">
          <cell r="Q697">
            <v>0</v>
          </cell>
        </row>
        <row r="698">
          <cell r="Q698">
            <v>0</v>
          </cell>
        </row>
        <row r="699">
          <cell r="Q699">
            <v>0</v>
          </cell>
        </row>
        <row r="700">
          <cell r="Q700">
            <v>0</v>
          </cell>
        </row>
        <row r="701">
          <cell r="Q701">
            <v>0</v>
          </cell>
        </row>
        <row r="702">
          <cell r="Q702">
            <v>0</v>
          </cell>
        </row>
        <row r="703">
          <cell r="Q703">
            <v>0</v>
          </cell>
        </row>
        <row r="704">
          <cell r="Q704">
            <v>0</v>
          </cell>
        </row>
        <row r="705">
          <cell r="Q705">
            <v>0</v>
          </cell>
        </row>
        <row r="706">
          <cell r="Q706">
            <v>0</v>
          </cell>
        </row>
        <row r="707">
          <cell r="Q707">
            <v>0</v>
          </cell>
        </row>
        <row r="708">
          <cell r="Q708">
            <v>0</v>
          </cell>
        </row>
        <row r="709">
          <cell r="Q709">
            <v>0</v>
          </cell>
        </row>
        <row r="710">
          <cell r="Q710">
            <v>0</v>
          </cell>
        </row>
        <row r="711">
          <cell r="Q711">
            <v>0</v>
          </cell>
        </row>
        <row r="712">
          <cell r="Q712">
            <v>0</v>
          </cell>
        </row>
        <row r="713">
          <cell r="Q713">
            <v>0</v>
          </cell>
        </row>
        <row r="714">
          <cell r="Q714">
            <v>0</v>
          </cell>
        </row>
        <row r="715">
          <cell r="Q715">
            <v>0</v>
          </cell>
        </row>
        <row r="716">
          <cell r="Q716">
            <v>0</v>
          </cell>
        </row>
        <row r="717">
          <cell r="Q717">
            <v>0</v>
          </cell>
        </row>
        <row r="718">
          <cell r="Q718">
            <v>0</v>
          </cell>
        </row>
        <row r="719">
          <cell r="Q719">
            <v>0</v>
          </cell>
        </row>
        <row r="720">
          <cell r="Q720">
            <v>0</v>
          </cell>
        </row>
        <row r="721">
          <cell r="Q721">
            <v>0</v>
          </cell>
        </row>
        <row r="722">
          <cell r="Q722">
            <v>0</v>
          </cell>
        </row>
        <row r="723">
          <cell r="Q723">
            <v>0</v>
          </cell>
        </row>
        <row r="724">
          <cell r="Q724">
            <v>0</v>
          </cell>
        </row>
        <row r="725">
          <cell r="Q725">
            <v>0</v>
          </cell>
        </row>
        <row r="726">
          <cell r="Q726">
            <v>0</v>
          </cell>
        </row>
        <row r="727">
          <cell r="Q727">
            <v>0</v>
          </cell>
        </row>
        <row r="728">
          <cell r="Q728">
            <v>0</v>
          </cell>
        </row>
        <row r="729">
          <cell r="Q729">
            <v>0</v>
          </cell>
        </row>
        <row r="730">
          <cell r="Q730">
            <v>0</v>
          </cell>
        </row>
        <row r="731">
          <cell r="Q731">
            <v>0</v>
          </cell>
        </row>
        <row r="732">
          <cell r="Q732">
            <v>0</v>
          </cell>
        </row>
        <row r="733">
          <cell r="Q733">
            <v>0</v>
          </cell>
        </row>
        <row r="734">
          <cell r="Q734">
            <v>0</v>
          </cell>
        </row>
        <row r="735">
          <cell r="Q735">
            <v>0</v>
          </cell>
        </row>
        <row r="736">
          <cell r="Q736">
            <v>0</v>
          </cell>
        </row>
        <row r="737">
          <cell r="Q737">
            <v>0</v>
          </cell>
        </row>
        <row r="738">
          <cell r="Q738">
            <v>0</v>
          </cell>
        </row>
        <row r="739">
          <cell r="Q739">
            <v>0</v>
          </cell>
        </row>
        <row r="740">
          <cell r="Q740">
            <v>0</v>
          </cell>
        </row>
        <row r="741">
          <cell r="Q741">
            <v>0</v>
          </cell>
        </row>
        <row r="742">
          <cell r="Q742">
            <v>0</v>
          </cell>
        </row>
        <row r="743">
          <cell r="Q743">
            <v>0</v>
          </cell>
        </row>
        <row r="744">
          <cell r="Q744">
            <v>0</v>
          </cell>
        </row>
        <row r="745">
          <cell r="Q745">
            <v>0</v>
          </cell>
        </row>
        <row r="746">
          <cell r="Q746">
            <v>0</v>
          </cell>
        </row>
        <row r="747">
          <cell r="Q747">
            <v>0</v>
          </cell>
        </row>
        <row r="748">
          <cell r="Q748">
            <v>0</v>
          </cell>
        </row>
        <row r="749">
          <cell r="Q749">
            <v>0</v>
          </cell>
        </row>
        <row r="750">
          <cell r="Q750">
            <v>0</v>
          </cell>
        </row>
        <row r="751">
          <cell r="Q751">
            <v>0</v>
          </cell>
        </row>
        <row r="752">
          <cell r="Q752">
            <v>0</v>
          </cell>
        </row>
        <row r="753">
          <cell r="Q753">
            <v>0</v>
          </cell>
        </row>
        <row r="754">
          <cell r="Q754">
            <v>0</v>
          </cell>
        </row>
        <row r="755">
          <cell r="Q755">
            <v>0</v>
          </cell>
        </row>
        <row r="756">
          <cell r="Q756">
            <v>0</v>
          </cell>
        </row>
        <row r="757">
          <cell r="Q757">
            <v>0</v>
          </cell>
        </row>
        <row r="758">
          <cell r="Q758">
            <v>0</v>
          </cell>
        </row>
        <row r="759">
          <cell r="Q759">
            <v>0</v>
          </cell>
        </row>
        <row r="760">
          <cell r="Q760">
            <v>0</v>
          </cell>
        </row>
        <row r="761">
          <cell r="Q761">
            <v>0</v>
          </cell>
        </row>
        <row r="762">
          <cell r="Q762">
            <v>0</v>
          </cell>
        </row>
        <row r="763">
          <cell r="Q763">
            <v>0</v>
          </cell>
        </row>
        <row r="764">
          <cell r="Q764">
            <v>0</v>
          </cell>
        </row>
        <row r="765">
          <cell r="Q765">
            <v>0</v>
          </cell>
        </row>
        <row r="766">
          <cell r="Q766">
            <v>0</v>
          </cell>
        </row>
        <row r="767">
          <cell r="Q767">
            <v>0</v>
          </cell>
        </row>
        <row r="768">
          <cell r="Q768">
            <v>0</v>
          </cell>
        </row>
        <row r="769">
          <cell r="Q769">
            <v>0</v>
          </cell>
        </row>
        <row r="770">
          <cell r="Q770">
            <v>0</v>
          </cell>
        </row>
        <row r="771">
          <cell r="Q771">
            <v>0</v>
          </cell>
        </row>
        <row r="772">
          <cell r="Q772">
            <v>0</v>
          </cell>
        </row>
        <row r="773">
          <cell r="Q773">
            <v>0</v>
          </cell>
        </row>
        <row r="774">
          <cell r="Q774">
            <v>0</v>
          </cell>
        </row>
        <row r="775">
          <cell r="Q775">
            <v>0</v>
          </cell>
        </row>
        <row r="776">
          <cell r="Q776">
            <v>0</v>
          </cell>
        </row>
        <row r="777">
          <cell r="Q777">
            <v>0</v>
          </cell>
        </row>
        <row r="778">
          <cell r="Q778">
            <v>0</v>
          </cell>
        </row>
        <row r="779">
          <cell r="Q779">
            <v>0</v>
          </cell>
        </row>
        <row r="780">
          <cell r="Q780">
            <v>0</v>
          </cell>
        </row>
        <row r="781">
          <cell r="Q781">
            <v>0</v>
          </cell>
        </row>
        <row r="782">
          <cell r="Q782">
            <v>0</v>
          </cell>
        </row>
        <row r="783">
          <cell r="Q783">
            <v>0</v>
          </cell>
        </row>
        <row r="784">
          <cell r="Q784">
            <v>0</v>
          </cell>
        </row>
        <row r="785">
          <cell r="Q785">
            <v>0</v>
          </cell>
        </row>
        <row r="786">
          <cell r="Q786">
            <v>0</v>
          </cell>
        </row>
        <row r="787">
          <cell r="Q787">
            <v>0</v>
          </cell>
        </row>
        <row r="788">
          <cell r="Q788">
            <v>0</v>
          </cell>
        </row>
        <row r="789">
          <cell r="Q789">
            <v>0</v>
          </cell>
        </row>
        <row r="790">
          <cell r="Q790">
            <v>0</v>
          </cell>
        </row>
        <row r="791">
          <cell r="Q791">
            <v>0</v>
          </cell>
        </row>
        <row r="792">
          <cell r="Q792">
            <v>0</v>
          </cell>
        </row>
        <row r="793">
          <cell r="Q793">
            <v>0</v>
          </cell>
        </row>
        <row r="794">
          <cell r="Q794">
            <v>0</v>
          </cell>
        </row>
        <row r="795">
          <cell r="Q795">
            <v>0</v>
          </cell>
        </row>
        <row r="796">
          <cell r="Q796">
            <v>0</v>
          </cell>
        </row>
        <row r="797">
          <cell r="Q797">
            <v>0</v>
          </cell>
        </row>
        <row r="798">
          <cell r="Q798">
            <v>0</v>
          </cell>
        </row>
        <row r="799">
          <cell r="Q799">
            <v>0</v>
          </cell>
        </row>
        <row r="800">
          <cell r="Q800">
            <v>0</v>
          </cell>
        </row>
        <row r="801">
          <cell r="Q801">
            <v>0</v>
          </cell>
        </row>
        <row r="802">
          <cell r="Q802">
            <v>0</v>
          </cell>
        </row>
        <row r="803">
          <cell r="Q803">
            <v>0</v>
          </cell>
        </row>
        <row r="804">
          <cell r="Q804">
            <v>0</v>
          </cell>
        </row>
        <row r="805">
          <cell r="Q805">
            <v>0</v>
          </cell>
        </row>
        <row r="806">
          <cell r="Q806">
            <v>0</v>
          </cell>
        </row>
        <row r="807">
          <cell r="Q807">
            <v>0</v>
          </cell>
        </row>
        <row r="808">
          <cell r="Q808">
            <v>0</v>
          </cell>
        </row>
        <row r="809">
          <cell r="Q809">
            <v>0</v>
          </cell>
        </row>
        <row r="810">
          <cell r="Q810">
            <v>0</v>
          </cell>
        </row>
        <row r="811">
          <cell r="Q811">
            <v>0</v>
          </cell>
        </row>
        <row r="812">
          <cell r="Q812">
            <v>0</v>
          </cell>
        </row>
        <row r="813">
          <cell r="Q813">
            <v>0</v>
          </cell>
        </row>
        <row r="814">
          <cell r="Q814">
            <v>0</v>
          </cell>
        </row>
        <row r="815">
          <cell r="Q815">
            <v>0</v>
          </cell>
        </row>
      </sheetData>
      <sheetData sheetId="1">
        <row r="2">
          <cell r="Q2">
            <v>0</v>
          </cell>
        </row>
        <row r="3">
          <cell r="Q3">
            <v>0</v>
          </cell>
        </row>
        <row r="4">
          <cell r="Q4">
            <v>0</v>
          </cell>
        </row>
        <row r="5">
          <cell r="Q5">
            <v>0</v>
          </cell>
        </row>
        <row r="6">
          <cell r="Q6">
            <v>0</v>
          </cell>
        </row>
        <row r="7">
          <cell r="Q7">
            <v>0</v>
          </cell>
        </row>
        <row r="8">
          <cell r="Q8">
            <v>0</v>
          </cell>
        </row>
        <row r="9">
          <cell r="Q9">
            <v>0</v>
          </cell>
        </row>
        <row r="10">
          <cell r="Q10">
            <v>0</v>
          </cell>
        </row>
        <row r="11">
          <cell r="Q11">
            <v>0</v>
          </cell>
        </row>
        <row r="12">
          <cell r="Q12">
            <v>0</v>
          </cell>
        </row>
        <row r="13">
          <cell r="Q13">
            <v>0</v>
          </cell>
        </row>
        <row r="14">
          <cell r="Q14">
            <v>0</v>
          </cell>
        </row>
        <row r="15">
          <cell r="Q15">
            <v>0</v>
          </cell>
        </row>
        <row r="16">
          <cell r="Q16">
            <v>0</v>
          </cell>
        </row>
        <row r="17">
          <cell r="Q17">
            <v>0</v>
          </cell>
        </row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  <row r="21">
          <cell r="Q21">
            <v>0</v>
          </cell>
        </row>
        <row r="22">
          <cell r="Q22">
            <v>0</v>
          </cell>
        </row>
        <row r="23">
          <cell r="Q23">
            <v>0</v>
          </cell>
        </row>
        <row r="24">
          <cell r="Q24">
            <v>0</v>
          </cell>
        </row>
        <row r="25">
          <cell r="Q25">
            <v>0</v>
          </cell>
        </row>
        <row r="26">
          <cell r="Q26">
            <v>0</v>
          </cell>
        </row>
        <row r="27">
          <cell r="Q27">
            <v>0</v>
          </cell>
        </row>
        <row r="28">
          <cell r="Q28">
            <v>0</v>
          </cell>
        </row>
        <row r="29">
          <cell r="Q29">
            <v>0</v>
          </cell>
        </row>
        <row r="30">
          <cell r="Q30">
            <v>0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  <row r="34">
          <cell r="Q34">
            <v>0</v>
          </cell>
        </row>
        <row r="35">
          <cell r="Q35">
            <v>0</v>
          </cell>
        </row>
        <row r="36">
          <cell r="Q36">
            <v>0</v>
          </cell>
        </row>
        <row r="37">
          <cell r="Q37">
            <v>0</v>
          </cell>
        </row>
        <row r="38">
          <cell r="Q38">
            <v>0</v>
          </cell>
        </row>
        <row r="39">
          <cell r="Q39">
            <v>0</v>
          </cell>
        </row>
        <row r="40">
          <cell r="Q40">
            <v>0</v>
          </cell>
        </row>
        <row r="41">
          <cell r="Q41">
            <v>0</v>
          </cell>
        </row>
        <row r="42">
          <cell r="Q42">
            <v>0</v>
          </cell>
        </row>
        <row r="43">
          <cell r="Q43">
            <v>0</v>
          </cell>
        </row>
        <row r="44">
          <cell r="Q44">
            <v>0</v>
          </cell>
        </row>
        <row r="45">
          <cell r="Q45">
            <v>0</v>
          </cell>
        </row>
        <row r="46">
          <cell r="Q46">
            <v>0</v>
          </cell>
        </row>
        <row r="47">
          <cell r="Q47">
            <v>0</v>
          </cell>
        </row>
        <row r="48">
          <cell r="Q48">
            <v>0</v>
          </cell>
        </row>
        <row r="49">
          <cell r="Q49">
            <v>0</v>
          </cell>
        </row>
        <row r="50">
          <cell r="Q50">
            <v>0</v>
          </cell>
        </row>
        <row r="51">
          <cell r="Q51">
            <v>0</v>
          </cell>
        </row>
        <row r="52">
          <cell r="Q52">
            <v>0</v>
          </cell>
        </row>
        <row r="53">
          <cell r="Q53">
            <v>0</v>
          </cell>
        </row>
        <row r="54">
          <cell r="Q54">
            <v>0</v>
          </cell>
        </row>
        <row r="55">
          <cell r="Q55">
            <v>0</v>
          </cell>
        </row>
        <row r="56">
          <cell r="Q56">
            <v>0</v>
          </cell>
        </row>
        <row r="57">
          <cell r="Q57">
            <v>0</v>
          </cell>
        </row>
        <row r="58">
          <cell r="Q58">
            <v>0</v>
          </cell>
        </row>
        <row r="59">
          <cell r="Q59">
            <v>0</v>
          </cell>
        </row>
        <row r="60">
          <cell r="Q60">
            <v>0</v>
          </cell>
        </row>
        <row r="61">
          <cell r="Q61">
            <v>0</v>
          </cell>
        </row>
        <row r="62">
          <cell r="Q62">
            <v>0</v>
          </cell>
        </row>
        <row r="63">
          <cell r="Q63">
            <v>0</v>
          </cell>
        </row>
        <row r="64">
          <cell r="Q64">
            <v>0</v>
          </cell>
        </row>
        <row r="65">
          <cell r="Q65">
            <v>0</v>
          </cell>
        </row>
        <row r="66">
          <cell r="Q66">
            <v>0</v>
          </cell>
        </row>
        <row r="67">
          <cell r="Q67">
            <v>0</v>
          </cell>
        </row>
        <row r="68">
          <cell r="Q68">
            <v>0</v>
          </cell>
        </row>
        <row r="69">
          <cell r="Q69">
            <v>0</v>
          </cell>
        </row>
        <row r="70">
          <cell r="Q70">
            <v>0</v>
          </cell>
        </row>
        <row r="71">
          <cell r="Q71">
            <v>0</v>
          </cell>
        </row>
        <row r="72">
          <cell r="Q72">
            <v>0</v>
          </cell>
        </row>
        <row r="73">
          <cell r="Q73">
            <v>0</v>
          </cell>
        </row>
        <row r="74">
          <cell r="Q74">
            <v>0</v>
          </cell>
        </row>
        <row r="75">
          <cell r="Q75">
            <v>0</v>
          </cell>
        </row>
        <row r="76">
          <cell r="Q76">
            <v>0</v>
          </cell>
        </row>
        <row r="77">
          <cell r="Q77">
            <v>0</v>
          </cell>
        </row>
        <row r="78">
          <cell r="Q78">
            <v>0</v>
          </cell>
        </row>
        <row r="79">
          <cell r="Q79">
            <v>0</v>
          </cell>
        </row>
        <row r="80">
          <cell r="Q80">
            <v>0</v>
          </cell>
        </row>
        <row r="81">
          <cell r="Q81">
            <v>0</v>
          </cell>
        </row>
        <row r="82">
          <cell r="Q82">
            <v>0</v>
          </cell>
        </row>
        <row r="83">
          <cell r="Q83">
            <v>0</v>
          </cell>
        </row>
        <row r="84">
          <cell r="Q84">
            <v>0</v>
          </cell>
        </row>
        <row r="85">
          <cell r="Q85">
            <v>0</v>
          </cell>
        </row>
        <row r="86">
          <cell r="Q86">
            <v>0</v>
          </cell>
        </row>
        <row r="87">
          <cell r="Q87">
            <v>0</v>
          </cell>
        </row>
        <row r="88">
          <cell r="Q88">
            <v>0</v>
          </cell>
        </row>
        <row r="89">
          <cell r="Q89">
            <v>0</v>
          </cell>
        </row>
        <row r="90">
          <cell r="Q90">
            <v>0</v>
          </cell>
        </row>
        <row r="91">
          <cell r="Q91">
            <v>0</v>
          </cell>
        </row>
        <row r="92">
          <cell r="Q92">
            <v>0</v>
          </cell>
        </row>
        <row r="93">
          <cell r="Q93">
            <v>0</v>
          </cell>
        </row>
        <row r="94">
          <cell r="Q94">
            <v>0</v>
          </cell>
        </row>
        <row r="95">
          <cell r="Q95">
            <v>0</v>
          </cell>
        </row>
        <row r="96">
          <cell r="Q96">
            <v>0</v>
          </cell>
        </row>
        <row r="97">
          <cell r="Q97">
            <v>0</v>
          </cell>
        </row>
        <row r="98">
          <cell r="Q98">
            <v>0</v>
          </cell>
        </row>
        <row r="99">
          <cell r="Q99">
            <v>0</v>
          </cell>
        </row>
        <row r="100">
          <cell r="Q100">
            <v>0</v>
          </cell>
        </row>
        <row r="101">
          <cell r="Q101">
            <v>0</v>
          </cell>
        </row>
        <row r="102">
          <cell r="Q102">
            <v>0</v>
          </cell>
        </row>
        <row r="103">
          <cell r="Q103">
            <v>0</v>
          </cell>
        </row>
        <row r="104">
          <cell r="Q104">
            <v>0</v>
          </cell>
        </row>
        <row r="105">
          <cell r="Q105">
            <v>0</v>
          </cell>
        </row>
        <row r="106">
          <cell r="Q106">
            <v>0</v>
          </cell>
        </row>
        <row r="107">
          <cell r="Q107">
            <v>0</v>
          </cell>
        </row>
        <row r="108">
          <cell r="Q108">
            <v>0</v>
          </cell>
        </row>
        <row r="109">
          <cell r="Q109">
            <v>0</v>
          </cell>
        </row>
        <row r="110">
          <cell r="Q110">
            <v>0</v>
          </cell>
        </row>
        <row r="111">
          <cell r="Q111">
            <v>0</v>
          </cell>
        </row>
        <row r="112">
          <cell r="Q112">
            <v>0</v>
          </cell>
        </row>
        <row r="113">
          <cell r="Q113">
            <v>0</v>
          </cell>
        </row>
        <row r="114">
          <cell r="Q114">
            <v>0</v>
          </cell>
        </row>
        <row r="115">
          <cell r="Q115">
            <v>0</v>
          </cell>
        </row>
        <row r="116">
          <cell r="Q116">
            <v>0</v>
          </cell>
        </row>
        <row r="117">
          <cell r="Q117">
            <v>0</v>
          </cell>
        </row>
        <row r="118">
          <cell r="Q118">
            <v>0</v>
          </cell>
        </row>
        <row r="119">
          <cell r="Q119">
            <v>0</v>
          </cell>
        </row>
        <row r="120">
          <cell r="Q120">
            <v>0</v>
          </cell>
        </row>
        <row r="121">
          <cell r="Q121">
            <v>0</v>
          </cell>
        </row>
        <row r="122">
          <cell r="Q122">
            <v>0</v>
          </cell>
        </row>
        <row r="123">
          <cell r="Q123">
            <v>0</v>
          </cell>
        </row>
        <row r="124">
          <cell r="Q124">
            <v>0</v>
          </cell>
        </row>
        <row r="125">
          <cell r="Q125">
            <v>0</v>
          </cell>
        </row>
        <row r="126">
          <cell r="Q126">
            <v>0</v>
          </cell>
        </row>
        <row r="127">
          <cell r="Q127">
            <v>0</v>
          </cell>
        </row>
        <row r="128">
          <cell r="Q128">
            <v>0</v>
          </cell>
        </row>
        <row r="129">
          <cell r="Q129">
            <v>0</v>
          </cell>
        </row>
        <row r="130">
          <cell r="Q130">
            <v>0</v>
          </cell>
        </row>
        <row r="131">
          <cell r="Q131">
            <v>0</v>
          </cell>
        </row>
        <row r="132">
          <cell r="Q132">
            <v>0</v>
          </cell>
        </row>
        <row r="133">
          <cell r="Q133">
            <v>0</v>
          </cell>
        </row>
        <row r="134">
          <cell r="Q134">
            <v>0</v>
          </cell>
        </row>
        <row r="135">
          <cell r="Q135">
            <v>0</v>
          </cell>
        </row>
        <row r="136">
          <cell r="Q136">
            <v>0</v>
          </cell>
        </row>
        <row r="137">
          <cell r="Q137">
            <v>0</v>
          </cell>
        </row>
        <row r="138">
          <cell r="Q138">
            <v>0</v>
          </cell>
        </row>
        <row r="139">
          <cell r="Q139">
            <v>0</v>
          </cell>
        </row>
        <row r="140">
          <cell r="Q140">
            <v>0</v>
          </cell>
        </row>
        <row r="141">
          <cell r="Q141">
            <v>0</v>
          </cell>
        </row>
        <row r="142">
          <cell r="Q142">
            <v>0</v>
          </cell>
        </row>
        <row r="143">
          <cell r="Q143">
            <v>0</v>
          </cell>
        </row>
        <row r="144">
          <cell r="Q144">
            <v>0</v>
          </cell>
        </row>
        <row r="145">
          <cell r="Q145">
            <v>0</v>
          </cell>
        </row>
        <row r="146">
          <cell r="Q146">
            <v>0</v>
          </cell>
        </row>
        <row r="147">
          <cell r="Q147">
            <v>0</v>
          </cell>
        </row>
        <row r="148">
          <cell r="Q148">
            <v>0</v>
          </cell>
        </row>
        <row r="149">
          <cell r="Q149">
            <v>0</v>
          </cell>
        </row>
        <row r="150">
          <cell r="Q150">
            <v>0</v>
          </cell>
        </row>
        <row r="151">
          <cell r="Q151">
            <v>0</v>
          </cell>
        </row>
        <row r="152">
          <cell r="Q152">
            <v>0</v>
          </cell>
        </row>
        <row r="153">
          <cell r="Q153">
            <v>0</v>
          </cell>
        </row>
        <row r="154">
          <cell r="Q154">
            <v>0</v>
          </cell>
        </row>
        <row r="155">
          <cell r="Q155">
            <v>0</v>
          </cell>
        </row>
        <row r="156">
          <cell r="Q156">
            <v>0</v>
          </cell>
        </row>
        <row r="157">
          <cell r="Q157">
            <v>0</v>
          </cell>
        </row>
        <row r="158">
          <cell r="Q158">
            <v>0</v>
          </cell>
        </row>
        <row r="159">
          <cell r="Q159">
            <v>0</v>
          </cell>
        </row>
        <row r="160">
          <cell r="Q160">
            <v>0</v>
          </cell>
        </row>
        <row r="161">
          <cell r="Q161">
            <v>0</v>
          </cell>
        </row>
        <row r="162">
          <cell r="Q162">
            <v>0</v>
          </cell>
        </row>
        <row r="163">
          <cell r="Q163">
            <v>0</v>
          </cell>
        </row>
        <row r="164">
          <cell r="Q164">
            <v>0</v>
          </cell>
        </row>
        <row r="165">
          <cell r="Q165">
            <v>0</v>
          </cell>
        </row>
        <row r="166">
          <cell r="Q166">
            <v>0</v>
          </cell>
        </row>
        <row r="167">
          <cell r="Q167">
            <v>0</v>
          </cell>
        </row>
        <row r="168">
          <cell r="Q168">
            <v>0</v>
          </cell>
        </row>
        <row r="169">
          <cell r="Q169">
            <v>0</v>
          </cell>
        </row>
        <row r="170">
          <cell r="Q170">
            <v>0</v>
          </cell>
        </row>
        <row r="171">
          <cell r="Q171">
            <v>0</v>
          </cell>
        </row>
        <row r="172">
          <cell r="Q172">
            <v>0</v>
          </cell>
        </row>
        <row r="173">
          <cell r="Q173">
            <v>0</v>
          </cell>
        </row>
        <row r="174">
          <cell r="Q174">
            <v>0</v>
          </cell>
        </row>
        <row r="175">
          <cell r="Q175">
            <v>0</v>
          </cell>
        </row>
        <row r="176">
          <cell r="Q176">
            <v>0</v>
          </cell>
        </row>
        <row r="177">
          <cell r="Q177">
            <v>0</v>
          </cell>
        </row>
        <row r="178">
          <cell r="Q178">
            <v>0</v>
          </cell>
        </row>
        <row r="179">
          <cell r="Q179">
            <v>0</v>
          </cell>
        </row>
        <row r="180">
          <cell r="Q180">
            <v>0</v>
          </cell>
        </row>
        <row r="181">
          <cell r="Q181">
            <v>0</v>
          </cell>
        </row>
        <row r="182">
          <cell r="Q182">
            <v>0</v>
          </cell>
        </row>
        <row r="183">
          <cell r="Q183">
            <v>0</v>
          </cell>
        </row>
        <row r="184">
          <cell r="Q184">
            <v>0</v>
          </cell>
        </row>
        <row r="185">
          <cell r="Q185">
            <v>0</v>
          </cell>
        </row>
        <row r="186">
          <cell r="Q186">
            <v>0</v>
          </cell>
        </row>
        <row r="187">
          <cell r="Q187">
            <v>0</v>
          </cell>
        </row>
        <row r="188">
          <cell r="Q188">
            <v>0</v>
          </cell>
        </row>
        <row r="189">
          <cell r="Q189">
            <v>0</v>
          </cell>
        </row>
        <row r="190">
          <cell r="Q190">
            <v>0</v>
          </cell>
        </row>
        <row r="191">
          <cell r="Q191">
            <v>0</v>
          </cell>
        </row>
        <row r="192">
          <cell r="Q192">
            <v>0</v>
          </cell>
        </row>
        <row r="193">
          <cell r="Q193">
            <v>0</v>
          </cell>
        </row>
        <row r="194">
          <cell r="Q194">
            <v>0</v>
          </cell>
        </row>
        <row r="195">
          <cell r="Q195">
            <v>0</v>
          </cell>
        </row>
        <row r="196">
          <cell r="Q196">
            <v>0</v>
          </cell>
        </row>
        <row r="197">
          <cell r="Q197">
            <v>0</v>
          </cell>
        </row>
        <row r="198">
          <cell r="Q198">
            <v>0</v>
          </cell>
        </row>
        <row r="199">
          <cell r="Q199">
            <v>0</v>
          </cell>
        </row>
        <row r="200">
          <cell r="Q200">
            <v>0</v>
          </cell>
        </row>
        <row r="201">
          <cell r="Q201">
            <v>0</v>
          </cell>
        </row>
        <row r="202">
          <cell r="Q202">
            <v>0</v>
          </cell>
        </row>
        <row r="203">
          <cell r="Q203">
            <v>0</v>
          </cell>
        </row>
        <row r="204">
          <cell r="Q204">
            <v>0</v>
          </cell>
        </row>
        <row r="205">
          <cell r="Q205">
            <v>0</v>
          </cell>
        </row>
        <row r="206">
          <cell r="Q206">
            <v>0</v>
          </cell>
        </row>
        <row r="207">
          <cell r="Q207">
            <v>0</v>
          </cell>
        </row>
        <row r="208">
          <cell r="Q208">
            <v>0</v>
          </cell>
        </row>
        <row r="209">
          <cell r="Q209">
            <v>0</v>
          </cell>
        </row>
        <row r="210">
          <cell r="Q210">
            <v>0</v>
          </cell>
        </row>
        <row r="211">
          <cell r="Q211">
            <v>0</v>
          </cell>
        </row>
        <row r="212">
          <cell r="Q212">
            <v>0</v>
          </cell>
        </row>
        <row r="213">
          <cell r="Q213">
            <v>0</v>
          </cell>
        </row>
        <row r="214">
          <cell r="Q214">
            <v>0</v>
          </cell>
        </row>
        <row r="215">
          <cell r="Q215">
            <v>0</v>
          </cell>
        </row>
        <row r="216">
          <cell r="Q216">
            <v>0</v>
          </cell>
        </row>
        <row r="217">
          <cell r="Q217">
            <v>0</v>
          </cell>
        </row>
        <row r="218">
          <cell r="Q218">
            <v>0</v>
          </cell>
        </row>
        <row r="219">
          <cell r="Q219">
            <v>0</v>
          </cell>
        </row>
        <row r="220">
          <cell r="Q220">
            <v>0</v>
          </cell>
        </row>
        <row r="221">
          <cell r="Q221">
            <v>0</v>
          </cell>
        </row>
        <row r="222">
          <cell r="Q222">
            <v>0</v>
          </cell>
        </row>
        <row r="223">
          <cell r="Q223">
            <v>0</v>
          </cell>
        </row>
        <row r="224">
          <cell r="Q224">
            <v>0</v>
          </cell>
        </row>
        <row r="225">
          <cell r="Q225">
            <v>0</v>
          </cell>
        </row>
        <row r="226">
          <cell r="Q226">
            <v>0</v>
          </cell>
        </row>
        <row r="227">
          <cell r="Q227">
            <v>0</v>
          </cell>
        </row>
        <row r="228">
          <cell r="Q228">
            <v>0</v>
          </cell>
        </row>
        <row r="229">
          <cell r="Q229">
            <v>0</v>
          </cell>
        </row>
        <row r="230">
          <cell r="Q230">
            <v>0</v>
          </cell>
        </row>
        <row r="231">
          <cell r="Q231">
            <v>0</v>
          </cell>
        </row>
        <row r="232">
          <cell r="Q232">
            <v>0</v>
          </cell>
        </row>
        <row r="233">
          <cell r="Q233">
            <v>0</v>
          </cell>
        </row>
        <row r="234">
          <cell r="Q234">
            <v>0</v>
          </cell>
        </row>
        <row r="235">
          <cell r="Q235">
            <v>0</v>
          </cell>
        </row>
        <row r="236">
          <cell r="Q236">
            <v>0</v>
          </cell>
        </row>
        <row r="237">
          <cell r="Q237">
            <v>0</v>
          </cell>
        </row>
        <row r="238">
          <cell r="Q238">
            <v>0</v>
          </cell>
        </row>
        <row r="239">
          <cell r="Q239">
            <v>0</v>
          </cell>
        </row>
        <row r="240">
          <cell r="Q240">
            <v>0</v>
          </cell>
        </row>
        <row r="241">
          <cell r="Q241">
            <v>0</v>
          </cell>
        </row>
        <row r="242">
          <cell r="Q242">
            <v>0</v>
          </cell>
        </row>
        <row r="243">
          <cell r="Q243">
            <v>0</v>
          </cell>
        </row>
        <row r="244">
          <cell r="Q244">
            <v>0</v>
          </cell>
        </row>
        <row r="245">
          <cell r="Q245">
            <v>0</v>
          </cell>
        </row>
        <row r="246">
          <cell r="Q246">
            <v>0</v>
          </cell>
        </row>
        <row r="247">
          <cell r="Q247">
            <v>0</v>
          </cell>
        </row>
        <row r="248">
          <cell r="Q248">
            <v>0</v>
          </cell>
        </row>
        <row r="249">
          <cell r="Q249">
            <v>0</v>
          </cell>
        </row>
        <row r="250">
          <cell r="Q250">
            <v>0</v>
          </cell>
        </row>
        <row r="251">
          <cell r="Q251">
            <v>0</v>
          </cell>
        </row>
        <row r="252">
          <cell r="Q252">
            <v>0</v>
          </cell>
        </row>
        <row r="253">
          <cell r="Q253">
            <v>0</v>
          </cell>
        </row>
        <row r="254">
          <cell r="Q254">
            <v>0</v>
          </cell>
        </row>
        <row r="255">
          <cell r="Q255">
            <v>0</v>
          </cell>
        </row>
        <row r="256">
          <cell r="Q256">
            <v>0</v>
          </cell>
        </row>
        <row r="257">
          <cell r="Q257">
            <v>0</v>
          </cell>
        </row>
        <row r="258">
          <cell r="Q258">
            <v>0</v>
          </cell>
        </row>
        <row r="259">
          <cell r="Q259">
            <v>0</v>
          </cell>
        </row>
        <row r="260">
          <cell r="Q260">
            <v>0</v>
          </cell>
        </row>
        <row r="261">
          <cell r="Q261">
            <v>0</v>
          </cell>
        </row>
        <row r="262">
          <cell r="Q262">
            <v>0</v>
          </cell>
        </row>
        <row r="263">
          <cell r="Q263">
            <v>0</v>
          </cell>
        </row>
        <row r="264">
          <cell r="Q264">
            <v>0</v>
          </cell>
        </row>
        <row r="265">
          <cell r="Q265">
            <v>0</v>
          </cell>
        </row>
        <row r="266">
          <cell r="Q266">
            <v>0</v>
          </cell>
        </row>
        <row r="267">
          <cell r="Q267">
            <v>0</v>
          </cell>
        </row>
        <row r="268">
          <cell r="Q268">
            <v>0</v>
          </cell>
        </row>
        <row r="269">
          <cell r="Q269">
            <v>0</v>
          </cell>
        </row>
        <row r="270">
          <cell r="Q270">
            <v>0</v>
          </cell>
        </row>
        <row r="271">
          <cell r="Q271">
            <v>0</v>
          </cell>
        </row>
        <row r="272">
          <cell r="Q272">
            <v>0</v>
          </cell>
        </row>
        <row r="273">
          <cell r="Q273">
            <v>0</v>
          </cell>
        </row>
        <row r="274">
          <cell r="Q274">
            <v>0</v>
          </cell>
        </row>
        <row r="275">
          <cell r="Q275">
            <v>0</v>
          </cell>
        </row>
        <row r="276">
          <cell r="Q276">
            <v>0</v>
          </cell>
        </row>
        <row r="277">
          <cell r="Q277">
            <v>0</v>
          </cell>
        </row>
        <row r="278">
          <cell r="Q278">
            <v>0</v>
          </cell>
        </row>
        <row r="279">
          <cell r="Q279">
            <v>0</v>
          </cell>
        </row>
        <row r="280">
          <cell r="Q280">
            <v>0</v>
          </cell>
        </row>
        <row r="281">
          <cell r="Q281">
            <v>0</v>
          </cell>
        </row>
        <row r="282">
          <cell r="Q282">
            <v>0</v>
          </cell>
        </row>
        <row r="283">
          <cell r="Q283">
            <v>0</v>
          </cell>
        </row>
        <row r="284">
          <cell r="Q284">
            <v>0</v>
          </cell>
        </row>
        <row r="285">
          <cell r="Q285">
            <v>0</v>
          </cell>
        </row>
        <row r="286">
          <cell r="Q286">
            <v>0</v>
          </cell>
        </row>
        <row r="287">
          <cell r="Q287">
            <v>0</v>
          </cell>
        </row>
        <row r="288">
          <cell r="Q288">
            <v>0</v>
          </cell>
        </row>
        <row r="289">
          <cell r="Q289">
            <v>0</v>
          </cell>
        </row>
        <row r="290">
          <cell r="Q290">
            <v>0</v>
          </cell>
        </row>
        <row r="291">
          <cell r="Q291">
            <v>0</v>
          </cell>
        </row>
        <row r="292">
          <cell r="Q292">
            <v>0</v>
          </cell>
        </row>
        <row r="293">
          <cell r="Q293">
            <v>0</v>
          </cell>
        </row>
        <row r="294">
          <cell r="Q294">
            <v>0</v>
          </cell>
        </row>
        <row r="295">
          <cell r="Q295">
            <v>0</v>
          </cell>
        </row>
        <row r="296">
          <cell r="Q296">
            <v>0</v>
          </cell>
        </row>
        <row r="297">
          <cell r="Q297">
            <v>0</v>
          </cell>
        </row>
        <row r="298">
          <cell r="Q298">
            <v>0</v>
          </cell>
        </row>
        <row r="299">
          <cell r="Q299">
            <v>0</v>
          </cell>
        </row>
        <row r="300">
          <cell r="Q300">
            <v>0</v>
          </cell>
        </row>
        <row r="301">
          <cell r="Q301">
            <v>0</v>
          </cell>
        </row>
        <row r="302">
          <cell r="Q302">
            <v>0</v>
          </cell>
        </row>
        <row r="303">
          <cell r="Q303">
            <v>0</v>
          </cell>
        </row>
        <row r="304">
          <cell r="Q304">
            <v>0</v>
          </cell>
        </row>
        <row r="305">
          <cell r="Q305">
            <v>0</v>
          </cell>
        </row>
        <row r="306">
          <cell r="Q306">
            <v>0</v>
          </cell>
        </row>
        <row r="307">
          <cell r="Q307">
            <v>0</v>
          </cell>
        </row>
        <row r="308">
          <cell r="Q308">
            <v>0</v>
          </cell>
        </row>
        <row r="309">
          <cell r="Q309">
            <v>0</v>
          </cell>
        </row>
        <row r="310">
          <cell r="Q310">
            <v>0</v>
          </cell>
        </row>
        <row r="311">
          <cell r="Q311">
            <v>0</v>
          </cell>
        </row>
        <row r="312">
          <cell r="Q312">
            <v>0</v>
          </cell>
        </row>
        <row r="313">
          <cell r="Q313">
            <v>0</v>
          </cell>
        </row>
        <row r="314">
          <cell r="Q314">
            <v>0</v>
          </cell>
        </row>
        <row r="315">
          <cell r="Q315">
            <v>0</v>
          </cell>
        </row>
        <row r="316">
          <cell r="Q316">
            <v>0</v>
          </cell>
        </row>
        <row r="317">
          <cell r="Q317">
            <v>0</v>
          </cell>
        </row>
        <row r="318">
          <cell r="Q318">
            <v>0</v>
          </cell>
        </row>
        <row r="319">
          <cell r="Q319">
            <v>0</v>
          </cell>
        </row>
        <row r="320">
          <cell r="Q320">
            <v>0</v>
          </cell>
        </row>
        <row r="321">
          <cell r="Q321">
            <v>0</v>
          </cell>
        </row>
        <row r="322">
          <cell r="Q322">
            <v>0</v>
          </cell>
        </row>
        <row r="323">
          <cell r="Q323">
            <v>0</v>
          </cell>
        </row>
        <row r="324">
          <cell r="Q324">
            <v>0</v>
          </cell>
        </row>
        <row r="325">
          <cell r="Q325">
            <v>0</v>
          </cell>
        </row>
        <row r="326">
          <cell r="Q326">
            <v>0</v>
          </cell>
        </row>
        <row r="327">
          <cell r="Q327">
            <v>0</v>
          </cell>
        </row>
        <row r="328">
          <cell r="Q328">
            <v>0</v>
          </cell>
        </row>
        <row r="329">
          <cell r="Q329">
            <v>0</v>
          </cell>
        </row>
        <row r="330">
          <cell r="Q330">
            <v>0</v>
          </cell>
        </row>
        <row r="331">
          <cell r="Q331">
            <v>0</v>
          </cell>
        </row>
        <row r="332">
          <cell r="Q332">
            <v>0</v>
          </cell>
        </row>
        <row r="333">
          <cell r="Q333">
            <v>0</v>
          </cell>
        </row>
        <row r="334">
          <cell r="Q334">
            <v>0</v>
          </cell>
        </row>
        <row r="335">
          <cell r="Q335">
            <v>0</v>
          </cell>
        </row>
        <row r="336">
          <cell r="Q336">
            <v>0</v>
          </cell>
        </row>
        <row r="337">
          <cell r="Q337">
            <v>0</v>
          </cell>
        </row>
        <row r="338">
          <cell r="Q338">
            <v>0</v>
          </cell>
        </row>
        <row r="339">
          <cell r="Q339">
            <v>0</v>
          </cell>
        </row>
        <row r="340">
          <cell r="Q340">
            <v>0</v>
          </cell>
        </row>
        <row r="341">
          <cell r="Q341">
            <v>0</v>
          </cell>
        </row>
        <row r="342">
          <cell r="Q342">
            <v>0</v>
          </cell>
        </row>
        <row r="343">
          <cell r="Q343">
            <v>0</v>
          </cell>
        </row>
        <row r="344">
          <cell r="Q344">
            <v>0</v>
          </cell>
        </row>
        <row r="345">
          <cell r="Q345">
            <v>0</v>
          </cell>
        </row>
        <row r="346">
          <cell r="Q346">
            <v>0</v>
          </cell>
        </row>
        <row r="347">
          <cell r="Q347">
            <v>0</v>
          </cell>
        </row>
        <row r="348">
          <cell r="Q348">
            <v>0</v>
          </cell>
        </row>
        <row r="349">
          <cell r="Q349">
            <v>0</v>
          </cell>
        </row>
        <row r="350">
          <cell r="Q350">
            <v>0</v>
          </cell>
        </row>
        <row r="351">
          <cell r="Q351">
            <v>0</v>
          </cell>
        </row>
        <row r="352">
          <cell r="Q352">
            <v>0</v>
          </cell>
        </row>
        <row r="353">
          <cell r="Q353">
            <v>0</v>
          </cell>
        </row>
        <row r="354">
          <cell r="Q354">
            <v>0</v>
          </cell>
        </row>
        <row r="355">
          <cell r="Q355">
            <v>0</v>
          </cell>
        </row>
        <row r="356">
          <cell r="Q356">
            <v>0</v>
          </cell>
        </row>
        <row r="357">
          <cell r="Q357">
            <v>0</v>
          </cell>
        </row>
        <row r="358">
          <cell r="Q358">
            <v>0</v>
          </cell>
        </row>
        <row r="359">
          <cell r="Q359">
            <v>0</v>
          </cell>
        </row>
        <row r="360">
          <cell r="Q360">
            <v>0</v>
          </cell>
        </row>
        <row r="361">
          <cell r="Q361">
            <v>0</v>
          </cell>
        </row>
        <row r="362">
          <cell r="Q362">
            <v>0</v>
          </cell>
        </row>
        <row r="363">
          <cell r="Q363">
            <v>0</v>
          </cell>
        </row>
        <row r="364">
          <cell r="Q364">
            <v>0</v>
          </cell>
        </row>
        <row r="365">
          <cell r="Q365">
            <v>0</v>
          </cell>
        </row>
        <row r="366">
          <cell r="Q366">
            <v>0</v>
          </cell>
        </row>
        <row r="367">
          <cell r="Q367">
            <v>0</v>
          </cell>
        </row>
        <row r="368">
          <cell r="Q368">
            <v>0</v>
          </cell>
        </row>
        <row r="369">
          <cell r="Q369">
            <v>0</v>
          </cell>
        </row>
        <row r="370">
          <cell r="Q370">
            <v>0</v>
          </cell>
        </row>
        <row r="371">
          <cell r="Q371">
            <v>0</v>
          </cell>
        </row>
        <row r="372">
          <cell r="Q372">
            <v>0</v>
          </cell>
        </row>
        <row r="373">
          <cell r="Q373">
            <v>0</v>
          </cell>
        </row>
        <row r="374">
          <cell r="Q374">
            <v>0</v>
          </cell>
        </row>
        <row r="375">
          <cell r="Q375">
            <v>0</v>
          </cell>
        </row>
        <row r="376">
          <cell r="Q376">
            <v>0</v>
          </cell>
        </row>
        <row r="377">
          <cell r="Q377">
            <v>0</v>
          </cell>
        </row>
        <row r="378">
          <cell r="Q378">
            <v>0</v>
          </cell>
        </row>
        <row r="379">
          <cell r="Q379">
            <v>0</v>
          </cell>
        </row>
        <row r="380">
          <cell r="Q380">
            <v>0</v>
          </cell>
        </row>
        <row r="381">
          <cell r="Q381">
            <v>0</v>
          </cell>
        </row>
        <row r="382">
          <cell r="Q382">
            <v>0</v>
          </cell>
        </row>
        <row r="383">
          <cell r="Q383">
            <v>0</v>
          </cell>
        </row>
        <row r="384">
          <cell r="Q384">
            <v>0</v>
          </cell>
        </row>
        <row r="385">
          <cell r="Q385">
            <v>0</v>
          </cell>
        </row>
        <row r="386">
          <cell r="Q386">
            <v>0</v>
          </cell>
        </row>
        <row r="387">
          <cell r="Q387">
            <v>0</v>
          </cell>
        </row>
        <row r="388">
          <cell r="Q388">
            <v>0</v>
          </cell>
        </row>
        <row r="389">
          <cell r="Q389">
            <v>0</v>
          </cell>
        </row>
        <row r="390">
          <cell r="Q390">
            <v>0</v>
          </cell>
        </row>
        <row r="391">
          <cell r="Q391">
            <v>0</v>
          </cell>
        </row>
        <row r="392">
          <cell r="Q392">
            <v>0</v>
          </cell>
        </row>
        <row r="393">
          <cell r="Q393">
            <v>0</v>
          </cell>
        </row>
        <row r="394">
          <cell r="Q394">
            <v>0</v>
          </cell>
        </row>
        <row r="395">
          <cell r="Q395">
            <v>0</v>
          </cell>
        </row>
        <row r="396">
          <cell r="Q396">
            <v>0</v>
          </cell>
        </row>
        <row r="397">
          <cell r="Q397">
            <v>0</v>
          </cell>
        </row>
        <row r="398">
          <cell r="Q398">
            <v>0</v>
          </cell>
        </row>
        <row r="399">
          <cell r="Q399">
            <v>0</v>
          </cell>
        </row>
        <row r="400">
          <cell r="Q400">
            <v>0</v>
          </cell>
        </row>
        <row r="401">
          <cell r="Q401">
            <v>0</v>
          </cell>
        </row>
        <row r="402">
          <cell r="Q402">
            <v>0</v>
          </cell>
        </row>
        <row r="403">
          <cell r="Q403">
            <v>0</v>
          </cell>
        </row>
        <row r="404">
          <cell r="Q404">
            <v>0</v>
          </cell>
        </row>
        <row r="405">
          <cell r="Q405">
            <v>0</v>
          </cell>
        </row>
        <row r="406">
          <cell r="Q406">
            <v>0</v>
          </cell>
        </row>
        <row r="407">
          <cell r="Q407">
            <v>0</v>
          </cell>
        </row>
        <row r="408">
          <cell r="Q408">
            <v>0</v>
          </cell>
        </row>
        <row r="409">
          <cell r="Q409">
            <v>0</v>
          </cell>
        </row>
        <row r="410">
          <cell r="Q410">
            <v>0</v>
          </cell>
        </row>
        <row r="411">
          <cell r="Q411">
            <v>0</v>
          </cell>
        </row>
        <row r="412">
          <cell r="Q412">
            <v>0</v>
          </cell>
        </row>
        <row r="413">
          <cell r="Q413">
            <v>0</v>
          </cell>
        </row>
        <row r="414">
          <cell r="Q414">
            <v>0</v>
          </cell>
        </row>
        <row r="415">
          <cell r="Q415">
            <v>0</v>
          </cell>
        </row>
        <row r="416">
          <cell r="Q416">
            <v>0</v>
          </cell>
        </row>
        <row r="417">
          <cell r="Q417">
            <v>0</v>
          </cell>
        </row>
        <row r="418">
          <cell r="Q418">
            <v>0</v>
          </cell>
        </row>
        <row r="419">
          <cell r="Q419">
            <v>0</v>
          </cell>
        </row>
        <row r="420">
          <cell r="Q420">
            <v>0</v>
          </cell>
        </row>
        <row r="421">
          <cell r="Q421">
            <v>0</v>
          </cell>
        </row>
        <row r="422">
          <cell r="Q422">
            <v>0</v>
          </cell>
        </row>
        <row r="423">
          <cell r="Q423">
            <v>0</v>
          </cell>
        </row>
        <row r="424">
          <cell r="Q424">
            <v>0</v>
          </cell>
        </row>
        <row r="425">
          <cell r="Q425">
            <v>0</v>
          </cell>
        </row>
        <row r="426">
          <cell r="Q426">
            <v>0</v>
          </cell>
        </row>
        <row r="427">
          <cell r="Q427">
            <v>0</v>
          </cell>
        </row>
        <row r="428">
          <cell r="Q428">
            <v>0</v>
          </cell>
        </row>
        <row r="429">
          <cell r="Q429">
            <v>0</v>
          </cell>
        </row>
        <row r="430">
          <cell r="Q430">
            <v>0</v>
          </cell>
        </row>
        <row r="431">
          <cell r="Q431">
            <v>0</v>
          </cell>
        </row>
        <row r="432">
          <cell r="Q432">
            <v>0</v>
          </cell>
        </row>
        <row r="433">
          <cell r="Q433">
            <v>0</v>
          </cell>
        </row>
        <row r="434">
          <cell r="Q434">
            <v>0</v>
          </cell>
        </row>
        <row r="435">
          <cell r="Q435">
            <v>0</v>
          </cell>
        </row>
        <row r="436">
          <cell r="Q436">
            <v>0</v>
          </cell>
        </row>
        <row r="437">
          <cell r="Q437">
            <v>0</v>
          </cell>
        </row>
        <row r="438">
          <cell r="Q438">
            <v>0</v>
          </cell>
        </row>
        <row r="439">
          <cell r="Q439">
            <v>0</v>
          </cell>
        </row>
        <row r="440">
          <cell r="Q440">
            <v>0</v>
          </cell>
        </row>
        <row r="441">
          <cell r="Q441">
            <v>0</v>
          </cell>
        </row>
        <row r="442">
          <cell r="Q442">
            <v>0</v>
          </cell>
        </row>
        <row r="443">
          <cell r="Q443">
            <v>0</v>
          </cell>
        </row>
        <row r="444">
          <cell r="Q444">
            <v>0</v>
          </cell>
        </row>
        <row r="445">
          <cell r="Q445">
            <v>0</v>
          </cell>
        </row>
        <row r="446">
          <cell r="Q446">
            <v>0</v>
          </cell>
        </row>
        <row r="447">
          <cell r="Q447">
            <v>0</v>
          </cell>
        </row>
        <row r="448">
          <cell r="Q448">
            <v>0</v>
          </cell>
        </row>
        <row r="449">
          <cell r="Q449">
            <v>0</v>
          </cell>
        </row>
        <row r="450">
          <cell r="Q450">
            <v>0</v>
          </cell>
        </row>
        <row r="451">
          <cell r="Q451">
            <v>0</v>
          </cell>
        </row>
        <row r="452">
          <cell r="Q452">
            <v>0</v>
          </cell>
        </row>
        <row r="453">
          <cell r="Q453">
            <v>0</v>
          </cell>
        </row>
        <row r="454">
          <cell r="Q454">
            <v>0</v>
          </cell>
        </row>
        <row r="455">
          <cell r="Q455">
            <v>0</v>
          </cell>
        </row>
        <row r="456">
          <cell r="Q456">
            <v>0</v>
          </cell>
        </row>
        <row r="457">
          <cell r="Q457">
            <v>0</v>
          </cell>
        </row>
        <row r="458">
          <cell r="Q458">
            <v>0</v>
          </cell>
        </row>
        <row r="459">
          <cell r="Q459">
            <v>0</v>
          </cell>
        </row>
        <row r="460">
          <cell r="Q460">
            <v>0</v>
          </cell>
        </row>
        <row r="461">
          <cell r="Q461">
            <v>0</v>
          </cell>
        </row>
        <row r="462">
          <cell r="Q462">
            <v>0</v>
          </cell>
        </row>
        <row r="463">
          <cell r="Q463">
            <v>0</v>
          </cell>
        </row>
        <row r="464">
          <cell r="Q464">
            <v>0</v>
          </cell>
        </row>
        <row r="465">
          <cell r="Q465">
            <v>0</v>
          </cell>
        </row>
        <row r="466">
          <cell r="Q466">
            <v>0</v>
          </cell>
        </row>
        <row r="467">
          <cell r="Q467">
            <v>0</v>
          </cell>
        </row>
        <row r="468">
          <cell r="Q468">
            <v>0</v>
          </cell>
        </row>
        <row r="469">
          <cell r="Q469">
            <v>0</v>
          </cell>
        </row>
        <row r="470">
          <cell r="Q470">
            <v>0</v>
          </cell>
        </row>
        <row r="471">
          <cell r="Q471">
            <v>0</v>
          </cell>
        </row>
        <row r="472">
          <cell r="Q472">
            <v>0</v>
          </cell>
        </row>
        <row r="473">
          <cell r="Q473">
            <v>0</v>
          </cell>
        </row>
        <row r="474">
          <cell r="Q474">
            <v>0</v>
          </cell>
        </row>
        <row r="475">
          <cell r="Q475">
            <v>0</v>
          </cell>
        </row>
        <row r="476">
          <cell r="Q476">
            <v>0</v>
          </cell>
        </row>
        <row r="477">
          <cell r="Q477">
            <v>0</v>
          </cell>
        </row>
        <row r="478">
          <cell r="Q478">
            <v>0</v>
          </cell>
        </row>
        <row r="479">
          <cell r="Q479">
            <v>0</v>
          </cell>
        </row>
        <row r="480">
          <cell r="Q480">
            <v>0</v>
          </cell>
        </row>
        <row r="481">
          <cell r="Q481">
            <v>0</v>
          </cell>
        </row>
        <row r="482">
          <cell r="Q482">
            <v>0</v>
          </cell>
        </row>
        <row r="483">
          <cell r="Q483">
            <v>0</v>
          </cell>
        </row>
        <row r="484">
          <cell r="Q484">
            <v>0</v>
          </cell>
        </row>
        <row r="485">
          <cell r="Q485">
            <v>0</v>
          </cell>
        </row>
        <row r="486">
          <cell r="Q486">
            <v>0</v>
          </cell>
        </row>
        <row r="487">
          <cell r="Q487">
            <v>0</v>
          </cell>
        </row>
        <row r="488">
          <cell r="Q488">
            <v>0</v>
          </cell>
        </row>
        <row r="489">
          <cell r="Q489">
            <v>0</v>
          </cell>
        </row>
        <row r="490">
          <cell r="Q490">
            <v>0</v>
          </cell>
        </row>
        <row r="491">
          <cell r="Q491">
            <v>0</v>
          </cell>
        </row>
        <row r="492">
          <cell r="Q492">
            <v>0</v>
          </cell>
        </row>
        <row r="493">
          <cell r="Q493">
            <v>0</v>
          </cell>
        </row>
        <row r="494">
          <cell r="Q494">
            <v>0</v>
          </cell>
        </row>
        <row r="495">
          <cell r="Q495">
            <v>0</v>
          </cell>
        </row>
        <row r="496">
          <cell r="Q496">
            <v>0</v>
          </cell>
        </row>
        <row r="497">
          <cell r="Q497">
            <v>0</v>
          </cell>
        </row>
        <row r="498">
          <cell r="Q498">
            <v>0</v>
          </cell>
        </row>
        <row r="499">
          <cell r="Q499">
            <v>0</v>
          </cell>
        </row>
        <row r="500">
          <cell r="Q500">
            <v>0</v>
          </cell>
        </row>
        <row r="501">
          <cell r="Q501">
            <v>0</v>
          </cell>
        </row>
        <row r="502">
          <cell r="Q502">
            <v>0</v>
          </cell>
        </row>
        <row r="503">
          <cell r="Q503">
            <v>0</v>
          </cell>
        </row>
        <row r="504">
          <cell r="Q504">
            <v>0</v>
          </cell>
        </row>
        <row r="505">
          <cell r="Q505">
            <v>0</v>
          </cell>
        </row>
        <row r="506">
          <cell r="Q506">
            <v>0</v>
          </cell>
        </row>
        <row r="507">
          <cell r="Q507">
            <v>0</v>
          </cell>
        </row>
        <row r="508">
          <cell r="Q508">
            <v>0</v>
          </cell>
        </row>
        <row r="509">
          <cell r="Q509">
            <v>0</v>
          </cell>
        </row>
        <row r="510">
          <cell r="Q510">
            <v>0</v>
          </cell>
        </row>
        <row r="511">
          <cell r="Q511">
            <v>0</v>
          </cell>
        </row>
        <row r="512">
          <cell r="Q512">
            <v>0</v>
          </cell>
        </row>
        <row r="513">
          <cell r="Q513">
            <v>0</v>
          </cell>
        </row>
        <row r="514">
          <cell r="Q514">
            <v>0</v>
          </cell>
        </row>
        <row r="515">
          <cell r="Q515">
            <v>0</v>
          </cell>
        </row>
        <row r="516">
          <cell r="Q516">
            <v>0</v>
          </cell>
        </row>
        <row r="517">
          <cell r="Q517">
            <v>0</v>
          </cell>
        </row>
        <row r="518">
          <cell r="Q518">
            <v>0</v>
          </cell>
        </row>
        <row r="519">
          <cell r="Q519">
            <v>0</v>
          </cell>
        </row>
        <row r="520">
          <cell r="Q520">
            <v>0</v>
          </cell>
        </row>
        <row r="521">
          <cell r="Q521">
            <v>0</v>
          </cell>
        </row>
        <row r="522">
          <cell r="Q522">
            <v>0</v>
          </cell>
        </row>
        <row r="523">
          <cell r="Q523">
            <v>0</v>
          </cell>
        </row>
        <row r="524">
          <cell r="Q524">
            <v>0</v>
          </cell>
        </row>
        <row r="525">
          <cell r="Q525">
            <v>0</v>
          </cell>
        </row>
        <row r="526">
          <cell r="Q526">
            <v>0</v>
          </cell>
        </row>
        <row r="527">
          <cell r="Q527">
            <v>0</v>
          </cell>
        </row>
        <row r="528">
          <cell r="Q528">
            <v>0</v>
          </cell>
        </row>
        <row r="529">
          <cell r="Q529">
            <v>0</v>
          </cell>
        </row>
        <row r="530">
          <cell r="Q530">
            <v>0</v>
          </cell>
        </row>
        <row r="531">
          <cell r="Q531">
            <v>0</v>
          </cell>
        </row>
        <row r="532">
          <cell r="Q532">
            <v>0</v>
          </cell>
        </row>
        <row r="533">
          <cell r="Q533">
            <v>0</v>
          </cell>
        </row>
        <row r="534">
          <cell r="Q534">
            <v>0</v>
          </cell>
        </row>
        <row r="535">
          <cell r="Q535">
            <v>0</v>
          </cell>
        </row>
        <row r="536">
          <cell r="Q536">
            <v>0</v>
          </cell>
        </row>
        <row r="537">
          <cell r="Q537">
            <v>0</v>
          </cell>
        </row>
        <row r="538">
          <cell r="Q538">
            <v>0</v>
          </cell>
        </row>
        <row r="539">
          <cell r="Q539">
            <v>0</v>
          </cell>
        </row>
        <row r="540">
          <cell r="Q540">
            <v>0</v>
          </cell>
        </row>
        <row r="541">
          <cell r="Q541">
            <v>0</v>
          </cell>
        </row>
        <row r="542">
          <cell r="Q542">
            <v>0</v>
          </cell>
        </row>
        <row r="543">
          <cell r="Q543">
            <v>0</v>
          </cell>
        </row>
        <row r="544">
          <cell r="Q544">
            <v>0</v>
          </cell>
        </row>
        <row r="545">
          <cell r="Q545">
            <v>0</v>
          </cell>
        </row>
        <row r="546">
          <cell r="Q546">
            <v>0</v>
          </cell>
        </row>
        <row r="547">
          <cell r="Q547">
            <v>0</v>
          </cell>
        </row>
        <row r="548">
          <cell r="Q548">
            <v>0</v>
          </cell>
        </row>
        <row r="549">
          <cell r="Q549">
            <v>0</v>
          </cell>
        </row>
        <row r="550">
          <cell r="Q550">
            <v>0</v>
          </cell>
        </row>
        <row r="551">
          <cell r="Q551">
            <v>0</v>
          </cell>
        </row>
        <row r="552">
          <cell r="Q552">
            <v>0</v>
          </cell>
        </row>
        <row r="553">
          <cell r="Q553">
            <v>0</v>
          </cell>
        </row>
        <row r="554">
          <cell r="Q554">
            <v>0</v>
          </cell>
        </row>
        <row r="555">
          <cell r="Q555">
            <v>0</v>
          </cell>
        </row>
        <row r="556">
          <cell r="Q556">
            <v>0</v>
          </cell>
        </row>
        <row r="557">
          <cell r="Q557">
            <v>0</v>
          </cell>
        </row>
        <row r="558">
          <cell r="Q558">
            <v>0</v>
          </cell>
        </row>
        <row r="559">
          <cell r="Q559">
            <v>0</v>
          </cell>
        </row>
        <row r="560">
          <cell r="Q560">
            <v>0</v>
          </cell>
        </row>
        <row r="561">
          <cell r="Q561">
            <v>0</v>
          </cell>
        </row>
        <row r="562">
          <cell r="Q562">
            <v>0</v>
          </cell>
        </row>
        <row r="563">
          <cell r="Q563">
            <v>0</v>
          </cell>
        </row>
        <row r="564">
          <cell r="Q564">
            <v>0</v>
          </cell>
        </row>
        <row r="565">
          <cell r="Q565">
            <v>0</v>
          </cell>
        </row>
        <row r="566">
          <cell r="Q566">
            <v>0</v>
          </cell>
        </row>
        <row r="567">
          <cell r="Q567">
            <v>0</v>
          </cell>
        </row>
        <row r="568">
          <cell r="Q568">
            <v>0</v>
          </cell>
        </row>
        <row r="569">
          <cell r="Q569">
            <v>0</v>
          </cell>
        </row>
        <row r="570">
          <cell r="Q570">
            <v>0</v>
          </cell>
        </row>
        <row r="571">
          <cell r="Q571">
            <v>0</v>
          </cell>
        </row>
        <row r="572">
          <cell r="Q572">
            <v>0</v>
          </cell>
        </row>
        <row r="573">
          <cell r="Q573">
            <v>0</v>
          </cell>
        </row>
        <row r="574">
          <cell r="Q574">
            <v>0</v>
          </cell>
        </row>
        <row r="575">
          <cell r="Q575">
            <v>0</v>
          </cell>
        </row>
        <row r="576">
          <cell r="Q576">
            <v>0</v>
          </cell>
        </row>
        <row r="577">
          <cell r="Q577">
            <v>0</v>
          </cell>
        </row>
        <row r="578">
          <cell r="Q578">
            <v>0</v>
          </cell>
        </row>
        <row r="579">
          <cell r="Q579">
            <v>0</v>
          </cell>
        </row>
        <row r="580">
          <cell r="Q580">
            <v>0</v>
          </cell>
        </row>
        <row r="581">
          <cell r="Q581">
            <v>0</v>
          </cell>
        </row>
        <row r="582">
          <cell r="Q582">
            <v>0</v>
          </cell>
        </row>
        <row r="583">
          <cell r="Q583">
            <v>0</v>
          </cell>
        </row>
        <row r="584">
          <cell r="Q584">
            <v>0</v>
          </cell>
        </row>
        <row r="585">
          <cell r="Q585">
            <v>0</v>
          </cell>
        </row>
        <row r="586">
          <cell r="Q586">
            <v>0</v>
          </cell>
        </row>
        <row r="587">
          <cell r="Q587">
            <v>0</v>
          </cell>
        </row>
        <row r="588">
          <cell r="Q588">
            <v>0</v>
          </cell>
        </row>
        <row r="589">
          <cell r="Q589">
            <v>0</v>
          </cell>
        </row>
        <row r="590">
          <cell r="Q590">
            <v>0</v>
          </cell>
        </row>
        <row r="591">
          <cell r="Q591">
            <v>0</v>
          </cell>
        </row>
        <row r="592">
          <cell r="Q592">
            <v>0</v>
          </cell>
        </row>
        <row r="593">
          <cell r="Q593">
            <v>0</v>
          </cell>
        </row>
        <row r="594">
          <cell r="Q594">
            <v>0</v>
          </cell>
        </row>
        <row r="595">
          <cell r="Q595">
            <v>0</v>
          </cell>
        </row>
        <row r="596">
          <cell r="Q596">
            <v>0</v>
          </cell>
        </row>
        <row r="597">
          <cell r="Q597">
            <v>0</v>
          </cell>
        </row>
        <row r="598">
          <cell r="Q598">
            <v>0</v>
          </cell>
        </row>
        <row r="599">
          <cell r="Q599">
            <v>0</v>
          </cell>
        </row>
        <row r="600">
          <cell r="Q600">
            <v>0</v>
          </cell>
        </row>
        <row r="601">
          <cell r="Q601">
            <v>0</v>
          </cell>
        </row>
        <row r="602">
          <cell r="Q602">
            <v>0</v>
          </cell>
        </row>
        <row r="603">
          <cell r="Q603">
            <v>0</v>
          </cell>
        </row>
        <row r="604">
          <cell r="Q604">
            <v>0</v>
          </cell>
        </row>
        <row r="605">
          <cell r="Q605">
            <v>0</v>
          </cell>
        </row>
        <row r="606">
          <cell r="Q606">
            <v>0</v>
          </cell>
        </row>
        <row r="607">
          <cell r="Q607">
            <v>0</v>
          </cell>
        </row>
        <row r="608">
          <cell r="Q608">
            <v>0</v>
          </cell>
        </row>
        <row r="609">
          <cell r="Q609">
            <v>0</v>
          </cell>
        </row>
        <row r="610">
          <cell r="Q610">
            <v>0</v>
          </cell>
        </row>
        <row r="611">
          <cell r="Q611">
            <v>0</v>
          </cell>
        </row>
        <row r="612">
          <cell r="Q612">
            <v>0</v>
          </cell>
        </row>
        <row r="613">
          <cell r="Q613">
            <v>0</v>
          </cell>
        </row>
        <row r="614">
          <cell r="Q614">
            <v>0</v>
          </cell>
        </row>
        <row r="615">
          <cell r="Q615">
            <v>0</v>
          </cell>
        </row>
        <row r="616">
          <cell r="Q616">
            <v>0</v>
          </cell>
        </row>
        <row r="617">
          <cell r="Q617">
            <v>0</v>
          </cell>
        </row>
        <row r="618">
          <cell r="Q618">
            <v>0</v>
          </cell>
        </row>
        <row r="619">
          <cell r="Q619">
            <v>0</v>
          </cell>
        </row>
        <row r="620">
          <cell r="Q620">
            <v>0</v>
          </cell>
        </row>
        <row r="621">
          <cell r="Q621">
            <v>0</v>
          </cell>
        </row>
        <row r="622">
          <cell r="Q622">
            <v>0</v>
          </cell>
        </row>
        <row r="623">
          <cell r="Q623">
            <v>0</v>
          </cell>
        </row>
        <row r="624">
          <cell r="Q624">
            <v>0</v>
          </cell>
        </row>
        <row r="625">
          <cell r="Q625">
            <v>0</v>
          </cell>
        </row>
        <row r="626">
          <cell r="Q626">
            <v>0</v>
          </cell>
        </row>
        <row r="627">
          <cell r="Q627">
            <v>0</v>
          </cell>
        </row>
        <row r="628">
          <cell r="Q628">
            <v>0</v>
          </cell>
        </row>
        <row r="629">
          <cell r="Q629">
            <v>0</v>
          </cell>
        </row>
        <row r="630">
          <cell r="Q630">
            <v>0</v>
          </cell>
        </row>
        <row r="631">
          <cell r="Q631">
            <v>0</v>
          </cell>
        </row>
        <row r="632">
          <cell r="Q632">
            <v>0</v>
          </cell>
        </row>
        <row r="633">
          <cell r="Q633">
            <v>0</v>
          </cell>
        </row>
        <row r="634">
          <cell r="Q634">
            <v>0</v>
          </cell>
        </row>
        <row r="635">
          <cell r="Q635">
            <v>0</v>
          </cell>
        </row>
        <row r="636">
          <cell r="Q636">
            <v>0</v>
          </cell>
        </row>
        <row r="637">
          <cell r="Q637">
            <v>0</v>
          </cell>
        </row>
        <row r="638">
          <cell r="Q638">
            <v>0</v>
          </cell>
        </row>
        <row r="639">
          <cell r="Q639">
            <v>0</v>
          </cell>
        </row>
        <row r="640">
          <cell r="Q640">
            <v>0</v>
          </cell>
        </row>
        <row r="641">
          <cell r="Q641">
            <v>0</v>
          </cell>
        </row>
        <row r="642">
          <cell r="Q642">
            <v>0</v>
          </cell>
        </row>
        <row r="643">
          <cell r="Q643">
            <v>0</v>
          </cell>
        </row>
        <row r="644">
          <cell r="Q644">
            <v>0</v>
          </cell>
        </row>
        <row r="645">
          <cell r="Q645">
            <v>0</v>
          </cell>
        </row>
        <row r="646">
          <cell r="Q646">
            <v>0</v>
          </cell>
        </row>
        <row r="647">
          <cell r="Q647">
            <v>0</v>
          </cell>
        </row>
        <row r="648">
          <cell r="Q648">
            <v>0</v>
          </cell>
        </row>
        <row r="649">
          <cell r="Q649">
            <v>0</v>
          </cell>
        </row>
        <row r="650">
          <cell r="Q650">
            <v>0</v>
          </cell>
        </row>
        <row r="651">
          <cell r="Q651">
            <v>0</v>
          </cell>
        </row>
        <row r="652">
          <cell r="Q652">
            <v>0</v>
          </cell>
        </row>
        <row r="653">
          <cell r="Q653">
            <v>0</v>
          </cell>
        </row>
        <row r="654">
          <cell r="Q654">
            <v>0</v>
          </cell>
        </row>
        <row r="655">
          <cell r="Q655">
            <v>0</v>
          </cell>
        </row>
        <row r="656">
          <cell r="Q656">
            <v>0</v>
          </cell>
        </row>
        <row r="657">
          <cell r="Q657">
            <v>0</v>
          </cell>
        </row>
        <row r="658">
          <cell r="Q658">
            <v>0</v>
          </cell>
        </row>
        <row r="659">
          <cell r="Q659">
            <v>0</v>
          </cell>
        </row>
        <row r="660">
          <cell r="Q660">
            <v>0</v>
          </cell>
        </row>
        <row r="661">
          <cell r="Q661">
            <v>0</v>
          </cell>
        </row>
        <row r="662">
          <cell r="Q662">
            <v>0</v>
          </cell>
        </row>
        <row r="663">
          <cell r="Q663">
            <v>0</v>
          </cell>
        </row>
        <row r="664">
          <cell r="Q664">
            <v>0</v>
          </cell>
        </row>
        <row r="665">
          <cell r="Q665">
            <v>0</v>
          </cell>
        </row>
        <row r="666">
          <cell r="Q666">
            <v>0</v>
          </cell>
        </row>
        <row r="667">
          <cell r="Q667">
            <v>0</v>
          </cell>
        </row>
        <row r="668">
          <cell r="Q668">
            <v>0</v>
          </cell>
        </row>
        <row r="669">
          <cell r="Q669">
            <v>0</v>
          </cell>
        </row>
        <row r="670">
          <cell r="Q670">
            <v>0</v>
          </cell>
        </row>
        <row r="671">
          <cell r="Q671">
            <v>0</v>
          </cell>
        </row>
        <row r="672">
          <cell r="Q672">
            <v>0</v>
          </cell>
        </row>
        <row r="673">
          <cell r="Q673">
            <v>0</v>
          </cell>
        </row>
        <row r="674">
          <cell r="Q674">
            <v>0</v>
          </cell>
        </row>
        <row r="675">
          <cell r="Q675">
            <v>0</v>
          </cell>
        </row>
        <row r="676">
          <cell r="Q676">
            <v>0</v>
          </cell>
        </row>
        <row r="677">
          <cell r="Q677">
            <v>0</v>
          </cell>
        </row>
        <row r="678">
          <cell r="Q678">
            <v>0</v>
          </cell>
        </row>
        <row r="679">
          <cell r="Q679">
            <v>0</v>
          </cell>
        </row>
        <row r="680">
          <cell r="Q680">
            <v>0</v>
          </cell>
        </row>
        <row r="681">
          <cell r="Q681">
            <v>0</v>
          </cell>
        </row>
        <row r="682">
          <cell r="Q682">
            <v>0</v>
          </cell>
        </row>
        <row r="683">
          <cell r="Q683">
            <v>0</v>
          </cell>
        </row>
        <row r="684">
          <cell r="Q684">
            <v>0</v>
          </cell>
        </row>
        <row r="685">
          <cell r="Q685">
            <v>0</v>
          </cell>
        </row>
        <row r="686">
          <cell r="Q686">
            <v>0</v>
          </cell>
        </row>
        <row r="687">
          <cell r="Q687">
            <v>0</v>
          </cell>
        </row>
        <row r="688">
          <cell r="Q688">
            <v>0</v>
          </cell>
        </row>
        <row r="689">
          <cell r="Q689">
            <v>0</v>
          </cell>
        </row>
        <row r="690">
          <cell r="Q690">
            <v>0</v>
          </cell>
        </row>
        <row r="691">
          <cell r="Q691">
            <v>0</v>
          </cell>
        </row>
        <row r="692">
          <cell r="Q692">
            <v>0</v>
          </cell>
        </row>
        <row r="693">
          <cell r="Q693">
            <v>0</v>
          </cell>
        </row>
        <row r="694">
          <cell r="Q694">
            <v>0</v>
          </cell>
        </row>
        <row r="695">
          <cell r="Q695">
            <v>0</v>
          </cell>
        </row>
        <row r="696">
          <cell r="Q696">
            <v>0</v>
          </cell>
        </row>
        <row r="697">
          <cell r="Q697">
            <v>0</v>
          </cell>
        </row>
        <row r="698">
          <cell r="Q698">
            <v>0</v>
          </cell>
        </row>
        <row r="699">
          <cell r="Q699">
            <v>0</v>
          </cell>
        </row>
        <row r="700">
          <cell r="Q700">
            <v>0</v>
          </cell>
        </row>
        <row r="701">
          <cell r="Q701">
            <v>0</v>
          </cell>
        </row>
        <row r="702">
          <cell r="Q702">
            <v>0</v>
          </cell>
        </row>
        <row r="703">
          <cell r="Q703">
            <v>0</v>
          </cell>
        </row>
        <row r="704">
          <cell r="Q704">
            <v>0</v>
          </cell>
        </row>
        <row r="705">
          <cell r="Q705">
            <v>0</v>
          </cell>
        </row>
        <row r="706">
          <cell r="Q706">
            <v>0</v>
          </cell>
        </row>
        <row r="707">
          <cell r="Q707">
            <v>0</v>
          </cell>
        </row>
        <row r="708">
          <cell r="Q708">
            <v>0</v>
          </cell>
        </row>
        <row r="709">
          <cell r="Q709">
            <v>0</v>
          </cell>
        </row>
        <row r="710">
          <cell r="Q710">
            <v>0</v>
          </cell>
        </row>
        <row r="711">
          <cell r="Q711">
            <v>0</v>
          </cell>
        </row>
        <row r="712">
          <cell r="Q712">
            <v>0</v>
          </cell>
        </row>
        <row r="713">
          <cell r="Q713">
            <v>0</v>
          </cell>
        </row>
        <row r="714">
          <cell r="Q714">
            <v>0</v>
          </cell>
        </row>
        <row r="715">
          <cell r="Q715">
            <v>0</v>
          </cell>
        </row>
        <row r="716">
          <cell r="Q716">
            <v>0</v>
          </cell>
        </row>
        <row r="717">
          <cell r="Q717">
            <v>0</v>
          </cell>
        </row>
        <row r="718">
          <cell r="Q718">
            <v>0</v>
          </cell>
        </row>
        <row r="719">
          <cell r="Q719">
            <v>0</v>
          </cell>
        </row>
        <row r="720">
          <cell r="Q720">
            <v>0</v>
          </cell>
        </row>
        <row r="721">
          <cell r="Q721">
            <v>0</v>
          </cell>
        </row>
        <row r="722">
          <cell r="Q722">
            <v>0</v>
          </cell>
        </row>
        <row r="723">
          <cell r="Q723">
            <v>0</v>
          </cell>
        </row>
        <row r="724">
          <cell r="Q724">
            <v>0</v>
          </cell>
        </row>
        <row r="725">
          <cell r="Q725">
            <v>0</v>
          </cell>
        </row>
        <row r="726">
          <cell r="Q726">
            <v>0</v>
          </cell>
        </row>
        <row r="727">
          <cell r="Q727">
            <v>0</v>
          </cell>
        </row>
        <row r="728">
          <cell r="Q728">
            <v>0</v>
          </cell>
        </row>
        <row r="729">
          <cell r="Q729">
            <v>0</v>
          </cell>
        </row>
        <row r="730">
          <cell r="Q730">
            <v>0</v>
          </cell>
        </row>
        <row r="731">
          <cell r="Q731">
            <v>0</v>
          </cell>
        </row>
        <row r="732">
          <cell r="Q732">
            <v>0</v>
          </cell>
        </row>
        <row r="733">
          <cell r="Q733">
            <v>0</v>
          </cell>
        </row>
        <row r="734">
          <cell r="Q734">
            <v>0</v>
          </cell>
        </row>
        <row r="735">
          <cell r="Q735">
            <v>0</v>
          </cell>
        </row>
        <row r="736">
          <cell r="Q736">
            <v>0</v>
          </cell>
        </row>
        <row r="737">
          <cell r="Q737">
            <v>0</v>
          </cell>
        </row>
        <row r="738">
          <cell r="Q738">
            <v>0</v>
          </cell>
        </row>
        <row r="739">
          <cell r="Q739">
            <v>0</v>
          </cell>
        </row>
        <row r="740">
          <cell r="Q740">
            <v>0</v>
          </cell>
        </row>
        <row r="741">
          <cell r="Q741">
            <v>0</v>
          </cell>
        </row>
        <row r="742">
          <cell r="Q742">
            <v>0</v>
          </cell>
        </row>
        <row r="743">
          <cell r="Q743">
            <v>0</v>
          </cell>
        </row>
        <row r="744">
          <cell r="Q744">
            <v>0</v>
          </cell>
        </row>
        <row r="745">
          <cell r="Q745">
            <v>0</v>
          </cell>
        </row>
        <row r="746">
          <cell r="Q746">
            <v>0</v>
          </cell>
        </row>
        <row r="747">
          <cell r="Q747">
            <v>0</v>
          </cell>
        </row>
        <row r="748">
          <cell r="Q748">
            <v>0</v>
          </cell>
        </row>
        <row r="749">
          <cell r="Q749">
            <v>0</v>
          </cell>
        </row>
        <row r="750">
          <cell r="Q750">
            <v>0</v>
          </cell>
        </row>
        <row r="751">
          <cell r="Q751">
            <v>0</v>
          </cell>
        </row>
        <row r="752">
          <cell r="Q752">
            <v>0</v>
          </cell>
        </row>
        <row r="753">
          <cell r="Q753">
            <v>0</v>
          </cell>
        </row>
        <row r="754">
          <cell r="Q754">
            <v>0</v>
          </cell>
        </row>
        <row r="755">
          <cell r="Q755">
            <v>0</v>
          </cell>
        </row>
        <row r="756">
          <cell r="Q756">
            <v>0</v>
          </cell>
        </row>
        <row r="757">
          <cell r="Q757">
            <v>0</v>
          </cell>
        </row>
        <row r="758">
          <cell r="Q758">
            <v>0</v>
          </cell>
        </row>
        <row r="759">
          <cell r="Q759">
            <v>0</v>
          </cell>
        </row>
        <row r="760">
          <cell r="Q760">
            <v>0</v>
          </cell>
        </row>
        <row r="761">
          <cell r="Q761">
            <v>0</v>
          </cell>
        </row>
        <row r="762">
          <cell r="Q762">
            <v>0</v>
          </cell>
        </row>
        <row r="763">
          <cell r="Q763">
            <v>0</v>
          </cell>
        </row>
        <row r="764">
          <cell r="Q764">
            <v>0</v>
          </cell>
        </row>
        <row r="765">
          <cell r="Q765">
            <v>0</v>
          </cell>
        </row>
        <row r="766">
          <cell r="Q766">
            <v>0</v>
          </cell>
        </row>
        <row r="767">
          <cell r="Q767">
            <v>0</v>
          </cell>
        </row>
        <row r="768">
          <cell r="Q768">
            <v>0</v>
          </cell>
        </row>
        <row r="769">
          <cell r="Q769">
            <v>0</v>
          </cell>
        </row>
        <row r="770">
          <cell r="Q770">
            <v>0</v>
          </cell>
        </row>
        <row r="771">
          <cell r="Q771">
            <v>0</v>
          </cell>
        </row>
        <row r="772">
          <cell r="Q772">
            <v>0</v>
          </cell>
        </row>
        <row r="773">
          <cell r="Q773">
            <v>0</v>
          </cell>
        </row>
        <row r="774">
          <cell r="Q774">
            <v>0</v>
          </cell>
        </row>
        <row r="775">
          <cell r="Q775">
            <v>0</v>
          </cell>
        </row>
        <row r="776">
          <cell r="Q776">
            <v>0</v>
          </cell>
        </row>
        <row r="777">
          <cell r="Q777">
            <v>0</v>
          </cell>
        </row>
        <row r="778">
          <cell r="Q778">
            <v>0</v>
          </cell>
        </row>
        <row r="779">
          <cell r="Q779">
            <v>0</v>
          </cell>
        </row>
        <row r="780">
          <cell r="Q780">
            <v>0</v>
          </cell>
        </row>
        <row r="781">
          <cell r="Q781">
            <v>0</v>
          </cell>
        </row>
        <row r="782">
          <cell r="Q782">
            <v>0</v>
          </cell>
        </row>
        <row r="783">
          <cell r="Q783">
            <v>0</v>
          </cell>
        </row>
        <row r="784">
          <cell r="Q784">
            <v>0</v>
          </cell>
        </row>
        <row r="785">
          <cell r="Q785">
            <v>0</v>
          </cell>
        </row>
        <row r="786">
          <cell r="Q786">
            <v>0</v>
          </cell>
        </row>
        <row r="787">
          <cell r="Q787">
            <v>0</v>
          </cell>
        </row>
        <row r="788">
          <cell r="Q788">
            <v>0</v>
          </cell>
        </row>
        <row r="789">
          <cell r="Q789">
            <v>0</v>
          </cell>
        </row>
        <row r="790">
          <cell r="Q790">
            <v>0</v>
          </cell>
        </row>
        <row r="791">
          <cell r="Q791">
            <v>0</v>
          </cell>
        </row>
        <row r="792">
          <cell r="Q792">
            <v>0</v>
          </cell>
        </row>
        <row r="793">
          <cell r="Q793">
            <v>0</v>
          </cell>
        </row>
        <row r="794">
          <cell r="Q794">
            <v>0</v>
          </cell>
        </row>
        <row r="795">
          <cell r="Q795">
            <v>0</v>
          </cell>
        </row>
        <row r="796">
          <cell r="Q796">
            <v>0</v>
          </cell>
        </row>
        <row r="797">
          <cell r="Q797">
            <v>0</v>
          </cell>
        </row>
        <row r="798">
          <cell r="Q798">
            <v>0</v>
          </cell>
        </row>
        <row r="799">
          <cell r="Q799">
            <v>0</v>
          </cell>
        </row>
        <row r="800">
          <cell r="Q800">
            <v>0</v>
          </cell>
        </row>
        <row r="801">
          <cell r="Q801">
            <v>0</v>
          </cell>
        </row>
        <row r="802">
          <cell r="Q802">
            <v>0</v>
          </cell>
        </row>
        <row r="803">
          <cell r="Q803">
            <v>0</v>
          </cell>
        </row>
        <row r="804">
          <cell r="Q804">
            <v>0</v>
          </cell>
        </row>
        <row r="805">
          <cell r="Q805">
            <v>0</v>
          </cell>
        </row>
        <row r="806">
          <cell r="Q806">
            <v>0</v>
          </cell>
        </row>
        <row r="807">
          <cell r="Q807">
            <v>0</v>
          </cell>
        </row>
        <row r="808">
          <cell r="Q808">
            <v>0</v>
          </cell>
        </row>
        <row r="809">
          <cell r="Q809">
            <v>0</v>
          </cell>
        </row>
        <row r="810">
          <cell r="Q810">
            <v>0</v>
          </cell>
        </row>
        <row r="811">
          <cell r="Q811">
            <v>0</v>
          </cell>
        </row>
        <row r="812">
          <cell r="Q812">
            <v>0</v>
          </cell>
        </row>
        <row r="813">
          <cell r="Q813">
            <v>0</v>
          </cell>
        </row>
        <row r="814">
          <cell r="Q814">
            <v>0</v>
          </cell>
        </row>
        <row r="815">
          <cell r="Q8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">
          <cell r="M2">
            <v>0</v>
          </cell>
        </row>
        <row r="3">
          <cell r="M3">
            <v>0</v>
          </cell>
        </row>
        <row r="4">
          <cell r="M4">
            <v>0</v>
          </cell>
        </row>
        <row r="5">
          <cell r="M5">
            <v>0</v>
          </cell>
        </row>
        <row r="6">
          <cell r="M6">
            <v>0</v>
          </cell>
        </row>
        <row r="7">
          <cell r="M7">
            <v>0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M22">
            <v>0</v>
          </cell>
        </row>
        <row r="23">
          <cell r="M23">
            <v>0</v>
          </cell>
        </row>
        <row r="24">
          <cell r="M24">
            <v>0</v>
          </cell>
        </row>
        <row r="25">
          <cell r="M25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8">
          <cell r="M38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0</v>
          </cell>
        </row>
        <row r="50">
          <cell r="M50">
            <v>0</v>
          </cell>
        </row>
        <row r="51">
          <cell r="M51">
            <v>0</v>
          </cell>
        </row>
        <row r="52">
          <cell r="M52">
            <v>0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7">
          <cell r="M57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1">
          <cell r="M61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6">
          <cell r="M66">
            <v>0</v>
          </cell>
        </row>
        <row r="67">
          <cell r="M67">
            <v>0</v>
          </cell>
        </row>
        <row r="68">
          <cell r="M68">
            <v>0</v>
          </cell>
        </row>
        <row r="69">
          <cell r="M69">
            <v>0</v>
          </cell>
        </row>
        <row r="70">
          <cell r="M70">
            <v>0</v>
          </cell>
        </row>
        <row r="71">
          <cell r="M71">
            <v>0</v>
          </cell>
        </row>
        <row r="72">
          <cell r="M72">
            <v>0</v>
          </cell>
        </row>
        <row r="73">
          <cell r="M73">
            <v>0</v>
          </cell>
        </row>
        <row r="74">
          <cell r="M74">
            <v>0</v>
          </cell>
        </row>
        <row r="75">
          <cell r="M75">
            <v>0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0</v>
          </cell>
        </row>
        <row r="79">
          <cell r="M79">
            <v>0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4">
          <cell r="M84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8">
          <cell r="M88">
            <v>0</v>
          </cell>
        </row>
        <row r="89">
          <cell r="M89">
            <v>0</v>
          </cell>
        </row>
        <row r="90">
          <cell r="M90">
            <v>0</v>
          </cell>
        </row>
        <row r="91">
          <cell r="M91">
            <v>0</v>
          </cell>
        </row>
        <row r="92">
          <cell r="M92">
            <v>0</v>
          </cell>
        </row>
        <row r="93">
          <cell r="M93">
            <v>0</v>
          </cell>
        </row>
        <row r="94">
          <cell r="M94">
            <v>0</v>
          </cell>
        </row>
        <row r="95">
          <cell r="M95">
            <v>0</v>
          </cell>
        </row>
        <row r="96">
          <cell r="M96">
            <v>0</v>
          </cell>
        </row>
        <row r="97">
          <cell r="M97">
            <v>0</v>
          </cell>
        </row>
        <row r="98">
          <cell r="M98">
            <v>0</v>
          </cell>
        </row>
        <row r="99">
          <cell r="M99">
            <v>0</v>
          </cell>
        </row>
        <row r="100">
          <cell r="M100">
            <v>0</v>
          </cell>
        </row>
        <row r="101">
          <cell r="M101">
            <v>0</v>
          </cell>
        </row>
        <row r="102">
          <cell r="M102">
            <v>0</v>
          </cell>
        </row>
        <row r="103">
          <cell r="M103">
            <v>0</v>
          </cell>
        </row>
        <row r="104">
          <cell r="M104">
            <v>0</v>
          </cell>
        </row>
        <row r="105">
          <cell r="M105">
            <v>0</v>
          </cell>
        </row>
        <row r="106">
          <cell r="M106">
            <v>0</v>
          </cell>
        </row>
        <row r="107">
          <cell r="M107">
            <v>0</v>
          </cell>
        </row>
        <row r="108">
          <cell r="M108">
            <v>0</v>
          </cell>
        </row>
        <row r="109">
          <cell r="M109">
            <v>0</v>
          </cell>
        </row>
        <row r="110">
          <cell r="M110">
            <v>0</v>
          </cell>
        </row>
        <row r="111">
          <cell r="M111">
            <v>0</v>
          </cell>
        </row>
        <row r="112">
          <cell r="M112">
            <v>0</v>
          </cell>
        </row>
        <row r="113">
          <cell r="M113">
            <v>0</v>
          </cell>
        </row>
        <row r="114">
          <cell r="M114">
            <v>0</v>
          </cell>
        </row>
        <row r="115">
          <cell r="M115">
            <v>0</v>
          </cell>
        </row>
        <row r="116">
          <cell r="M116">
            <v>0</v>
          </cell>
        </row>
        <row r="117">
          <cell r="M117">
            <v>0</v>
          </cell>
        </row>
        <row r="118">
          <cell r="M118">
            <v>0</v>
          </cell>
        </row>
        <row r="119">
          <cell r="M119">
            <v>0</v>
          </cell>
        </row>
        <row r="120"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  <row r="124">
          <cell r="M124">
            <v>0</v>
          </cell>
        </row>
        <row r="125">
          <cell r="M125">
            <v>0</v>
          </cell>
        </row>
        <row r="126">
          <cell r="M126">
            <v>0</v>
          </cell>
        </row>
        <row r="127">
          <cell r="M127">
            <v>0</v>
          </cell>
        </row>
        <row r="128">
          <cell r="M128">
            <v>0</v>
          </cell>
        </row>
        <row r="129">
          <cell r="M129">
            <v>0</v>
          </cell>
        </row>
        <row r="130">
          <cell r="M130">
            <v>0</v>
          </cell>
        </row>
        <row r="131">
          <cell r="M131">
            <v>0</v>
          </cell>
        </row>
        <row r="132">
          <cell r="M132">
            <v>0</v>
          </cell>
        </row>
        <row r="133">
          <cell r="M133">
            <v>0</v>
          </cell>
        </row>
        <row r="134">
          <cell r="M134">
            <v>0</v>
          </cell>
        </row>
        <row r="135">
          <cell r="M135">
            <v>0</v>
          </cell>
        </row>
        <row r="136">
          <cell r="M136">
            <v>0</v>
          </cell>
        </row>
        <row r="137">
          <cell r="M137">
            <v>0</v>
          </cell>
        </row>
        <row r="138">
          <cell r="M138">
            <v>0</v>
          </cell>
        </row>
        <row r="139">
          <cell r="M139">
            <v>0</v>
          </cell>
        </row>
        <row r="140">
          <cell r="M140">
            <v>0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0</v>
          </cell>
        </row>
        <row r="149">
          <cell r="M149">
            <v>0</v>
          </cell>
        </row>
        <row r="150">
          <cell r="M150">
            <v>0</v>
          </cell>
        </row>
        <row r="151">
          <cell r="M151">
            <v>0</v>
          </cell>
        </row>
        <row r="152">
          <cell r="M152">
            <v>0</v>
          </cell>
        </row>
        <row r="153">
          <cell r="M153">
            <v>0</v>
          </cell>
        </row>
        <row r="154">
          <cell r="M154">
            <v>0</v>
          </cell>
        </row>
        <row r="155">
          <cell r="M155">
            <v>0</v>
          </cell>
        </row>
        <row r="156">
          <cell r="M156">
            <v>0</v>
          </cell>
        </row>
        <row r="157">
          <cell r="M157">
            <v>0</v>
          </cell>
        </row>
        <row r="158">
          <cell r="M158">
            <v>0</v>
          </cell>
        </row>
        <row r="159">
          <cell r="M159">
            <v>0</v>
          </cell>
        </row>
        <row r="160">
          <cell r="M160">
            <v>0</v>
          </cell>
        </row>
        <row r="161">
          <cell r="M161">
            <v>0</v>
          </cell>
        </row>
        <row r="162">
          <cell r="M162">
            <v>0</v>
          </cell>
        </row>
        <row r="163">
          <cell r="M163">
            <v>0</v>
          </cell>
        </row>
        <row r="164">
          <cell r="M164">
            <v>0</v>
          </cell>
        </row>
        <row r="165">
          <cell r="M165">
            <v>0</v>
          </cell>
        </row>
        <row r="166">
          <cell r="M166">
            <v>0</v>
          </cell>
        </row>
        <row r="167">
          <cell r="M167">
            <v>0</v>
          </cell>
        </row>
        <row r="168">
          <cell r="M168">
            <v>0</v>
          </cell>
        </row>
        <row r="169">
          <cell r="M169">
            <v>0</v>
          </cell>
        </row>
        <row r="170">
          <cell r="M170">
            <v>0</v>
          </cell>
        </row>
        <row r="171">
          <cell r="M171">
            <v>0</v>
          </cell>
        </row>
        <row r="172">
          <cell r="M172">
            <v>0</v>
          </cell>
        </row>
        <row r="173">
          <cell r="M173">
            <v>0</v>
          </cell>
        </row>
        <row r="174">
          <cell r="M174">
            <v>0</v>
          </cell>
        </row>
        <row r="175">
          <cell r="M175">
            <v>0</v>
          </cell>
        </row>
        <row r="176">
          <cell r="M176">
            <v>0</v>
          </cell>
        </row>
        <row r="177">
          <cell r="M177">
            <v>0</v>
          </cell>
        </row>
        <row r="178">
          <cell r="M178">
            <v>0</v>
          </cell>
        </row>
        <row r="179">
          <cell r="M179">
            <v>0</v>
          </cell>
        </row>
        <row r="180">
          <cell r="M180">
            <v>0</v>
          </cell>
        </row>
        <row r="181">
          <cell r="M181">
            <v>0</v>
          </cell>
        </row>
        <row r="182">
          <cell r="M182">
            <v>0</v>
          </cell>
        </row>
        <row r="183">
          <cell r="M183">
            <v>0</v>
          </cell>
        </row>
        <row r="184">
          <cell r="M184">
            <v>0</v>
          </cell>
        </row>
        <row r="185">
          <cell r="M185">
            <v>0</v>
          </cell>
        </row>
        <row r="186">
          <cell r="M186">
            <v>0</v>
          </cell>
        </row>
        <row r="187">
          <cell r="M187">
            <v>0</v>
          </cell>
        </row>
        <row r="188">
          <cell r="M188">
            <v>0</v>
          </cell>
        </row>
        <row r="189">
          <cell r="M189">
            <v>0</v>
          </cell>
        </row>
        <row r="190">
          <cell r="M190">
            <v>0</v>
          </cell>
        </row>
        <row r="191">
          <cell r="M191">
            <v>0</v>
          </cell>
        </row>
        <row r="192">
          <cell r="M192">
            <v>0</v>
          </cell>
        </row>
        <row r="193">
          <cell r="M193">
            <v>0</v>
          </cell>
        </row>
        <row r="194">
          <cell r="M194">
            <v>0</v>
          </cell>
        </row>
        <row r="195">
          <cell r="M195">
            <v>0</v>
          </cell>
        </row>
        <row r="196">
          <cell r="M196">
            <v>0</v>
          </cell>
        </row>
        <row r="197">
          <cell r="M197">
            <v>0</v>
          </cell>
        </row>
        <row r="198">
          <cell r="M198">
            <v>0</v>
          </cell>
        </row>
        <row r="199">
          <cell r="M199">
            <v>0</v>
          </cell>
        </row>
        <row r="200">
          <cell r="M200">
            <v>0</v>
          </cell>
        </row>
        <row r="201">
          <cell r="M201">
            <v>0</v>
          </cell>
        </row>
        <row r="202">
          <cell r="M202">
            <v>0</v>
          </cell>
        </row>
        <row r="203">
          <cell r="M203">
            <v>0</v>
          </cell>
        </row>
        <row r="204">
          <cell r="M204">
            <v>0</v>
          </cell>
        </row>
        <row r="205">
          <cell r="M205">
            <v>0</v>
          </cell>
        </row>
        <row r="206">
          <cell r="M206">
            <v>0</v>
          </cell>
        </row>
        <row r="207">
          <cell r="M207">
            <v>0</v>
          </cell>
        </row>
        <row r="208">
          <cell r="M208">
            <v>0</v>
          </cell>
        </row>
        <row r="209">
          <cell r="M209">
            <v>0</v>
          </cell>
        </row>
        <row r="210">
          <cell r="M210">
            <v>0</v>
          </cell>
        </row>
        <row r="211">
          <cell r="M211">
            <v>0</v>
          </cell>
        </row>
        <row r="212">
          <cell r="M212">
            <v>0</v>
          </cell>
        </row>
        <row r="213">
          <cell r="M213">
            <v>0</v>
          </cell>
        </row>
        <row r="214">
          <cell r="M214">
            <v>0</v>
          </cell>
        </row>
        <row r="215">
          <cell r="M215">
            <v>0</v>
          </cell>
        </row>
        <row r="216">
          <cell r="M216">
            <v>0</v>
          </cell>
        </row>
        <row r="217">
          <cell r="M217">
            <v>0</v>
          </cell>
        </row>
        <row r="218">
          <cell r="M218">
            <v>0</v>
          </cell>
        </row>
        <row r="219">
          <cell r="M219">
            <v>0</v>
          </cell>
        </row>
        <row r="220">
          <cell r="M220">
            <v>0</v>
          </cell>
        </row>
        <row r="221">
          <cell r="M221">
            <v>0</v>
          </cell>
        </row>
        <row r="222">
          <cell r="M222">
            <v>0</v>
          </cell>
        </row>
        <row r="223">
          <cell r="M223">
            <v>0</v>
          </cell>
        </row>
        <row r="224">
          <cell r="M224">
            <v>0</v>
          </cell>
        </row>
        <row r="225">
          <cell r="M225">
            <v>0</v>
          </cell>
        </row>
        <row r="226">
          <cell r="M226">
            <v>0</v>
          </cell>
        </row>
        <row r="227">
          <cell r="M227">
            <v>0</v>
          </cell>
        </row>
        <row r="228">
          <cell r="M228">
            <v>0</v>
          </cell>
        </row>
        <row r="229">
          <cell r="M229">
            <v>0</v>
          </cell>
        </row>
        <row r="230">
          <cell r="M230">
            <v>0</v>
          </cell>
        </row>
        <row r="231">
          <cell r="M231">
            <v>0</v>
          </cell>
        </row>
        <row r="232">
          <cell r="M232">
            <v>0</v>
          </cell>
        </row>
        <row r="233">
          <cell r="M233">
            <v>0</v>
          </cell>
        </row>
        <row r="234">
          <cell r="M234">
            <v>0</v>
          </cell>
        </row>
        <row r="235">
          <cell r="M235">
            <v>0</v>
          </cell>
        </row>
        <row r="236">
          <cell r="M236">
            <v>0</v>
          </cell>
        </row>
        <row r="237">
          <cell r="M237">
            <v>0</v>
          </cell>
        </row>
        <row r="238">
          <cell r="M238">
            <v>0</v>
          </cell>
        </row>
        <row r="239">
          <cell r="M239">
            <v>0</v>
          </cell>
        </row>
        <row r="240">
          <cell r="M240">
            <v>0</v>
          </cell>
        </row>
        <row r="241">
          <cell r="M241">
            <v>0</v>
          </cell>
        </row>
        <row r="242">
          <cell r="M242">
            <v>0</v>
          </cell>
        </row>
        <row r="243">
          <cell r="M243">
            <v>0</v>
          </cell>
        </row>
        <row r="244">
          <cell r="M244">
            <v>0</v>
          </cell>
        </row>
        <row r="245">
          <cell r="M245">
            <v>0</v>
          </cell>
        </row>
        <row r="246">
          <cell r="M246">
            <v>0</v>
          </cell>
        </row>
        <row r="247">
          <cell r="M247">
            <v>0</v>
          </cell>
        </row>
        <row r="248">
          <cell r="M248">
            <v>0</v>
          </cell>
        </row>
        <row r="249">
          <cell r="M249">
            <v>0</v>
          </cell>
        </row>
        <row r="250">
          <cell r="M250">
            <v>0</v>
          </cell>
        </row>
        <row r="251">
          <cell r="M251">
            <v>0</v>
          </cell>
        </row>
        <row r="252">
          <cell r="M252">
            <v>0</v>
          </cell>
        </row>
        <row r="253">
          <cell r="M253">
            <v>0</v>
          </cell>
        </row>
        <row r="254">
          <cell r="M254">
            <v>0</v>
          </cell>
        </row>
        <row r="255">
          <cell r="M255">
            <v>0</v>
          </cell>
        </row>
        <row r="256">
          <cell r="M256">
            <v>0</v>
          </cell>
        </row>
        <row r="257">
          <cell r="M257">
            <v>0</v>
          </cell>
        </row>
        <row r="258">
          <cell r="M258">
            <v>0</v>
          </cell>
        </row>
        <row r="259">
          <cell r="M259">
            <v>0</v>
          </cell>
        </row>
        <row r="260">
          <cell r="M260">
            <v>0</v>
          </cell>
        </row>
        <row r="261">
          <cell r="M261">
            <v>0</v>
          </cell>
        </row>
        <row r="262">
          <cell r="M262">
            <v>0</v>
          </cell>
        </row>
        <row r="263">
          <cell r="M263">
            <v>0</v>
          </cell>
        </row>
        <row r="264">
          <cell r="M264">
            <v>0</v>
          </cell>
        </row>
        <row r="265">
          <cell r="M265">
            <v>0</v>
          </cell>
        </row>
        <row r="266">
          <cell r="M266">
            <v>0</v>
          </cell>
        </row>
        <row r="267">
          <cell r="M267">
            <v>0</v>
          </cell>
        </row>
        <row r="268">
          <cell r="M268">
            <v>0</v>
          </cell>
        </row>
        <row r="269">
          <cell r="M269">
            <v>0</v>
          </cell>
        </row>
        <row r="270">
          <cell r="M270">
            <v>0</v>
          </cell>
        </row>
        <row r="271">
          <cell r="M271">
            <v>0</v>
          </cell>
        </row>
        <row r="272">
          <cell r="M272">
            <v>0</v>
          </cell>
        </row>
        <row r="273">
          <cell r="M273">
            <v>0</v>
          </cell>
        </row>
        <row r="274">
          <cell r="M274">
            <v>0</v>
          </cell>
        </row>
        <row r="275">
          <cell r="M275">
            <v>0</v>
          </cell>
        </row>
        <row r="276">
          <cell r="M276">
            <v>0</v>
          </cell>
        </row>
        <row r="277">
          <cell r="M277">
            <v>0</v>
          </cell>
        </row>
        <row r="278">
          <cell r="M278">
            <v>0</v>
          </cell>
        </row>
        <row r="279">
          <cell r="M279">
            <v>0</v>
          </cell>
        </row>
        <row r="280">
          <cell r="M280">
            <v>0</v>
          </cell>
        </row>
        <row r="281">
          <cell r="M281">
            <v>0</v>
          </cell>
        </row>
        <row r="282">
          <cell r="M282">
            <v>0</v>
          </cell>
        </row>
        <row r="283">
          <cell r="M283">
            <v>0</v>
          </cell>
        </row>
        <row r="284">
          <cell r="M284">
            <v>0</v>
          </cell>
        </row>
        <row r="285">
          <cell r="M285">
            <v>0</v>
          </cell>
        </row>
        <row r="286">
          <cell r="M286">
            <v>0</v>
          </cell>
        </row>
        <row r="287">
          <cell r="M287">
            <v>0</v>
          </cell>
        </row>
        <row r="288">
          <cell r="M288">
            <v>0</v>
          </cell>
        </row>
        <row r="289">
          <cell r="M289">
            <v>0</v>
          </cell>
        </row>
        <row r="290">
          <cell r="M290">
            <v>0</v>
          </cell>
        </row>
        <row r="291">
          <cell r="M291">
            <v>0</v>
          </cell>
        </row>
        <row r="292">
          <cell r="M292">
            <v>0</v>
          </cell>
        </row>
        <row r="293">
          <cell r="M293">
            <v>0</v>
          </cell>
        </row>
        <row r="294">
          <cell r="M294">
            <v>0</v>
          </cell>
        </row>
        <row r="295">
          <cell r="M295">
            <v>0</v>
          </cell>
        </row>
        <row r="296">
          <cell r="M296">
            <v>0</v>
          </cell>
        </row>
        <row r="297">
          <cell r="M297">
            <v>0</v>
          </cell>
        </row>
        <row r="298">
          <cell r="M298">
            <v>0</v>
          </cell>
        </row>
        <row r="299">
          <cell r="M299">
            <v>0</v>
          </cell>
        </row>
        <row r="300">
          <cell r="M300">
            <v>0</v>
          </cell>
        </row>
        <row r="301">
          <cell r="M301">
            <v>0</v>
          </cell>
        </row>
        <row r="302">
          <cell r="M302">
            <v>0</v>
          </cell>
        </row>
        <row r="303">
          <cell r="M303">
            <v>0</v>
          </cell>
        </row>
        <row r="304">
          <cell r="M304">
            <v>0</v>
          </cell>
        </row>
        <row r="305">
          <cell r="M305">
            <v>0</v>
          </cell>
        </row>
        <row r="306">
          <cell r="M306">
            <v>0</v>
          </cell>
        </row>
        <row r="307">
          <cell r="M307">
            <v>0</v>
          </cell>
        </row>
        <row r="308">
          <cell r="M308">
            <v>0</v>
          </cell>
        </row>
        <row r="309">
          <cell r="M309">
            <v>0</v>
          </cell>
        </row>
        <row r="310">
          <cell r="M310">
            <v>0</v>
          </cell>
        </row>
        <row r="311">
          <cell r="M311">
            <v>0</v>
          </cell>
        </row>
        <row r="312">
          <cell r="M312">
            <v>0</v>
          </cell>
        </row>
        <row r="313">
          <cell r="M313">
            <v>0</v>
          </cell>
        </row>
        <row r="314">
          <cell r="M314">
            <v>0</v>
          </cell>
        </row>
        <row r="315">
          <cell r="M315">
            <v>0</v>
          </cell>
        </row>
        <row r="316">
          <cell r="M316">
            <v>0</v>
          </cell>
        </row>
        <row r="317">
          <cell r="M317">
            <v>0</v>
          </cell>
        </row>
        <row r="318">
          <cell r="M318">
            <v>0</v>
          </cell>
        </row>
        <row r="319">
          <cell r="M319">
            <v>0</v>
          </cell>
        </row>
        <row r="320">
          <cell r="M320">
            <v>0</v>
          </cell>
        </row>
        <row r="321">
          <cell r="M321">
            <v>0</v>
          </cell>
        </row>
        <row r="322">
          <cell r="M322">
            <v>0</v>
          </cell>
        </row>
        <row r="323">
          <cell r="M323">
            <v>0</v>
          </cell>
        </row>
        <row r="324">
          <cell r="M324">
            <v>0</v>
          </cell>
        </row>
        <row r="325">
          <cell r="M325">
            <v>0</v>
          </cell>
        </row>
        <row r="326">
          <cell r="M326">
            <v>0</v>
          </cell>
        </row>
        <row r="327">
          <cell r="M327">
            <v>0</v>
          </cell>
        </row>
        <row r="328">
          <cell r="M328">
            <v>0</v>
          </cell>
        </row>
        <row r="329">
          <cell r="M329">
            <v>0</v>
          </cell>
        </row>
        <row r="330">
          <cell r="M330">
            <v>0</v>
          </cell>
        </row>
        <row r="331">
          <cell r="M331">
            <v>0</v>
          </cell>
        </row>
        <row r="332">
          <cell r="M332">
            <v>0</v>
          </cell>
        </row>
        <row r="333">
          <cell r="M333">
            <v>0</v>
          </cell>
        </row>
        <row r="334">
          <cell r="M334">
            <v>0</v>
          </cell>
        </row>
        <row r="335">
          <cell r="M335">
            <v>0</v>
          </cell>
        </row>
        <row r="336">
          <cell r="M336">
            <v>0</v>
          </cell>
        </row>
        <row r="337">
          <cell r="M337">
            <v>0</v>
          </cell>
        </row>
        <row r="338">
          <cell r="M338">
            <v>0</v>
          </cell>
        </row>
        <row r="339">
          <cell r="M339">
            <v>0</v>
          </cell>
        </row>
        <row r="340">
          <cell r="M340">
            <v>0</v>
          </cell>
        </row>
        <row r="341">
          <cell r="M341">
            <v>0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M352">
            <v>0</v>
          </cell>
        </row>
        <row r="353">
          <cell r="M353">
            <v>0</v>
          </cell>
        </row>
        <row r="354">
          <cell r="M354">
            <v>0</v>
          </cell>
        </row>
        <row r="355">
          <cell r="M355">
            <v>0</v>
          </cell>
        </row>
        <row r="356">
          <cell r="M356">
            <v>0</v>
          </cell>
        </row>
        <row r="357">
          <cell r="M357">
            <v>0</v>
          </cell>
        </row>
        <row r="358">
          <cell r="M358">
            <v>0</v>
          </cell>
        </row>
        <row r="359">
          <cell r="M359">
            <v>0</v>
          </cell>
        </row>
        <row r="360">
          <cell r="M360">
            <v>0</v>
          </cell>
        </row>
        <row r="361">
          <cell r="M361">
            <v>0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M374">
            <v>0</v>
          </cell>
        </row>
        <row r="375">
          <cell r="M375">
            <v>0</v>
          </cell>
        </row>
        <row r="376">
          <cell r="M376">
            <v>0</v>
          </cell>
        </row>
        <row r="377">
          <cell r="M377">
            <v>0</v>
          </cell>
        </row>
        <row r="378">
          <cell r="M378">
            <v>0</v>
          </cell>
        </row>
        <row r="379">
          <cell r="M379">
            <v>0</v>
          </cell>
        </row>
        <row r="380">
          <cell r="M380">
            <v>0</v>
          </cell>
        </row>
        <row r="381">
          <cell r="M381">
            <v>0</v>
          </cell>
        </row>
        <row r="382">
          <cell r="M382">
            <v>0</v>
          </cell>
        </row>
        <row r="383">
          <cell r="M383">
            <v>0</v>
          </cell>
        </row>
        <row r="384">
          <cell r="M384">
            <v>0</v>
          </cell>
        </row>
        <row r="385">
          <cell r="M385">
            <v>0</v>
          </cell>
        </row>
        <row r="386">
          <cell r="M386">
            <v>0</v>
          </cell>
        </row>
        <row r="387">
          <cell r="M387">
            <v>0</v>
          </cell>
        </row>
        <row r="388">
          <cell r="M388">
            <v>0</v>
          </cell>
        </row>
        <row r="389">
          <cell r="M389">
            <v>0</v>
          </cell>
        </row>
        <row r="390">
          <cell r="M390">
            <v>0</v>
          </cell>
        </row>
        <row r="391">
          <cell r="M391">
            <v>0</v>
          </cell>
        </row>
        <row r="392">
          <cell r="M392">
            <v>0</v>
          </cell>
        </row>
        <row r="393">
          <cell r="M393">
            <v>0</v>
          </cell>
        </row>
        <row r="394">
          <cell r="M394">
            <v>0</v>
          </cell>
        </row>
        <row r="395">
          <cell r="M395">
            <v>0</v>
          </cell>
        </row>
        <row r="396">
          <cell r="M396">
            <v>0</v>
          </cell>
        </row>
        <row r="397">
          <cell r="M397">
            <v>0</v>
          </cell>
        </row>
        <row r="398">
          <cell r="M398">
            <v>0</v>
          </cell>
        </row>
        <row r="399">
          <cell r="M399">
            <v>0</v>
          </cell>
        </row>
        <row r="400">
          <cell r="M400">
            <v>0</v>
          </cell>
        </row>
        <row r="401">
          <cell r="M401">
            <v>0</v>
          </cell>
        </row>
        <row r="402">
          <cell r="M402">
            <v>0</v>
          </cell>
        </row>
        <row r="403">
          <cell r="M403">
            <v>0</v>
          </cell>
        </row>
        <row r="404">
          <cell r="M404">
            <v>0</v>
          </cell>
        </row>
        <row r="405">
          <cell r="M405">
            <v>0</v>
          </cell>
        </row>
        <row r="406">
          <cell r="M406">
            <v>0</v>
          </cell>
        </row>
        <row r="407">
          <cell r="M407">
            <v>0</v>
          </cell>
        </row>
        <row r="408">
          <cell r="M408">
            <v>0</v>
          </cell>
        </row>
        <row r="409">
          <cell r="M409">
            <v>0</v>
          </cell>
        </row>
        <row r="410">
          <cell r="M410">
            <v>0</v>
          </cell>
        </row>
        <row r="411">
          <cell r="M411">
            <v>0</v>
          </cell>
        </row>
        <row r="412">
          <cell r="M412">
            <v>0</v>
          </cell>
        </row>
        <row r="413">
          <cell r="M413">
            <v>0</v>
          </cell>
        </row>
        <row r="414">
          <cell r="M414">
            <v>0</v>
          </cell>
        </row>
        <row r="415">
          <cell r="M415">
            <v>0</v>
          </cell>
        </row>
        <row r="416">
          <cell r="M416">
            <v>0</v>
          </cell>
        </row>
        <row r="417">
          <cell r="M417">
            <v>0</v>
          </cell>
        </row>
        <row r="418">
          <cell r="M418">
            <v>0</v>
          </cell>
        </row>
        <row r="419">
          <cell r="M419">
            <v>0</v>
          </cell>
        </row>
        <row r="420">
          <cell r="M420">
            <v>0</v>
          </cell>
        </row>
        <row r="421">
          <cell r="M421">
            <v>0</v>
          </cell>
        </row>
        <row r="422">
          <cell r="M422">
            <v>0</v>
          </cell>
        </row>
        <row r="423">
          <cell r="M423">
            <v>0</v>
          </cell>
        </row>
        <row r="424">
          <cell r="M424">
            <v>0</v>
          </cell>
        </row>
        <row r="425">
          <cell r="M425">
            <v>0</v>
          </cell>
        </row>
        <row r="426">
          <cell r="M426">
            <v>0</v>
          </cell>
        </row>
        <row r="427">
          <cell r="M427">
            <v>0</v>
          </cell>
        </row>
        <row r="428">
          <cell r="M428">
            <v>0</v>
          </cell>
        </row>
        <row r="429">
          <cell r="M429">
            <v>0</v>
          </cell>
        </row>
        <row r="430">
          <cell r="M430">
            <v>0</v>
          </cell>
        </row>
        <row r="431">
          <cell r="M431">
            <v>0</v>
          </cell>
        </row>
        <row r="432">
          <cell r="M432">
            <v>0</v>
          </cell>
        </row>
        <row r="433">
          <cell r="M433">
            <v>0</v>
          </cell>
        </row>
        <row r="434">
          <cell r="M434">
            <v>0</v>
          </cell>
        </row>
        <row r="435">
          <cell r="M435">
            <v>0</v>
          </cell>
        </row>
        <row r="436">
          <cell r="M436">
            <v>0</v>
          </cell>
        </row>
        <row r="437">
          <cell r="M437">
            <v>0</v>
          </cell>
        </row>
        <row r="438">
          <cell r="M438">
            <v>0</v>
          </cell>
        </row>
        <row r="439">
          <cell r="M439">
            <v>0</v>
          </cell>
        </row>
        <row r="440">
          <cell r="M440">
            <v>0</v>
          </cell>
        </row>
        <row r="441">
          <cell r="M441">
            <v>0</v>
          </cell>
        </row>
        <row r="442">
          <cell r="M442">
            <v>0</v>
          </cell>
        </row>
        <row r="443">
          <cell r="M443">
            <v>0</v>
          </cell>
        </row>
        <row r="444">
          <cell r="M444">
            <v>0</v>
          </cell>
        </row>
        <row r="445">
          <cell r="M445">
            <v>0</v>
          </cell>
        </row>
        <row r="446">
          <cell r="M446">
            <v>0</v>
          </cell>
        </row>
        <row r="447">
          <cell r="M447">
            <v>0</v>
          </cell>
        </row>
        <row r="448">
          <cell r="M448">
            <v>0</v>
          </cell>
        </row>
        <row r="449">
          <cell r="M449">
            <v>0</v>
          </cell>
        </row>
        <row r="450">
          <cell r="M450">
            <v>0</v>
          </cell>
        </row>
        <row r="451">
          <cell r="M451">
            <v>0</v>
          </cell>
        </row>
        <row r="452">
          <cell r="M452">
            <v>0</v>
          </cell>
        </row>
        <row r="453">
          <cell r="M453">
            <v>0</v>
          </cell>
        </row>
        <row r="454">
          <cell r="M454">
            <v>0</v>
          </cell>
        </row>
        <row r="455">
          <cell r="M455">
            <v>0</v>
          </cell>
        </row>
        <row r="456">
          <cell r="M456">
            <v>0</v>
          </cell>
        </row>
        <row r="457">
          <cell r="M457">
            <v>0</v>
          </cell>
        </row>
        <row r="458">
          <cell r="M458">
            <v>0</v>
          </cell>
        </row>
        <row r="459">
          <cell r="M459">
            <v>0</v>
          </cell>
        </row>
        <row r="460">
          <cell r="M460">
            <v>0</v>
          </cell>
        </row>
        <row r="461">
          <cell r="M461">
            <v>0</v>
          </cell>
        </row>
        <row r="462">
          <cell r="M462">
            <v>0</v>
          </cell>
        </row>
        <row r="463">
          <cell r="M463">
            <v>0</v>
          </cell>
        </row>
        <row r="464">
          <cell r="M464">
            <v>0</v>
          </cell>
        </row>
        <row r="465">
          <cell r="M465">
            <v>0</v>
          </cell>
        </row>
        <row r="466">
          <cell r="M466">
            <v>0</v>
          </cell>
        </row>
        <row r="467">
          <cell r="M467">
            <v>0</v>
          </cell>
        </row>
        <row r="468">
          <cell r="M468">
            <v>0</v>
          </cell>
        </row>
        <row r="469">
          <cell r="M469">
            <v>0</v>
          </cell>
        </row>
        <row r="470">
          <cell r="M470">
            <v>0</v>
          </cell>
        </row>
        <row r="471">
          <cell r="M471">
            <v>0</v>
          </cell>
        </row>
        <row r="472">
          <cell r="M472">
            <v>0</v>
          </cell>
        </row>
        <row r="473">
          <cell r="M473">
            <v>0</v>
          </cell>
        </row>
        <row r="474">
          <cell r="M474">
            <v>0</v>
          </cell>
        </row>
        <row r="475">
          <cell r="M475">
            <v>0</v>
          </cell>
        </row>
        <row r="476">
          <cell r="M476">
            <v>0</v>
          </cell>
        </row>
        <row r="477">
          <cell r="M477">
            <v>0</v>
          </cell>
        </row>
        <row r="478">
          <cell r="M478">
            <v>0</v>
          </cell>
        </row>
        <row r="479">
          <cell r="M479">
            <v>0</v>
          </cell>
        </row>
      </sheetData>
      <sheetData sheetId="9">
        <row r="2">
          <cell r="Q2">
            <v>0</v>
          </cell>
        </row>
        <row r="3">
          <cell r="Q3">
            <v>0</v>
          </cell>
        </row>
        <row r="4">
          <cell r="Q4">
            <v>0</v>
          </cell>
        </row>
        <row r="5">
          <cell r="Q5">
            <v>0</v>
          </cell>
        </row>
        <row r="6">
          <cell r="Q6">
            <v>0</v>
          </cell>
        </row>
        <row r="7">
          <cell r="Q7">
            <v>0</v>
          </cell>
        </row>
        <row r="8">
          <cell r="Q8">
            <v>0</v>
          </cell>
        </row>
        <row r="9">
          <cell r="Q9">
            <v>0</v>
          </cell>
        </row>
        <row r="10">
          <cell r="Q10">
            <v>0</v>
          </cell>
        </row>
        <row r="11">
          <cell r="Q11">
            <v>0</v>
          </cell>
        </row>
        <row r="12">
          <cell r="Q12">
            <v>0</v>
          </cell>
        </row>
        <row r="13">
          <cell r="Q13">
            <v>0</v>
          </cell>
        </row>
        <row r="14">
          <cell r="Q14">
            <v>0</v>
          </cell>
        </row>
        <row r="15">
          <cell r="Q15">
            <v>0</v>
          </cell>
        </row>
        <row r="16">
          <cell r="Q16">
            <v>0</v>
          </cell>
        </row>
        <row r="17">
          <cell r="Q17">
            <v>0</v>
          </cell>
        </row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  <row r="21">
          <cell r="Q21">
            <v>0</v>
          </cell>
        </row>
        <row r="22">
          <cell r="Q22">
            <v>0</v>
          </cell>
        </row>
        <row r="23">
          <cell r="Q23">
            <v>0</v>
          </cell>
        </row>
        <row r="24">
          <cell r="Q24">
            <v>0</v>
          </cell>
        </row>
        <row r="25">
          <cell r="Q25">
            <v>0</v>
          </cell>
        </row>
        <row r="26">
          <cell r="Q26">
            <v>0</v>
          </cell>
        </row>
        <row r="27">
          <cell r="Q27">
            <v>0</v>
          </cell>
        </row>
        <row r="28">
          <cell r="Q28">
            <v>0</v>
          </cell>
        </row>
        <row r="29">
          <cell r="Q29">
            <v>0</v>
          </cell>
        </row>
        <row r="30">
          <cell r="Q30">
            <v>0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  <row r="34">
          <cell r="Q34">
            <v>0</v>
          </cell>
        </row>
        <row r="35">
          <cell r="Q35">
            <v>0</v>
          </cell>
        </row>
        <row r="36">
          <cell r="Q36">
            <v>0</v>
          </cell>
        </row>
        <row r="37">
          <cell r="Q37">
            <v>0</v>
          </cell>
        </row>
        <row r="38">
          <cell r="Q38">
            <v>0</v>
          </cell>
        </row>
        <row r="39">
          <cell r="Q39">
            <v>0</v>
          </cell>
        </row>
        <row r="40">
          <cell r="Q40">
            <v>0</v>
          </cell>
        </row>
        <row r="41">
          <cell r="Q41">
            <v>0</v>
          </cell>
        </row>
        <row r="42">
          <cell r="Q42">
            <v>0</v>
          </cell>
        </row>
        <row r="43">
          <cell r="Q43">
            <v>0</v>
          </cell>
        </row>
        <row r="44">
          <cell r="Q44">
            <v>0</v>
          </cell>
        </row>
        <row r="45">
          <cell r="Q45">
            <v>0</v>
          </cell>
        </row>
        <row r="46">
          <cell r="Q46">
            <v>0</v>
          </cell>
        </row>
        <row r="47">
          <cell r="Q47">
            <v>0</v>
          </cell>
        </row>
        <row r="48">
          <cell r="Q48">
            <v>0</v>
          </cell>
        </row>
        <row r="49">
          <cell r="Q49">
            <v>0</v>
          </cell>
        </row>
        <row r="50">
          <cell r="Q50">
            <v>0</v>
          </cell>
        </row>
        <row r="51">
          <cell r="Q51">
            <v>0</v>
          </cell>
        </row>
        <row r="52">
          <cell r="Q52">
            <v>0</v>
          </cell>
        </row>
        <row r="53">
          <cell r="Q53">
            <v>0</v>
          </cell>
        </row>
        <row r="54">
          <cell r="Q54">
            <v>0</v>
          </cell>
        </row>
        <row r="55">
          <cell r="Q55">
            <v>0</v>
          </cell>
        </row>
        <row r="56">
          <cell r="Q56">
            <v>0</v>
          </cell>
        </row>
        <row r="57">
          <cell r="Q57">
            <v>0</v>
          </cell>
        </row>
        <row r="58">
          <cell r="Q58">
            <v>0</v>
          </cell>
        </row>
        <row r="59">
          <cell r="Q59">
            <v>0</v>
          </cell>
        </row>
        <row r="60">
          <cell r="Q60">
            <v>0</v>
          </cell>
        </row>
        <row r="61">
          <cell r="Q61">
            <v>0</v>
          </cell>
        </row>
        <row r="62">
          <cell r="Q62">
            <v>0</v>
          </cell>
        </row>
        <row r="63">
          <cell r="Q63">
            <v>0</v>
          </cell>
        </row>
        <row r="64">
          <cell r="Q64">
            <v>0</v>
          </cell>
        </row>
        <row r="65">
          <cell r="Q65">
            <v>0</v>
          </cell>
        </row>
        <row r="66">
          <cell r="Q66">
            <v>0</v>
          </cell>
        </row>
        <row r="67">
          <cell r="Q67">
            <v>0</v>
          </cell>
        </row>
        <row r="68">
          <cell r="Q68">
            <v>0</v>
          </cell>
        </row>
        <row r="69">
          <cell r="Q69">
            <v>0</v>
          </cell>
        </row>
        <row r="70">
          <cell r="Q70">
            <v>0</v>
          </cell>
        </row>
        <row r="71">
          <cell r="Q71">
            <v>0</v>
          </cell>
        </row>
        <row r="72">
          <cell r="Q72">
            <v>0</v>
          </cell>
        </row>
        <row r="73">
          <cell r="Q73">
            <v>0</v>
          </cell>
        </row>
        <row r="74">
          <cell r="Q74">
            <v>0</v>
          </cell>
        </row>
        <row r="75">
          <cell r="Q75">
            <v>0</v>
          </cell>
        </row>
        <row r="76">
          <cell r="Q76">
            <v>0</v>
          </cell>
        </row>
        <row r="77">
          <cell r="Q77">
            <v>0</v>
          </cell>
        </row>
        <row r="78">
          <cell r="Q78">
            <v>0</v>
          </cell>
        </row>
        <row r="79">
          <cell r="Q79">
            <v>0</v>
          </cell>
        </row>
        <row r="80">
          <cell r="Q80">
            <v>0</v>
          </cell>
        </row>
        <row r="81">
          <cell r="Q81">
            <v>0</v>
          </cell>
        </row>
        <row r="82">
          <cell r="Q82">
            <v>0</v>
          </cell>
        </row>
        <row r="83">
          <cell r="Q83">
            <v>0</v>
          </cell>
        </row>
        <row r="84">
          <cell r="Q84">
            <v>0</v>
          </cell>
        </row>
        <row r="85">
          <cell r="Q85">
            <v>0</v>
          </cell>
        </row>
        <row r="86">
          <cell r="Q86">
            <v>0</v>
          </cell>
        </row>
        <row r="87">
          <cell r="Q87">
            <v>0</v>
          </cell>
        </row>
        <row r="88">
          <cell r="Q88">
            <v>0</v>
          </cell>
        </row>
        <row r="89">
          <cell r="Q89">
            <v>0</v>
          </cell>
        </row>
        <row r="90">
          <cell r="Q90">
            <v>0</v>
          </cell>
        </row>
        <row r="91">
          <cell r="Q91">
            <v>0</v>
          </cell>
        </row>
        <row r="92">
          <cell r="Q92">
            <v>0</v>
          </cell>
        </row>
        <row r="93">
          <cell r="Q93">
            <v>0</v>
          </cell>
        </row>
        <row r="94">
          <cell r="Q94">
            <v>0</v>
          </cell>
        </row>
        <row r="95">
          <cell r="Q95">
            <v>0</v>
          </cell>
        </row>
        <row r="96">
          <cell r="Q96">
            <v>0</v>
          </cell>
        </row>
        <row r="97">
          <cell r="Q97">
            <v>0</v>
          </cell>
        </row>
        <row r="98">
          <cell r="Q98">
            <v>0</v>
          </cell>
        </row>
        <row r="99">
          <cell r="Q99">
            <v>0</v>
          </cell>
        </row>
        <row r="100">
          <cell r="Q100">
            <v>0</v>
          </cell>
        </row>
        <row r="101">
          <cell r="Q101">
            <v>0</v>
          </cell>
        </row>
        <row r="102">
          <cell r="Q102">
            <v>0</v>
          </cell>
        </row>
        <row r="103">
          <cell r="Q103">
            <v>0</v>
          </cell>
        </row>
        <row r="104">
          <cell r="Q104">
            <v>0</v>
          </cell>
        </row>
        <row r="105">
          <cell r="Q105">
            <v>0</v>
          </cell>
        </row>
        <row r="106">
          <cell r="Q106">
            <v>0</v>
          </cell>
        </row>
        <row r="107">
          <cell r="Q107">
            <v>0</v>
          </cell>
        </row>
        <row r="108">
          <cell r="Q108">
            <v>0</v>
          </cell>
        </row>
        <row r="109">
          <cell r="Q109">
            <v>0</v>
          </cell>
        </row>
        <row r="110">
          <cell r="Q110">
            <v>0</v>
          </cell>
        </row>
        <row r="111">
          <cell r="Q111">
            <v>0</v>
          </cell>
        </row>
        <row r="112">
          <cell r="Q112">
            <v>0</v>
          </cell>
        </row>
        <row r="113">
          <cell r="Q113">
            <v>0</v>
          </cell>
        </row>
        <row r="114">
          <cell r="Q114">
            <v>0</v>
          </cell>
        </row>
        <row r="115">
          <cell r="Q115">
            <v>0</v>
          </cell>
        </row>
        <row r="116">
          <cell r="Q116">
            <v>0</v>
          </cell>
        </row>
        <row r="117">
          <cell r="Q117">
            <v>0</v>
          </cell>
        </row>
        <row r="118">
          <cell r="Q118">
            <v>0</v>
          </cell>
        </row>
        <row r="119">
          <cell r="Q119">
            <v>0</v>
          </cell>
        </row>
        <row r="120">
          <cell r="Q120">
            <v>0</v>
          </cell>
        </row>
        <row r="121">
          <cell r="Q121">
            <v>0</v>
          </cell>
        </row>
        <row r="122">
          <cell r="Q122">
            <v>0</v>
          </cell>
        </row>
        <row r="123">
          <cell r="Q123">
            <v>0</v>
          </cell>
        </row>
        <row r="124">
          <cell r="Q124">
            <v>0</v>
          </cell>
        </row>
        <row r="125">
          <cell r="Q125">
            <v>0</v>
          </cell>
        </row>
        <row r="126">
          <cell r="Q126">
            <v>0</v>
          </cell>
        </row>
        <row r="127">
          <cell r="Q127">
            <v>0</v>
          </cell>
        </row>
        <row r="128">
          <cell r="Q128">
            <v>0</v>
          </cell>
        </row>
        <row r="129">
          <cell r="Q129">
            <v>0</v>
          </cell>
        </row>
        <row r="130">
          <cell r="Q130">
            <v>0</v>
          </cell>
        </row>
        <row r="131">
          <cell r="Q131">
            <v>0</v>
          </cell>
        </row>
        <row r="132">
          <cell r="Q132">
            <v>0</v>
          </cell>
        </row>
        <row r="133">
          <cell r="Q133">
            <v>0</v>
          </cell>
        </row>
        <row r="134">
          <cell r="Q134">
            <v>0</v>
          </cell>
        </row>
        <row r="135">
          <cell r="Q135">
            <v>0</v>
          </cell>
        </row>
        <row r="136">
          <cell r="Q136">
            <v>0</v>
          </cell>
        </row>
        <row r="137">
          <cell r="Q137">
            <v>0</v>
          </cell>
        </row>
        <row r="138">
          <cell r="Q138">
            <v>0</v>
          </cell>
        </row>
        <row r="139">
          <cell r="Q139">
            <v>0</v>
          </cell>
        </row>
        <row r="140">
          <cell r="Q140">
            <v>0</v>
          </cell>
        </row>
        <row r="141">
          <cell r="Q141">
            <v>0</v>
          </cell>
        </row>
        <row r="142">
          <cell r="Q142">
            <v>0</v>
          </cell>
        </row>
        <row r="143">
          <cell r="Q143">
            <v>0</v>
          </cell>
        </row>
        <row r="144">
          <cell r="Q144">
            <v>0</v>
          </cell>
        </row>
        <row r="145">
          <cell r="Q145">
            <v>0</v>
          </cell>
        </row>
        <row r="146">
          <cell r="Q146">
            <v>0</v>
          </cell>
        </row>
        <row r="147">
          <cell r="Q147">
            <v>0</v>
          </cell>
        </row>
        <row r="148">
          <cell r="Q148">
            <v>0</v>
          </cell>
        </row>
        <row r="149">
          <cell r="Q149">
            <v>0</v>
          </cell>
        </row>
        <row r="150">
          <cell r="Q150">
            <v>0</v>
          </cell>
        </row>
        <row r="151">
          <cell r="Q151">
            <v>0</v>
          </cell>
        </row>
        <row r="152">
          <cell r="Q152">
            <v>0</v>
          </cell>
        </row>
        <row r="153">
          <cell r="Q153">
            <v>0</v>
          </cell>
        </row>
        <row r="154">
          <cell r="Q154">
            <v>0</v>
          </cell>
        </row>
        <row r="155">
          <cell r="Q155">
            <v>0</v>
          </cell>
        </row>
        <row r="156">
          <cell r="Q156">
            <v>0</v>
          </cell>
        </row>
        <row r="157">
          <cell r="Q157">
            <v>0</v>
          </cell>
        </row>
        <row r="158">
          <cell r="Q158">
            <v>0</v>
          </cell>
        </row>
        <row r="159">
          <cell r="Q159">
            <v>0</v>
          </cell>
        </row>
        <row r="160">
          <cell r="Q160">
            <v>0</v>
          </cell>
        </row>
        <row r="161">
          <cell r="Q161">
            <v>0</v>
          </cell>
        </row>
        <row r="162">
          <cell r="Q162">
            <v>0</v>
          </cell>
        </row>
        <row r="163">
          <cell r="Q163">
            <v>0</v>
          </cell>
        </row>
        <row r="164">
          <cell r="Q164">
            <v>0</v>
          </cell>
        </row>
        <row r="165">
          <cell r="Q165">
            <v>0</v>
          </cell>
        </row>
        <row r="166">
          <cell r="Q166">
            <v>0</v>
          </cell>
        </row>
        <row r="167">
          <cell r="Q167">
            <v>0</v>
          </cell>
        </row>
        <row r="168">
          <cell r="Q168">
            <v>0</v>
          </cell>
        </row>
        <row r="169">
          <cell r="Q169">
            <v>0</v>
          </cell>
        </row>
        <row r="170">
          <cell r="Q170">
            <v>0</v>
          </cell>
        </row>
        <row r="171">
          <cell r="Q171">
            <v>0</v>
          </cell>
        </row>
        <row r="172">
          <cell r="Q172">
            <v>0</v>
          </cell>
        </row>
        <row r="173">
          <cell r="Q173">
            <v>0</v>
          </cell>
        </row>
        <row r="174">
          <cell r="Q174">
            <v>0</v>
          </cell>
        </row>
        <row r="175">
          <cell r="Q175">
            <v>0</v>
          </cell>
        </row>
        <row r="176">
          <cell r="Q176">
            <v>0</v>
          </cell>
        </row>
        <row r="177">
          <cell r="Q177">
            <v>0</v>
          </cell>
        </row>
        <row r="178">
          <cell r="Q178">
            <v>0</v>
          </cell>
        </row>
        <row r="179">
          <cell r="Q179">
            <v>0</v>
          </cell>
        </row>
        <row r="180">
          <cell r="Q180">
            <v>0</v>
          </cell>
        </row>
        <row r="181">
          <cell r="Q181">
            <v>0</v>
          </cell>
        </row>
        <row r="182">
          <cell r="Q182">
            <v>0</v>
          </cell>
        </row>
        <row r="183">
          <cell r="Q183">
            <v>0</v>
          </cell>
        </row>
        <row r="184">
          <cell r="Q184">
            <v>0</v>
          </cell>
        </row>
        <row r="185">
          <cell r="Q185">
            <v>0</v>
          </cell>
        </row>
        <row r="186">
          <cell r="Q186">
            <v>0</v>
          </cell>
        </row>
        <row r="187">
          <cell r="Q187">
            <v>0</v>
          </cell>
        </row>
        <row r="188">
          <cell r="Q188">
            <v>0</v>
          </cell>
        </row>
        <row r="189">
          <cell r="Q189">
            <v>0</v>
          </cell>
        </row>
        <row r="190">
          <cell r="Q190">
            <v>0</v>
          </cell>
        </row>
        <row r="191">
          <cell r="Q191">
            <v>0</v>
          </cell>
        </row>
        <row r="192">
          <cell r="Q192">
            <v>0</v>
          </cell>
        </row>
        <row r="193">
          <cell r="Q193">
            <v>0</v>
          </cell>
        </row>
        <row r="194">
          <cell r="Q194">
            <v>0</v>
          </cell>
        </row>
        <row r="195">
          <cell r="Q195">
            <v>0</v>
          </cell>
        </row>
        <row r="196">
          <cell r="Q196">
            <v>0</v>
          </cell>
        </row>
        <row r="197">
          <cell r="Q197">
            <v>0</v>
          </cell>
        </row>
        <row r="198">
          <cell r="Q198">
            <v>0</v>
          </cell>
        </row>
        <row r="199">
          <cell r="Q199">
            <v>0</v>
          </cell>
        </row>
        <row r="200">
          <cell r="Q200">
            <v>0</v>
          </cell>
        </row>
        <row r="201">
          <cell r="Q201">
            <v>0</v>
          </cell>
        </row>
        <row r="202">
          <cell r="Q202">
            <v>0</v>
          </cell>
        </row>
        <row r="203">
          <cell r="Q203">
            <v>0</v>
          </cell>
        </row>
        <row r="204">
          <cell r="Q204">
            <v>0</v>
          </cell>
        </row>
        <row r="205">
          <cell r="Q205">
            <v>0</v>
          </cell>
        </row>
        <row r="206">
          <cell r="Q206">
            <v>0</v>
          </cell>
        </row>
        <row r="207">
          <cell r="Q207">
            <v>0</v>
          </cell>
        </row>
        <row r="208">
          <cell r="Q208">
            <v>0</v>
          </cell>
        </row>
        <row r="209">
          <cell r="Q209">
            <v>0</v>
          </cell>
        </row>
        <row r="210">
          <cell r="Q210">
            <v>0</v>
          </cell>
        </row>
        <row r="211">
          <cell r="Q211">
            <v>0</v>
          </cell>
        </row>
        <row r="212">
          <cell r="Q212">
            <v>0</v>
          </cell>
        </row>
        <row r="213">
          <cell r="Q213">
            <v>0</v>
          </cell>
        </row>
        <row r="214">
          <cell r="Q214">
            <v>0</v>
          </cell>
        </row>
        <row r="215">
          <cell r="Q215">
            <v>0</v>
          </cell>
        </row>
        <row r="216">
          <cell r="Q216">
            <v>0</v>
          </cell>
        </row>
        <row r="217">
          <cell r="Q217">
            <v>0</v>
          </cell>
        </row>
        <row r="218">
          <cell r="Q218">
            <v>0</v>
          </cell>
        </row>
        <row r="219">
          <cell r="Q219">
            <v>0</v>
          </cell>
        </row>
        <row r="220">
          <cell r="Q220">
            <v>0</v>
          </cell>
        </row>
        <row r="221">
          <cell r="Q221">
            <v>0</v>
          </cell>
        </row>
        <row r="222">
          <cell r="Q222">
            <v>0</v>
          </cell>
        </row>
        <row r="223">
          <cell r="Q223">
            <v>0</v>
          </cell>
        </row>
        <row r="224">
          <cell r="Q224">
            <v>0</v>
          </cell>
        </row>
        <row r="225">
          <cell r="Q225">
            <v>0</v>
          </cell>
        </row>
        <row r="226">
          <cell r="Q226">
            <v>0</v>
          </cell>
        </row>
        <row r="227">
          <cell r="Q227">
            <v>0</v>
          </cell>
        </row>
        <row r="228">
          <cell r="Q228">
            <v>0</v>
          </cell>
        </row>
        <row r="229">
          <cell r="Q229">
            <v>0</v>
          </cell>
        </row>
        <row r="230">
          <cell r="Q230">
            <v>0</v>
          </cell>
        </row>
        <row r="231">
          <cell r="Q231">
            <v>0</v>
          </cell>
        </row>
        <row r="232">
          <cell r="Q232">
            <v>0</v>
          </cell>
        </row>
        <row r="233">
          <cell r="Q233">
            <v>0</v>
          </cell>
        </row>
        <row r="234">
          <cell r="Q234">
            <v>0</v>
          </cell>
        </row>
        <row r="235">
          <cell r="Q235">
            <v>0</v>
          </cell>
        </row>
        <row r="236">
          <cell r="Q236">
            <v>0</v>
          </cell>
        </row>
        <row r="237">
          <cell r="Q237">
            <v>0</v>
          </cell>
        </row>
        <row r="238">
          <cell r="Q238">
            <v>0</v>
          </cell>
        </row>
        <row r="239">
          <cell r="Q239">
            <v>0</v>
          </cell>
        </row>
        <row r="240">
          <cell r="Q240">
            <v>0</v>
          </cell>
        </row>
        <row r="241">
          <cell r="Q241">
            <v>0</v>
          </cell>
        </row>
        <row r="242">
          <cell r="Q242">
            <v>0</v>
          </cell>
        </row>
        <row r="243">
          <cell r="Q243">
            <v>0</v>
          </cell>
        </row>
        <row r="244">
          <cell r="Q244">
            <v>0</v>
          </cell>
        </row>
        <row r="245">
          <cell r="Q245">
            <v>0</v>
          </cell>
        </row>
        <row r="246">
          <cell r="Q246">
            <v>0</v>
          </cell>
        </row>
        <row r="247">
          <cell r="Q247">
            <v>0</v>
          </cell>
        </row>
        <row r="248">
          <cell r="Q248">
            <v>0</v>
          </cell>
        </row>
        <row r="249">
          <cell r="Q249">
            <v>0</v>
          </cell>
        </row>
        <row r="250">
          <cell r="Q250">
            <v>0</v>
          </cell>
        </row>
        <row r="251">
          <cell r="Q251">
            <v>0</v>
          </cell>
        </row>
        <row r="252">
          <cell r="Q252">
            <v>0</v>
          </cell>
        </row>
        <row r="253">
          <cell r="Q253">
            <v>0</v>
          </cell>
        </row>
        <row r="254">
          <cell r="Q254">
            <v>0</v>
          </cell>
        </row>
        <row r="255">
          <cell r="Q255">
            <v>0</v>
          </cell>
        </row>
        <row r="256">
          <cell r="Q256">
            <v>0</v>
          </cell>
        </row>
        <row r="257">
          <cell r="Q257">
            <v>0</v>
          </cell>
        </row>
        <row r="258">
          <cell r="Q258">
            <v>0</v>
          </cell>
        </row>
        <row r="259">
          <cell r="Q259">
            <v>0</v>
          </cell>
        </row>
        <row r="260">
          <cell r="Q260">
            <v>0</v>
          </cell>
        </row>
        <row r="261">
          <cell r="Q261">
            <v>0</v>
          </cell>
        </row>
        <row r="262">
          <cell r="Q262">
            <v>0</v>
          </cell>
        </row>
        <row r="263">
          <cell r="Q263">
            <v>0</v>
          </cell>
        </row>
        <row r="264">
          <cell r="Q264">
            <v>0</v>
          </cell>
        </row>
        <row r="265">
          <cell r="Q265">
            <v>0</v>
          </cell>
        </row>
        <row r="266">
          <cell r="Q266">
            <v>0</v>
          </cell>
        </row>
        <row r="267">
          <cell r="Q267">
            <v>0</v>
          </cell>
        </row>
        <row r="268">
          <cell r="Q268">
            <v>0</v>
          </cell>
        </row>
        <row r="269">
          <cell r="Q269">
            <v>0</v>
          </cell>
        </row>
        <row r="270">
          <cell r="Q270">
            <v>0</v>
          </cell>
        </row>
        <row r="271">
          <cell r="Q271">
            <v>0</v>
          </cell>
        </row>
        <row r="272">
          <cell r="Q272">
            <v>0</v>
          </cell>
        </row>
        <row r="273">
          <cell r="Q273">
            <v>0</v>
          </cell>
        </row>
        <row r="274">
          <cell r="Q274">
            <v>0</v>
          </cell>
        </row>
        <row r="275">
          <cell r="Q275">
            <v>0</v>
          </cell>
        </row>
        <row r="276">
          <cell r="Q276">
            <v>0</v>
          </cell>
        </row>
        <row r="277">
          <cell r="Q277">
            <v>0</v>
          </cell>
        </row>
        <row r="278">
          <cell r="Q278">
            <v>0</v>
          </cell>
        </row>
        <row r="279">
          <cell r="Q279">
            <v>0</v>
          </cell>
        </row>
        <row r="280">
          <cell r="Q280">
            <v>0</v>
          </cell>
        </row>
        <row r="281">
          <cell r="Q281">
            <v>0</v>
          </cell>
        </row>
        <row r="282">
          <cell r="Q282">
            <v>0</v>
          </cell>
        </row>
        <row r="283">
          <cell r="Q283">
            <v>0</v>
          </cell>
        </row>
        <row r="284">
          <cell r="Q284">
            <v>0</v>
          </cell>
        </row>
        <row r="285">
          <cell r="Q285">
            <v>0</v>
          </cell>
        </row>
        <row r="286">
          <cell r="Q286">
            <v>0</v>
          </cell>
        </row>
        <row r="287">
          <cell r="Q287">
            <v>0</v>
          </cell>
        </row>
        <row r="288">
          <cell r="Q288">
            <v>0</v>
          </cell>
        </row>
        <row r="289">
          <cell r="Q289">
            <v>0</v>
          </cell>
        </row>
        <row r="290">
          <cell r="Q290">
            <v>0</v>
          </cell>
        </row>
        <row r="291">
          <cell r="Q291">
            <v>0</v>
          </cell>
        </row>
        <row r="292">
          <cell r="Q292">
            <v>0</v>
          </cell>
        </row>
        <row r="293">
          <cell r="Q293">
            <v>0</v>
          </cell>
        </row>
        <row r="294">
          <cell r="Q294">
            <v>0</v>
          </cell>
        </row>
        <row r="295">
          <cell r="Q295">
            <v>0</v>
          </cell>
        </row>
        <row r="296">
          <cell r="Q296">
            <v>0</v>
          </cell>
        </row>
        <row r="297">
          <cell r="Q297">
            <v>0</v>
          </cell>
        </row>
        <row r="298">
          <cell r="Q298">
            <v>0</v>
          </cell>
        </row>
        <row r="299">
          <cell r="Q299">
            <v>0</v>
          </cell>
        </row>
        <row r="300">
          <cell r="Q300">
            <v>0</v>
          </cell>
        </row>
        <row r="301">
          <cell r="Q301">
            <v>0</v>
          </cell>
        </row>
        <row r="302">
          <cell r="Q302">
            <v>0</v>
          </cell>
        </row>
        <row r="303">
          <cell r="Q303">
            <v>0</v>
          </cell>
        </row>
        <row r="304">
          <cell r="Q304">
            <v>0</v>
          </cell>
        </row>
        <row r="305">
          <cell r="Q305">
            <v>0</v>
          </cell>
        </row>
        <row r="306">
          <cell r="Q306">
            <v>0</v>
          </cell>
        </row>
        <row r="307">
          <cell r="Q307">
            <v>0</v>
          </cell>
        </row>
        <row r="308">
          <cell r="Q308">
            <v>0</v>
          </cell>
        </row>
        <row r="309">
          <cell r="Q309">
            <v>0</v>
          </cell>
        </row>
        <row r="310">
          <cell r="Q310">
            <v>0</v>
          </cell>
        </row>
        <row r="311">
          <cell r="Q311">
            <v>0</v>
          </cell>
        </row>
        <row r="312">
          <cell r="Q312">
            <v>0</v>
          </cell>
        </row>
        <row r="313">
          <cell r="Q313">
            <v>0</v>
          </cell>
        </row>
        <row r="314">
          <cell r="Q314">
            <v>0</v>
          </cell>
        </row>
        <row r="315">
          <cell r="Q315">
            <v>0</v>
          </cell>
        </row>
        <row r="316">
          <cell r="Q316">
            <v>0</v>
          </cell>
        </row>
        <row r="317">
          <cell r="Q317">
            <v>0</v>
          </cell>
        </row>
        <row r="318">
          <cell r="Q318">
            <v>0</v>
          </cell>
        </row>
        <row r="319">
          <cell r="Q319">
            <v>0</v>
          </cell>
        </row>
        <row r="320">
          <cell r="Q320">
            <v>0</v>
          </cell>
        </row>
        <row r="321">
          <cell r="Q321">
            <v>0</v>
          </cell>
        </row>
        <row r="322">
          <cell r="Q322">
            <v>0</v>
          </cell>
        </row>
        <row r="323">
          <cell r="Q323">
            <v>0</v>
          </cell>
        </row>
        <row r="324">
          <cell r="Q324">
            <v>0</v>
          </cell>
        </row>
        <row r="325">
          <cell r="Q325">
            <v>0</v>
          </cell>
        </row>
        <row r="326">
          <cell r="Q326">
            <v>0</v>
          </cell>
        </row>
        <row r="327">
          <cell r="Q327">
            <v>0</v>
          </cell>
        </row>
        <row r="328">
          <cell r="Q328">
            <v>0</v>
          </cell>
        </row>
        <row r="329">
          <cell r="Q329">
            <v>0</v>
          </cell>
        </row>
        <row r="330">
          <cell r="Q330">
            <v>0</v>
          </cell>
        </row>
        <row r="331">
          <cell r="Q331">
            <v>0</v>
          </cell>
        </row>
        <row r="332">
          <cell r="Q332">
            <v>0</v>
          </cell>
        </row>
        <row r="333">
          <cell r="Q333">
            <v>0</v>
          </cell>
        </row>
        <row r="334">
          <cell r="Q334">
            <v>0</v>
          </cell>
        </row>
        <row r="335">
          <cell r="Q335">
            <v>0</v>
          </cell>
        </row>
        <row r="336">
          <cell r="Q336">
            <v>0</v>
          </cell>
        </row>
        <row r="337">
          <cell r="Q337">
            <v>0</v>
          </cell>
        </row>
        <row r="338">
          <cell r="Q338">
            <v>0</v>
          </cell>
        </row>
        <row r="339">
          <cell r="Q339">
            <v>0</v>
          </cell>
        </row>
        <row r="340">
          <cell r="Q340">
            <v>0</v>
          </cell>
        </row>
        <row r="341">
          <cell r="Q341">
            <v>0</v>
          </cell>
        </row>
        <row r="342">
          <cell r="Q342">
            <v>0</v>
          </cell>
        </row>
        <row r="343">
          <cell r="Q343">
            <v>0</v>
          </cell>
        </row>
        <row r="344">
          <cell r="Q344">
            <v>0</v>
          </cell>
        </row>
        <row r="345">
          <cell r="Q345">
            <v>0</v>
          </cell>
        </row>
        <row r="346">
          <cell r="Q346">
            <v>0</v>
          </cell>
        </row>
        <row r="347">
          <cell r="Q347">
            <v>0</v>
          </cell>
        </row>
        <row r="348">
          <cell r="Q348">
            <v>0</v>
          </cell>
        </row>
        <row r="349">
          <cell r="Q349">
            <v>0</v>
          </cell>
        </row>
        <row r="350">
          <cell r="Q350">
            <v>0</v>
          </cell>
        </row>
        <row r="351">
          <cell r="Q351">
            <v>0</v>
          </cell>
        </row>
        <row r="352">
          <cell r="Q352">
            <v>0</v>
          </cell>
        </row>
        <row r="353">
          <cell r="Q353">
            <v>0</v>
          </cell>
        </row>
        <row r="354">
          <cell r="Q354">
            <v>0</v>
          </cell>
        </row>
        <row r="355">
          <cell r="Q355">
            <v>0</v>
          </cell>
        </row>
        <row r="356">
          <cell r="Q356">
            <v>0</v>
          </cell>
        </row>
        <row r="357">
          <cell r="Q357">
            <v>0</v>
          </cell>
        </row>
        <row r="358">
          <cell r="Q358">
            <v>0</v>
          </cell>
        </row>
        <row r="359">
          <cell r="Q359">
            <v>0</v>
          </cell>
        </row>
        <row r="360">
          <cell r="Q360">
            <v>0</v>
          </cell>
        </row>
        <row r="361">
          <cell r="Q361">
            <v>0</v>
          </cell>
        </row>
        <row r="362">
          <cell r="Q362">
            <v>0</v>
          </cell>
        </row>
        <row r="363">
          <cell r="Q363">
            <v>0</v>
          </cell>
        </row>
        <row r="364">
          <cell r="Q364">
            <v>0</v>
          </cell>
        </row>
        <row r="365">
          <cell r="Q365">
            <v>0</v>
          </cell>
        </row>
        <row r="366">
          <cell r="Q366">
            <v>0</v>
          </cell>
        </row>
        <row r="367">
          <cell r="Q367">
            <v>0</v>
          </cell>
        </row>
        <row r="368">
          <cell r="Q368">
            <v>0</v>
          </cell>
        </row>
        <row r="369">
          <cell r="Q369">
            <v>0</v>
          </cell>
        </row>
        <row r="370">
          <cell r="Q370">
            <v>0</v>
          </cell>
        </row>
        <row r="371">
          <cell r="Q371">
            <v>0</v>
          </cell>
        </row>
        <row r="372">
          <cell r="Q372">
            <v>0</v>
          </cell>
        </row>
        <row r="373">
          <cell r="Q373">
            <v>0</v>
          </cell>
        </row>
        <row r="374">
          <cell r="Q374">
            <v>0</v>
          </cell>
        </row>
        <row r="375">
          <cell r="Q375">
            <v>0</v>
          </cell>
        </row>
        <row r="376">
          <cell r="Q376">
            <v>0</v>
          </cell>
        </row>
        <row r="377">
          <cell r="Q377">
            <v>0</v>
          </cell>
        </row>
        <row r="378">
          <cell r="Q378">
            <v>0</v>
          </cell>
        </row>
        <row r="379">
          <cell r="Q379">
            <v>0</v>
          </cell>
        </row>
        <row r="380">
          <cell r="Q380">
            <v>0</v>
          </cell>
        </row>
        <row r="381">
          <cell r="Q381">
            <v>0</v>
          </cell>
        </row>
        <row r="382">
          <cell r="Q382">
            <v>0</v>
          </cell>
        </row>
        <row r="383">
          <cell r="Q383">
            <v>0</v>
          </cell>
        </row>
        <row r="384">
          <cell r="Q384">
            <v>0</v>
          </cell>
        </row>
        <row r="385">
          <cell r="Q385">
            <v>0</v>
          </cell>
        </row>
        <row r="386">
          <cell r="Q386">
            <v>0</v>
          </cell>
        </row>
        <row r="387">
          <cell r="Q387">
            <v>0</v>
          </cell>
        </row>
        <row r="388">
          <cell r="Q388">
            <v>0</v>
          </cell>
        </row>
        <row r="389">
          <cell r="Q389">
            <v>0</v>
          </cell>
        </row>
        <row r="390">
          <cell r="Q390">
            <v>0</v>
          </cell>
        </row>
        <row r="391">
          <cell r="Q391">
            <v>0</v>
          </cell>
        </row>
        <row r="392">
          <cell r="Q392">
            <v>0</v>
          </cell>
        </row>
        <row r="393">
          <cell r="Q393">
            <v>0</v>
          </cell>
        </row>
        <row r="394">
          <cell r="Q394">
            <v>0</v>
          </cell>
        </row>
        <row r="395">
          <cell r="Q395">
            <v>0</v>
          </cell>
        </row>
        <row r="396">
          <cell r="Q396">
            <v>0</v>
          </cell>
        </row>
        <row r="397">
          <cell r="Q397">
            <v>0</v>
          </cell>
        </row>
        <row r="398">
          <cell r="Q398">
            <v>0</v>
          </cell>
        </row>
        <row r="399">
          <cell r="Q399">
            <v>0</v>
          </cell>
        </row>
        <row r="400">
          <cell r="Q400">
            <v>0</v>
          </cell>
        </row>
        <row r="401">
          <cell r="Q401">
            <v>0</v>
          </cell>
        </row>
        <row r="402">
          <cell r="Q402">
            <v>0</v>
          </cell>
        </row>
        <row r="403">
          <cell r="Q403">
            <v>0</v>
          </cell>
        </row>
        <row r="404">
          <cell r="Q404">
            <v>0</v>
          </cell>
        </row>
        <row r="405">
          <cell r="Q405">
            <v>0</v>
          </cell>
        </row>
        <row r="406">
          <cell r="Q406">
            <v>0</v>
          </cell>
        </row>
        <row r="407">
          <cell r="Q407">
            <v>0</v>
          </cell>
        </row>
        <row r="408">
          <cell r="Q408">
            <v>0</v>
          </cell>
        </row>
        <row r="409">
          <cell r="Q409">
            <v>0</v>
          </cell>
        </row>
        <row r="410">
          <cell r="Q410">
            <v>0</v>
          </cell>
        </row>
        <row r="411">
          <cell r="Q411">
            <v>0</v>
          </cell>
        </row>
        <row r="412">
          <cell r="Q412">
            <v>0</v>
          </cell>
        </row>
        <row r="413">
          <cell r="Q413">
            <v>0</v>
          </cell>
        </row>
        <row r="414">
          <cell r="Q414">
            <v>0</v>
          </cell>
        </row>
        <row r="415">
          <cell r="Q415">
            <v>0</v>
          </cell>
        </row>
        <row r="416">
          <cell r="Q416">
            <v>0</v>
          </cell>
        </row>
        <row r="417">
          <cell r="Q417">
            <v>0</v>
          </cell>
        </row>
        <row r="418">
          <cell r="Q418">
            <v>0</v>
          </cell>
        </row>
        <row r="419">
          <cell r="Q419">
            <v>0</v>
          </cell>
        </row>
        <row r="420">
          <cell r="Q420">
            <v>0</v>
          </cell>
        </row>
        <row r="421">
          <cell r="Q421">
            <v>0</v>
          </cell>
        </row>
        <row r="422">
          <cell r="Q422">
            <v>0</v>
          </cell>
        </row>
        <row r="423">
          <cell r="Q423">
            <v>0</v>
          </cell>
        </row>
        <row r="424">
          <cell r="Q424">
            <v>0</v>
          </cell>
        </row>
        <row r="425">
          <cell r="Q425">
            <v>0</v>
          </cell>
        </row>
        <row r="426">
          <cell r="Q426">
            <v>0</v>
          </cell>
        </row>
        <row r="427">
          <cell r="Q427">
            <v>0</v>
          </cell>
        </row>
        <row r="428">
          <cell r="Q428">
            <v>0</v>
          </cell>
        </row>
        <row r="429">
          <cell r="Q429">
            <v>0</v>
          </cell>
        </row>
        <row r="430">
          <cell r="Q430">
            <v>0</v>
          </cell>
        </row>
        <row r="431">
          <cell r="Q431">
            <v>0</v>
          </cell>
        </row>
        <row r="432">
          <cell r="Q432">
            <v>0</v>
          </cell>
        </row>
        <row r="433">
          <cell r="Q433">
            <v>0</v>
          </cell>
        </row>
        <row r="434">
          <cell r="Q434">
            <v>0</v>
          </cell>
        </row>
        <row r="435">
          <cell r="Q435">
            <v>0</v>
          </cell>
        </row>
        <row r="436">
          <cell r="Q436">
            <v>0</v>
          </cell>
        </row>
        <row r="437">
          <cell r="Q437">
            <v>0</v>
          </cell>
        </row>
        <row r="438">
          <cell r="Q438">
            <v>0</v>
          </cell>
        </row>
        <row r="439">
          <cell r="Q439">
            <v>0</v>
          </cell>
        </row>
        <row r="440">
          <cell r="Q440">
            <v>0</v>
          </cell>
        </row>
        <row r="441">
          <cell r="Q441">
            <v>0</v>
          </cell>
        </row>
        <row r="442">
          <cell r="Q442">
            <v>0</v>
          </cell>
        </row>
        <row r="443">
          <cell r="Q443">
            <v>0</v>
          </cell>
        </row>
        <row r="444">
          <cell r="Q444">
            <v>0</v>
          </cell>
        </row>
        <row r="445">
          <cell r="Q445">
            <v>0</v>
          </cell>
        </row>
        <row r="446">
          <cell r="Q446">
            <v>0</v>
          </cell>
        </row>
        <row r="447">
          <cell r="Q447">
            <v>0</v>
          </cell>
        </row>
        <row r="448">
          <cell r="Q448">
            <v>0</v>
          </cell>
        </row>
        <row r="449">
          <cell r="Q449">
            <v>0</v>
          </cell>
        </row>
        <row r="450">
          <cell r="Q450">
            <v>0</v>
          </cell>
        </row>
        <row r="451">
          <cell r="Q451">
            <v>0</v>
          </cell>
        </row>
        <row r="452">
          <cell r="Q452">
            <v>0</v>
          </cell>
        </row>
        <row r="453">
          <cell r="Q453">
            <v>0</v>
          </cell>
        </row>
        <row r="454">
          <cell r="Q454">
            <v>0</v>
          </cell>
        </row>
        <row r="455">
          <cell r="Q455">
            <v>0</v>
          </cell>
        </row>
        <row r="456">
          <cell r="Q456">
            <v>0</v>
          </cell>
        </row>
        <row r="457">
          <cell r="Q457">
            <v>0</v>
          </cell>
        </row>
        <row r="458">
          <cell r="Q458">
            <v>0</v>
          </cell>
        </row>
        <row r="459">
          <cell r="Q459">
            <v>0</v>
          </cell>
        </row>
        <row r="460">
          <cell r="Q460">
            <v>0</v>
          </cell>
        </row>
        <row r="461">
          <cell r="Q461">
            <v>0</v>
          </cell>
        </row>
        <row r="462">
          <cell r="Q462">
            <v>0</v>
          </cell>
        </row>
        <row r="463">
          <cell r="Q463">
            <v>0</v>
          </cell>
        </row>
        <row r="464">
          <cell r="Q464">
            <v>0</v>
          </cell>
        </row>
        <row r="465">
          <cell r="Q465">
            <v>0</v>
          </cell>
        </row>
        <row r="466">
          <cell r="Q466">
            <v>0</v>
          </cell>
        </row>
        <row r="467">
          <cell r="Q467">
            <v>0</v>
          </cell>
        </row>
        <row r="468">
          <cell r="Q468">
            <v>0</v>
          </cell>
        </row>
        <row r="469">
          <cell r="Q469">
            <v>0</v>
          </cell>
        </row>
        <row r="470">
          <cell r="Q470">
            <v>0</v>
          </cell>
        </row>
        <row r="471">
          <cell r="Q471">
            <v>0</v>
          </cell>
        </row>
        <row r="472">
          <cell r="Q472">
            <v>0</v>
          </cell>
        </row>
        <row r="473">
          <cell r="Q473">
            <v>0</v>
          </cell>
        </row>
        <row r="474">
          <cell r="Q474">
            <v>0</v>
          </cell>
        </row>
        <row r="475">
          <cell r="Q475">
            <v>0</v>
          </cell>
        </row>
        <row r="476">
          <cell r="Q476">
            <v>0</v>
          </cell>
        </row>
        <row r="477">
          <cell r="Q477">
            <v>0</v>
          </cell>
        </row>
        <row r="478">
          <cell r="Q478">
            <v>0</v>
          </cell>
        </row>
        <row r="479">
          <cell r="Q479">
            <v>0</v>
          </cell>
        </row>
        <row r="480">
          <cell r="Q480">
            <v>0</v>
          </cell>
        </row>
        <row r="481">
          <cell r="Q481">
            <v>0</v>
          </cell>
        </row>
        <row r="482">
          <cell r="Q482">
            <v>0</v>
          </cell>
        </row>
        <row r="483">
          <cell r="Q483">
            <v>0</v>
          </cell>
        </row>
        <row r="484">
          <cell r="Q484">
            <v>0</v>
          </cell>
        </row>
        <row r="485">
          <cell r="Q485">
            <v>0</v>
          </cell>
        </row>
        <row r="486">
          <cell r="Q486">
            <v>0</v>
          </cell>
        </row>
        <row r="487">
          <cell r="Q487">
            <v>0</v>
          </cell>
        </row>
        <row r="488">
          <cell r="Q488">
            <v>0</v>
          </cell>
        </row>
        <row r="489">
          <cell r="Q489">
            <v>0</v>
          </cell>
        </row>
        <row r="490">
          <cell r="Q490">
            <v>0</v>
          </cell>
        </row>
        <row r="491">
          <cell r="Q491">
            <v>0</v>
          </cell>
        </row>
        <row r="492">
          <cell r="Q492">
            <v>0</v>
          </cell>
        </row>
        <row r="493">
          <cell r="Q493">
            <v>0</v>
          </cell>
        </row>
        <row r="494">
          <cell r="Q494">
            <v>0</v>
          </cell>
        </row>
        <row r="495">
          <cell r="Q495">
            <v>0</v>
          </cell>
        </row>
        <row r="496">
          <cell r="Q496">
            <v>0</v>
          </cell>
        </row>
        <row r="497">
          <cell r="Q497">
            <v>0</v>
          </cell>
        </row>
        <row r="498">
          <cell r="Q498">
            <v>0</v>
          </cell>
        </row>
        <row r="499">
          <cell r="Q499">
            <v>0</v>
          </cell>
        </row>
        <row r="500">
          <cell r="Q500">
            <v>0</v>
          </cell>
        </row>
        <row r="501">
          <cell r="Q501">
            <v>0</v>
          </cell>
        </row>
        <row r="502">
          <cell r="Q502">
            <v>0</v>
          </cell>
        </row>
        <row r="503">
          <cell r="Q503">
            <v>0</v>
          </cell>
        </row>
        <row r="504">
          <cell r="Q504">
            <v>0</v>
          </cell>
        </row>
        <row r="505">
          <cell r="Q505">
            <v>0</v>
          </cell>
        </row>
        <row r="506">
          <cell r="Q506">
            <v>0</v>
          </cell>
        </row>
        <row r="507">
          <cell r="Q507">
            <v>0</v>
          </cell>
        </row>
        <row r="508">
          <cell r="Q508">
            <v>0</v>
          </cell>
        </row>
        <row r="509">
          <cell r="Q509">
            <v>0</v>
          </cell>
        </row>
        <row r="510">
          <cell r="Q510">
            <v>0</v>
          </cell>
        </row>
        <row r="511">
          <cell r="Q511">
            <v>0</v>
          </cell>
        </row>
        <row r="512">
          <cell r="Q512">
            <v>0</v>
          </cell>
        </row>
        <row r="513">
          <cell r="Q513">
            <v>0</v>
          </cell>
        </row>
        <row r="514">
          <cell r="Q514">
            <v>0</v>
          </cell>
        </row>
        <row r="515">
          <cell r="Q515">
            <v>0</v>
          </cell>
        </row>
        <row r="516">
          <cell r="Q516">
            <v>0</v>
          </cell>
        </row>
        <row r="517">
          <cell r="Q517">
            <v>0</v>
          </cell>
        </row>
        <row r="518">
          <cell r="Q518">
            <v>0</v>
          </cell>
        </row>
        <row r="519">
          <cell r="Q519">
            <v>0</v>
          </cell>
        </row>
        <row r="520">
          <cell r="Q520">
            <v>0</v>
          </cell>
        </row>
        <row r="521">
          <cell r="Q521">
            <v>0</v>
          </cell>
        </row>
        <row r="522">
          <cell r="Q522">
            <v>0</v>
          </cell>
        </row>
        <row r="523">
          <cell r="Q523">
            <v>0</v>
          </cell>
        </row>
        <row r="524">
          <cell r="Q524">
            <v>0</v>
          </cell>
        </row>
        <row r="525">
          <cell r="Q525">
            <v>0</v>
          </cell>
        </row>
        <row r="526">
          <cell r="Q526">
            <v>0</v>
          </cell>
        </row>
        <row r="527">
          <cell r="Q527">
            <v>0</v>
          </cell>
        </row>
        <row r="528">
          <cell r="Q528">
            <v>0</v>
          </cell>
        </row>
        <row r="529">
          <cell r="Q529">
            <v>0</v>
          </cell>
        </row>
        <row r="530">
          <cell r="Q530">
            <v>0</v>
          </cell>
        </row>
        <row r="531">
          <cell r="Q531">
            <v>0</v>
          </cell>
        </row>
        <row r="532">
          <cell r="Q532">
            <v>0</v>
          </cell>
        </row>
        <row r="533">
          <cell r="Q533">
            <v>0</v>
          </cell>
        </row>
        <row r="534">
          <cell r="Q534">
            <v>0</v>
          </cell>
        </row>
        <row r="535">
          <cell r="Q535">
            <v>0</v>
          </cell>
        </row>
        <row r="536">
          <cell r="Q536">
            <v>0</v>
          </cell>
        </row>
        <row r="537">
          <cell r="Q537">
            <v>0</v>
          </cell>
        </row>
        <row r="538">
          <cell r="Q538">
            <v>0</v>
          </cell>
        </row>
        <row r="539">
          <cell r="Q539">
            <v>0</v>
          </cell>
        </row>
        <row r="540">
          <cell r="Q540">
            <v>0</v>
          </cell>
        </row>
        <row r="541">
          <cell r="Q541">
            <v>0</v>
          </cell>
        </row>
        <row r="542">
          <cell r="Q542">
            <v>0</v>
          </cell>
        </row>
        <row r="543">
          <cell r="Q543">
            <v>0</v>
          </cell>
        </row>
        <row r="544">
          <cell r="Q544">
            <v>0</v>
          </cell>
        </row>
        <row r="545">
          <cell r="Q545">
            <v>0</v>
          </cell>
        </row>
        <row r="546">
          <cell r="Q546">
            <v>0</v>
          </cell>
        </row>
        <row r="547">
          <cell r="Q547">
            <v>0</v>
          </cell>
        </row>
        <row r="548">
          <cell r="Q548">
            <v>0</v>
          </cell>
        </row>
        <row r="549">
          <cell r="Q549">
            <v>0</v>
          </cell>
        </row>
        <row r="550">
          <cell r="Q550">
            <v>0</v>
          </cell>
        </row>
        <row r="551">
          <cell r="Q551">
            <v>0</v>
          </cell>
        </row>
        <row r="552">
          <cell r="Q552">
            <v>0</v>
          </cell>
        </row>
        <row r="553">
          <cell r="Q553">
            <v>0</v>
          </cell>
        </row>
        <row r="554">
          <cell r="Q554">
            <v>0</v>
          </cell>
        </row>
        <row r="555">
          <cell r="Q555">
            <v>0</v>
          </cell>
        </row>
        <row r="556">
          <cell r="Q556">
            <v>0</v>
          </cell>
        </row>
        <row r="557">
          <cell r="Q557">
            <v>0</v>
          </cell>
        </row>
        <row r="558">
          <cell r="Q558">
            <v>0</v>
          </cell>
        </row>
        <row r="559">
          <cell r="Q559">
            <v>0</v>
          </cell>
        </row>
        <row r="560">
          <cell r="Q560">
            <v>0</v>
          </cell>
        </row>
        <row r="561">
          <cell r="Q561">
            <v>0</v>
          </cell>
        </row>
        <row r="562">
          <cell r="Q562">
            <v>0</v>
          </cell>
        </row>
        <row r="563">
          <cell r="Q563">
            <v>0</v>
          </cell>
        </row>
        <row r="564">
          <cell r="Q564">
            <v>0</v>
          </cell>
        </row>
        <row r="565">
          <cell r="Q565">
            <v>0</v>
          </cell>
        </row>
        <row r="566">
          <cell r="Q566">
            <v>0</v>
          </cell>
        </row>
        <row r="567">
          <cell r="Q567">
            <v>0</v>
          </cell>
        </row>
        <row r="568">
          <cell r="Q568">
            <v>0</v>
          </cell>
        </row>
        <row r="569">
          <cell r="Q569">
            <v>0</v>
          </cell>
        </row>
        <row r="570">
          <cell r="Q570">
            <v>0</v>
          </cell>
        </row>
        <row r="571">
          <cell r="Q571">
            <v>0</v>
          </cell>
        </row>
        <row r="572">
          <cell r="Q572">
            <v>0</v>
          </cell>
        </row>
        <row r="573">
          <cell r="Q573">
            <v>0</v>
          </cell>
        </row>
        <row r="574">
          <cell r="Q574">
            <v>0</v>
          </cell>
        </row>
        <row r="575">
          <cell r="Q575">
            <v>0</v>
          </cell>
        </row>
        <row r="576">
          <cell r="Q576">
            <v>0</v>
          </cell>
        </row>
        <row r="577">
          <cell r="Q577">
            <v>0</v>
          </cell>
        </row>
        <row r="578">
          <cell r="Q578">
            <v>0</v>
          </cell>
        </row>
        <row r="579">
          <cell r="Q579">
            <v>0</v>
          </cell>
        </row>
        <row r="580">
          <cell r="Q580">
            <v>0</v>
          </cell>
        </row>
        <row r="581">
          <cell r="Q581">
            <v>0</v>
          </cell>
        </row>
        <row r="582">
          <cell r="Q582">
            <v>0</v>
          </cell>
        </row>
        <row r="583">
          <cell r="Q583">
            <v>0</v>
          </cell>
        </row>
        <row r="584">
          <cell r="Q584">
            <v>0</v>
          </cell>
        </row>
        <row r="585">
          <cell r="Q585">
            <v>0</v>
          </cell>
        </row>
        <row r="586">
          <cell r="Q586">
            <v>0</v>
          </cell>
        </row>
        <row r="587">
          <cell r="Q587">
            <v>0</v>
          </cell>
        </row>
        <row r="588">
          <cell r="Q588">
            <v>0</v>
          </cell>
        </row>
        <row r="589">
          <cell r="Q589">
            <v>0</v>
          </cell>
        </row>
        <row r="590">
          <cell r="Q590">
            <v>0</v>
          </cell>
        </row>
        <row r="591">
          <cell r="Q591">
            <v>0</v>
          </cell>
        </row>
        <row r="592">
          <cell r="Q592">
            <v>0</v>
          </cell>
        </row>
        <row r="593">
          <cell r="Q593">
            <v>0</v>
          </cell>
        </row>
        <row r="594">
          <cell r="Q594">
            <v>0</v>
          </cell>
        </row>
        <row r="595">
          <cell r="Q595">
            <v>0</v>
          </cell>
        </row>
        <row r="596">
          <cell r="Q596">
            <v>0</v>
          </cell>
        </row>
        <row r="597">
          <cell r="Q597">
            <v>0</v>
          </cell>
        </row>
        <row r="598">
          <cell r="Q598">
            <v>0</v>
          </cell>
        </row>
        <row r="599">
          <cell r="Q599">
            <v>0</v>
          </cell>
        </row>
        <row r="600">
          <cell r="Q600">
            <v>0</v>
          </cell>
        </row>
        <row r="601">
          <cell r="Q601">
            <v>0</v>
          </cell>
        </row>
        <row r="602">
          <cell r="Q602">
            <v>0</v>
          </cell>
        </row>
        <row r="603">
          <cell r="Q603">
            <v>0</v>
          </cell>
        </row>
        <row r="604">
          <cell r="Q604">
            <v>0</v>
          </cell>
        </row>
        <row r="605">
          <cell r="Q605">
            <v>0</v>
          </cell>
        </row>
        <row r="606">
          <cell r="Q606">
            <v>0</v>
          </cell>
        </row>
        <row r="607">
          <cell r="Q607">
            <v>0</v>
          </cell>
        </row>
        <row r="608">
          <cell r="Q608">
            <v>0</v>
          </cell>
        </row>
        <row r="609">
          <cell r="Q609">
            <v>0</v>
          </cell>
        </row>
        <row r="610">
          <cell r="Q610">
            <v>0</v>
          </cell>
        </row>
        <row r="611">
          <cell r="Q611">
            <v>0</v>
          </cell>
        </row>
        <row r="612">
          <cell r="Q612">
            <v>0</v>
          </cell>
        </row>
        <row r="613">
          <cell r="Q613">
            <v>0</v>
          </cell>
        </row>
        <row r="614">
          <cell r="Q614">
            <v>0</v>
          </cell>
        </row>
        <row r="615">
          <cell r="Q615">
            <v>0</v>
          </cell>
        </row>
        <row r="616">
          <cell r="Q616">
            <v>0</v>
          </cell>
        </row>
        <row r="617">
          <cell r="Q617">
            <v>0</v>
          </cell>
        </row>
        <row r="618">
          <cell r="Q618">
            <v>0</v>
          </cell>
        </row>
        <row r="619">
          <cell r="Q619">
            <v>0</v>
          </cell>
        </row>
        <row r="620">
          <cell r="Q620">
            <v>0</v>
          </cell>
        </row>
        <row r="621">
          <cell r="Q621">
            <v>0</v>
          </cell>
        </row>
        <row r="622">
          <cell r="Q622">
            <v>0</v>
          </cell>
        </row>
        <row r="623">
          <cell r="Q623">
            <v>0</v>
          </cell>
        </row>
        <row r="624">
          <cell r="Q624">
            <v>0</v>
          </cell>
        </row>
        <row r="625">
          <cell r="Q625">
            <v>0</v>
          </cell>
        </row>
        <row r="626">
          <cell r="Q626">
            <v>0</v>
          </cell>
        </row>
        <row r="627">
          <cell r="Q627">
            <v>0</v>
          </cell>
        </row>
        <row r="628">
          <cell r="Q628">
            <v>0</v>
          </cell>
        </row>
        <row r="629">
          <cell r="Q629">
            <v>0</v>
          </cell>
        </row>
        <row r="630">
          <cell r="Q630">
            <v>0</v>
          </cell>
        </row>
        <row r="631">
          <cell r="Q631">
            <v>0</v>
          </cell>
        </row>
        <row r="632">
          <cell r="Q632">
            <v>0</v>
          </cell>
        </row>
        <row r="633">
          <cell r="Q633">
            <v>0</v>
          </cell>
        </row>
        <row r="634">
          <cell r="Q634">
            <v>0</v>
          </cell>
        </row>
        <row r="635">
          <cell r="Q635">
            <v>0</v>
          </cell>
        </row>
        <row r="636">
          <cell r="Q636">
            <v>0</v>
          </cell>
        </row>
        <row r="637">
          <cell r="Q637">
            <v>0</v>
          </cell>
        </row>
        <row r="638">
          <cell r="Q638">
            <v>0</v>
          </cell>
        </row>
        <row r="639">
          <cell r="Q639">
            <v>0</v>
          </cell>
        </row>
        <row r="640">
          <cell r="Q640">
            <v>0</v>
          </cell>
        </row>
        <row r="641">
          <cell r="Q641">
            <v>0</v>
          </cell>
        </row>
        <row r="642">
          <cell r="Q642">
            <v>0</v>
          </cell>
        </row>
        <row r="643">
          <cell r="Q643">
            <v>0</v>
          </cell>
        </row>
        <row r="644">
          <cell r="Q644">
            <v>0</v>
          </cell>
        </row>
        <row r="645">
          <cell r="Q645">
            <v>0</v>
          </cell>
        </row>
        <row r="646">
          <cell r="Q646">
            <v>0</v>
          </cell>
        </row>
        <row r="647">
          <cell r="Q647">
            <v>0</v>
          </cell>
        </row>
        <row r="648">
          <cell r="Q648">
            <v>0</v>
          </cell>
        </row>
        <row r="649">
          <cell r="Q649">
            <v>0</v>
          </cell>
        </row>
        <row r="650">
          <cell r="Q650">
            <v>0</v>
          </cell>
        </row>
        <row r="651">
          <cell r="Q651">
            <v>0</v>
          </cell>
        </row>
        <row r="652">
          <cell r="Q652">
            <v>0</v>
          </cell>
        </row>
        <row r="653">
          <cell r="Q653">
            <v>0</v>
          </cell>
        </row>
        <row r="654">
          <cell r="Q654">
            <v>0</v>
          </cell>
        </row>
        <row r="655">
          <cell r="Q655">
            <v>0</v>
          </cell>
        </row>
        <row r="656">
          <cell r="Q656">
            <v>0</v>
          </cell>
        </row>
        <row r="657">
          <cell r="Q657">
            <v>0</v>
          </cell>
        </row>
        <row r="658">
          <cell r="Q658">
            <v>0</v>
          </cell>
        </row>
        <row r="659">
          <cell r="Q659">
            <v>0</v>
          </cell>
        </row>
        <row r="660">
          <cell r="Q660">
            <v>0</v>
          </cell>
        </row>
        <row r="661">
          <cell r="Q661">
            <v>0</v>
          </cell>
        </row>
        <row r="662">
          <cell r="Q662">
            <v>0</v>
          </cell>
        </row>
        <row r="663">
          <cell r="Q663">
            <v>0</v>
          </cell>
        </row>
        <row r="664">
          <cell r="Q664">
            <v>0</v>
          </cell>
        </row>
        <row r="665">
          <cell r="Q665">
            <v>0</v>
          </cell>
        </row>
        <row r="666">
          <cell r="Q666">
            <v>0</v>
          </cell>
        </row>
        <row r="667">
          <cell r="Q667">
            <v>0</v>
          </cell>
        </row>
        <row r="668">
          <cell r="Q668">
            <v>0</v>
          </cell>
        </row>
        <row r="669">
          <cell r="Q669">
            <v>0</v>
          </cell>
        </row>
        <row r="670">
          <cell r="Q670">
            <v>0</v>
          </cell>
        </row>
        <row r="671">
          <cell r="Q671">
            <v>0</v>
          </cell>
        </row>
        <row r="672">
          <cell r="Q672">
            <v>0</v>
          </cell>
        </row>
        <row r="673">
          <cell r="Q673">
            <v>0</v>
          </cell>
        </row>
        <row r="674">
          <cell r="Q674">
            <v>0</v>
          </cell>
        </row>
        <row r="675">
          <cell r="Q675">
            <v>0</v>
          </cell>
        </row>
        <row r="676">
          <cell r="Q676">
            <v>0</v>
          </cell>
        </row>
        <row r="677">
          <cell r="Q677">
            <v>0</v>
          </cell>
        </row>
        <row r="678">
          <cell r="Q678">
            <v>0</v>
          </cell>
        </row>
        <row r="679">
          <cell r="Q679">
            <v>0</v>
          </cell>
        </row>
        <row r="680">
          <cell r="Q680">
            <v>0</v>
          </cell>
        </row>
        <row r="681">
          <cell r="Q681">
            <v>0</v>
          </cell>
        </row>
        <row r="682">
          <cell r="Q682">
            <v>0</v>
          </cell>
        </row>
        <row r="683">
          <cell r="Q683">
            <v>0</v>
          </cell>
        </row>
        <row r="684">
          <cell r="Q684">
            <v>0</v>
          </cell>
        </row>
        <row r="685">
          <cell r="Q685">
            <v>0</v>
          </cell>
        </row>
        <row r="686">
          <cell r="Q686">
            <v>0</v>
          </cell>
        </row>
        <row r="687">
          <cell r="Q687">
            <v>0</v>
          </cell>
        </row>
        <row r="688">
          <cell r="Q688">
            <v>0</v>
          </cell>
        </row>
        <row r="689">
          <cell r="Q689">
            <v>0</v>
          </cell>
        </row>
        <row r="690">
          <cell r="Q690">
            <v>0</v>
          </cell>
        </row>
        <row r="691">
          <cell r="Q691">
            <v>0</v>
          </cell>
        </row>
        <row r="692">
          <cell r="Q692">
            <v>0</v>
          </cell>
        </row>
        <row r="693">
          <cell r="Q693">
            <v>0</v>
          </cell>
        </row>
        <row r="694">
          <cell r="Q694">
            <v>0</v>
          </cell>
        </row>
        <row r="695">
          <cell r="Q695">
            <v>0</v>
          </cell>
        </row>
        <row r="696">
          <cell r="Q696">
            <v>0</v>
          </cell>
        </row>
        <row r="697">
          <cell r="Q697">
            <v>0</v>
          </cell>
        </row>
        <row r="698">
          <cell r="Q698">
            <v>0</v>
          </cell>
        </row>
        <row r="699">
          <cell r="Q699">
            <v>0</v>
          </cell>
        </row>
        <row r="700">
          <cell r="Q700">
            <v>0</v>
          </cell>
        </row>
        <row r="701">
          <cell r="Q701">
            <v>0</v>
          </cell>
        </row>
        <row r="702">
          <cell r="Q702">
            <v>0</v>
          </cell>
        </row>
        <row r="703">
          <cell r="Q703">
            <v>0</v>
          </cell>
        </row>
        <row r="704">
          <cell r="Q704">
            <v>0</v>
          </cell>
        </row>
        <row r="705">
          <cell r="Q705">
            <v>0</v>
          </cell>
        </row>
        <row r="706">
          <cell r="Q706">
            <v>0</v>
          </cell>
        </row>
        <row r="707">
          <cell r="Q707">
            <v>0</v>
          </cell>
        </row>
        <row r="708">
          <cell r="Q708">
            <v>0</v>
          </cell>
        </row>
        <row r="709">
          <cell r="Q709">
            <v>0</v>
          </cell>
        </row>
        <row r="710">
          <cell r="Q710">
            <v>0</v>
          </cell>
        </row>
        <row r="711">
          <cell r="Q711">
            <v>0</v>
          </cell>
        </row>
        <row r="712">
          <cell r="Q712">
            <v>0</v>
          </cell>
        </row>
        <row r="713">
          <cell r="Q713">
            <v>0</v>
          </cell>
        </row>
        <row r="714">
          <cell r="Q714">
            <v>0</v>
          </cell>
        </row>
        <row r="715">
          <cell r="Q715">
            <v>0</v>
          </cell>
        </row>
        <row r="716">
          <cell r="Q716">
            <v>0</v>
          </cell>
        </row>
        <row r="717">
          <cell r="Q717">
            <v>0</v>
          </cell>
        </row>
        <row r="718">
          <cell r="Q718">
            <v>0</v>
          </cell>
        </row>
        <row r="719">
          <cell r="Q719">
            <v>0</v>
          </cell>
        </row>
        <row r="720">
          <cell r="Q720">
            <v>0</v>
          </cell>
        </row>
        <row r="721">
          <cell r="Q721">
            <v>0</v>
          </cell>
        </row>
        <row r="722">
          <cell r="Q722">
            <v>0</v>
          </cell>
        </row>
        <row r="723">
          <cell r="Q723">
            <v>0</v>
          </cell>
        </row>
        <row r="724">
          <cell r="Q724">
            <v>0</v>
          </cell>
        </row>
        <row r="725">
          <cell r="Q725">
            <v>0</v>
          </cell>
        </row>
        <row r="726">
          <cell r="Q726">
            <v>0</v>
          </cell>
        </row>
        <row r="727">
          <cell r="Q727">
            <v>0</v>
          </cell>
        </row>
        <row r="728">
          <cell r="Q728">
            <v>0</v>
          </cell>
        </row>
        <row r="729">
          <cell r="Q729">
            <v>0</v>
          </cell>
        </row>
        <row r="730">
          <cell r="Q730">
            <v>0</v>
          </cell>
        </row>
        <row r="731">
          <cell r="Q731">
            <v>0</v>
          </cell>
        </row>
        <row r="732">
          <cell r="Q732">
            <v>0</v>
          </cell>
        </row>
        <row r="733">
          <cell r="Q733">
            <v>0</v>
          </cell>
        </row>
        <row r="734">
          <cell r="Q734">
            <v>0</v>
          </cell>
        </row>
        <row r="735">
          <cell r="Q735">
            <v>0</v>
          </cell>
        </row>
        <row r="736">
          <cell r="Q736">
            <v>0</v>
          </cell>
        </row>
        <row r="737">
          <cell r="Q737">
            <v>0</v>
          </cell>
        </row>
        <row r="738">
          <cell r="Q738">
            <v>0</v>
          </cell>
        </row>
        <row r="739">
          <cell r="Q739">
            <v>0</v>
          </cell>
        </row>
        <row r="740">
          <cell r="Q740">
            <v>0</v>
          </cell>
        </row>
        <row r="741">
          <cell r="Q741">
            <v>0</v>
          </cell>
        </row>
        <row r="742">
          <cell r="Q742">
            <v>0</v>
          </cell>
        </row>
        <row r="743">
          <cell r="Q743">
            <v>0</v>
          </cell>
        </row>
        <row r="744">
          <cell r="Q744">
            <v>0</v>
          </cell>
        </row>
        <row r="745">
          <cell r="Q745">
            <v>0</v>
          </cell>
        </row>
        <row r="746">
          <cell r="Q746">
            <v>0</v>
          </cell>
        </row>
        <row r="747">
          <cell r="Q747">
            <v>0</v>
          </cell>
        </row>
        <row r="748">
          <cell r="Q748">
            <v>0</v>
          </cell>
        </row>
        <row r="749">
          <cell r="Q749">
            <v>0</v>
          </cell>
        </row>
        <row r="750">
          <cell r="Q750">
            <v>0</v>
          </cell>
        </row>
        <row r="751">
          <cell r="Q751">
            <v>0</v>
          </cell>
        </row>
        <row r="752">
          <cell r="Q752">
            <v>0</v>
          </cell>
        </row>
        <row r="753">
          <cell r="Q753">
            <v>0</v>
          </cell>
        </row>
        <row r="754">
          <cell r="Q754">
            <v>0</v>
          </cell>
        </row>
        <row r="755">
          <cell r="Q755">
            <v>0</v>
          </cell>
        </row>
        <row r="756">
          <cell r="Q756">
            <v>0</v>
          </cell>
        </row>
        <row r="757">
          <cell r="Q757">
            <v>0</v>
          </cell>
        </row>
        <row r="758">
          <cell r="Q758">
            <v>0</v>
          </cell>
        </row>
        <row r="759">
          <cell r="Q759">
            <v>0</v>
          </cell>
        </row>
        <row r="760">
          <cell r="Q760">
            <v>0</v>
          </cell>
        </row>
        <row r="761">
          <cell r="Q761">
            <v>0</v>
          </cell>
        </row>
        <row r="762">
          <cell r="Q762">
            <v>0</v>
          </cell>
        </row>
        <row r="763">
          <cell r="Q763">
            <v>0</v>
          </cell>
        </row>
        <row r="764">
          <cell r="Q764">
            <v>0</v>
          </cell>
        </row>
        <row r="765">
          <cell r="Q765">
            <v>0</v>
          </cell>
        </row>
        <row r="766">
          <cell r="Q766">
            <v>0</v>
          </cell>
        </row>
        <row r="767">
          <cell r="Q767">
            <v>0</v>
          </cell>
        </row>
        <row r="768">
          <cell r="Q768">
            <v>0</v>
          </cell>
        </row>
        <row r="769">
          <cell r="Q769">
            <v>0</v>
          </cell>
        </row>
        <row r="770">
          <cell r="Q770">
            <v>0</v>
          </cell>
        </row>
        <row r="771">
          <cell r="Q771">
            <v>0</v>
          </cell>
        </row>
        <row r="772">
          <cell r="Q772">
            <v>0</v>
          </cell>
        </row>
        <row r="773">
          <cell r="Q773">
            <v>0</v>
          </cell>
        </row>
        <row r="774">
          <cell r="Q774">
            <v>0</v>
          </cell>
        </row>
        <row r="775">
          <cell r="Q775">
            <v>0</v>
          </cell>
        </row>
        <row r="776">
          <cell r="Q776">
            <v>0</v>
          </cell>
        </row>
        <row r="777">
          <cell r="Q777">
            <v>0</v>
          </cell>
        </row>
        <row r="778">
          <cell r="Q778">
            <v>0</v>
          </cell>
        </row>
        <row r="779">
          <cell r="Q779">
            <v>0</v>
          </cell>
        </row>
        <row r="780">
          <cell r="Q780">
            <v>0</v>
          </cell>
        </row>
        <row r="781">
          <cell r="Q781">
            <v>0</v>
          </cell>
        </row>
        <row r="782">
          <cell r="Q782">
            <v>0</v>
          </cell>
        </row>
        <row r="783">
          <cell r="Q783">
            <v>0</v>
          </cell>
        </row>
        <row r="784">
          <cell r="Q784">
            <v>0</v>
          </cell>
        </row>
        <row r="785">
          <cell r="Q785">
            <v>0</v>
          </cell>
        </row>
        <row r="786">
          <cell r="Q786">
            <v>0</v>
          </cell>
        </row>
        <row r="787">
          <cell r="Q787">
            <v>0</v>
          </cell>
        </row>
        <row r="788">
          <cell r="Q788">
            <v>0</v>
          </cell>
        </row>
        <row r="789">
          <cell r="Q789">
            <v>0</v>
          </cell>
        </row>
        <row r="790">
          <cell r="Q790">
            <v>0</v>
          </cell>
        </row>
        <row r="791">
          <cell r="Q791">
            <v>0</v>
          </cell>
        </row>
        <row r="792">
          <cell r="Q792">
            <v>0</v>
          </cell>
        </row>
        <row r="793">
          <cell r="Q793">
            <v>0</v>
          </cell>
        </row>
        <row r="794">
          <cell r="Q794">
            <v>0</v>
          </cell>
        </row>
        <row r="795">
          <cell r="Q795">
            <v>0</v>
          </cell>
        </row>
        <row r="796">
          <cell r="Q796">
            <v>0</v>
          </cell>
        </row>
        <row r="797">
          <cell r="Q797">
            <v>0</v>
          </cell>
        </row>
        <row r="798">
          <cell r="Q798">
            <v>0</v>
          </cell>
        </row>
        <row r="799">
          <cell r="Q799">
            <v>0</v>
          </cell>
        </row>
        <row r="800">
          <cell r="Q800">
            <v>0</v>
          </cell>
        </row>
        <row r="801">
          <cell r="Q801">
            <v>0</v>
          </cell>
        </row>
        <row r="802">
          <cell r="Q802">
            <v>0</v>
          </cell>
        </row>
        <row r="803">
          <cell r="Q803">
            <v>0</v>
          </cell>
        </row>
        <row r="804">
          <cell r="Q804">
            <v>0</v>
          </cell>
        </row>
        <row r="805">
          <cell r="Q805">
            <v>0</v>
          </cell>
        </row>
        <row r="806">
          <cell r="Q806">
            <v>0</v>
          </cell>
        </row>
        <row r="807">
          <cell r="Q807">
            <v>0</v>
          </cell>
        </row>
        <row r="808">
          <cell r="Q808">
            <v>0</v>
          </cell>
        </row>
        <row r="809">
          <cell r="Q809">
            <v>0</v>
          </cell>
        </row>
        <row r="810">
          <cell r="Q810">
            <v>0</v>
          </cell>
        </row>
        <row r="811">
          <cell r="Q811">
            <v>0</v>
          </cell>
        </row>
        <row r="812">
          <cell r="Q812">
            <v>0</v>
          </cell>
        </row>
        <row r="813">
          <cell r="Q813">
            <v>0</v>
          </cell>
        </row>
        <row r="814">
          <cell r="Q814">
            <v>0</v>
          </cell>
        </row>
        <row r="815">
          <cell r="Q815">
            <v>0</v>
          </cell>
        </row>
      </sheetData>
      <sheetData sheetId="10">
        <row r="2">
          <cell r="Q2">
            <v>0</v>
          </cell>
        </row>
        <row r="3">
          <cell r="Q3">
            <v>0</v>
          </cell>
        </row>
        <row r="4">
          <cell r="Q4">
            <v>0</v>
          </cell>
        </row>
        <row r="5">
          <cell r="Q5">
            <v>0</v>
          </cell>
        </row>
        <row r="6">
          <cell r="Q6">
            <v>0</v>
          </cell>
        </row>
        <row r="7">
          <cell r="Q7">
            <v>0</v>
          </cell>
        </row>
        <row r="8">
          <cell r="Q8">
            <v>0</v>
          </cell>
        </row>
        <row r="9">
          <cell r="Q9">
            <v>0</v>
          </cell>
        </row>
        <row r="10">
          <cell r="Q10">
            <v>0</v>
          </cell>
        </row>
        <row r="11">
          <cell r="Q11">
            <v>0</v>
          </cell>
        </row>
        <row r="12">
          <cell r="Q12">
            <v>0</v>
          </cell>
        </row>
        <row r="13">
          <cell r="Q13">
            <v>0</v>
          </cell>
        </row>
        <row r="14">
          <cell r="Q14">
            <v>0</v>
          </cell>
        </row>
        <row r="15">
          <cell r="Q15">
            <v>0</v>
          </cell>
        </row>
        <row r="16">
          <cell r="Q16">
            <v>0</v>
          </cell>
        </row>
        <row r="17">
          <cell r="Q17">
            <v>0</v>
          </cell>
        </row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  <row r="21">
          <cell r="Q21">
            <v>0</v>
          </cell>
        </row>
        <row r="22">
          <cell r="Q22">
            <v>0</v>
          </cell>
        </row>
        <row r="23">
          <cell r="Q23">
            <v>0</v>
          </cell>
        </row>
        <row r="24">
          <cell r="Q24">
            <v>0</v>
          </cell>
        </row>
        <row r="25">
          <cell r="Q25">
            <v>0</v>
          </cell>
        </row>
        <row r="26">
          <cell r="Q26">
            <v>0</v>
          </cell>
        </row>
        <row r="27">
          <cell r="Q27">
            <v>0</v>
          </cell>
        </row>
        <row r="28">
          <cell r="Q28">
            <v>0</v>
          </cell>
        </row>
        <row r="29">
          <cell r="Q29">
            <v>0</v>
          </cell>
        </row>
        <row r="30">
          <cell r="Q30">
            <v>0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  <row r="34">
          <cell r="Q34">
            <v>0</v>
          </cell>
        </row>
        <row r="35">
          <cell r="Q35">
            <v>0</v>
          </cell>
        </row>
        <row r="36">
          <cell r="Q36">
            <v>0</v>
          </cell>
        </row>
        <row r="37">
          <cell r="Q37">
            <v>0</v>
          </cell>
        </row>
        <row r="38">
          <cell r="Q38">
            <v>0</v>
          </cell>
        </row>
        <row r="39">
          <cell r="Q39">
            <v>0</v>
          </cell>
        </row>
        <row r="40">
          <cell r="Q40">
            <v>0</v>
          </cell>
        </row>
        <row r="41">
          <cell r="Q41">
            <v>0</v>
          </cell>
        </row>
        <row r="42">
          <cell r="Q42">
            <v>0</v>
          </cell>
        </row>
        <row r="43">
          <cell r="Q43">
            <v>0</v>
          </cell>
        </row>
        <row r="44">
          <cell r="Q44">
            <v>0</v>
          </cell>
        </row>
        <row r="45">
          <cell r="Q45">
            <v>0</v>
          </cell>
        </row>
        <row r="46">
          <cell r="Q46">
            <v>0</v>
          </cell>
        </row>
        <row r="47">
          <cell r="Q47">
            <v>0</v>
          </cell>
        </row>
        <row r="48">
          <cell r="Q48">
            <v>0</v>
          </cell>
        </row>
        <row r="49">
          <cell r="Q49">
            <v>0</v>
          </cell>
        </row>
        <row r="50">
          <cell r="Q50">
            <v>0</v>
          </cell>
        </row>
        <row r="51">
          <cell r="Q51">
            <v>0</v>
          </cell>
        </row>
        <row r="52">
          <cell r="Q52">
            <v>0</v>
          </cell>
        </row>
        <row r="53">
          <cell r="Q53">
            <v>0</v>
          </cell>
        </row>
        <row r="54">
          <cell r="Q54">
            <v>0</v>
          </cell>
        </row>
        <row r="55">
          <cell r="Q55">
            <v>0</v>
          </cell>
        </row>
        <row r="56">
          <cell r="Q56">
            <v>0</v>
          </cell>
        </row>
        <row r="57">
          <cell r="Q57">
            <v>0</v>
          </cell>
        </row>
        <row r="58">
          <cell r="Q58">
            <v>0</v>
          </cell>
        </row>
        <row r="59">
          <cell r="Q59">
            <v>0</v>
          </cell>
        </row>
        <row r="60">
          <cell r="Q60">
            <v>0</v>
          </cell>
        </row>
        <row r="61">
          <cell r="Q61">
            <v>0</v>
          </cell>
        </row>
        <row r="62">
          <cell r="Q62">
            <v>0</v>
          </cell>
        </row>
        <row r="63">
          <cell r="Q63">
            <v>0</v>
          </cell>
        </row>
        <row r="64">
          <cell r="Q64">
            <v>0</v>
          </cell>
        </row>
        <row r="65">
          <cell r="Q65">
            <v>0</v>
          </cell>
        </row>
        <row r="66">
          <cell r="Q66">
            <v>0</v>
          </cell>
        </row>
        <row r="67">
          <cell r="Q67">
            <v>0</v>
          </cell>
        </row>
        <row r="68">
          <cell r="Q68">
            <v>0</v>
          </cell>
        </row>
        <row r="69">
          <cell r="Q69">
            <v>0</v>
          </cell>
        </row>
        <row r="70">
          <cell r="Q70">
            <v>0</v>
          </cell>
        </row>
        <row r="71">
          <cell r="Q71">
            <v>0</v>
          </cell>
        </row>
        <row r="72">
          <cell r="Q72">
            <v>0</v>
          </cell>
        </row>
        <row r="73">
          <cell r="Q73">
            <v>0</v>
          </cell>
        </row>
        <row r="74">
          <cell r="Q74">
            <v>0</v>
          </cell>
        </row>
        <row r="75">
          <cell r="Q75">
            <v>0</v>
          </cell>
        </row>
        <row r="76">
          <cell r="Q76">
            <v>0</v>
          </cell>
        </row>
        <row r="77">
          <cell r="Q77">
            <v>0</v>
          </cell>
        </row>
        <row r="78">
          <cell r="Q78">
            <v>0</v>
          </cell>
        </row>
        <row r="79">
          <cell r="Q79">
            <v>0</v>
          </cell>
        </row>
        <row r="80">
          <cell r="Q80">
            <v>0</v>
          </cell>
        </row>
        <row r="81">
          <cell r="Q81">
            <v>0</v>
          </cell>
        </row>
        <row r="82">
          <cell r="Q82">
            <v>0</v>
          </cell>
        </row>
        <row r="83">
          <cell r="Q83">
            <v>0</v>
          </cell>
        </row>
        <row r="84">
          <cell r="Q84">
            <v>0</v>
          </cell>
        </row>
        <row r="85">
          <cell r="Q85">
            <v>0</v>
          </cell>
        </row>
        <row r="86">
          <cell r="Q86">
            <v>0</v>
          </cell>
        </row>
        <row r="87">
          <cell r="Q87">
            <v>0</v>
          </cell>
        </row>
        <row r="88">
          <cell r="Q88">
            <v>0</v>
          </cell>
        </row>
        <row r="89">
          <cell r="Q89">
            <v>0</v>
          </cell>
        </row>
        <row r="90">
          <cell r="Q90">
            <v>0</v>
          </cell>
        </row>
        <row r="91">
          <cell r="Q91">
            <v>0</v>
          </cell>
        </row>
        <row r="92">
          <cell r="Q92">
            <v>0</v>
          </cell>
        </row>
        <row r="93">
          <cell r="Q93">
            <v>0</v>
          </cell>
        </row>
        <row r="94">
          <cell r="Q94">
            <v>0</v>
          </cell>
        </row>
        <row r="95">
          <cell r="Q95">
            <v>0</v>
          </cell>
        </row>
        <row r="96">
          <cell r="Q96">
            <v>0</v>
          </cell>
        </row>
        <row r="97">
          <cell r="Q97">
            <v>0</v>
          </cell>
        </row>
        <row r="98">
          <cell r="Q98">
            <v>0</v>
          </cell>
        </row>
        <row r="99">
          <cell r="Q99">
            <v>0</v>
          </cell>
        </row>
        <row r="100">
          <cell r="Q100">
            <v>0</v>
          </cell>
        </row>
        <row r="101">
          <cell r="Q101">
            <v>0</v>
          </cell>
        </row>
        <row r="102">
          <cell r="Q102">
            <v>0</v>
          </cell>
        </row>
        <row r="103">
          <cell r="Q103">
            <v>0</v>
          </cell>
        </row>
        <row r="104">
          <cell r="Q104">
            <v>0</v>
          </cell>
        </row>
        <row r="105">
          <cell r="Q105">
            <v>0</v>
          </cell>
        </row>
        <row r="106">
          <cell r="Q106">
            <v>0</v>
          </cell>
        </row>
        <row r="107">
          <cell r="Q107">
            <v>0</v>
          </cell>
        </row>
        <row r="108">
          <cell r="Q108">
            <v>0</v>
          </cell>
        </row>
        <row r="109">
          <cell r="Q109">
            <v>0</v>
          </cell>
        </row>
        <row r="110">
          <cell r="Q110">
            <v>0</v>
          </cell>
        </row>
        <row r="111">
          <cell r="Q111">
            <v>0</v>
          </cell>
        </row>
        <row r="112">
          <cell r="Q112">
            <v>0</v>
          </cell>
        </row>
        <row r="113">
          <cell r="Q113">
            <v>0</v>
          </cell>
        </row>
        <row r="114">
          <cell r="Q114">
            <v>0</v>
          </cell>
        </row>
        <row r="115">
          <cell r="Q115">
            <v>0</v>
          </cell>
        </row>
        <row r="116">
          <cell r="Q116">
            <v>0</v>
          </cell>
        </row>
        <row r="117">
          <cell r="Q117">
            <v>0</v>
          </cell>
        </row>
        <row r="118">
          <cell r="Q118">
            <v>0</v>
          </cell>
        </row>
        <row r="119">
          <cell r="Q119">
            <v>0</v>
          </cell>
        </row>
        <row r="120">
          <cell r="Q120">
            <v>0</v>
          </cell>
        </row>
        <row r="121">
          <cell r="Q121">
            <v>0</v>
          </cell>
        </row>
        <row r="122">
          <cell r="Q122">
            <v>0</v>
          </cell>
        </row>
        <row r="123">
          <cell r="Q123">
            <v>0</v>
          </cell>
        </row>
        <row r="124">
          <cell r="Q124">
            <v>0</v>
          </cell>
        </row>
        <row r="125">
          <cell r="Q125">
            <v>0</v>
          </cell>
        </row>
        <row r="126">
          <cell r="Q126">
            <v>0</v>
          </cell>
        </row>
        <row r="127">
          <cell r="Q127">
            <v>0</v>
          </cell>
        </row>
        <row r="128">
          <cell r="Q128">
            <v>0</v>
          </cell>
        </row>
        <row r="129">
          <cell r="Q129">
            <v>0</v>
          </cell>
        </row>
        <row r="130">
          <cell r="Q130">
            <v>0</v>
          </cell>
        </row>
        <row r="131">
          <cell r="Q131">
            <v>0</v>
          </cell>
        </row>
        <row r="132">
          <cell r="Q132">
            <v>0</v>
          </cell>
        </row>
        <row r="133">
          <cell r="Q133">
            <v>0</v>
          </cell>
        </row>
        <row r="134">
          <cell r="Q134">
            <v>0</v>
          </cell>
        </row>
        <row r="135">
          <cell r="Q135">
            <v>0</v>
          </cell>
        </row>
        <row r="136">
          <cell r="Q136">
            <v>0</v>
          </cell>
        </row>
        <row r="137">
          <cell r="Q137">
            <v>0</v>
          </cell>
        </row>
        <row r="138">
          <cell r="Q138">
            <v>0</v>
          </cell>
        </row>
        <row r="139">
          <cell r="Q139">
            <v>0</v>
          </cell>
        </row>
        <row r="140">
          <cell r="Q140">
            <v>0</v>
          </cell>
        </row>
        <row r="141">
          <cell r="Q141">
            <v>0</v>
          </cell>
        </row>
        <row r="142">
          <cell r="Q142">
            <v>0</v>
          </cell>
        </row>
        <row r="143">
          <cell r="Q143">
            <v>0</v>
          </cell>
        </row>
        <row r="144">
          <cell r="Q144">
            <v>0</v>
          </cell>
        </row>
        <row r="145">
          <cell r="Q145">
            <v>0</v>
          </cell>
        </row>
        <row r="146">
          <cell r="Q146">
            <v>0</v>
          </cell>
        </row>
        <row r="147">
          <cell r="Q147">
            <v>0</v>
          </cell>
        </row>
        <row r="148">
          <cell r="Q148">
            <v>0</v>
          </cell>
        </row>
        <row r="149">
          <cell r="Q149">
            <v>0</v>
          </cell>
        </row>
        <row r="150">
          <cell r="Q150">
            <v>0</v>
          </cell>
        </row>
        <row r="151">
          <cell r="Q151">
            <v>0</v>
          </cell>
        </row>
        <row r="152">
          <cell r="Q152">
            <v>0</v>
          </cell>
        </row>
        <row r="153">
          <cell r="Q153">
            <v>0</v>
          </cell>
        </row>
        <row r="154">
          <cell r="Q154">
            <v>0</v>
          </cell>
        </row>
        <row r="155">
          <cell r="Q155">
            <v>0</v>
          </cell>
        </row>
        <row r="156">
          <cell r="Q156">
            <v>0</v>
          </cell>
        </row>
        <row r="157">
          <cell r="Q157">
            <v>0</v>
          </cell>
        </row>
        <row r="158">
          <cell r="Q158">
            <v>0</v>
          </cell>
        </row>
        <row r="159">
          <cell r="Q159">
            <v>0</v>
          </cell>
        </row>
        <row r="160">
          <cell r="Q160">
            <v>0</v>
          </cell>
        </row>
        <row r="161">
          <cell r="Q161">
            <v>0</v>
          </cell>
        </row>
        <row r="162">
          <cell r="Q162">
            <v>0</v>
          </cell>
        </row>
        <row r="163">
          <cell r="Q163">
            <v>0</v>
          </cell>
        </row>
        <row r="164">
          <cell r="Q164">
            <v>0</v>
          </cell>
        </row>
        <row r="165">
          <cell r="Q165">
            <v>0</v>
          </cell>
        </row>
        <row r="166">
          <cell r="Q166">
            <v>0</v>
          </cell>
        </row>
        <row r="167">
          <cell r="Q167">
            <v>0</v>
          </cell>
        </row>
        <row r="168">
          <cell r="Q168">
            <v>0</v>
          </cell>
        </row>
        <row r="169">
          <cell r="Q169">
            <v>0</v>
          </cell>
        </row>
        <row r="170">
          <cell r="Q170">
            <v>0</v>
          </cell>
        </row>
        <row r="171">
          <cell r="Q171">
            <v>0</v>
          </cell>
        </row>
        <row r="172">
          <cell r="Q172">
            <v>0</v>
          </cell>
        </row>
        <row r="173">
          <cell r="Q173">
            <v>0</v>
          </cell>
        </row>
        <row r="174">
          <cell r="Q174">
            <v>0</v>
          </cell>
        </row>
        <row r="175">
          <cell r="Q175">
            <v>0</v>
          </cell>
        </row>
        <row r="176">
          <cell r="Q176">
            <v>0</v>
          </cell>
        </row>
        <row r="177">
          <cell r="Q177">
            <v>0</v>
          </cell>
        </row>
        <row r="178">
          <cell r="Q178">
            <v>0</v>
          </cell>
        </row>
        <row r="179">
          <cell r="Q179">
            <v>0</v>
          </cell>
        </row>
        <row r="180">
          <cell r="Q180">
            <v>0</v>
          </cell>
        </row>
        <row r="181">
          <cell r="Q181">
            <v>0</v>
          </cell>
        </row>
        <row r="182">
          <cell r="Q182">
            <v>0</v>
          </cell>
        </row>
        <row r="183">
          <cell r="Q183">
            <v>0</v>
          </cell>
        </row>
        <row r="184">
          <cell r="Q184">
            <v>0</v>
          </cell>
        </row>
        <row r="185">
          <cell r="Q185">
            <v>0</v>
          </cell>
        </row>
        <row r="186">
          <cell r="Q186">
            <v>0</v>
          </cell>
        </row>
        <row r="187">
          <cell r="Q187">
            <v>0</v>
          </cell>
        </row>
        <row r="188">
          <cell r="Q188">
            <v>0</v>
          </cell>
        </row>
        <row r="189">
          <cell r="Q189">
            <v>0</v>
          </cell>
        </row>
        <row r="190">
          <cell r="Q190">
            <v>0</v>
          </cell>
        </row>
        <row r="191">
          <cell r="Q191">
            <v>0</v>
          </cell>
        </row>
        <row r="192">
          <cell r="Q192">
            <v>0</v>
          </cell>
        </row>
        <row r="193">
          <cell r="Q193">
            <v>0</v>
          </cell>
        </row>
        <row r="194">
          <cell r="Q194">
            <v>0</v>
          </cell>
        </row>
        <row r="195">
          <cell r="Q195">
            <v>0</v>
          </cell>
        </row>
        <row r="196">
          <cell r="Q196">
            <v>0</v>
          </cell>
        </row>
        <row r="197">
          <cell r="Q197">
            <v>0</v>
          </cell>
        </row>
        <row r="198">
          <cell r="Q198">
            <v>0</v>
          </cell>
        </row>
        <row r="199">
          <cell r="Q199">
            <v>0</v>
          </cell>
        </row>
        <row r="200">
          <cell r="Q200">
            <v>0</v>
          </cell>
        </row>
        <row r="201">
          <cell r="Q201">
            <v>0</v>
          </cell>
        </row>
        <row r="202">
          <cell r="Q202">
            <v>0</v>
          </cell>
        </row>
        <row r="203">
          <cell r="Q203">
            <v>0</v>
          </cell>
        </row>
        <row r="204">
          <cell r="Q204">
            <v>0</v>
          </cell>
        </row>
        <row r="205">
          <cell r="Q205">
            <v>0</v>
          </cell>
        </row>
        <row r="206">
          <cell r="Q206">
            <v>0</v>
          </cell>
        </row>
        <row r="207">
          <cell r="Q207">
            <v>0</v>
          </cell>
        </row>
        <row r="208">
          <cell r="Q208">
            <v>0</v>
          </cell>
        </row>
        <row r="209">
          <cell r="Q209">
            <v>0</v>
          </cell>
        </row>
        <row r="210">
          <cell r="Q210">
            <v>0</v>
          </cell>
        </row>
        <row r="211">
          <cell r="Q211">
            <v>0</v>
          </cell>
        </row>
        <row r="212">
          <cell r="Q212">
            <v>0</v>
          </cell>
        </row>
        <row r="213">
          <cell r="Q213">
            <v>0</v>
          </cell>
        </row>
        <row r="214">
          <cell r="Q214">
            <v>0</v>
          </cell>
        </row>
        <row r="215">
          <cell r="Q215">
            <v>0</v>
          </cell>
        </row>
        <row r="216">
          <cell r="Q216">
            <v>0</v>
          </cell>
        </row>
        <row r="217">
          <cell r="Q217">
            <v>0</v>
          </cell>
        </row>
        <row r="218">
          <cell r="Q218">
            <v>0</v>
          </cell>
        </row>
        <row r="219">
          <cell r="Q219">
            <v>0</v>
          </cell>
        </row>
        <row r="220">
          <cell r="Q220">
            <v>0</v>
          </cell>
        </row>
        <row r="221">
          <cell r="Q221">
            <v>0</v>
          </cell>
        </row>
        <row r="222">
          <cell r="Q222">
            <v>0</v>
          </cell>
        </row>
        <row r="223">
          <cell r="Q223">
            <v>0</v>
          </cell>
        </row>
        <row r="224">
          <cell r="Q224">
            <v>0</v>
          </cell>
        </row>
        <row r="225">
          <cell r="Q225">
            <v>0</v>
          </cell>
        </row>
        <row r="226">
          <cell r="Q226">
            <v>0</v>
          </cell>
        </row>
        <row r="227">
          <cell r="Q227">
            <v>0</v>
          </cell>
        </row>
        <row r="228">
          <cell r="Q228">
            <v>0</v>
          </cell>
        </row>
        <row r="229">
          <cell r="Q229">
            <v>0</v>
          </cell>
        </row>
        <row r="230">
          <cell r="Q230">
            <v>0</v>
          </cell>
        </row>
        <row r="231">
          <cell r="Q231">
            <v>0</v>
          </cell>
        </row>
        <row r="232">
          <cell r="Q232">
            <v>0</v>
          </cell>
        </row>
        <row r="233">
          <cell r="Q233">
            <v>0</v>
          </cell>
        </row>
        <row r="234">
          <cell r="Q234">
            <v>0</v>
          </cell>
        </row>
        <row r="235">
          <cell r="Q235">
            <v>0</v>
          </cell>
        </row>
        <row r="236">
          <cell r="Q236">
            <v>0</v>
          </cell>
        </row>
        <row r="237">
          <cell r="Q237">
            <v>0</v>
          </cell>
        </row>
        <row r="238">
          <cell r="Q238">
            <v>0</v>
          </cell>
        </row>
        <row r="239">
          <cell r="Q239">
            <v>0</v>
          </cell>
        </row>
        <row r="240">
          <cell r="Q240">
            <v>0</v>
          </cell>
        </row>
        <row r="241">
          <cell r="Q241">
            <v>0</v>
          </cell>
        </row>
        <row r="242">
          <cell r="Q242">
            <v>0</v>
          </cell>
        </row>
        <row r="243">
          <cell r="Q243">
            <v>0</v>
          </cell>
        </row>
        <row r="244">
          <cell r="Q244">
            <v>0</v>
          </cell>
        </row>
        <row r="245">
          <cell r="Q245">
            <v>0</v>
          </cell>
        </row>
        <row r="246">
          <cell r="Q246">
            <v>0</v>
          </cell>
        </row>
        <row r="247">
          <cell r="Q247">
            <v>0</v>
          </cell>
        </row>
        <row r="248">
          <cell r="Q248">
            <v>0</v>
          </cell>
        </row>
        <row r="249">
          <cell r="Q249">
            <v>0</v>
          </cell>
        </row>
        <row r="250">
          <cell r="Q250">
            <v>0</v>
          </cell>
        </row>
        <row r="251">
          <cell r="Q251">
            <v>0</v>
          </cell>
        </row>
        <row r="252">
          <cell r="Q252">
            <v>0</v>
          </cell>
        </row>
        <row r="253">
          <cell r="Q253">
            <v>0</v>
          </cell>
        </row>
        <row r="254">
          <cell r="Q254">
            <v>0</v>
          </cell>
        </row>
        <row r="255">
          <cell r="Q255">
            <v>0</v>
          </cell>
        </row>
        <row r="256">
          <cell r="Q256">
            <v>0</v>
          </cell>
        </row>
        <row r="257">
          <cell r="Q257">
            <v>0</v>
          </cell>
        </row>
        <row r="258">
          <cell r="Q258">
            <v>0</v>
          </cell>
        </row>
        <row r="259">
          <cell r="Q259">
            <v>0</v>
          </cell>
        </row>
        <row r="260">
          <cell r="Q260">
            <v>0</v>
          </cell>
        </row>
        <row r="261">
          <cell r="Q261">
            <v>0</v>
          </cell>
        </row>
        <row r="262">
          <cell r="Q262">
            <v>0</v>
          </cell>
        </row>
        <row r="263">
          <cell r="Q263">
            <v>0</v>
          </cell>
        </row>
        <row r="264">
          <cell r="Q264">
            <v>0</v>
          </cell>
        </row>
        <row r="265">
          <cell r="Q265">
            <v>0</v>
          </cell>
        </row>
        <row r="266">
          <cell r="Q266">
            <v>0</v>
          </cell>
        </row>
        <row r="267">
          <cell r="Q267">
            <v>0</v>
          </cell>
        </row>
        <row r="268">
          <cell r="Q268">
            <v>0</v>
          </cell>
        </row>
        <row r="269">
          <cell r="Q269">
            <v>0</v>
          </cell>
        </row>
        <row r="270">
          <cell r="Q270">
            <v>0</v>
          </cell>
        </row>
        <row r="271">
          <cell r="Q271">
            <v>0</v>
          </cell>
        </row>
        <row r="272">
          <cell r="Q272">
            <v>0</v>
          </cell>
        </row>
        <row r="273">
          <cell r="Q273">
            <v>0</v>
          </cell>
        </row>
        <row r="274">
          <cell r="Q274">
            <v>0</v>
          </cell>
        </row>
        <row r="275">
          <cell r="Q275">
            <v>0</v>
          </cell>
        </row>
        <row r="276">
          <cell r="Q276">
            <v>0</v>
          </cell>
        </row>
        <row r="277">
          <cell r="Q277">
            <v>0</v>
          </cell>
        </row>
        <row r="278">
          <cell r="Q278">
            <v>0</v>
          </cell>
        </row>
        <row r="279">
          <cell r="Q279">
            <v>0</v>
          </cell>
        </row>
        <row r="280">
          <cell r="Q280">
            <v>0</v>
          </cell>
        </row>
        <row r="281">
          <cell r="Q281">
            <v>0</v>
          </cell>
        </row>
        <row r="282">
          <cell r="Q282">
            <v>0</v>
          </cell>
        </row>
        <row r="283">
          <cell r="Q283">
            <v>0</v>
          </cell>
        </row>
        <row r="284">
          <cell r="Q284">
            <v>0</v>
          </cell>
        </row>
        <row r="285">
          <cell r="Q285">
            <v>0</v>
          </cell>
        </row>
        <row r="286">
          <cell r="Q286">
            <v>0</v>
          </cell>
        </row>
        <row r="287">
          <cell r="Q287">
            <v>0</v>
          </cell>
        </row>
        <row r="288">
          <cell r="Q288">
            <v>0</v>
          </cell>
        </row>
        <row r="289">
          <cell r="Q289">
            <v>0</v>
          </cell>
        </row>
        <row r="290">
          <cell r="Q290">
            <v>0</v>
          </cell>
        </row>
        <row r="291">
          <cell r="Q291">
            <v>0</v>
          </cell>
        </row>
        <row r="292">
          <cell r="Q292">
            <v>0</v>
          </cell>
        </row>
        <row r="293">
          <cell r="Q293">
            <v>0</v>
          </cell>
        </row>
        <row r="294">
          <cell r="Q294">
            <v>0</v>
          </cell>
        </row>
        <row r="295">
          <cell r="Q295">
            <v>0</v>
          </cell>
        </row>
        <row r="296">
          <cell r="Q296">
            <v>0</v>
          </cell>
        </row>
        <row r="297">
          <cell r="Q297">
            <v>0</v>
          </cell>
        </row>
        <row r="298">
          <cell r="Q298">
            <v>0</v>
          </cell>
        </row>
        <row r="299">
          <cell r="Q299">
            <v>0</v>
          </cell>
        </row>
        <row r="300">
          <cell r="Q300">
            <v>0</v>
          </cell>
        </row>
        <row r="301">
          <cell r="Q301">
            <v>0</v>
          </cell>
        </row>
        <row r="302">
          <cell r="Q302">
            <v>0</v>
          </cell>
        </row>
        <row r="303">
          <cell r="Q303">
            <v>0</v>
          </cell>
        </row>
        <row r="304">
          <cell r="Q304">
            <v>0</v>
          </cell>
        </row>
        <row r="305">
          <cell r="Q305">
            <v>0</v>
          </cell>
        </row>
        <row r="306">
          <cell r="Q306">
            <v>0</v>
          </cell>
        </row>
        <row r="307">
          <cell r="Q307">
            <v>0</v>
          </cell>
        </row>
        <row r="308">
          <cell r="Q308">
            <v>0</v>
          </cell>
        </row>
        <row r="309">
          <cell r="Q309">
            <v>0</v>
          </cell>
        </row>
        <row r="310">
          <cell r="Q310">
            <v>0</v>
          </cell>
        </row>
        <row r="311">
          <cell r="Q311">
            <v>0</v>
          </cell>
        </row>
        <row r="312">
          <cell r="Q312">
            <v>0</v>
          </cell>
        </row>
        <row r="313">
          <cell r="Q313">
            <v>0</v>
          </cell>
        </row>
        <row r="314">
          <cell r="Q314">
            <v>0</v>
          </cell>
        </row>
        <row r="315">
          <cell r="Q315">
            <v>0</v>
          </cell>
        </row>
        <row r="316">
          <cell r="Q316">
            <v>0</v>
          </cell>
        </row>
        <row r="317">
          <cell r="Q317">
            <v>0</v>
          </cell>
        </row>
        <row r="318">
          <cell r="Q318">
            <v>0</v>
          </cell>
        </row>
        <row r="319">
          <cell r="Q319">
            <v>0</v>
          </cell>
        </row>
        <row r="320">
          <cell r="Q320">
            <v>0</v>
          </cell>
        </row>
        <row r="321">
          <cell r="Q321">
            <v>0</v>
          </cell>
        </row>
        <row r="322">
          <cell r="Q322">
            <v>0</v>
          </cell>
        </row>
        <row r="323">
          <cell r="Q323">
            <v>0</v>
          </cell>
        </row>
        <row r="324">
          <cell r="Q324">
            <v>0</v>
          </cell>
        </row>
        <row r="325">
          <cell r="Q325">
            <v>0</v>
          </cell>
        </row>
        <row r="326">
          <cell r="Q326">
            <v>0</v>
          </cell>
        </row>
        <row r="327">
          <cell r="Q327">
            <v>0</v>
          </cell>
        </row>
        <row r="328">
          <cell r="Q328">
            <v>0</v>
          </cell>
        </row>
        <row r="329">
          <cell r="Q329">
            <v>0</v>
          </cell>
        </row>
        <row r="330">
          <cell r="Q330">
            <v>0</v>
          </cell>
        </row>
        <row r="331">
          <cell r="Q331">
            <v>0</v>
          </cell>
        </row>
        <row r="332">
          <cell r="Q332">
            <v>0</v>
          </cell>
        </row>
        <row r="333">
          <cell r="Q333">
            <v>0</v>
          </cell>
        </row>
        <row r="334">
          <cell r="Q334">
            <v>0</v>
          </cell>
        </row>
        <row r="335">
          <cell r="Q335">
            <v>0</v>
          </cell>
        </row>
        <row r="336">
          <cell r="Q336">
            <v>0</v>
          </cell>
        </row>
        <row r="337">
          <cell r="Q337">
            <v>0</v>
          </cell>
        </row>
        <row r="338">
          <cell r="Q338">
            <v>0</v>
          </cell>
        </row>
        <row r="339">
          <cell r="Q339">
            <v>0</v>
          </cell>
        </row>
        <row r="340">
          <cell r="Q340">
            <v>0</v>
          </cell>
        </row>
        <row r="341">
          <cell r="Q341">
            <v>0</v>
          </cell>
        </row>
        <row r="342">
          <cell r="Q342">
            <v>0</v>
          </cell>
        </row>
        <row r="343">
          <cell r="Q343">
            <v>0</v>
          </cell>
        </row>
        <row r="344">
          <cell r="Q344">
            <v>0</v>
          </cell>
        </row>
        <row r="345">
          <cell r="Q345">
            <v>0</v>
          </cell>
        </row>
        <row r="346">
          <cell r="Q346">
            <v>0</v>
          </cell>
        </row>
        <row r="347">
          <cell r="Q347">
            <v>0</v>
          </cell>
        </row>
        <row r="348">
          <cell r="Q348">
            <v>0</v>
          </cell>
        </row>
        <row r="349">
          <cell r="Q349">
            <v>0</v>
          </cell>
        </row>
        <row r="350">
          <cell r="Q350">
            <v>0</v>
          </cell>
        </row>
        <row r="351">
          <cell r="Q351">
            <v>0</v>
          </cell>
        </row>
        <row r="352">
          <cell r="Q352">
            <v>0</v>
          </cell>
        </row>
        <row r="353">
          <cell r="Q353">
            <v>0</v>
          </cell>
        </row>
        <row r="354">
          <cell r="Q354">
            <v>0</v>
          </cell>
        </row>
        <row r="355">
          <cell r="Q355">
            <v>0</v>
          </cell>
        </row>
        <row r="356">
          <cell r="Q356">
            <v>0</v>
          </cell>
        </row>
        <row r="357">
          <cell r="Q357">
            <v>0</v>
          </cell>
        </row>
        <row r="358">
          <cell r="Q358">
            <v>0</v>
          </cell>
        </row>
        <row r="359">
          <cell r="Q359">
            <v>0</v>
          </cell>
        </row>
        <row r="360">
          <cell r="Q360">
            <v>0</v>
          </cell>
        </row>
        <row r="361">
          <cell r="Q361">
            <v>0</v>
          </cell>
        </row>
        <row r="362">
          <cell r="Q362">
            <v>0</v>
          </cell>
        </row>
        <row r="363">
          <cell r="Q363">
            <v>0</v>
          </cell>
        </row>
        <row r="364">
          <cell r="Q364">
            <v>0</v>
          </cell>
        </row>
        <row r="365">
          <cell r="Q365">
            <v>0</v>
          </cell>
        </row>
        <row r="366">
          <cell r="Q366">
            <v>0</v>
          </cell>
        </row>
        <row r="367">
          <cell r="Q367">
            <v>0</v>
          </cell>
        </row>
        <row r="368">
          <cell r="Q368">
            <v>0</v>
          </cell>
        </row>
        <row r="369">
          <cell r="Q369">
            <v>0</v>
          </cell>
        </row>
        <row r="370">
          <cell r="Q370">
            <v>0</v>
          </cell>
        </row>
        <row r="371">
          <cell r="Q371">
            <v>0</v>
          </cell>
        </row>
        <row r="372">
          <cell r="Q372">
            <v>0</v>
          </cell>
        </row>
        <row r="373">
          <cell r="Q373">
            <v>0</v>
          </cell>
        </row>
        <row r="374">
          <cell r="Q374">
            <v>0</v>
          </cell>
        </row>
        <row r="375">
          <cell r="Q375">
            <v>0</v>
          </cell>
        </row>
        <row r="376">
          <cell r="Q376">
            <v>0</v>
          </cell>
        </row>
        <row r="377">
          <cell r="Q377">
            <v>0</v>
          </cell>
        </row>
        <row r="378">
          <cell r="Q378">
            <v>0</v>
          </cell>
        </row>
        <row r="379">
          <cell r="Q379">
            <v>0</v>
          </cell>
        </row>
        <row r="380">
          <cell r="Q380">
            <v>0</v>
          </cell>
        </row>
        <row r="381">
          <cell r="Q381">
            <v>0</v>
          </cell>
        </row>
        <row r="382">
          <cell r="Q382">
            <v>0</v>
          </cell>
        </row>
        <row r="383">
          <cell r="Q383">
            <v>0</v>
          </cell>
        </row>
        <row r="384">
          <cell r="Q384">
            <v>0</v>
          </cell>
        </row>
        <row r="385">
          <cell r="Q385">
            <v>0</v>
          </cell>
        </row>
        <row r="386">
          <cell r="Q386">
            <v>0</v>
          </cell>
        </row>
        <row r="387">
          <cell r="Q387">
            <v>0</v>
          </cell>
        </row>
        <row r="388">
          <cell r="Q388">
            <v>0</v>
          </cell>
        </row>
        <row r="389">
          <cell r="Q389">
            <v>0</v>
          </cell>
        </row>
        <row r="390">
          <cell r="Q390">
            <v>0</v>
          </cell>
        </row>
        <row r="391">
          <cell r="Q391">
            <v>0</v>
          </cell>
        </row>
        <row r="392">
          <cell r="Q392">
            <v>0</v>
          </cell>
        </row>
        <row r="393">
          <cell r="Q393">
            <v>0</v>
          </cell>
        </row>
        <row r="394">
          <cell r="Q394">
            <v>0</v>
          </cell>
        </row>
        <row r="395">
          <cell r="Q395">
            <v>0</v>
          </cell>
        </row>
        <row r="396">
          <cell r="Q396">
            <v>0</v>
          </cell>
        </row>
        <row r="397">
          <cell r="Q397">
            <v>0</v>
          </cell>
        </row>
        <row r="398">
          <cell r="Q398">
            <v>0</v>
          </cell>
        </row>
        <row r="399">
          <cell r="Q399">
            <v>0</v>
          </cell>
        </row>
        <row r="400">
          <cell r="Q400">
            <v>0</v>
          </cell>
        </row>
        <row r="401">
          <cell r="Q401">
            <v>0</v>
          </cell>
        </row>
        <row r="402">
          <cell r="Q402">
            <v>0</v>
          </cell>
        </row>
        <row r="403">
          <cell r="Q403">
            <v>0</v>
          </cell>
        </row>
        <row r="404">
          <cell r="Q404">
            <v>0</v>
          </cell>
        </row>
        <row r="405">
          <cell r="Q405">
            <v>0</v>
          </cell>
        </row>
        <row r="406">
          <cell r="Q406">
            <v>0</v>
          </cell>
        </row>
        <row r="407">
          <cell r="Q407">
            <v>0</v>
          </cell>
        </row>
        <row r="408">
          <cell r="Q408">
            <v>0</v>
          </cell>
        </row>
        <row r="409">
          <cell r="Q409">
            <v>0</v>
          </cell>
        </row>
        <row r="410">
          <cell r="Q410">
            <v>0</v>
          </cell>
        </row>
        <row r="411">
          <cell r="Q411">
            <v>0</v>
          </cell>
        </row>
        <row r="412">
          <cell r="Q412">
            <v>0</v>
          </cell>
        </row>
        <row r="413">
          <cell r="Q413">
            <v>0</v>
          </cell>
        </row>
        <row r="414">
          <cell r="Q414">
            <v>0</v>
          </cell>
        </row>
        <row r="415">
          <cell r="Q415">
            <v>0</v>
          </cell>
        </row>
        <row r="416">
          <cell r="Q416">
            <v>0</v>
          </cell>
        </row>
        <row r="417">
          <cell r="Q417">
            <v>0</v>
          </cell>
        </row>
        <row r="418">
          <cell r="Q418">
            <v>0</v>
          </cell>
        </row>
        <row r="419">
          <cell r="Q419">
            <v>0</v>
          </cell>
        </row>
        <row r="420">
          <cell r="Q420">
            <v>0</v>
          </cell>
        </row>
        <row r="421">
          <cell r="Q421">
            <v>0</v>
          </cell>
        </row>
        <row r="422">
          <cell r="Q422">
            <v>0</v>
          </cell>
        </row>
        <row r="423">
          <cell r="Q423">
            <v>0</v>
          </cell>
        </row>
        <row r="424">
          <cell r="Q424">
            <v>0</v>
          </cell>
        </row>
        <row r="425">
          <cell r="Q425">
            <v>0</v>
          </cell>
        </row>
        <row r="426">
          <cell r="Q426">
            <v>0</v>
          </cell>
        </row>
        <row r="427">
          <cell r="Q427">
            <v>0</v>
          </cell>
        </row>
        <row r="428">
          <cell r="Q428">
            <v>0</v>
          </cell>
        </row>
        <row r="429">
          <cell r="Q429">
            <v>0</v>
          </cell>
        </row>
        <row r="430">
          <cell r="Q430">
            <v>0</v>
          </cell>
        </row>
        <row r="431">
          <cell r="Q431">
            <v>0</v>
          </cell>
        </row>
        <row r="432">
          <cell r="Q432">
            <v>0</v>
          </cell>
        </row>
        <row r="433">
          <cell r="Q433">
            <v>0</v>
          </cell>
        </row>
        <row r="434">
          <cell r="Q434">
            <v>0</v>
          </cell>
        </row>
        <row r="435">
          <cell r="Q435">
            <v>0</v>
          </cell>
        </row>
        <row r="436">
          <cell r="Q436">
            <v>0</v>
          </cell>
        </row>
        <row r="437">
          <cell r="Q437">
            <v>0</v>
          </cell>
        </row>
        <row r="438">
          <cell r="Q438">
            <v>0</v>
          </cell>
        </row>
        <row r="439">
          <cell r="Q439">
            <v>0</v>
          </cell>
        </row>
        <row r="440">
          <cell r="Q440">
            <v>0</v>
          </cell>
        </row>
        <row r="441">
          <cell r="Q441">
            <v>0</v>
          </cell>
        </row>
        <row r="442">
          <cell r="Q442">
            <v>0</v>
          </cell>
        </row>
        <row r="443">
          <cell r="Q443">
            <v>0</v>
          </cell>
        </row>
        <row r="444">
          <cell r="Q444">
            <v>0</v>
          </cell>
        </row>
        <row r="445">
          <cell r="Q445">
            <v>0</v>
          </cell>
        </row>
        <row r="446">
          <cell r="Q446">
            <v>0</v>
          </cell>
        </row>
        <row r="447">
          <cell r="Q447">
            <v>0</v>
          </cell>
        </row>
        <row r="448">
          <cell r="Q448">
            <v>0</v>
          </cell>
        </row>
        <row r="449">
          <cell r="Q449">
            <v>0</v>
          </cell>
        </row>
        <row r="450">
          <cell r="Q450">
            <v>0</v>
          </cell>
        </row>
        <row r="451">
          <cell r="Q451">
            <v>0</v>
          </cell>
        </row>
        <row r="452">
          <cell r="Q452">
            <v>0</v>
          </cell>
        </row>
        <row r="453">
          <cell r="Q453">
            <v>0</v>
          </cell>
        </row>
        <row r="454">
          <cell r="Q454">
            <v>0</v>
          </cell>
        </row>
        <row r="455">
          <cell r="Q455">
            <v>0</v>
          </cell>
        </row>
        <row r="456">
          <cell r="Q456">
            <v>0</v>
          </cell>
        </row>
        <row r="457">
          <cell r="Q457">
            <v>0</v>
          </cell>
        </row>
        <row r="458">
          <cell r="Q458">
            <v>0</v>
          </cell>
        </row>
        <row r="459">
          <cell r="Q459">
            <v>0</v>
          </cell>
        </row>
        <row r="460">
          <cell r="Q460">
            <v>0</v>
          </cell>
        </row>
        <row r="461">
          <cell r="Q461">
            <v>0</v>
          </cell>
        </row>
        <row r="462">
          <cell r="Q462">
            <v>0</v>
          </cell>
        </row>
        <row r="463">
          <cell r="Q463">
            <v>0</v>
          </cell>
        </row>
        <row r="464">
          <cell r="Q464">
            <v>0</v>
          </cell>
        </row>
        <row r="465">
          <cell r="Q465">
            <v>0</v>
          </cell>
        </row>
        <row r="466">
          <cell r="Q466">
            <v>0</v>
          </cell>
        </row>
        <row r="467">
          <cell r="Q467">
            <v>0</v>
          </cell>
        </row>
        <row r="468">
          <cell r="Q468">
            <v>0</v>
          </cell>
        </row>
        <row r="469">
          <cell r="Q469">
            <v>0</v>
          </cell>
        </row>
        <row r="470">
          <cell r="Q470">
            <v>0</v>
          </cell>
        </row>
        <row r="471">
          <cell r="Q471">
            <v>0</v>
          </cell>
        </row>
        <row r="472">
          <cell r="Q472">
            <v>0</v>
          </cell>
        </row>
        <row r="473">
          <cell r="Q473">
            <v>0</v>
          </cell>
        </row>
        <row r="474">
          <cell r="Q474">
            <v>0</v>
          </cell>
        </row>
        <row r="475">
          <cell r="Q475">
            <v>0</v>
          </cell>
        </row>
        <row r="476">
          <cell r="Q476">
            <v>0</v>
          </cell>
        </row>
        <row r="477">
          <cell r="Q477">
            <v>0</v>
          </cell>
        </row>
        <row r="478">
          <cell r="Q478">
            <v>0</v>
          </cell>
        </row>
        <row r="479">
          <cell r="Q479">
            <v>0</v>
          </cell>
        </row>
        <row r="480">
          <cell r="Q480">
            <v>0</v>
          </cell>
        </row>
        <row r="481">
          <cell r="Q481">
            <v>0</v>
          </cell>
        </row>
        <row r="482">
          <cell r="Q482">
            <v>0</v>
          </cell>
        </row>
        <row r="483">
          <cell r="Q483">
            <v>0</v>
          </cell>
        </row>
        <row r="484">
          <cell r="Q484">
            <v>0</v>
          </cell>
        </row>
        <row r="485">
          <cell r="Q485">
            <v>0</v>
          </cell>
        </row>
        <row r="486">
          <cell r="Q486">
            <v>0</v>
          </cell>
        </row>
        <row r="487">
          <cell r="Q487">
            <v>0</v>
          </cell>
        </row>
        <row r="488">
          <cell r="Q488">
            <v>0</v>
          </cell>
        </row>
        <row r="489">
          <cell r="Q489">
            <v>0</v>
          </cell>
        </row>
        <row r="490">
          <cell r="Q490">
            <v>0</v>
          </cell>
        </row>
        <row r="491">
          <cell r="Q491">
            <v>0</v>
          </cell>
        </row>
        <row r="492">
          <cell r="Q492">
            <v>0</v>
          </cell>
        </row>
        <row r="493">
          <cell r="Q493">
            <v>0</v>
          </cell>
        </row>
        <row r="494">
          <cell r="Q494">
            <v>0</v>
          </cell>
        </row>
        <row r="495">
          <cell r="Q495">
            <v>0</v>
          </cell>
        </row>
        <row r="496">
          <cell r="Q496">
            <v>0</v>
          </cell>
        </row>
        <row r="497">
          <cell r="Q497">
            <v>0</v>
          </cell>
        </row>
        <row r="498">
          <cell r="Q498">
            <v>0</v>
          </cell>
        </row>
        <row r="499">
          <cell r="Q499">
            <v>0</v>
          </cell>
        </row>
        <row r="500">
          <cell r="Q500">
            <v>0</v>
          </cell>
        </row>
        <row r="501">
          <cell r="Q501">
            <v>0</v>
          </cell>
        </row>
        <row r="502">
          <cell r="Q502">
            <v>0</v>
          </cell>
        </row>
        <row r="503">
          <cell r="Q503">
            <v>0</v>
          </cell>
        </row>
        <row r="504">
          <cell r="Q504">
            <v>0</v>
          </cell>
        </row>
        <row r="505">
          <cell r="Q505">
            <v>0</v>
          </cell>
        </row>
        <row r="506">
          <cell r="Q506">
            <v>0</v>
          </cell>
        </row>
        <row r="507">
          <cell r="Q507">
            <v>0</v>
          </cell>
        </row>
        <row r="508">
          <cell r="Q508">
            <v>0</v>
          </cell>
        </row>
        <row r="509">
          <cell r="Q509">
            <v>0</v>
          </cell>
        </row>
        <row r="510">
          <cell r="Q510">
            <v>0</v>
          </cell>
        </row>
        <row r="511">
          <cell r="Q511">
            <v>0</v>
          </cell>
        </row>
        <row r="512">
          <cell r="Q512">
            <v>0</v>
          </cell>
        </row>
        <row r="513">
          <cell r="Q513">
            <v>0</v>
          </cell>
        </row>
        <row r="514">
          <cell r="Q514">
            <v>0</v>
          </cell>
        </row>
        <row r="515">
          <cell r="Q515">
            <v>0</v>
          </cell>
        </row>
        <row r="516">
          <cell r="Q516">
            <v>0</v>
          </cell>
        </row>
        <row r="517">
          <cell r="Q517">
            <v>0</v>
          </cell>
        </row>
        <row r="518">
          <cell r="Q518">
            <v>0</v>
          </cell>
        </row>
        <row r="519">
          <cell r="Q519">
            <v>0</v>
          </cell>
        </row>
        <row r="520">
          <cell r="Q520">
            <v>0</v>
          </cell>
        </row>
        <row r="521">
          <cell r="Q521">
            <v>0</v>
          </cell>
        </row>
        <row r="522">
          <cell r="Q522">
            <v>0</v>
          </cell>
        </row>
        <row r="523">
          <cell r="Q523">
            <v>0</v>
          </cell>
        </row>
        <row r="524">
          <cell r="Q524">
            <v>0</v>
          </cell>
        </row>
        <row r="525">
          <cell r="Q525">
            <v>0</v>
          </cell>
        </row>
        <row r="526">
          <cell r="Q526">
            <v>0</v>
          </cell>
        </row>
        <row r="527">
          <cell r="Q527">
            <v>0</v>
          </cell>
        </row>
        <row r="528">
          <cell r="Q528">
            <v>0</v>
          </cell>
        </row>
        <row r="529">
          <cell r="Q529">
            <v>0</v>
          </cell>
        </row>
        <row r="530">
          <cell r="Q530">
            <v>0</v>
          </cell>
        </row>
        <row r="531">
          <cell r="Q531">
            <v>0</v>
          </cell>
        </row>
        <row r="532">
          <cell r="Q532">
            <v>0</v>
          </cell>
        </row>
        <row r="533">
          <cell r="Q533">
            <v>0</v>
          </cell>
        </row>
        <row r="534">
          <cell r="Q534">
            <v>0</v>
          </cell>
        </row>
        <row r="535">
          <cell r="Q535">
            <v>0</v>
          </cell>
        </row>
        <row r="536">
          <cell r="Q536">
            <v>0</v>
          </cell>
        </row>
        <row r="537">
          <cell r="Q537">
            <v>0</v>
          </cell>
        </row>
        <row r="538">
          <cell r="Q538">
            <v>0</v>
          </cell>
        </row>
        <row r="539">
          <cell r="Q539">
            <v>0</v>
          </cell>
        </row>
        <row r="540">
          <cell r="Q540">
            <v>0</v>
          </cell>
        </row>
        <row r="541">
          <cell r="Q541">
            <v>0</v>
          </cell>
        </row>
        <row r="542">
          <cell r="Q542">
            <v>0</v>
          </cell>
        </row>
        <row r="543">
          <cell r="Q543">
            <v>0</v>
          </cell>
        </row>
        <row r="544">
          <cell r="Q544">
            <v>0</v>
          </cell>
        </row>
        <row r="545">
          <cell r="Q545">
            <v>0</v>
          </cell>
        </row>
        <row r="546">
          <cell r="Q546">
            <v>0</v>
          </cell>
        </row>
        <row r="547">
          <cell r="Q547">
            <v>0</v>
          </cell>
        </row>
        <row r="548">
          <cell r="Q548">
            <v>0</v>
          </cell>
        </row>
        <row r="549">
          <cell r="Q549">
            <v>0</v>
          </cell>
        </row>
        <row r="550">
          <cell r="Q550">
            <v>0</v>
          </cell>
        </row>
        <row r="551">
          <cell r="Q551">
            <v>0</v>
          </cell>
        </row>
        <row r="552">
          <cell r="Q552">
            <v>0</v>
          </cell>
        </row>
        <row r="553">
          <cell r="Q553">
            <v>0</v>
          </cell>
        </row>
        <row r="554">
          <cell r="Q554">
            <v>0</v>
          </cell>
        </row>
        <row r="555">
          <cell r="Q555">
            <v>0</v>
          </cell>
        </row>
        <row r="556">
          <cell r="Q556">
            <v>0</v>
          </cell>
        </row>
        <row r="557">
          <cell r="Q557">
            <v>0</v>
          </cell>
        </row>
        <row r="558">
          <cell r="Q558">
            <v>0</v>
          </cell>
        </row>
        <row r="559">
          <cell r="Q559">
            <v>0</v>
          </cell>
        </row>
        <row r="560">
          <cell r="Q560">
            <v>0</v>
          </cell>
        </row>
        <row r="561">
          <cell r="Q561">
            <v>0</v>
          </cell>
        </row>
        <row r="562">
          <cell r="Q562">
            <v>0</v>
          </cell>
        </row>
        <row r="563">
          <cell r="Q563">
            <v>0</v>
          </cell>
        </row>
        <row r="564">
          <cell r="Q564">
            <v>0</v>
          </cell>
        </row>
        <row r="565">
          <cell r="Q565">
            <v>0</v>
          </cell>
        </row>
        <row r="566">
          <cell r="Q566">
            <v>0</v>
          </cell>
        </row>
        <row r="567">
          <cell r="Q567">
            <v>0</v>
          </cell>
        </row>
        <row r="568">
          <cell r="Q568">
            <v>0</v>
          </cell>
        </row>
        <row r="569">
          <cell r="Q569">
            <v>0</v>
          </cell>
        </row>
        <row r="570">
          <cell r="Q570">
            <v>0</v>
          </cell>
        </row>
        <row r="571">
          <cell r="Q571">
            <v>0</v>
          </cell>
        </row>
        <row r="572">
          <cell r="Q572">
            <v>0</v>
          </cell>
        </row>
        <row r="573">
          <cell r="Q573">
            <v>0</v>
          </cell>
        </row>
        <row r="574">
          <cell r="Q574">
            <v>0</v>
          </cell>
        </row>
        <row r="575">
          <cell r="Q575">
            <v>0</v>
          </cell>
        </row>
        <row r="576">
          <cell r="Q576">
            <v>0</v>
          </cell>
        </row>
        <row r="577">
          <cell r="Q577">
            <v>0</v>
          </cell>
        </row>
        <row r="578">
          <cell r="Q578">
            <v>0</v>
          </cell>
        </row>
        <row r="579">
          <cell r="Q579">
            <v>0</v>
          </cell>
        </row>
        <row r="580">
          <cell r="Q580">
            <v>0</v>
          </cell>
        </row>
        <row r="581">
          <cell r="Q581">
            <v>0</v>
          </cell>
        </row>
        <row r="582">
          <cell r="Q582">
            <v>0</v>
          </cell>
        </row>
        <row r="583">
          <cell r="Q583">
            <v>0</v>
          </cell>
        </row>
        <row r="584">
          <cell r="Q584">
            <v>0</v>
          </cell>
        </row>
        <row r="585">
          <cell r="Q585">
            <v>0</v>
          </cell>
        </row>
        <row r="586">
          <cell r="Q586">
            <v>0</v>
          </cell>
        </row>
        <row r="587">
          <cell r="Q587">
            <v>0</v>
          </cell>
        </row>
        <row r="588">
          <cell r="Q588">
            <v>0</v>
          </cell>
        </row>
        <row r="589">
          <cell r="Q589">
            <v>0</v>
          </cell>
        </row>
        <row r="590">
          <cell r="Q590">
            <v>0</v>
          </cell>
        </row>
        <row r="591">
          <cell r="Q591">
            <v>0</v>
          </cell>
        </row>
        <row r="592">
          <cell r="Q592">
            <v>0</v>
          </cell>
        </row>
        <row r="593">
          <cell r="Q593">
            <v>0</v>
          </cell>
        </row>
        <row r="594">
          <cell r="Q594">
            <v>0</v>
          </cell>
        </row>
        <row r="595">
          <cell r="Q595">
            <v>0</v>
          </cell>
        </row>
        <row r="596">
          <cell r="Q596">
            <v>0</v>
          </cell>
        </row>
        <row r="597">
          <cell r="Q597">
            <v>0</v>
          </cell>
        </row>
        <row r="598">
          <cell r="Q598">
            <v>0</v>
          </cell>
        </row>
        <row r="599">
          <cell r="Q599">
            <v>0</v>
          </cell>
        </row>
        <row r="600">
          <cell r="Q600">
            <v>0</v>
          </cell>
        </row>
        <row r="601">
          <cell r="Q601">
            <v>0</v>
          </cell>
        </row>
        <row r="602">
          <cell r="Q602">
            <v>0</v>
          </cell>
        </row>
        <row r="603">
          <cell r="Q603">
            <v>0</v>
          </cell>
        </row>
        <row r="604">
          <cell r="Q604">
            <v>0</v>
          </cell>
        </row>
        <row r="605">
          <cell r="Q605">
            <v>0</v>
          </cell>
        </row>
        <row r="606">
          <cell r="Q606">
            <v>0</v>
          </cell>
        </row>
        <row r="607">
          <cell r="Q607">
            <v>0</v>
          </cell>
        </row>
        <row r="608">
          <cell r="Q608">
            <v>0</v>
          </cell>
        </row>
        <row r="609">
          <cell r="Q609">
            <v>0</v>
          </cell>
        </row>
        <row r="610">
          <cell r="Q610">
            <v>0</v>
          </cell>
        </row>
        <row r="611">
          <cell r="Q611">
            <v>0</v>
          </cell>
        </row>
        <row r="612">
          <cell r="Q612">
            <v>0</v>
          </cell>
        </row>
        <row r="613">
          <cell r="Q613">
            <v>0</v>
          </cell>
        </row>
        <row r="614">
          <cell r="Q614">
            <v>0</v>
          </cell>
        </row>
        <row r="615">
          <cell r="Q615">
            <v>0</v>
          </cell>
        </row>
        <row r="616">
          <cell r="Q616">
            <v>0</v>
          </cell>
        </row>
        <row r="617">
          <cell r="Q617">
            <v>0</v>
          </cell>
        </row>
        <row r="618">
          <cell r="Q618">
            <v>0</v>
          </cell>
        </row>
        <row r="619">
          <cell r="Q619">
            <v>0</v>
          </cell>
        </row>
        <row r="620">
          <cell r="Q620">
            <v>0</v>
          </cell>
        </row>
        <row r="621">
          <cell r="Q621">
            <v>0</v>
          </cell>
        </row>
        <row r="622">
          <cell r="Q622">
            <v>0</v>
          </cell>
        </row>
        <row r="623">
          <cell r="Q623">
            <v>0</v>
          </cell>
        </row>
        <row r="624">
          <cell r="Q624">
            <v>0</v>
          </cell>
        </row>
        <row r="625">
          <cell r="Q625">
            <v>0</v>
          </cell>
        </row>
        <row r="626">
          <cell r="Q626">
            <v>0</v>
          </cell>
        </row>
        <row r="627">
          <cell r="Q627">
            <v>0</v>
          </cell>
        </row>
        <row r="628">
          <cell r="Q628">
            <v>0</v>
          </cell>
        </row>
        <row r="629">
          <cell r="Q629">
            <v>0</v>
          </cell>
        </row>
        <row r="630">
          <cell r="Q630">
            <v>0</v>
          </cell>
        </row>
        <row r="631">
          <cell r="Q631">
            <v>0</v>
          </cell>
        </row>
        <row r="632">
          <cell r="Q632">
            <v>0</v>
          </cell>
        </row>
        <row r="633">
          <cell r="Q633">
            <v>0</v>
          </cell>
        </row>
        <row r="634">
          <cell r="Q634">
            <v>0</v>
          </cell>
        </row>
        <row r="635">
          <cell r="Q635">
            <v>0</v>
          </cell>
        </row>
        <row r="636">
          <cell r="Q636">
            <v>0</v>
          </cell>
        </row>
        <row r="637">
          <cell r="Q637">
            <v>0</v>
          </cell>
        </row>
        <row r="638">
          <cell r="Q638">
            <v>0</v>
          </cell>
        </row>
        <row r="639">
          <cell r="Q639">
            <v>0</v>
          </cell>
        </row>
        <row r="640">
          <cell r="Q640">
            <v>0</v>
          </cell>
        </row>
        <row r="641">
          <cell r="Q641">
            <v>0</v>
          </cell>
        </row>
        <row r="642">
          <cell r="Q642">
            <v>0</v>
          </cell>
        </row>
        <row r="643">
          <cell r="Q643">
            <v>0</v>
          </cell>
        </row>
        <row r="644">
          <cell r="Q644">
            <v>0</v>
          </cell>
        </row>
        <row r="645">
          <cell r="Q645">
            <v>0</v>
          </cell>
        </row>
        <row r="646">
          <cell r="Q646">
            <v>0</v>
          </cell>
        </row>
        <row r="647">
          <cell r="Q647">
            <v>0</v>
          </cell>
        </row>
        <row r="648">
          <cell r="Q648">
            <v>0</v>
          </cell>
        </row>
        <row r="649">
          <cell r="Q649">
            <v>0</v>
          </cell>
        </row>
        <row r="650">
          <cell r="Q650">
            <v>0</v>
          </cell>
        </row>
        <row r="651">
          <cell r="Q651">
            <v>0</v>
          </cell>
        </row>
        <row r="652">
          <cell r="Q652">
            <v>0</v>
          </cell>
        </row>
        <row r="653">
          <cell r="Q653">
            <v>0</v>
          </cell>
        </row>
        <row r="654">
          <cell r="Q654">
            <v>0</v>
          </cell>
        </row>
        <row r="655">
          <cell r="Q655">
            <v>0</v>
          </cell>
        </row>
        <row r="656">
          <cell r="Q656">
            <v>0</v>
          </cell>
        </row>
        <row r="657">
          <cell r="Q657">
            <v>0</v>
          </cell>
        </row>
        <row r="658">
          <cell r="Q658">
            <v>0</v>
          </cell>
        </row>
        <row r="659">
          <cell r="Q659">
            <v>0</v>
          </cell>
        </row>
        <row r="660">
          <cell r="Q660">
            <v>0</v>
          </cell>
        </row>
        <row r="661">
          <cell r="Q661">
            <v>0</v>
          </cell>
        </row>
        <row r="662">
          <cell r="Q662">
            <v>0</v>
          </cell>
        </row>
        <row r="663">
          <cell r="Q663">
            <v>0</v>
          </cell>
        </row>
        <row r="664">
          <cell r="Q664">
            <v>0</v>
          </cell>
        </row>
        <row r="665">
          <cell r="Q665">
            <v>0</v>
          </cell>
        </row>
        <row r="666">
          <cell r="Q666">
            <v>0</v>
          </cell>
        </row>
        <row r="667">
          <cell r="Q667">
            <v>0</v>
          </cell>
        </row>
        <row r="668">
          <cell r="Q668">
            <v>0</v>
          </cell>
        </row>
        <row r="669">
          <cell r="Q669">
            <v>0</v>
          </cell>
        </row>
        <row r="670">
          <cell r="Q670">
            <v>0</v>
          </cell>
        </row>
        <row r="671">
          <cell r="Q671">
            <v>0</v>
          </cell>
        </row>
        <row r="672">
          <cell r="Q672">
            <v>0</v>
          </cell>
        </row>
        <row r="673">
          <cell r="Q673">
            <v>0</v>
          </cell>
        </row>
        <row r="674">
          <cell r="Q674">
            <v>0</v>
          </cell>
        </row>
        <row r="675">
          <cell r="Q675">
            <v>0</v>
          </cell>
        </row>
        <row r="676">
          <cell r="Q676">
            <v>0</v>
          </cell>
        </row>
        <row r="677">
          <cell r="Q677">
            <v>0</v>
          </cell>
        </row>
        <row r="678">
          <cell r="Q678">
            <v>0</v>
          </cell>
        </row>
        <row r="679">
          <cell r="Q679">
            <v>0</v>
          </cell>
        </row>
        <row r="680">
          <cell r="Q680">
            <v>0</v>
          </cell>
        </row>
        <row r="681">
          <cell r="Q681">
            <v>0</v>
          </cell>
        </row>
        <row r="682">
          <cell r="Q682">
            <v>0</v>
          </cell>
        </row>
        <row r="683">
          <cell r="Q683">
            <v>0</v>
          </cell>
        </row>
        <row r="684">
          <cell r="Q684">
            <v>0</v>
          </cell>
        </row>
        <row r="685">
          <cell r="Q685">
            <v>0</v>
          </cell>
        </row>
        <row r="686">
          <cell r="Q686">
            <v>0</v>
          </cell>
        </row>
        <row r="687">
          <cell r="Q687">
            <v>0</v>
          </cell>
        </row>
        <row r="688">
          <cell r="Q688">
            <v>0</v>
          </cell>
        </row>
        <row r="689">
          <cell r="Q689">
            <v>0</v>
          </cell>
        </row>
        <row r="690">
          <cell r="Q690">
            <v>0</v>
          </cell>
        </row>
        <row r="691">
          <cell r="Q691">
            <v>0</v>
          </cell>
        </row>
        <row r="692">
          <cell r="Q692">
            <v>0</v>
          </cell>
        </row>
        <row r="693">
          <cell r="Q693">
            <v>0</v>
          </cell>
        </row>
        <row r="694">
          <cell r="Q694">
            <v>0</v>
          </cell>
        </row>
        <row r="695">
          <cell r="Q695">
            <v>0</v>
          </cell>
        </row>
        <row r="696">
          <cell r="Q696">
            <v>0</v>
          </cell>
        </row>
        <row r="697">
          <cell r="Q697">
            <v>0</v>
          </cell>
        </row>
        <row r="698">
          <cell r="Q698">
            <v>0</v>
          </cell>
        </row>
        <row r="699">
          <cell r="Q699">
            <v>0</v>
          </cell>
        </row>
        <row r="700">
          <cell r="Q700">
            <v>0</v>
          </cell>
        </row>
        <row r="701">
          <cell r="Q701">
            <v>0</v>
          </cell>
        </row>
        <row r="702">
          <cell r="Q702">
            <v>0</v>
          </cell>
        </row>
        <row r="703">
          <cell r="Q703">
            <v>0</v>
          </cell>
        </row>
        <row r="704">
          <cell r="Q704">
            <v>0</v>
          </cell>
        </row>
        <row r="705">
          <cell r="Q705">
            <v>0</v>
          </cell>
        </row>
        <row r="706">
          <cell r="Q706">
            <v>0</v>
          </cell>
        </row>
        <row r="707">
          <cell r="Q707">
            <v>0</v>
          </cell>
        </row>
        <row r="708">
          <cell r="Q708">
            <v>0</v>
          </cell>
        </row>
        <row r="709">
          <cell r="Q709">
            <v>0</v>
          </cell>
        </row>
        <row r="710">
          <cell r="Q710">
            <v>0</v>
          </cell>
        </row>
        <row r="711">
          <cell r="Q711">
            <v>0</v>
          </cell>
        </row>
        <row r="712">
          <cell r="Q712">
            <v>0</v>
          </cell>
        </row>
        <row r="713">
          <cell r="Q713">
            <v>0</v>
          </cell>
        </row>
        <row r="714">
          <cell r="Q714">
            <v>0</v>
          </cell>
        </row>
        <row r="715">
          <cell r="Q715">
            <v>0</v>
          </cell>
        </row>
        <row r="716">
          <cell r="Q716">
            <v>0</v>
          </cell>
        </row>
        <row r="717">
          <cell r="Q717">
            <v>0</v>
          </cell>
        </row>
        <row r="718">
          <cell r="Q718">
            <v>0</v>
          </cell>
        </row>
        <row r="719">
          <cell r="Q719">
            <v>0</v>
          </cell>
        </row>
        <row r="720">
          <cell r="Q720">
            <v>0</v>
          </cell>
        </row>
        <row r="721">
          <cell r="Q721">
            <v>0</v>
          </cell>
        </row>
        <row r="722">
          <cell r="Q722">
            <v>0</v>
          </cell>
        </row>
        <row r="723">
          <cell r="Q723">
            <v>0</v>
          </cell>
        </row>
        <row r="724">
          <cell r="Q724">
            <v>0</v>
          </cell>
        </row>
        <row r="725">
          <cell r="Q725">
            <v>0</v>
          </cell>
        </row>
        <row r="726">
          <cell r="Q726">
            <v>0</v>
          </cell>
        </row>
        <row r="727">
          <cell r="Q727">
            <v>0</v>
          </cell>
        </row>
        <row r="728">
          <cell r="Q728">
            <v>0</v>
          </cell>
        </row>
        <row r="729">
          <cell r="Q729">
            <v>0</v>
          </cell>
        </row>
        <row r="730">
          <cell r="Q730">
            <v>0</v>
          </cell>
        </row>
        <row r="731">
          <cell r="Q731">
            <v>0</v>
          </cell>
        </row>
        <row r="732">
          <cell r="Q732">
            <v>0</v>
          </cell>
        </row>
        <row r="733">
          <cell r="Q733">
            <v>0</v>
          </cell>
        </row>
        <row r="734">
          <cell r="Q734">
            <v>0</v>
          </cell>
        </row>
        <row r="735">
          <cell r="Q735">
            <v>0</v>
          </cell>
        </row>
        <row r="736">
          <cell r="Q736">
            <v>0</v>
          </cell>
        </row>
        <row r="737">
          <cell r="Q737">
            <v>0</v>
          </cell>
        </row>
        <row r="738">
          <cell r="Q738">
            <v>0</v>
          </cell>
        </row>
        <row r="739">
          <cell r="Q739">
            <v>0</v>
          </cell>
        </row>
        <row r="740">
          <cell r="Q740">
            <v>0</v>
          </cell>
        </row>
        <row r="741">
          <cell r="Q741">
            <v>0</v>
          </cell>
        </row>
        <row r="742">
          <cell r="Q742">
            <v>0</v>
          </cell>
        </row>
        <row r="743">
          <cell r="Q743">
            <v>0</v>
          </cell>
        </row>
        <row r="744">
          <cell r="Q744">
            <v>0</v>
          </cell>
        </row>
        <row r="745">
          <cell r="Q745">
            <v>0</v>
          </cell>
        </row>
        <row r="746">
          <cell r="Q746">
            <v>0</v>
          </cell>
        </row>
        <row r="747">
          <cell r="Q747">
            <v>0</v>
          </cell>
        </row>
        <row r="748">
          <cell r="Q748">
            <v>0</v>
          </cell>
        </row>
        <row r="749">
          <cell r="Q749">
            <v>0</v>
          </cell>
        </row>
        <row r="750">
          <cell r="Q750">
            <v>0</v>
          </cell>
        </row>
        <row r="751">
          <cell r="Q751">
            <v>0</v>
          </cell>
        </row>
        <row r="752">
          <cell r="Q752">
            <v>0</v>
          </cell>
        </row>
        <row r="753">
          <cell r="Q753">
            <v>0</v>
          </cell>
        </row>
        <row r="754">
          <cell r="Q754">
            <v>0</v>
          </cell>
        </row>
        <row r="755">
          <cell r="Q755">
            <v>0</v>
          </cell>
        </row>
        <row r="756">
          <cell r="Q756">
            <v>0</v>
          </cell>
        </row>
        <row r="757">
          <cell r="Q757">
            <v>0</v>
          </cell>
        </row>
        <row r="758">
          <cell r="Q758">
            <v>0</v>
          </cell>
        </row>
        <row r="759">
          <cell r="Q759">
            <v>0</v>
          </cell>
        </row>
        <row r="760">
          <cell r="Q760">
            <v>0</v>
          </cell>
        </row>
        <row r="761">
          <cell r="Q761">
            <v>0</v>
          </cell>
        </row>
        <row r="762">
          <cell r="Q762">
            <v>0</v>
          </cell>
        </row>
        <row r="763">
          <cell r="Q763">
            <v>0</v>
          </cell>
        </row>
        <row r="764">
          <cell r="Q764">
            <v>0</v>
          </cell>
        </row>
        <row r="765">
          <cell r="Q765">
            <v>0</v>
          </cell>
        </row>
        <row r="766">
          <cell r="Q766">
            <v>0</v>
          </cell>
        </row>
        <row r="767">
          <cell r="Q767">
            <v>0</v>
          </cell>
        </row>
        <row r="768">
          <cell r="Q768">
            <v>0</v>
          </cell>
        </row>
        <row r="769">
          <cell r="Q769">
            <v>0</v>
          </cell>
        </row>
        <row r="770">
          <cell r="Q770">
            <v>0</v>
          </cell>
        </row>
        <row r="771">
          <cell r="Q771">
            <v>0</v>
          </cell>
        </row>
        <row r="772">
          <cell r="Q772">
            <v>0</v>
          </cell>
        </row>
        <row r="773">
          <cell r="Q773">
            <v>0</v>
          </cell>
        </row>
        <row r="774">
          <cell r="Q774">
            <v>0</v>
          </cell>
        </row>
        <row r="775">
          <cell r="Q775">
            <v>0</v>
          </cell>
        </row>
        <row r="776">
          <cell r="Q776">
            <v>0</v>
          </cell>
        </row>
        <row r="777">
          <cell r="Q777">
            <v>0</v>
          </cell>
        </row>
        <row r="778">
          <cell r="Q778">
            <v>0</v>
          </cell>
        </row>
        <row r="779">
          <cell r="Q779">
            <v>0</v>
          </cell>
        </row>
        <row r="780">
          <cell r="Q780">
            <v>0</v>
          </cell>
        </row>
        <row r="781">
          <cell r="Q781">
            <v>0</v>
          </cell>
        </row>
        <row r="782">
          <cell r="Q782">
            <v>0</v>
          </cell>
        </row>
        <row r="783">
          <cell r="Q783">
            <v>0</v>
          </cell>
        </row>
        <row r="784">
          <cell r="Q784">
            <v>0</v>
          </cell>
        </row>
        <row r="785">
          <cell r="Q785">
            <v>0</v>
          </cell>
        </row>
        <row r="786">
          <cell r="Q786">
            <v>0</v>
          </cell>
        </row>
        <row r="787">
          <cell r="Q787">
            <v>0</v>
          </cell>
        </row>
        <row r="788">
          <cell r="Q788">
            <v>0</v>
          </cell>
        </row>
        <row r="789">
          <cell r="Q789">
            <v>0</v>
          </cell>
        </row>
        <row r="790">
          <cell r="Q790">
            <v>0</v>
          </cell>
        </row>
        <row r="791">
          <cell r="Q791">
            <v>0</v>
          </cell>
        </row>
        <row r="792">
          <cell r="Q792">
            <v>0</v>
          </cell>
        </row>
        <row r="793">
          <cell r="Q793">
            <v>0</v>
          </cell>
        </row>
        <row r="794">
          <cell r="Q794">
            <v>0</v>
          </cell>
        </row>
        <row r="795">
          <cell r="Q795">
            <v>0</v>
          </cell>
        </row>
        <row r="796">
          <cell r="Q796">
            <v>0</v>
          </cell>
        </row>
        <row r="797">
          <cell r="Q797">
            <v>0</v>
          </cell>
        </row>
        <row r="798">
          <cell r="Q798">
            <v>0</v>
          </cell>
        </row>
        <row r="799">
          <cell r="Q799">
            <v>0</v>
          </cell>
        </row>
        <row r="800">
          <cell r="Q800">
            <v>0</v>
          </cell>
        </row>
        <row r="801">
          <cell r="Q801">
            <v>0</v>
          </cell>
        </row>
        <row r="802">
          <cell r="Q802">
            <v>0</v>
          </cell>
        </row>
        <row r="803">
          <cell r="Q803">
            <v>0</v>
          </cell>
        </row>
        <row r="804">
          <cell r="Q804">
            <v>0</v>
          </cell>
        </row>
        <row r="805">
          <cell r="Q805">
            <v>0</v>
          </cell>
        </row>
        <row r="806">
          <cell r="Q806">
            <v>0</v>
          </cell>
        </row>
        <row r="807">
          <cell r="Q807">
            <v>0</v>
          </cell>
        </row>
        <row r="808">
          <cell r="Q808">
            <v>0</v>
          </cell>
        </row>
        <row r="809">
          <cell r="Q809">
            <v>0</v>
          </cell>
        </row>
        <row r="810">
          <cell r="Q810">
            <v>0</v>
          </cell>
        </row>
        <row r="811">
          <cell r="Q811">
            <v>0</v>
          </cell>
        </row>
        <row r="812">
          <cell r="Q812">
            <v>0</v>
          </cell>
        </row>
        <row r="813">
          <cell r="Q813">
            <v>0</v>
          </cell>
        </row>
        <row r="814">
          <cell r="Q814">
            <v>0</v>
          </cell>
        </row>
        <row r="815">
          <cell r="Q815">
            <v>0</v>
          </cell>
        </row>
      </sheetData>
      <sheetData sheetId="11">
        <row r="2">
          <cell r="N2">
            <v>0</v>
          </cell>
        </row>
        <row r="3">
          <cell r="N3">
            <v>0</v>
          </cell>
        </row>
        <row r="4">
          <cell r="N4">
            <v>0</v>
          </cell>
        </row>
        <row r="5">
          <cell r="N5">
            <v>0</v>
          </cell>
        </row>
        <row r="6">
          <cell r="N6">
            <v>0</v>
          </cell>
        </row>
        <row r="7">
          <cell r="N7">
            <v>0</v>
          </cell>
        </row>
        <row r="8">
          <cell r="N8">
            <v>0</v>
          </cell>
        </row>
        <row r="9">
          <cell r="N9">
            <v>0</v>
          </cell>
        </row>
        <row r="10">
          <cell r="N10">
            <v>0</v>
          </cell>
        </row>
        <row r="11">
          <cell r="N11">
            <v>0</v>
          </cell>
        </row>
        <row r="12">
          <cell r="N12">
            <v>0</v>
          </cell>
        </row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0</v>
          </cell>
        </row>
        <row r="115">
          <cell r="N115">
            <v>0</v>
          </cell>
        </row>
        <row r="116">
          <cell r="N116">
            <v>0</v>
          </cell>
        </row>
        <row r="117">
          <cell r="N117">
            <v>0</v>
          </cell>
        </row>
        <row r="118">
          <cell r="N118">
            <v>0</v>
          </cell>
        </row>
        <row r="119">
          <cell r="N119">
            <v>0</v>
          </cell>
        </row>
        <row r="120">
          <cell r="N120">
            <v>0</v>
          </cell>
        </row>
        <row r="121">
          <cell r="N121">
            <v>0</v>
          </cell>
        </row>
        <row r="122">
          <cell r="N122">
            <v>0</v>
          </cell>
        </row>
        <row r="123">
          <cell r="N123">
            <v>0</v>
          </cell>
        </row>
        <row r="124">
          <cell r="N124">
            <v>0</v>
          </cell>
        </row>
        <row r="125">
          <cell r="N125">
            <v>0</v>
          </cell>
        </row>
        <row r="126">
          <cell r="N126">
            <v>0</v>
          </cell>
        </row>
        <row r="127">
          <cell r="N127">
            <v>0</v>
          </cell>
        </row>
        <row r="128">
          <cell r="N128">
            <v>0</v>
          </cell>
        </row>
        <row r="129">
          <cell r="N129">
            <v>0</v>
          </cell>
        </row>
        <row r="130">
          <cell r="N130">
            <v>0</v>
          </cell>
        </row>
        <row r="131">
          <cell r="N131">
            <v>0</v>
          </cell>
        </row>
        <row r="132">
          <cell r="N132">
            <v>0</v>
          </cell>
        </row>
        <row r="133">
          <cell r="N133">
            <v>0</v>
          </cell>
        </row>
        <row r="134">
          <cell r="N134">
            <v>0</v>
          </cell>
        </row>
        <row r="135">
          <cell r="N135">
            <v>0</v>
          </cell>
        </row>
        <row r="136">
          <cell r="N136">
            <v>0</v>
          </cell>
        </row>
        <row r="137">
          <cell r="N137">
            <v>0</v>
          </cell>
        </row>
        <row r="138">
          <cell r="N138">
            <v>0</v>
          </cell>
        </row>
        <row r="139">
          <cell r="N139">
            <v>0</v>
          </cell>
        </row>
        <row r="140">
          <cell r="N140">
            <v>0</v>
          </cell>
        </row>
        <row r="141">
          <cell r="N141">
            <v>0</v>
          </cell>
        </row>
        <row r="142">
          <cell r="N142">
            <v>0</v>
          </cell>
        </row>
        <row r="143">
          <cell r="N143">
            <v>0</v>
          </cell>
        </row>
        <row r="144">
          <cell r="N144">
            <v>0</v>
          </cell>
        </row>
        <row r="145">
          <cell r="N145">
            <v>0</v>
          </cell>
        </row>
        <row r="146">
          <cell r="N146">
            <v>0</v>
          </cell>
        </row>
        <row r="147">
          <cell r="N147">
            <v>0</v>
          </cell>
        </row>
        <row r="148">
          <cell r="N148">
            <v>0</v>
          </cell>
        </row>
        <row r="149">
          <cell r="N149">
            <v>0</v>
          </cell>
        </row>
        <row r="150">
          <cell r="N150">
            <v>0</v>
          </cell>
        </row>
        <row r="151">
          <cell r="N151">
            <v>0</v>
          </cell>
        </row>
        <row r="152">
          <cell r="N152">
            <v>0</v>
          </cell>
        </row>
        <row r="153">
          <cell r="N153">
            <v>0</v>
          </cell>
        </row>
        <row r="154">
          <cell r="N154">
            <v>0</v>
          </cell>
        </row>
        <row r="155">
          <cell r="N155">
            <v>0</v>
          </cell>
        </row>
        <row r="156">
          <cell r="N156">
            <v>0</v>
          </cell>
        </row>
        <row r="157">
          <cell r="N157">
            <v>0</v>
          </cell>
        </row>
        <row r="158">
          <cell r="N158">
            <v>0</v>
          </cell>
        </row>
        <row r="159">
          <cell r="N159">
            <v>0</v>
          </cell>
        </row>
        <row r="160">
          <cell r="N160">
            <v>0</v>
          </cell>
        </row>
        <row r="161">
          <cell r="N161">
            <v>0</v>
          </cell>
        </row>
        <row r="162">
          <cell r="N162">
            <v>0</v>
          </cell>
        </row>
        <row r="163">
          <cell r="N163">
            <v>0</v>
          </cell>
        </row>
        <row r="164">
          <cell r="N164">
            <v>0</v>
          </cell>
        </row>
        <row r="165">
          <cell r="N165">
            <v>0</v>
          </cell>
        </row>
        <row r="166">
          <cell r="N166">
            <v>0</v>
          </cell>
        </row>
        <row r="167">
          <cell r="N167">
            <v>0</v>
          </cell>
        </row>
        <row r="168">
          <cell r="N168">
            <v>0</v>
          </cell>
        </row>
        <row r="169">
          <cell r="N169">
            <v>0</v>
          </cell>
        </row>
        <row r="170">
          <cell r="N170">
            <v>0</v>
          </cell>
        </row>
        <row r="171">
          <cell r="N171">
            <v>0</v>
          </cell>
        </row>
        <row r="172">
          <cell r="N172">
            <v>0</v>
          </cell>
        </row>
        <row r="173">
          <cell r="N173">
            <v>0</v>
          </cell>
        </row>
        <row r="174">
          <cell r="N174">
            <v>0</v>
          </cell>
        </row>
        <row r="175">
          <cell r="N175">
            <v>0</v>
          </cell>
        </row>
        <row r="176">
          <cell r="N176">
            <v>0</v>
          </cell>
        </row>
        <row r="177">
          <cell r="N177">
            <v>0</v>
          </cell>
        </row>
        <row r="178">
          <cell r="N178">
            <v>0</v>
          </cell>
        </row>
        <row r="179">
          <cell r="N179">
            <v>0</v>
          </cell>
        </row>
        <row r="180">
          <cell r="N180">
            <v>0</v>
          </cell>
        </row>
        <row r="181">
          <cell r="N181">
            <v>0</v>
          </cell>
        </row>
        <row r="182">
          <cell r="N182">
            <v>0</v>
          </cell>
        </row>
        <row r="183">
          <cell r="N183">
            <v>0</v>
          </cell>
        </row>
        <row r="184">
          <cell r="N184">
            <v>0</v>
          </cell>
        </row>
        <row r="185">
          <cell r="N185">
            <v>0</v>
          </cell>
        </row>
        <row r="186">
          <cell r="N186">
            <v>0</v>
          </cell>
        </row>
        <row r="187">
          <cell r="N187">
            <v>0</v>
          </cell>
        </row>
        <row r="188">
          <cell r="N188">
            <v>0</v>
          </cell>
        </row>
        <row r="189">
          <cell r="N189">
            <v>0</v>
          </cell>
        </row>
        <row r="190">
          <cell r="N190">
            <v>0</v>
          </cell>
        </row>
        <row r="191">
          <cell r="N191">
            <v>0</v>
          </cell>
        </row>
        <row r="192">
          <cell r="N192">
            <v>0</v>
          </cell>
        </row>
        <row r="193">
          <cell r="N193">
            <v>0</v>
          </cell>
        </row>
        <row r="194">
          <cell r="N194">
            <v>0</v>
          </cell>
        </row>
        <row r="195">
          <cell r="N195">
            <v>0</v>
          </cell>
        </row>
        <row r="196">
          <cell r="N196">
            <v>0</v>
          </cell>
        </row>
        <row r="197">
          <cell r="N197">
            <v>0</v>
          </cell>
        </row>
        <row r="198">
          <cell r="N198">
            <v>0</v>
          </cell>
        </row>
        <row r="199">
          <cell r="N199">
            <v>0</v>
          </cell>
        </row>
        <row r="200">
          <cell r="N200">
            <v>0</v>
          </cell>
        </row>
        <row r="201">
          <cell r="N201">
            <v>0</v>
          </cell>
        </row>
        <row r="202">
          <cell r="N202">
            <v>0</v>
          </cell>
        </row>
        <row r="203">
          <cell r="N203">
            <v>0</v>
          </cell>
        </row>
        <row r="204">
          <cell r="N204">
            <v>0</v>
          </cell>
        </row>
        <row r="205">
          <cell r="N205">
            <v>0</v>
          </cell>
        </row>
        <row r="206">
          <cell r="N206">
            <v>0</v>
          </cell>
        </row>
        <row r="207">
          <cell r="N207">
            <v>0</v>
          </cell>
        </row>
        <row r="208">
          <cell r="N208">
            <v>0</v>
          </cell>
        </row>
        <row r="209">
          <cell r="N209">
            <v>0</v>
          </cell>
        </row>
        <row r="210">
          <cell r="N210">
            <v>0</v>
          </cell>
        </row>
        <row r="211">
          <cell r="N211">
            <v>0</v>
          </cell>
        </row>
        <row r="212">
          <cell r="N212">
            <v>0</v>
          </cell>
        </row>
        <row r="213">
          <cell r="N213">
            <v>0</v>
          </cell>
        </row>
        <row r="214">
          <cell r="N214">
            <v>0</v>
          </cell>
        </row>
        <row r="215">
          <cell r="N215">
            <v>0</v>
          </cell>
        </row>
        <row r="216">
          <cell r="N216">
            <v>0</v>
          </cell>
        </row>
        <row r="217">
          <cell r="N217">
            <v>0</v>
          </cell>
        </row>
        <row r="218">
          <cell r="N218">
            <v>0</v>
          </cell>
        </row>
        <row r="219">
          <cell r="N219">
            <v>0</v>
          </cell>
        </row>
        <row r="220">
          <cell r="N220">
            <v>0</v>
          </cell>
        </row>
        <row r="221">
          <cell r="N221">
            <v>0</v>
          </cell>
        </row>
        <row r="222">
          <cell r="N222">
            <v>0</v>
          </cell>
        </row>
        <row r="223">
          <cell r="N223">
            <v>0</v>
          </cell>
        </row>
        <row r="224">
          <cell r="N224">
            <v>0</v>
          </cell>
        </row>
        <row r="225">
          <cell r="N225">
            <v>0</v>
          </cell>
        </row>
        <row r="226">
          <cell r="N226">
            <v>0</v>
          </cell>
        </row>
        <row r="227">
          <cell r="N227">
            <v>0</v>
          </cell>
        </row>
        <row r="228">
          <cell r="N228">
            <v>0</v>
          </cell>
        </row>
        <row r="229">
          <cell r="N229">
            <v>0</v>
          </cell>
        </row>
        <row r="230">
          <cell r="N230">
            <v>0</v>
          </cell>
        </row>
        <row r="231">
          <cell r="N231">
            <v>0</v>
          </cell>
        </row>
        <row r="232">
          <cell r="N232">
            <v>0</v>
          </cell>
        </row>
        <row r="233">
          <cell r="N233">
            <v>0</v>
          </cell>
        </row>
        <row r="234">
          <cell r="N234">
            <v>0</v>
          </cell>
        </row>
        <row r="235">
          <cell r="N235">
            <v>0</v>
          </cell>
        </row>
        <row r="236">
          <cell r="N236">
            <v>0</v>
          </cell>
        </row>
        <row r="237">
          <cell r="N237">
            <v>0</v>
          </cell>
        </row>
        <row r="238">
          <cell r="N238">
            <v>0</v>
          </cell>
        </row>
        <row r="239">
          <cell r="N239">
            <v>0</v>
          </cell>
        </row>
        <row r="240">
          <cell r="N240">
            <v>0</v>
          </cell>
        </row>
        <row r="241">
          <cell r="N241">
            <v>0</v>
          </cell>
        </row>
        <row r="242">
          <cell r="N242">
            <v>0</v>
          </cell>
        </row>
        <row r="243">
          <cell r="N243">
            <v>0</v>
          </cell>
        </row>
        <row r="244">
          <cell r="N244">
            <v>0</v>
          </cell>
        </row>
        <row r="245">
          <cell r="N245">
            <v>0</v>
          </cell>
        </row>
        <row r="246">
          <cell r="N246">
            <v>0</v>
          </cell>
        </row>
        <row r="247">
          <cell r="N247">
            <v>0</v>
          </cell>
        </row>
        <row r="248">
          <cell r="N248">
            <v>0</v>
          </cell>
        </row>
        <row r="249">
          <cell r="N249">
            <v>0</v>
          </cell>
        </row>
        <row r="250">
          <cell r="N250">
            <v>0</v>
          </cell>
        </row>
        <row r="251">
          <cell r="N251">
            <v>0</v>
          </cell>
        </row>
        <row r="252">
          <cell r="N252">
            <v>0</v>
          </cell>
        </row>
        <row r="253">
          <cell r="N253">
            <v>0</v>
          </cell>
        </row>
        <row r="254">
          <cell r="N254">
            <v>0</v>
          </cell>
        </row>
        <row r="255">
          <cell r="N255">
            <v>0</v>
          </cell>
        </row>
        <row r="256">
          <cell r="N256">
            <v>0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0</v>
          </cell>
        </row>
        <row r="272">
          <cell r="N272">
            <v>0</v>
          </cell>
        </row>
        <row r="273">
          <cell r="N273">
            <v>0</v>
          </cell>
        </row>
        <row r="274">
          <cell r="N274">
            <v>0</v>
          </cell>
        </row>
        <row r="275">
          <cell r="N275">
            <v>0</v>
          </cell>
        </row>
        <row r="276">
          <cell r="N276">
            <v>0</v>
          </cell>
        </row>
        <row r="277">
          <cell r="N277">
            <v>0</v>
          </cell>
        </row>
        <row r="278">
          <cell r="N278">
            <v>0</v>
          </cell>
        </row>
        <row r="279">
          <cell r="N279">
            <v>0</v>
          </cell>
        </row>
        <row r="280">
          <cell r="N280">
            <v>0</v>
          </cell>
        </row>
        <row r="281">
          <cell r="N281">
            <v>0</v>
          </cell>
        </row>
        <row r="282">
          <cell r="N282">
            <v>0</v>
          </cell>
        </row>
        <row r="283">
          <cell r="N283">
            <v>0</v>
          </cell>
        </row>
        <row r="284">
          <cell r="N284">
            <v>0</v>
          </cell>
        </row>
        <row r="285">
          <cell r="N285">
            <v>0</v>
          </cell>
        </row>
        <row r="286">
          <cell r="N286">
            <v>0</v>
          </cell>
        </row>
        <row r="287">
          <cell r="N287">
            <v>0</v>
          </cell>
        </row>
        <row r="288">
          <cell r="N288">
            <v>0</v>
          </cell>
        </row>
        <row r="289">
          <cell r="N289">
            <v>0</v>
          </cell>
        </row>
        <row r="290">
          <cell r="N290">
            <v>0</v>
          </cell>
        </row>
        <row r="291">
          <cell r="N291">
            <v>0</v>
          </cell>
        </row>
        <row r="292">
          <cell r="N292">
            <v>0</v>
          </cell>
        </row>
        <row r="293">
          <cell r="N293">
            <v>0</v>
          </cell>
        </row>
        <row r="294">
          <cell r="N294">
            <v>0</v>
          </cell>
        </row>
        <row r="295">
          <cell r="N295">
            <v>0</v>
          </cell>
        </row>
        <row r="296">
          <cell r="N296">
            <v>0</v>
          </cell>
        </row>
        <row r="297">
          <cell r="N297">
            <v>0</v>
          </cell>
        </row>
        <row r="298">
          <cell r="N298">
            <v>0</v>
          </cell>
        </row>
        <row r="299">
          <cell r="N299">
            <v>0</v>
          </cell>
        </row>
        <row r="300">
          <cell r="N300">
            <v>0</v>
          </cell>
        </row>
        <row r="301">
          <cell r="N301">
            <v>0</v>
          </cell>
        </row>
        <row r="302">
          <cell r="N302">
            <v>0</v>
          </cell>
        </row>
        <row r="303">
          <cell r="N303">
            <v>0</v>
          </cell>
        </row>
        <row r="304">
          <cell r="N304">
            <v>0</v>
          </cell>
        </row>
        <row r="305">
          <cell r="N305">
            <v>0</v>
          </cell>
        </row>
        <row r="306">
          <cell r="N306">
            <v>0</v>
          </cell>
        </row>
        <row r="307">
          <cell r="N307">
            <v>0</v>
          </cell>
        </row>
        <row r="308">
          <cell r="N308">
            <v>0</v>
          </cell>
        </row>
        <row r="309">
          <cell r="N309">
            <v>0</v>
          </cell>
        </row>
        <row r="310">
          <cell r="N310">
            <v>0</v>
          </cell>
        </row>
        <row r="311">
          <cell r="N311">
            <v>0</v>
          </cell>
        </row>
        <row r="312">
          <cell r="N312">
            <v>0</v>
          </cell>
        </row>
        <row r="313">
          <cell r="N313">
            <v>0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0</v>
          </cell>
        </row>
        <row r="317">
          <cell r="N317">
            <v>0</v>
          </cell>
        </row>
        <row r="318">
          <cell r="N318">
            <v>0</v>
          </cell>
        </row>
        <row r="319">
          <cell r="N319">
            <v>0</v>
          </cell>
        </row>
        <row r="320">
          <cell r="N320">
            <v>0</v>
          </cell>
        </row>
        <row r="321">
          <cell r="N321">
            <v>0</v>
          </cell>
        </row>
        <row r="322">
          <cell r="N322">
            <v>0</v>
          </cell>
        </row>
        <row r="323">
          <cell r="N323">
            <v>0</v>
          </cell>
        </row>
        <row r="324">
          <cell r="N324">
            <v>0</v>
          </cell>
        </row>
        <row r="325">
          <cell r="N325">
            <v>0</v>
          </cell>
        </row>
        <row r="326">
          <cell r="N326">
            <v>0</v>
          </cell>
        </row>
        <row r="327">
          <cell r="N327">
            <v>0</v>
          </cell>
        </row>
        <row r="328">
          <cell r="N328">
            <v>0</v>
          </cell>
        </row>
        <row r="329">
          <cell r="N329">
            <v>0</v>
          </cell>
        </row>
        <row r="330">
          <cell r="N330">
            <v>0</v>
          </cell>
        </row>
        <row r="331">
          <cell r="N331">
            <v>0</v>
          </cell>
        </row>
        <row r="332">
          <cell r="N332">
            <v>0</v>
          </cell>
        </row>
        <row r="333">
          <cell r="N333">
            <v>0</v>
          </cell>
        </row>
        <row r="334">
          <cell r="N334">
            <v>0</v>
          </cell>
        </row>
        <row r="335">
          <cell r="N335">
            <v>0</v>
          </cell>
        </row>
        <row r="336">
          <cell r="N336">
            <v>0</v>
          </cell>
        </row>
        <row r="337">
          <cell r="N337">
            <v>0</v>
          </cell>
        </row>
        <row r="338">
          <cell r="N338">
            <v>0</v>
          </cell>
        </row>
        <row r="339">
          <cell r="N339">
            <v>0</v>
          </cell>
        </row>
        <row r="340">
          <cell r="N340">
            <v>0</v>
          </cell>
        </row>
        <row r="341">
          <cell r="N341">
            <v>0</v>
          </cell>
        </row>
        <row r="342">
          <cell r="N342">
            <v>0</v>
          </cell>
        </row>
        <row r="343">
          <cell r="N343">
            <v>0</v>
          </cell>
        </row>
        <row r="344">
          <cell r="N344">
            <v>0</v>
          </cell>
        </row>
        <row r="345">
          <cell r="N345">
            <v>0</v>
          </cell>
        </row>
        <row r="346">
          <cell r="N346">
            <v>0</v>
          </cell>
        </row>
        <row r="347">
          <cell r="N347">
            <v>0</v>
          </cell>
        </row>
        <row r="348">
          <cell r="N348">
            <v>0</v>
          </cell>
        </row>
        <row r="349">
          <cell r="N349">
            <v>0</v>
          </cell>
        </row>
        <row r="350">
          <cell r="N350">
            <v>0</v>
          </cell>
        </row>
        <row r="351">
          <cell r="N351">
            <v>0</v>
          </cell>
        </row>
        <row r="352">
          <cell r="N352">
            <v>0</v>
          </cell>
        </row>
        <row r="353">
          <cell r="N353">
            <v>0</v>
          </cell>
        </row>
        <row r="354">
          <cell r="N354">
            <v>0</v>
          </cell>
        </row>
        <row r="355">
          <cell r="N355">
            <v>0</v>
          </cell>
        </row>
        <row r="356">
          <cell r="N356">
            <v>0</v>
          </cell>
        </row>
        <row r="357">
          <cell r="N357">
            <v>0</v>
          </cell>
        </row>
        <row r="358">
          <cell r="N358">
            <v>0</v>
          </cell>
        </row>
        <row r="359">
          <cell r="N359">
            <v>0</v>
          </cell>
        </row>
        <row r="360">
          <cell r="N360">
            <v>0</v>
          </cell>
        </row>
        <row r="361">
          <cell r="N361">
            <v>0</v>
          </cell>
        </row>
        <row r="362">
          <cell r="N362">
            <v>0</v>
          </cell>
        </row>
        <row r="363">
          <cell r="N363">
            <v>0</v>
          </cell>
        </row>
        <row r="364">
          <cell r="N364">
            <v>0</v>
          </cell>
        </row>
        <row r="365">
          <cell r="N365">
            <v>0</v>
          </cell>
        </row>
        <row r="366">
          <cell r="N366">
            <v>0</v>
          </cell>
        </row>
        <row r="367">
          <cell r="N367">
            <v>0</v>
          </cell>
        </row>
        <row r="368">
          <cell r="N368">
            <v>0</v>
          </cell>
        </row>
        <row r="369">
          <cell r="N369">
            <v>0</v>
          </cell>
        </row>
        <row r="370">
          <cell r="N370">
            <v>0</v>
          </cell>
        </row>
        <row r="371">
          <cell r="N371">
            <v>0</v>
          </cell>
        </row>
        <row r="372">
          <cell r="N372">
            <v>0</v>
          </cell>
        </row>
        <row r="373">
          <cell r="N373">
            <v>0</v>
          </cell>
        </row>
        <row r="374">
          <cell r="N374">
            <v>0</v>
          </cell>
        </row>
        <row r="375">
          <cell r="N375">
            <v>0</v>
          </cell>
        </row>
        <row r="376">
          <cell r="N376">
            <v>0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0</v>
          </cell>
        </row>
        <row r="408">
          <cell r="N408">
            <v>0</v>
          </cell>
        </row>
        <row r="409">
          <cell r="N409">
            <v>0</v>
          </cell>
        </row>
        <row r="410">
          <cell r="N410">
            <v>0</v>
          </cell>
        </row>
        <row r="411">
          <cell r="N411">
            <v>0</v>
          </cell>
        </row>
        <row r="412">
          <cell r="N412">
            <v>0</v>
          </cell>
        </row>
        <row r="413">
          <cell r="N413">
            <v>0</v>
          </cell>
        </row>
        <row r="414">
          <cell r="N414">
            <v>0</v>
          </cell>
        </row>
        <row r="415">
          <cell r="N415">
            <v>0</v>
          </cell>
        </row>
        <row r="416">
          <cell r="N416">
            <v>0</v>
          </cell>
        </row>
        <row r="417">
          <cell r="N417">
            <v>0</v>
          </cell>
        </row>
        <row r="418">
          <cell r="N418">
            <v>0</v>
          </cell>
        </row>
        <row r="419">
          <cell r="N419">
            <v>0</v>
          </cell>
        </row>
        <row r="420">
          <cell r="N420">
            <v>0</v>
          </cell>
        </row>
        <row r="421">
          <cell r="N421">
            <v>0</v>
          </cell>
        </row>
        <row r="422">
          <cell r="N422">
            <v>0</v>
          </cell>
        </row>
        <row r="423">
          <cell r="N423">
            <v>0</v>
          </cell>
        </row>
        <row r="424">
          <cell r="N424">
            <v>0</v>
          </cell>
        </row>
        <row r="425">
          <cell r="N425">
            <v>0</v>
          </cell>
        </row>
        <row r="426">
          <cell r="N426">
            <v>0</v>
          </cell>
        </row>
        <row r="427">
          <cell r="N427">
            <v>0</v>
          </cell>
        </row>
        <row r="428">
          <cell r="N428">
            <v>0</v>
          </cell>
        </row>
        <row r="429">
          <cell r="N429">
            <v>0</v>
          </cell>
        </row>
        <row r="430">
          <cell r="N430">
            <v>0</v>
          </cell>
        </row>
        <row r="431">
          <cell r="N431">
            <v>0</v>
          </cell>
        </row>
        <row r="432">
          <cell r="N432">
            <v>0</v>
          </cell>
        </row>
        <row r="433">
          <cell r="N433">
            <v>0</v>
          </cell>
        </row>
        <row r="434">
          <cell r="N434">
            <v>0</v>
          </cell>
        </row>
        <row r="435">
          <cell r="N435">
            <v>0</v>
          </cell>
        </row>
        <row r="436">
          <cell r="N436">
            <v>0</v>
          </cell>
        </row>
        <row r="437">
          <cell r="N437">
            <v>0</v>
          </cell>
        </row>
        <row r="438">
          <cell r="N438">
            <v>0</v>
          </cell>
        </row>
        <row r="439">
          <cell r="N439">
            <v>0</v>
          </cell>
        </row>
        <row r="440">
          <cell r="N440">
            <v>0</v>
          </cell>
        </row>
        <row r="441">
          <cell r="N441">
            <v>0</v>
          </cell>
        </row>
        <row r="442">
          <cell r="N442">
            <v>0</v>
          </cell>
        </row>
        <row r="443">
          <cell r="N443">
            <v>0</v>
          </cell>
        </row>
        <row r="444">
          <cell r="N444">
            <v>0</v>
          </cell>
        </row>
        <row r="445">
          <cell r="N445">
            <v>0</v>
          </cell>
        </row>
        <row r="446">
          <cell r="N446">
            <v>0</v>
          </cell>
        </row>
        <row r="447">
          <cell r="N447">
            <v>0</v>
          </cell>
        </row>
        <row r="448">
          <cell r="N448">
            <v>0</v>
          </cell>
        </row>
        <row r="449">
          <cell r="N449">
            <v>0</v>
          </cell>
        </row>
        <row r="450">
          <cell r="N450">
            <v>0</v>
          </cell>
        </row>
        <row r="451">
          <cell r="N451">
            <v>0</v>
          </cell>
        </row>
        <row r="452">
          <cell r="N452">
            <v>0</v>
          </cell>
        </row>
        <row r="453">
          <cell r="N453">
            <v>0</v>
          </cell>
        </row>
        <row r="454">
          <cell r="N454">
            <v>0</v>
          </cell>
        </row>
        <row r="455">
          <cell r="N455">
            <v>0</v>
          </cell>
        </row>
        <row r="456">
          <cell r="N456">
            <v>0</v>
          </cell>
        </row>
        <row r="457">
          <cell r="N457">
            <v>0</v>
          </cell>
        </row>
        <row r="458">
          <cell r="N458">
            <v>0</v>
          </cell>
        </row>
        <row r="459">
          <cell r="N459">
            <v>0</v>
          </cell>
        </row>
        <row r="460">
          <cell r="N460">
            <v>0</v>
          </cell>
        </row>
        <row r="461">
          <cell r="N461">
            <v>0</v>
          </cell>
        </row>
        <row r="462">
          <cell r="N462">
            <v>0</v>
          </cell>
        </row>
        <row r="463">
          <cell r="N463">
            <v>0</v>
          </cell>
        </row>
        <row r="464">
          <cell r="N464">
            <v>0</v>
          </cell>
        </row>
        <row r="465">
          <cell r="N465">
            <v>0</v>
          </cell>
        </row>
        <row r="466">
          <cell r="N466">
            <v>0</v>
          </cell>
        </row>
        <row r="467">
          <cell r="N467">
            <v>0</v>
          </cell>
        </row>
        <row r="468">
          <cell r="N468">
            <v>0</v>
          </cell>
        </row>
        <row r="469">
          <cell r="N469">
            <v>0</v>
          </cell>
        </row>
        <row r="470">
          <cell r="N470">
            <v>0</v>
          </cell>
        </row>
        <row r="471">
          <cell r="N471">
            <v>0</v>
          </cell>
        </row>
        <row r="472">
          <cell r="N472">
            <v>0</v>
          </cell>
        </row>
        <row r="473">
          <cell r="N473">
            <v>0</v>
          </cell>
        </row>
        <row r="474">
          <cell r="N474">
            <v>0</v>
          </cell>
        </row>
        <row r="475">
          <cell r="N475">
            <v>0</v>
          </cell>
        </row>
        <row r="476">
          <cell r="N476">
            <v>0</v>
          </cell>
        </row>
        <row r="477">
          <cell r="N477">
            <v>0</v>
          </cell>
        </row>
        <row r="478">
          <cell r="N478">
            <v>0</v>
          </cell>
        </row>
        <row r="479">
          <cell r="N479">
            <v>0</v>
          </cell>
        </row>
        <row r="480">
          <cell r="N480">
            <v>0</v>
          </cell>
        </row>
        <row r="481">
          <cell r="N481">
            <v>0</v>
          </cell>
        </row>
        <row r="482">
          <cell r="N482">
            <v>0</v>
          </cell>
        </row>
        <row r="483">
          <cell r="N483">
            <v>0</v>
          </cell>
        </row>
        <row r="484">
          <cell r="N484">
            <v>0</v>
          </cell>
        </row>
        <row r="485">
          <cell r="N485">
            <v>0</v>
          </cell>
        </row>
        <row r="486">
          <cell r="N486">
            <v>0</v>
          </cell>
        </row>
        <row r="487">
          <cell r="N487">
            <v>0</v>
          </cell>
        </row>
        <row r="488">
          <cell r="N488">
            <v>0</v>
          </cell>
        </row>
        <row r="489">
          <cell r="N489">
            <v>0</v>
          </cell>
        </row>
        <row r="490">
          <cell r="N490">
            <v>0</v>
          </cell>
        </row>
        <row r="491">
          <cell r="N491">
            <v>0</v>
          </cell>
        </row>
        <row r="492">
          <cell r="N492">
            <v>0</v>
          </cell>
        </row>
        <row r="493">
          <cell r="N493">
            <v>0</v>
          </cell>
        </row>
        <row r="494">
          <cell r="N494">
            <v>0</v>
          </cell>
        </row>
        <row r="495">
          <cell r="N495">
            <v>0</v>
          </cell>
        </row>
        <row r="496">
          <cell r="N496">
            <v>0</v>
          </cell>
        </row>
        <row r="497">
          <cell r="N497">
            <v>0</v>
          </cell>
        </row>
        <row r="498">
          <cell r="N498">
            <v>0</v>
          </cell>
        </row>
        <row r="499">
          <cell r="N499">
            <v>0</v>
          </cell>
        </row>
        <row r="500">
          <cell r="N500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e.com/us/en/product/VH321NRB/safety-switch-visipact-heavy-duty-fused-viewing-window-nema-3r-240v-30a-3-pole-neutral-installed/?range=7273-heavy-duty-safety-switches&amp;selectedNodeId=1214422367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3"/>
  <sheetViews>
    <sheetView tabSelected="1" view="pageBreakPreview" zoomScale="70" zoomScaleNormal="70" zoomScaleSheetLayoutView="70" workbookViewId="0">
      <selection activeCell="O19" sqref="O19"/>
    </sheetView>
  </sheetViews>
  <sheetFormatPr defaultRowHeight="15"/>
  <cols>
    <col min="1" max="1" width="4.7109375" customWidth="1"/>
    <col min="2" max="2" width="3.7109375" customWidth="1"/>
    <col min="3" max="3" width="5.28515625" customWidth="1"/>
    <col min="4" max="4" width="7.7109375" customWidth="1"/>
    <col min="5" max="5" width="5.7109375" customWidth="1"/>
    <col min="7" max="7" width="13.7109375" customWidth="1"/>
    <col min="10" max="10" width="25.7109375" customWidth="1"/>
    <col min="11" max="11" width="15.28515625" customWidth="1"/>
    <col min="12" max="12" width="12.140625" customWidth="1"/>
    <col min="13" max="13" width="35.42578125" customWidth="1"/>
    <col min="14" max="14" width="31.5703125" customWidth="1"/>
    <col min="15" max="15" width="35.42578125" customWidth="1"/>
    <col min="16" max="16" width="35.7109375" customWidth="1"/>
    <col min="17" max="17" width="15.28515625" bestFit="1" customWidth="1"/>
  </cols>
  <sheetData>
    <row r="1" spans="1:17" s="169" customFormat="1" ht="27">
      <c r="A1" s="269"/>
      <c r="B1" s="270"/>
      <c r="C1" s="270"/>
      <c r="D1" s="269"/>
      <c r="E1" s="270"/>
      <c r="F1" s="269"/>
      <c r="G1" s="269"/>
      <c r="H1" s="270"/>
      <c r="I1" s="270"/>
      <c r="J1" s="270"/>
      <c r="K1" s="270"/>
      <c r="L1" s="270"/>
      <c r="M1" s="270"/>
      <c r="N1" s="270"/>
      <c r="O1" s="270"/>
      <c r="P1" s="270"/>
    </row>
    <row r="2" spans="1:17" s="169" customFormat="1" ht="27" customHeight="1">
      <c r="A2" s="453" t="s">
        <v>280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</row>
    <row r="3" spans="1:17" s="168" customFormat="1" ht="18" customHeight="1">
      <c r="A3" s="455"/>
      <c r="B3" s="456"/>
      <c r="C3" s="456"/>
      <c r="D3" s="456"/>
      <c r="E3" s="456"/>
      <c r="F3" s="456"/>
      <c r="G3" s="456"/>
      <c r="H3" s="456"/>
      <c r="I3" s="456"/>
      <c r="J3" s="456"/>
      <c r="K3" s="456"/>
      <c r="L3" s="456"/>
      <c r="M3" s="456"/>
      <c r="N3" s="456"/>
      <c r="O3" s="456"/>
      <c r="P3" s="456"/>
    </row>
    <row r="4" spans="1:17" s="168" customFormat="1" ht="15" customHeight="1">
      <c r="A4" s="451"/>
      <c r="B4" s="451"/>
      <c r="C4" s="451"/>
      <c r="D4" s="451"/>
      <c r="E4" s="451"/>
      <c r="F4" s="451"/>
      <c r="G4" s="451"/>
      <c r="H4" s="451"/>
      <c r="I4" s="451"/>
      <c r="J4" s="451"/>
      <c r="K4" s="451"/>
      <c r="L4" s="451"/>
      <c r="M4" s="451"/>
      <c r="N4" s="451"/>
      <c r="O4" s="451"/>
      <c r="P4" s="451"/>
    </row>
    <row r="5" spans="1:17" s="168" customFormat="1" ht="15" customHeight="1">
      <c r="A5" s="166"/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</row>
    <row r="6" spans="1:17" s="168" customFormat="1" ht="15" customHeight="1">
      <c r="A6" s="166"/>
      <c r="B6" s="167" t="s">
        <v>130</v>
      </c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</row>
    <row r="7" spans="1:17" s="168" customFormat="1" ht="15" customHeight="1">
      <c r="A7" s="166"/>
      <c r="B7" s="167" t="str">
        <f>+'BREAKDOWN (BUILDING)'!C1</f>
        <v>Project Name: University Park Village (Starbucks 6212)</v>
      </c>
      <c r="C7" s="167"/>
      <c r="D7" s="167"/>
      <c r="E7" s="167"/>
      <c r="F7" s="167"/>
      <c r="G7" s="167"/>
      <c r="H7" s="166"/>
      <c r="I7" s="166"/>
      <c r="J7" s="166"/>
      <c r="K7" s="166"/>
      <c r="L7" s="166"/>
      <c r="M7" s="166"/>
      <c r="N7" s="166"/>
      <c r="O7" s="166"/>
      <c r="P7" s="166"/>
    </row>
    <row r="8" spans="1:17" s="168" customFormat="1" ht="15" customHeight="1">
      <c r="A8" s="166"/>
      <c r="B8" s="167" t="str">
        <f>+A2</f>
        <v>GC LEGACY CONSTRUCTION</v>
      </c>
      <c r="C8" s="167"/>
      <c r="D8" s="167"/>
      <c r="E8" s="167"/>
      <c r="F8" s="167"/>
      <c r="G8" s="167"/>
      <c r="H8" s="166"/>
      <c r="I8" s="166"/>
      <c r="J8" s="166"/>
      <c r="K8" s="166"/>
      <c r="L8" s="166"/>
      <c r="M8" s="166"/>
      <c r="N8" s="166"/>
      <c r="O8" s="166"/>
      <c r="P8" s="166"/>
    </row>
    <row r="9" spans="1:17" s="168" customFormat="1" ht="15" customHeight="1">
      <c r="A9" s="166"/>
      <c r="B9" s="167" t="str">
        <f>+'BREAKDOWN (BUILDING)'!C3</f>
        <v>Plan Date: 8/27/2025</v>
      </c>
      <c r="C9" s="167"/>
      <c r="D9" s="167"/>
      <c r="E9" s="167"/>
      <c r="F9" s="167"/>
      <c r="G9" s="167"/>
      <c r="H9" s="166"/>
      <c r="I9" s="166"/>
      <c r="J9" s="166"/>
      <c r="K9" s="166"/>
      <c r="L9" s="166"/>
      <c r="M9" s="166"/>
      <c r="N9" s="166"/>
      <c r="O9" s="166"/>
      <c r="P9" s="166"/>
    </row>
    <row r="10" spans="1:17" s="168" customFormat="1" ht="15" customHeight="1">
      <c r="A10" s="166"/>
      <c r="B10" s="167"/>
      <c r="C10" s="167"/>
      <c r="D10" s="167"/>
      <c r="E10" s="167"/>
      <c r="F10" s="167"/>
      <c r="G10" s="167"/>
      <c r="H10" s="166"/>
      <c r="I10" s="166"/>
      <c r="J10" s="166"/>
      <c r="K10" s="166"/>
      <c r="L10" s="166"/>
      <c r="M10" s="166"/>
      <c r="N10" s="166"/>
      <c r="O10" s="166"/>
      <c r="P10" s="166"/>
    </row>
    <row r="11" spans="1:17" s="169" customFormat="1" ht="26.25" thickBot="1">
      <c r="A11" s="452" t="s">
        <v>47</v>
      </c>
      <c r="B11" s="452"/>
      <c r="C11" s="452"/>
      <c r="D11" s="452"/>
      <c r="E11" s="452"/>
      <c r="F11" s="452"/>
      <c r="G11" s="452"/>
      <c r="H11" s="452"/>
      <c r="I11" s="452"/>
      <c r="J11" s="452"/>
      <c r="K11" s="452"/>
      <c r="L11" s="452"/>
      <c r="M11" s="452"/>
      <c r="N11" s="452"/>
      <c r="O11" s="452"/>
      <c r="P11" s="452"/>
    </row>
    <row r="12" spans="1:17" ht="35.1" customHeight="1" thickBot="1">
      <c r="A12" s="146" t="s">
        <v>48</v>
      </c>
      <c r="B12" s="147"/>
      <c r="C12" s="148" t="s">
        <v>49</v>
      </c>
      <c r="D12" s="149"/>
      <c r="E12" s="148"/>
      <c r="F12" s="148"/>
      <c r="G12" s="148"/>
      <c r="H12" s="148"/>
      <c r="I12" s="148"/>
      <c r="J12" s="147"/>
      <c r="K12" s="150" t="s">
        <v>50</v>
      </c>
      <c r="L12" s="150" t="s">
        <v>51</v>
      </c>
      <c r="M12" s="150" t="s">
        <v>12</v>
      </c>
      <c r="N12" s="150" t="s">
        <v>53</v>
      </c>
      <c r="O12" s="150" t="s">
        <v>52</v>
      </c>
      <c r="P12" s="151" t="s">
        <v>54</v>
      </c>
      <c r="Q12" s="164"/>
    </row>
    <row r="13" spans="1:17" s="169" customFormat="1" ht="16.5">
      <c r="A13" s="170"/>
      <c r="B13" s="171"/>
      <c r="C13" s="172"/>
      <c r="D13" s="173"/>
      <c r="E13" s="173"/>
      <c r="F13" s="173"/>
      <c r="G13" s="173"/>
      <c r="H13" s="173"/>
      <c r="I13" s="173"/>
      <c r="J13" s="174"/>
      <c r="K13" s="175"/>
      <c r="L13" s="176"/>
      <c r="M13" s="177"/>
      <c r="N13" s="177"/>
      <c r="O13" s="177"/>
      <c r="P13" s="178"/>
    </row>
    <row r="14" spans="1:17" s="169" customFormat="1" ht="16.5">
      <c r="A14" s="179" t="s">
        <v>55</v>
      </c>
      <c r="B14" s="180"/>
      <c r="C14" s="181" t="s">
        <v>75</v>
      </c>
      <c r="D14" s="181"/>
      <c r="E14" s="181"/>
      <c r="F14" s="181"/>
      <c r="G14" s="181"/>
      <c r="H14" s="181"/>
      <c r="I14" s="181"/>
      <c r="J14" s="182"/>
      <c r="K14" s="183"/>
      <c r="L14" s="183"/>
      <c r="M14" s="184"/>
      <c r="N14" s="184"/>
      <c r="O14" s="184"/>
      <c r="P14" s="185"/>
    </row>
    <row r="15" spans="1:17" s="169" customFormat="1" ht="16.5">
      <c r="A15" s="179"/>
      <c r="B15" s="180"/>
      <c r="C15" s="186"/>
      <c r="D15" s="187"/>
      <c r="E15" s="188" t="s">
        <v>68</v>
      </c>
      <c r="F15" s="189"/>
      <c r="G15" s="190"/>
      <c r="H15" s="181"/>
      <c r="I15" s="181"/>
      <c r="J15" s="191"/>
      <c r="K15" s="192"/>
      <c r="L15" s="192"/>
      <c r="M15" s="193"/>
      <c r="N15" s="193"/>
      <c r="O15" s="193"/>
      <c r="P15" s="185"/>
    </row>
    <row r="16" spans="1:17" s="204" customFormat="1" ht="17.25">
      <c r="A16" s="194"/>
      <c r="B16" s="195"/>
      <c r="C16" s="196"/>
      <c r="D16" s="187" t="s">
        <v>56</v>
      </c>
      <c r="E16" s="188" t="s">
        <v>111</v>
      </c>
      <c r="F16" s="199"/>
      <c r="G16" s="200"/>
      <c r="H16" s="201"/>
      <c r="I16" s="201"/>
      <c r="J16" s="182"/>
      <c r="K16" s="183"/>
      <c r="L16" s="183"/>
      <c r="M16" s="209"/>
      <c r="N16" s="209"/>
      <c r="O16" s="209">
        <f>+'BREAKDOWN (SITE)'!T12</f>
        <v>0</v>
      </c>
      <c r="P16" s="203">
        <f>+N16+O16</f>
        <v>0</v>
      </c>
      <c r="Q16" s="210"/>
    </row>
    <row r="17" spans="1:17" s="204" customFormat="1" ht="17.25">
      <c r="A17" s="194"/>
      <c r="B17" s="195"/>
      <c r="C17" s="196"/>
      <c r="D17" s="205"/>
      <c r="E17" s="206"/>
      <c r="F17" s="199"/>
      <c r="G17" s="200"/>
      <c r="H17" s="201"/>
      <c r="I17" s="201"/>
      <c r="J17" s="182"/>
      <c r="K17" s="183"/>
      <c r="L17" s="183"/>
      <c r="M17" s="207"/>
      <c r="N17" s="207"/>
      <c r="O17" s="209"/>
      <c r="P17" s="203"/>
      <c r="Q17" s="169"/>
    </row>
    <row r="18" spans="1:17" s="169" customFormat="1" ht="16.5">
      <c r="A18" s="179"/>
      <c r="B18" s="180"/>
      <c r="C18" s="186"/>
      <c r="D18" s="187" t="s">
        <v>72</v>
      </c>
      <c r="E18" s="188" t="s">
        <v>69</v>
      </c>
      <c r="F18" s="189"/>
      <c r="G18" s="190"/>
      <c r="H18" s="181"/>
      <c r="I18" s="181"/>
      <c r="J18" s="191"/>
      <c r="K18" s="192"/>
      <c r="L18" s="192"/>
      <c r="M18" s="193"/>
      <c r="N18" s="193"/>
      <c r="O18" s="193"/>
      <c r="P18" s="185"/>
    </row>
    <row r="19" spans="1:17" s="204" customFormat="1" ht="17.25">
      <c r="A19" s="194"/>
      <c r="B19" s="195"/>
      <c r="C19" s="196"/>
      <c r="D19" s="197">
        <v>1</v>
      </c>
      <c r="E19" s="198" t="str">
        <f>+'BREAKDOWN (BUILDING)'!C8</f>
        <v>Feeders</v>
      </c>
      <c r="F19" s="199"/>
      <c r="G19" s="200"/>
      <c r="H19" s="201"/>
      <c r="I19" s="201"/>
      <c r="J19" s="182"/>
      <c r="K19" s="183">
        <v>1</v>
      </c>
      <c r="L19" s="183" t="s">
        <v>57</v>
      </c>
      <c r="M19" s="202"/>
      <c r="N19" s="202"/>
      <c r="O19" s="202">
        <f>'BREAKDOWN (BUILDING)'!T16</f>
        <v>0</v>
      </c>
      <c r="P19" s="203">
        <f>+N19+O19</f>
        <v>0</v>
      </c>
      <c r="Q19" s="169"/>
    </row>
    <row r="20" spans="1:17" s="204" customFormat="1" ht="17.25">
      <c r="A20" s="194"/>
      <c r="B20" s="195"/>
      <c r="C20" s="196"/>
      <c r="D20" s="197">
        <v>2</v>
      </c>
      <c r="E20" s="198" t="str">
        <f>+'BREAKDOWN (BUILDING)'!C18</f>
        <v>Power Supply for Lighting and Small Power</v>
      </c>
      <c r="F20" s="199"/>
      <c r="G20" s="200"/>
      <c r="H20" s="201"/>
      <c r="I20" s="201"/>
      <c r="J20" s="182"/>
      <c r="K20" s="183">
        <v>1</v>
      </c>
      <c r="L20" s="183" t="s">
        <v>57</v>
      </c>
      <c r="M20" s="202"/>
      <c r="N20" s="202"/>
      <c r="O20" s="202">
        <f>+'BREAKDOWN (BUILDING)'!T49</f>
        <v>9217.2022800000013</v>
      </c>
      <c r="P20" s="203">
        <f>+N20+O20</f>
        <v>9217.2022800000013</v>
      </c>
      <c r="Q20" s="169"/>
    </row>
    <row r="21" spans="1:17" s="204" customFormat="1" ht="17.25">
      <c r="A21" s="194"/>
      <c r="B21" s="195"/>
      <c r="C21" s="196"/>
      <c r="D21" s="197">
        <v>3</v>
      </c>
      <c r="E21" s="198" t="str">
        <f>+'BREAKDOWN (BUILDING)'!C51</f>
        <v>Low Voltage System</v>
      </c>
      <c r="F21" s="199"/>
      <c r="G21" s="200"/>
      <c r="H21" s="201"/>
      <c r="I21" s="201"/>
      <c r="J21" s="182"/>
      <c r="K21" s="183">
        <v>1</v>
      </c>
      <c r="L21" s="183" t="s">
        <v>57</v>
      </c>
      <c r="M21" s="202"/>
      <c r="N21" s="202"/>
      <c r="O21" s="202">
        <f>'BREAKDOWN (BUILDING)'!T58</f>
        <v>238.18680000000003</v>
      </c>
      <c r="P21" s="203">
        <f>+N21+O21</f>
        <v>238.18680000000003</v>
      </c>
      <c r="Q21" s="169"/>
    </row>
    <row r="22" spans="1:17" s="204" customFormat="1" ht="17.25">
      <c r="A22" s="194"/>
      <c r="B22" s="195"/>
      <c r="C22" s="196"/>
      <c r="D22" s="197">
        <v>4</v>
      </c>
      <c r="E22" s="198" t="s">
        <v>120</v>
      </c>
      <c r="F22" s="199"/>
      <c r="G22" s="200"/>
      <c r="H22" s="201"/>
      <c r="I22" s="201"/>
      <c r="J22" s="182"/>
      <c r="K22" s="183">
        <v>1</v>
      </c>
      <c r="L22" s="183" t="s">
        <v>57</v>
      </c>
      <c r="M22" s="202"/>
      <c r="N22" s="202"/>
      <c r="O22" s="202">
        <v>1500</v>
      </c>
      <c r="P22" s="203">
        <f>+N22+O22</f>
        <v>1500</v>
      </c>
      <c r="Q22" s="169"/>
    </row>
    <row r="23" spans="1:17" s="204" customFormat="1" ht="17.25">
      <c r="A23" s="194"/>
      <c r="B23" s="195"/>
      <c r="C23" s="196"/>
      <c r="D23" s="205"/>
      <c r="E23" s="206"/>
      <c r="F23" s="199"/>
      <c r="G23" s="200"/>
      <c r="H23" s="201"/>
      <c r="I23" s="201"/>
      <c r="J23" s="182"/>
      <c r="K23" s="183"/>
      <c r="L23" s="183"/>
      <c r="M23" s="207"/>
      <c r="N23" s="207"/>
      <c r="O23" s="207"/>
      <c r="P23" s="203"/>
      <c r="Q23" s="169"/>
    </row>
    <row r="24" spans="1:17" s="204" customFormat="1" ht="17.25">
      <c r="A24" s="194"/>
      <c r="B24" s="195"/>
      <c r="C24" s="196"/>
      <c r="D24" s="187" t="s">
        <v>81</v>
      </c>
      <c r="E24" s="188" t="s">
        <v>73</v>
      </c>
      <c r="F24" s="199"/>
      <c r="G24" s="200"/>
      <c r="H24" s="201"/>
      <c r="I24" s="201"/>
      <c r="J24" s="182"/>
      <c r="K24" s="183"/>
      <c r="L24" s="183"/>
      <c r="M24" s="184"/>
      <c r="N24" s="184"/>
      <c r="O24" s="184"/>
      <c r="P24" s="208"/>
      <c r="Q24" s="169"/>
    </row>
    <row r="25" spans="1:17" s="204" customFormat="1" ht="17.25" customHeight="1">
      <c r="A25" s="194"/>
      <c r="B25" s="195"/>
      <c r="C25" s="196"/>
      <c r="D25" s="197">
        <v>1</v>
      </c>
      <c r="E25" s="198" t="str">
        <f>+'BREAKDOWN (BUILDING)'!C61</f>
        <v>Panelboards and Equipments</v>
      </c>
      <c r="F25" s="199"/>
      <c r="G25" s="200"/>
      <c r="H25" s="201"/>
      <c r="I25" s="201"/>
      <c r="J25" s="182"/>
      <c r="K25" s="183">
        <v>1</v>
      </c>
      <c r="L25" s="183" t="s">
        <v>57</v>
      </c>
      <c r="M25" s="209"/>
      <c r="N25" s="209"/>
      <c r="O25" s="209">
        <f>'BREAKDOWN (BUILDING)'!T73</f>
        <v>0</v>
      </c>
      <c r="P25" s="203">
        <f>+N25+O25</f>
        <v>0</v>
      </c>
      <c r="Q25" s="169"/>
    </row>
    <row r="26" spans="1:17" s="204" customFormat="1" ht="17.25" customHeight="1">
      <c r="A26" s="194"/>
      <c r="B26" s="195"/>
      <c r="C26" s="196"/>
      <c r="D26" s="197">
        <v>2</v>
      </c>
      <c r="E26" s="294" t="str">
        <f>+'BREAKDOWN (BUILDING)'!C74</f>
        <v>Lighting Fixtures and Lighting Controls (Owner Supplied)</v>
      </c>
      <c r="F26" s="292"/>
      <c r="G26" s="292"/>
      <c r="H26" s="292"/>
      <c r="I26" s="292"/>
      <c r="J26" s="293"/>
      <c r="K26" s="183">
        <v>1</v>
      </c>
      <c r="L26" s="183" t="s">
        <v>57</v>
      </c>
      <c r="M26" s="209"/>
      <c r="N26" s="209"/>
      <c r="O26" s="209">
        <v>0</v>
      </c>
      <c r="P26" s="203">
        <f>+N26+O26</f>
        <v>0</v>
      </c>
      <c r="Q26" s="169"/>
    </row>
    <row r="27" spans="1:17" s="169" customFormat="1" ht="17.25" customHeight="1">
      <c r="A27" s="179"/>
      <c r="B27" s="180"/>
      <c r="C27" s="186"/>
      <c r="D27" s="197">
        <v>3</v>
      </c>
      <c r="E27" s="198" t="s">
        <v>100</v>
      </c>
      <c r="F27" s="206"/>
      <c r="G27" s="190"/>
      <c r="H27" s="181"/>
      <c r="I27" s="181"/>
      <c r="J27" s="191"/>
      <c r="K27" s="183"/>
      <c r="L27" s="183"/>
      <c r="M27" s="209"/>
      <c r="N27" s="209"/>
      <c r="O27" s="209">
        <v>0</v>
      </c>
      <c r="P27" s="203">
        <f>+N27+O27</f>
        <v>0</v>
      </c>
    </row>
    <row r="28" spans="1:17" s="204" customFormat="1" ht="17.25" customHeight="1">
      <c r="A28" s="194"/>
      <c r="B28" s="195"/>
      <c r="C28" s="196"/>
      <c r="D28" s="205"/>
      <c r="E28" s="206"/>
      <c r="F28" s="199"/>
      <c r="G28" s="200"/>
      <c r="H28" s="201"/>
      <c r="I28" s="201"/>
      <c r="J28" s="182"/>
      <c r="K28" s="183"/>
      <c r="L28" s="183"/>
      <c r="M28" s="207"/>
      <c r="N28" s="207"/>
      <c r="O28" s="209"/>
      <c r="P28" s="203"/>
      <c r="Q28" s="169"/>
    </row>
    <row r="29" spans="1:17" s="204" customFormat="1" ht="17.25" customHeight="1">
      <c r="A29" s="194"/>
      <c r="B29" s="195"/>
      <c r="C29" s="196"/>
      <c r="D29" s="187" t="s">
        <v>88</v>
      </c>
      <c r="E29" s="188" t="s">
        <v>89</v>
      </c>
      <c r="F29" s="199"/>
      <c r="G29" s="200"/>
      <c r="H29" s="201"/>
      <c r="I29" s="201"/>
      <c r="J29" s="182"/>
      <c r="K29" s="183">
        <v>1</v>
      </c>
      <c r="L29" s="183" t="s">
        <v>57</v>
      </c>
      <c r="M29" s="209"/>
      <c r="N29" s="209"/>
      <c r="O29" s="209">
        <v>0</v>
      </c>
      <c r="P29" s="208">
        <f>SUM(P15:P27)*Q29</f>
        <v>1040.7619626000001</v>
      </c>
      <c r="Q29" s="210">
        <v>9.5000000000000001E-2</v>
      </c>
    </row>
    <row r="30" spans="1:17" s="169" customFormat="1" ht="17.25" customHeight="1">
      <c r="A30" s="179"/>
      <c r="B30" s="180"/>
      <c r="C30" s="186"/>
      <c r="D30" s="205"/>
      <c r="E30" s="206"/>
      <c r="F30" s="206"/>
      <c r="G30" s="190"/>
      <c r="H30" s="181"/>
      <c r="I30" s="181"/>
      <c r="J30" s="191"/>
      <c r="K30" s="183"/>
      <c r="L30" s="183"/>
      <c r="M30" s="184"/>
      <c r="N30" s="184"/>
      <c r="O30" s="184"/>
      <c r="P30" s="203"/>
    </row>
    <row r="31" spans="1:17" s="169" customFormat="1" ht="17.25" customHeight="1">
      <c r="A31" s="261"/>
      <c r="B31" s="262"/>
      <c r="C31" s="448" t="s">
        <v>76</v>
      </c>
      <c r="D31" s="449"/>
      <c r="E31" s="449"/>
      <c r="F31" s="449"/>
      <c r="G31" s="449"/>
      <c r="H31" s="449"/>
      <c r="I31" s="449"/>
      <c r="J31" s="450"/>
      <c r="K31" s="259"/>
      <c r="L31" s="259"/>
      <c r="M31" s="259"/>
      <c r="N31" s="259"/>
      <c r="O31" s="259"/>
      <c r="P31" s="260">
        <f>SUM(P13:P30)</f>
        <v>11996.1510426</v>
      </c>
    </row>
    <row r="32" spans="1:17" s="169" customFormat="1" ht="16.5">
      <c r="A32" s="179"/>
      <c r="B32" s="180"/>
      <c r="C32" s="186"/>
      <c r="D32" s="205"/>
      <c r="E32" s="206"/>
      <c r="F32" s="206"/>
      <c r="G32" s="190"/>
      <c r="H32" s="181"/>
      <c r="I32" s="181"/>
      <c r="J32" s="191"/>
      <c r="K32" s="183"/>
      <c r="L32" s="183"/>
      <c r="M32" s="184"/>
      <c r="N32" s="184"/>
      <c r="O32" s="184"/>
      <c r="P32" s="203"/>
    </row>
    <row r="33" spans="1:17" s="169" customFormat="1" ht="16.5">
      <c r="A33" s="165" t="s">
        <v>59</v>
      </c>
      <c r="B33" s="180"/>
      <c r="C33" s="186" t="s">
        <v>77</v>
      </c>
      <c r="D33" s="205"/>
      <c r="E33" s="206"/>
      <c r="F33" s="206"/>
      <c r="G33" s="190"/>
      <c r="H33" s="181"/>
      <c r="I33" s="181"/>
      <c r="J33" s="191"/>
      <c r="K33" s="183"/>
      <c r="L33" s="183"/>
      <c r="M33" s="184"/>
      <c r="N33" s="184"/>
      <c r="O33" s="184"/>
      <c r="P33" s="203"/>
    </row>
    <row r="34" spans="1:17" s="169" customFormat="1" ht="16.5">
      <c r="A34" s="179"/>
      <c r="B34" s="180"/>
      <c r="C34" s="186"/>
      <c r="D34" s="197">
        <v>1</v>
      </c>
      <c r="E34" s="198" t="s">
        <v>98</v>
      </c>
      <c r="F34" s="206"/>
      <c r="G34" s="190"/>
      <c r="H34" s="181"/>
      <c r="I34" s="181"/>
      <c r="J34" s="191"/>
      <c r="K34" s="183"/>
      <c r="L34" s="183"/>
      <c r="M34" s="184">
        <f>+'BREAKDOWN (BUILDING)'!P108+'BREAKDOWN (SITE)'!P12</f>
        <v>797.55000000000007</v>
      </c>
      <c r="N34" s="184">
        <f>+M34*$Q$37</f>
        <v>141963.90000000002</v>
      </c>
      <c r="O34" s="209">
        <v>0</v>
      </c>
      <c r="P34" s="203">
        <f>+N34+O34</f>
        <v>141963.90000000002</v>
      </c>
    </row>
    <row r="35" spans="1:17" s="169" customFormat="1" ht="16.5">
      <c r="A35" s="179"/>
      <c r="B35" s="180"/>
      <c r="C35" s="186"/>
      <c r="D35" s="197">
        <v>2</v>
      </c>
      <c r="E35" s="198" t="s">
        <v>105</v>
      </c>
      <c r="F35" s="206"/>
      <c r="G35" s="190"/>
      <c r="H35" s="181"/>
      <c r="I35" s="181"/>
      <c r="J35" s="191"/>
      <c r="K35" s="183"/>
      <c r="L35" s="183"/>
      <c r="M35" s="184">
        <f>+M34*Q35</f>
        <v>159.51000000000002</v>
      </c>
      <c r="N35" s="184">
        <f>+M35*$Q$37</f>
        <v>28392.780000000002</v>
      </c>
      <c r="O35" s="209">
        <v>0</v>
      </c>
      <c r="P35" s="203">
        <f>+N35+O35</f>
        <v>28392.780000000002</v>
      </c>
      <c r="Q35" s="213">
        <v>0.2</v>
      </c>
    </row>
    <row r="36" spans="1:17" s="169" customFormat="1" ht="16.5">
      <c r="A36" s="179"/>
      <c r="B36" s="180"/>
      <c r="C36" s="186"/>
      <c r="D36" s="205"/>
      <c r="E36" s="206"/>
      <c r="F36" s="206"/>
      <c r="G36" s="190"/>
      <c r="H36" s="181"/>
      <c r="I36" s="181"/>
      <c r="J36" s="191"/>
      <c r="K36" s="183"/>
      <c r="L36" s="183"/>
      <c r="M36" s="193"/>
      <c r="N36" s="184"/>
      <c r="O36" s="184"/>
      <c r="P36" s="203"/>
      <c r="Q36" s="214"/>
    </row>
    <row r="37" spans="1:17" s="169" customFormat="1" ht="16.5">
      <c r="A37" s="263"/>
      <c r="B37" s="264"/>
      <c r="C37" s="448" t="s">
        <v>104</v>
      </c>
      <c r="D37" s="449"/>
      <c r="E37" s="449"/>
      <c r="F37" s="449"/>
      <c r="G37" s="449"/>
      <c r="H37" s="449"/>
      <c r="I37" s="449"/>
      <c r="J37" s="450"/>
      <c r="K37" s="265"/>
      <c r="L37" s="265"/>
      <c r="M37" s="268">
        <f>SUM(M34:M36)</f>
        <v>957.06000000000006</v>
      </c>
      <c r="N37" s="268"/>
      <c r="O37" s="266"/>
      <c r="P37" s="267">
        <f>SUM(P34:P36)</f>
        <v>170356.68000000002</v>
      </c>
      <c r="Q37" s="169">
        <v>178</v>
      </c>
    </row>
    <row r="38" spans="1:17" s="169" customFormat="1" ht="16.5">
      <c r="A38" s="179"/>
      <c r="B38" s="180"/>
      <c r="C38" s="186"/>
      <c r="D38" s="205"/>
      <c r="E38" s="206"/>
      <c r="F38" s="206"/>
      <c r="G38" s="190"/>
      <c r="H38" s="181"/>
      <c r="I38" s="181"/>
      <c r="J38" s="191"/>
      <c r="K38" s="183"/>
      <c r="L38" s="183"/>
      <c r="M38" s="184"/>
      <c r="N38" s="209"/>
      <c r="O38" s="184"/>
      <c r="P38" s="203"/>
    </row>
    <row r="39" spans="1:17" s="169" customFormat="1" ht="16.5">
      <c r="A39" s="165" t="s">
        <v>58</v>
      </c>
      <c r="B39" s="180"/>
      <c r="C39" s="181" t="s">
        <v>90</v>
      </c>
      <c r="D39" s="181"/>
      <c r="E39" s="181"/>
      <c r="F39" s="181"/>
      <c r="G39" s="181"/>
      <c r="H39" s="181"/>
      <c r="I39" s="181"/>
      <c r="J39" s="182"/>
      <c r="K39" s="183"/>
      <c r="L39" s="183"/>
      <c r="M39" s="184"/>
      <c r="N39" s="184"/>
      <c r="O39" s="184"/>
      <c r="P39" s="208"/>
    </row>
    <row r="40" spans="1:17" s="169" customFormat="1" ht="16.5">
      <c r="A40" s="179"/>
      <c r="B40" s="180"/>
      <c r="C40" s="186"/>
      <c r="D40" s="187"/>
      <c r="E40" s="188"/>
      <c r="F40" s="189"/>
      <c r="G40" s="190"/>
      <c r="H40" s="181"/>
      <c r="I40" s="181"/>
      <c r="J40" s="191"/>
      <c r="K40" s="192"/>
      <c r="L40" s="192"/>
      <c r="M40" s="193"/>
      <c r="N40" s="193"/>
      <c r="O40" s="193"/>
      <c r="P40" s="208"/>
    </row>
    <row r="41" spans="1:17" s="204" customFormat="1" ht="31.5">
      <c r="A41" s="194"/>
      <c r="B41" s="195"/>
      <c r="C41" s="196"/>
      <c r="D41" s="197">
        <v>1</v>
      </c>
      <c r="E41" s="198" t="s">
        <v>78</v>
      </c>
      <c r="F41" s="199"/>
      <c r="G41" s="200"/>
      <c r="H41" s="201"/>
      <c r="I41" s="201"/>
      <c r="J41" s="182"/>
      <c r="K41" s="183">
        <v>3</v>
      </c>
      <c r="L41" s="271" t="s">
        <v>106</v>
      </c>
      <c r="M41" s="202"/>
      <c r="N41" s="202"/>
      <c r="O41" s="202">
        <v>1000</v>
      </c>
      <c r="P41" s="203">
        <f>+O41*K41</f>
        <v>3000</v>
      </c>
      <c r="Q41" s="169"/>
    </row>
    <row r="42" spans="1:17" s="204" customFormat="1" ht="17.25">
      <c r="A42" s="194"/>
      <c r="B42" s="195"/>
      <c r="C42" s="196"/>
      <c r="D42" s="197">
        <v>2</v>
      </c>
      <c r="E42" s="198" t="s">
        <v>79</v>
      </c>
      <c r="F42" s="199"/>
      <c r="G42" s="200"/>
      <c r="H42" s="201"/>
      <c r="I42" s="201"/>
      <c r="J42" s="182"/>
      <c r="K42" s="183">
        <v>1</v>
      </c>
      <c r="L42" s="183" t="s">
        <v>57</v>
      </c>
      <c r="M42" s="202"/>
      <c r="N42" s="202"/>
      <c r="O42" s="202">
        <v>1500</v>
      </c>
      <c r="P42" s="203">
        <f>+O42*K42</f>
        <v>1500</v>
      </c>
      <c r="Q42" s="169"/>
    </row>
    <row r="43" spans="1:17" s="204" customFormat="1" ht="17.25" customHeight="1">
      <c r="A43" s="194"/>
      <c r="B43" s="195"/>
      <c r="C43" s="196"/>
      <c r="D43" s="197">
        <v>3</v>
      </c>
      <c r="E43" s="198" t="s">
        <v>80</v>
      </c>
      <c r="F43" s="199"/>
      <c r="G43" s="200"/>
      <c r="H43" s="201"/>
      <c r="I43" s="201"/>
      <c r="J43" s="182"/>
      <c r="K43" s="183">
        <v>1</v>
      </c>
      <c r="L43" s="183" t="s">
        <v>57</v>
      </c>
      <c r="M43" s="202"/>
      <c r="N43" s="202"/>
      <c r="O43" s="202">
        <v>1500</v>
      </c>
      <c r="P43" s="203">
        <f>+O43*K43</f>
        <v>1500</v>
      </c>
      <c r="Q43" s="169"/>
    </row>
    <row r="44" spans="1:17" s="204" customFormat="1" ht="17.25" customHeight="1">
      <c r="A44" s="194"/>
      <c r="B44" s="195"/>
      <c r="C44" s="196"/>
      <c r="D44" s="197">
        <v>4</v>
      </c>
      <c r="E44" s="198" t="s">
        <v>281</v>
      </c>
      <c r="F44" s="199"/>
      <c r="G44" s="200"/>
      <c r="H44" s="201"/>
      <c r="I44" s="201"/>
      <c r="J44" s="182"/>
      <c r="K44" s="183"/>
      <c r="L44" s="271"/>
      <c r="M44" s="202"/>
      <c r="N44" s="202"/>
      <c r="O44" s="202"/>
      <c r="P44" s="203">
        <f>+O44*K44</f>
        <v>0</v>
      </c>
      <c r="Q44" s="169"/>
    </row>
    <row r="45" spans="1:17" s="204" customFormat="1" ht="17.25">
      <c r="A45" s="194"/>
      <c r="B45" s="195"/>
      <c r="C45" s="196"/>
      <c r="D45" s="197">
        <v>5</v>
      </c>
      <c r="E45" s="198" t="s">
        <v>107</v>
      </c>
      <c r="F45" s="199"/>
      <c r="G45" s="200"/>
      <c r="H45" s="201"/>
      <c r="I45" s="201"/>
      <c r="J45" s="182"/>
      <c r="K45" s="183"/>
      <c r="L45" s="183"/>
      <c r="M45" s="202"/>
      <c r="N45" s="202"/>
      <c r="O45" s="202"/>
      <c r="P45" s="203">
        <v>0</v>
      </c>
      <c r="Q45" s="169"/>
    </row>
    <row r="46" spans="1:17" s="204" customFormat="1" ht="17.25">
      <c r="A46" s="194"/>
      <c r="B46" s="195"/>
      <c r="C46" s="196"/>
      <c r="D46" s="197"/>
      <c r="E46" s="198"/>
      <c r="F46" s="199"/>
      <c r="G46" s="200"/>
      <c r="H46" s="201"/>
      <c r="I46" s="201"/>
      <c r="J46" s="182"/>
      <c r="K46" s="183"/>
      <c r="L46" s="183"/>
      <c r="M46" s="202"/>
      <c r="N46" s="202"/>
      <c r="O46" s="202"/>
      <c r="P46" s="203"/>
      <c r="Q46" s="169"/>
    </row>
    <row r="47" spans="1:17" s="169" customFormat="1" ht="16.5">
      <c r="A47" s="263"/>
      <c r="B47" s="264"/>
      <c r="C47" s="448" t="s">
        <v>91</v>
      </c>
      <c r="D47" s="449"/>
      <c r="E47" s="449"/>
      <c r="F47" s="449"/>
      <c r="G47" s="449"/>
      <c r="H47" s="449"/>
      <c r="I47" s="449"/>
      <c r="J47" s="450"/>
      <c r="K47" s="265"/>
      <c r="L47" s="265"/>
      <c r="M47" s="266"/>
      <c r="N47" s="266"/>
      <c r="O47" s="266"/>
      <c r="P47" s="267">
        <f>SUM(P39:P46)</f>
        <v>6000</v>
      </c>
    </row>
    <row r="48" spans="1:17" s="169" customFormat="1" ht="16.5">
      <c r="A48" s="179"/>
      <c r="B48" s="180"/>
      <c r="C48" s="186"/>
      <c r="D48" s="205"/>
      <c r="E48" s="206"/>
      <c r="F48" s="206"/>
      <c r="G48" s="190"/>
      <c r="H48" s="181"/>
      <c r="I48" s="181"/>
      <c r="J48" s="191"/>
      <c r="K48" s="183"/>
      <c r="L48" s="183"/>
      <c r="M48" s="184"/>
      <c r="N48" s="209"/>
      <c r="O48" s="184"/>
      <c r="P48" s="203"/>
    </row>
    <row r="49" spans="1:17" s="169" customFormat="1" ht="16.5">
      <c r="A49" s="165" t="s">
        <v>60</v>
      </c>
      <c r="B49" s="180"/>
      <c r="C49" s="181" t="s">
        <v>95</v>
      </c>
      <c r="D49" s="181"/>
      <c r="E49" s="181"/>
      <c r="F49" s="181"/>
      <c r="G49" s="181"/>
      <c r="H49" s="181"/>
      <c r="I49" s="181"/>
      <c r="J49" s="182"/>
      <c r="K49" s="183"/>
      <c r="L49" s="183"/>
      <c r="M49" s="184"/>
      <c r="N49" s="184"/>
      <c r="O49" s="184"/>
      <c r="P49" s="208"/>
    </row>
    <row r="50" spans="1:17" s="169" customFormat="1" ht="16.5">
      <c r="A50" s="179"/>
      <c r="B50" s="180"/>
      <c r="C50" s="186"/>
      <c r="D50" s="187"/>
      <c r="E50" s="188"/>
      <c r="F50" s="189"/>
      <c r="G50" s="190"/>
      <c r="H50" s="181"/>
      <c r="I50" s="181"/>
      <c r="J50" s="191"/>
      <c r="K50" s="192"/>
      <c r="L50" s="192"/>
      <c r="M50" s="193"/>
      <c r="N50" s="193"/>
      <c r="O50" s="193"/>
      <c r="P50" s="208"/>
    </row>
    <row r="51" spans="1:17" s="204" customFormat="1" ht="17.25">
      <c r="A51" s="194"/>
      <c r="B51" s="195"/>
      <c r="C51" s="196"/>
      <c r="D51" s="197">
        <v>1</v>
      </c>
      <c r="E51" s="198" t="s">
        <v>121</v>
      </c>
      <c r="F51" s="199"/>
      <c r="G51" s="200"/>
      <c r="H51" s="201"/>
      <c r="I51" s="201"/>
      <c r="J51" s="182"/>
      <c r="K51" s="183">
        <v>1</v>
      </c>
      <c r="L51" s="183" t="s">
        <v>57</v>
      </c>
      <c r="M51" s="202"/>
      <c r="N51" s="202"/>
      <c r="O51" s="202"/>
      <c r="P51" s="203">
        <f>+N51+O51</f>
        <v>0</v>
      </c>
      <c r="Q51" s="169"/>
    </row>
    <row r="52" spans="1:17" s="204" customFormat="1" ht="17.25">
      <c r="A52" s="194"/>
      <c r="B52" s="195"/>
      <c r="C52" s="196"/>
      <c r="D52" s="197"/>
      <c r="E52" s="198"/>
      <c r="F52" s="199"/>
      <c r="G52" s="200"/>
      <c r="H52" s="201"/>
      <c r="I52" s="201"/>
      <c r="J52" s="182"/>
      <c r="K52" s="183"/>
      <c r="L52" s="183"/>
      <c r="M52" s="202"/>
      <c r="N52" s="202"/>
      <c r="O52" s="202"/>
      <c r="P52" s="203"/>
      <c r="Q52" s="169"/>
    </row>
    <row r="53" spans="1:17" s="169" customFormat="1" ht="16.5">
      <c r="A53" s="263"/>
      <c r="B53" s="264"/>
      <c r="C53" s="448" t="s">
        <v>96</v>
      </c>
      <c r="D53" s="449"/>
      <c r="E53" s="449"/>
      <c r="F53" s="449"/>
      <c r="G53" s="449"/>
      <c r="H53" s="449"/>
      <c r="I53" s="449"/>
      <c r="J53" s="450"/>
      <c r="K53" s="265"/>
      <c r="L53" s="265"/>
      <c r="M53" s="266"/>
      <c r="N53" s="266"/>
      <c r="O53" s="266"/>
      <c r="P53" s="267">
        <f>SUM(P48:P52)</f>
        <v>0</v>
      </c>
    </row>
    <row r="54" spans="1:17" s="169" customFormat="1" ht="15.75">
      <c r="A54" s="215"/>
      <c r="B54" s="216"/>
      <c r="C54" s="217"/>
      <c r="D54" s="218"/>
      <c r="E54" s="218"/>
      <c r="F54" s="219"/>
      <c r="G54" s="218"/>
      <c r="H54" s="218"/>
      <c r="I54" s="218"/>
      <c r="J54" s="220"/>
      <c r="K54" s="221"/>
      <c r="L54" s="221"/>
      <c r="M54" s="222"/>
      <c r="N54" s="222"/>
      <c r="O54" s="222"/>
      <c r="P54" s="223"/>
    </row>
    <row r="55" spans="1:17" s="169" customFormat="1" ht="16.5">
      <c r="A55" s="165" t="s">
        <v>82</v>
      </c>
      <c r="B55" s="180"/>
      <c r="C55" s="224" t="s">
        <v>108</v>
      </c>
      <c r="D55" s="218"/>
      <c r="E55" s="218"/>
      <c r="F55" s="219"/>
      <c r="G55" s="218"/>
      <c r="H55" s="218"/>
      <c r="I55" s="218"/>
      <c r="J55" s="220"/>
      <c r="K55" s="225"/>
      <c r="L55" s="225"/>
      <c r="M55" s="211"/>
      <c r="N55" s="211"/>
      <c r="O55" s="211"/>
      <c r="P55" s="212">
        <v>0</v>
      </c>
      <c r="Q55" s="213"/>
    </row>
    <row r="56" spans="1:17" s="169" customFormat="1" ht="15.75">
      <c r="A56" s="215"/>
      <c r="B56" s="216"/>
      <c r="C56" s="217"/>
      <c r="D56" s="218"/>
      <c r="E56" s="218"/>
      <c r="F56" s="219"/>
      <c r="G56" s="218"/>
      <c r="H56" s="218"/>
      <c r="I56" s="218"/>
      <c r="J56" s="220"/>
      <c r="K56" s="221"/>
      <c r="L56" s="221"/>
      <c r="M56" s="222"/>
      <c r="N56" s="222"/>
      <c r="O56" s="222"/>
      <c r="P56" s="223"/>
    </row>
    <row r="57" spans="1:17" s="169" customFormat="1" ht="16.5">
      <c r="A57" s="165" t="s">
        <v>83</v>
      </c>
      <c r="B57" s="180"/>
      <c r="C57" s="224" t="s">
        <v>109</v>
      </c>
      <c r="D57" s="218"/>
      <c r="E57" s="218"/>
      <c r="F57" s="219"/>
      <c r="G57" s="218"/>
      <c r="H57" s="218"/>
      <c r="I57" s="218"/>
      <c r="J57" s="220"/>
      <c r="K57" s="225"/>
      <c r="L57" s="225"/>
      <c r="M57" s="211"/>
      <c r="N57" s="211"/>
      <c r="O57" s="211"/>
      <c r="P57" s="212">
        <f>+P31+P37+P47+P53+P55</f>
        <v>188352.83104260001</v>
      </c>
      <c r="Q57" s="213"/>
    </row>
    <row r="58" spans="1:17" s="169" customFormat="1" ht="15.75">
      <c r="A58" s="215"/>
      <c r="B58" s="216"/>
      <c r="C58" s="217"/>
      <c r="D58" s="218"/>
      <c r="E58" s="218"/>
      <c r="F58" s="219"/>
      <c r="G58" s="218"/>
      <c r="H58" s="218"/>
      <c r="I58" s="218"/>
      <c r="J58" s="220"/>
      <c r="K58" s="221"/>
      <c r="L58" s="221"/>
      <c r="M58" s="222"/>
      <c r="N58" s="222"/>
      <c r="O58" s="222"/>
      <c r="P58" s="223"/>
    </row>
    <row r="59" spans="1:17" s="169" customFormat="1" ht="16.5">
      <c r="A59" s="165" t="s">
        <v>84</v>
      </c>
      <c r="B59" s="180"/>
      <c r="C59" s="224" t="s">
        <v>70</v>
      </c>
      <c r="D59" s="218"/>
      <c r="E59" s="218"/>
      <c r="F59" s="219"/>
      <c r="G59" s="218"/>
      <c r="H59" s="218"/>
      <c r="I59" s="218"/>
      <c r="J59" s="220"/>
      <c r="K59" s="225">
        <v>1</v>
      </c>
      <c r="L59" s="225" t="s">
        <v>57</v>
      </c>
      <c r="M59" s="211"/>
      <c r="N59" s="211"/>
      <c r="O59" s="211"/>
      <c r="P59" s="212">
        <f>+P57*$Q$59</f>
        <v>18835.283104260001</v>
      </c>
      <c r="Q59" s="213">
        <v>0.1</v>
      </c>
    </row>
    <row r="60" spans="1:17" s="169" customFormat="1" ht="15.75">
      <c r="A60" s="215"/>
      <c r="B60" s="216"/>
      <c r="C60" s="217"/>
      <c r="D60" s="205"/>
      <c r="E60" s="206"/>
      <c r="F60" s="219"/>
      <c r="G60" s="218"/>
      <c r="H60" s="218"/>
      <c r="I60" s="218"/>
      <c r="J60" s="220"/>
      <c r="K60" s="183"/>
      <c r="L60" s="183"/>
      <c r="M60" s="222"/>
      <c r="N60" s="222"/>
      <c r="O60" s="222"/>
      <c r="P60" s="223"/>
    </row>
    <row r="61" spans="1:17" s="169" customFormat="1" ht="16.5">
      <c r="A61" s="165" t="s">
        <v>85</v>
      </c>
      <c r="B61" s="180"/>
      <c r="C61" s="224" t="s">
        <v>71</v>
      </c>
      <c r="D61" s="226"/>
      <c r="E61" s="226"/>
      <c r="F61" s="226"/>
      <c r="G61" s="226"/>
      <c r="H61" s="226"/>
      <c r="I61" s="226"/>
      <c r="J61" s="227"/>
      <c r="K61" s="225">
        <v>1</v>
      </c>
      <c r="L61" s="225" t="s">
        <v>57</v>
      </c>
      <c r="M61" s="211"/>
      <c r="N61" s="211"/>
      <c r="O61" s="211"/>
      <c r="P61" s="212">
        <f>+P57*$Q$61</f>
        <v>28252.924656390001</v>
      </c>
      <c r="Q61" s="213">
        <v>0.15</v>
      </c>
    </row>
    <row r="62" spans="1:17" s="169" customFormat="1" ht="15.75">
      <c r="A62" s="215"/>
      <c r="B62" s="216"/>
      <c r="C62" s="217"/>
      <c r="D62" s="218"/>
      <c r="E62" s="218"/>
      <c r="F62" s="219"/>
      <c r="G62" s="218"/>
      <c r="H62" s="218"/>
      <c r="I62" s="218"/>
      <c r="J62" s="220"/>
      <c r="K62" s="221"/>
      <c r="L62" s="221"/>
      <c r="M62" s="222"/>
      <c r="N62" s="222"/>
      <c r="O62" s="222"/>
      <c r="P62" s="223"/>
    </row>
    <row r="63" spans="1:17" s="169" customFormat="1" ht="16.5">
      <c r="A63" s="165" t="s">
        <v>86</v>
      </c>
      <c r="B63" s="180"/>
      <c r="C63" s="224" t="s">
        <v>92</v>
      </c>
      <c r="D63" s="226"/>
      <c r="E63" s="226"/>
      <c r="F63" s="226"/>
      <c r="G63" s="226"/>
      <c r="H63" s="226"/>
      <c r="I63" s="226"/>
      <c r="J63" s="227"/>
      <c r="K63" s="225"/>
      <c r="L63" s="225"/>
      <c r="M63" s="211"/>
      <c r="N63" s="211"/>
      <c r="O63" s="211"/>
      <c r="P63" s="212">
        <v>0</v>
      </c>
    </row>
    <row r="64" spans="1:17" s="169" customFormat="1" ht="15.75">
      <c r="A64" s="215"/>
      <c r="B64" s="216"/>
      <c r="C64" s="217"/>
      <c r="D64" s="218"/>
      <c r="E64" s="218"/>
      <c r="F64" s="219"/>
      <c r="G64" s="218"/>
      <c r="H64" s="218"/>
      <c r="I64" s="218"/>
      <c r="J64" s="220"/>
      <c r="K64" s="221"/>
      <c r="L64" s="221"/>
      <c r="M64" s="222"/>
      <c r="N64" s="222"/>
      <c r="O64" s="222"/>
      <c r="P64" s="223"/>
    </row>
    <row r="65" spans="1:16" s="169" customFormat="1" ht="16.5">
      <c r="A65" s="165" t="s">
        <v>87</v>
      </c>
      <c r="B65" s="180"/>
      <c r="C65" s="224" t="s">
        <v>93</v>
      </c>
      <c r="D65" s="226"/>
      <c r="E65" s="226"/>
      <c r="F65" s="226"/>
      <c r="G65" s="226"/>
      <c r="H65" s="226"/>
      <c r="I65" s="226"/>
      <c r="J65" s="227"/>
      <c r="K65" s="225"/>
      <c r="L65" s="225"/>
      <c r="M65" s="211"/>
      <c r="N65" s="211"/>
      <c r="O65" s="211"/>
      <c r="P65" s="212">
        <v>0</v>
      </c>
    </row>
    <row r="66" spans="1:16" s="169" customFormat="1" ht="15.75">
      <c r="A66" s="215"/>
      <c r="B66" s="216"/>
      <c r="C66" s="217"/>
      <c r="D66" s="218"/>
      <c r="E66" s="218"/>
      <c r="F66" s="219"/>
      <c r="G66" s="218"/>
      <c r="H66" s="218"/>
      <c r="I66" s="218"/>
      <c r="J66" s="220"/>
      <c r="K66" s="221"/>
      <c r="L66" s="221"/>
      <c r="M66" s="222"/>
      <c r="N66" s="222"/>
      <c r="O66" s="222"/>
      <c r="P66" s="223"/>
    </row>
    <row r="67" spans="1:16" s="169" customFormat="1" ht="16.5">
      <c r="A67" s="165" t="s">
        <v>97</v>
      </c>
      <c r="B67" s="180"/>
      <c r="C67" s="224" t="s">
        <v>94</v>
      </c>
      <c r="D67" s="226"/>
      <c r="E67" s="226"/>
      <c r="F67" s="226"/>
      <c r="G67" s="226"/>
      <c r="H67" s="226"/>
      <c r="I67" s="226"/>
      <c r="J67" s="227"/>
      <c r="K67" s="225"/>
      <c r="L67" s="225"/>
      <c r="M67" s="211"/>
      <c r="N67" s="211"/>
      <c r="O67" s="211"/>
      <c r="P67" s="212">
        <v>0</v>
      </c>
    </row>
    <row r="68" spans="1:16" s="169" customFormat="1" ht="17.25" thickBot="1">
      <c r="A68" s="238"/>
      <c r="B68" s="239"/>
      <c r="C68" s="240"/>
      <c r="D68" s="241"/>
      <c r="E68" s="241"/>
      <c r="F68" s="241"/>
      <c r="G68" s="241"/>
      <c r="H68" s="241"/>
      <c r="I68" s="241"/>
      <c r="J68" s="242"/>
      <c r="K68" s="228"/>
      <c r="L68" s="228"/>
      <c r="M68" s="228"/>
      <c r="N68" s="228"/>
      <c r="O68" s="228"/>
      <c r="P68" s="229"/>
    </row>
    <row r="69" spans="1:16" s="169" customFormat="1" ht="24.95" customHeight="1" thickBot="1">
      <c r="A69" s="251" t="s">
        <v>99</v>
      </c>
      <c r="B69" s="252"/>
      <c r="C69" s="253" t="s">
        <v>110</v>
      </c>
      <c r="D69" s="254"/>
      <c r="E69" s="255"/>
      <c r="F69" s="254"/>
      <c r="G69" s="254"/>
      <c r="H69" s="254"/>
      <c r="I69" s="254"/>
      <c r="J69" s="256"/>
      <c r="K69" s="257"/>
      <c r="L69" s="257"/>
      <c r="M69" s="257"/>
      <c r="N69" s="257"/>
      <c r="O69" s="257"/>
      <c r="P69" s="272">
        <f>+P57+P59+P61+P63+P65+P67</f>
        <v>235441.03880325003</v>
      </c>
    </row>
    <row r="70" spans="1:16" s="169" customFormat="1" ht="15" customHeight="1">
      <c r="A70" s="243"/>
      <c r="B70" s="244"/>
      <c r="C70" s="245"/>
      <c r="D70" s="246"/>
      <c r="E70" s="247"/>
      <c r="F70" s="246"/>
      <c r="G70" s="246"/>
      <c r="H70" s="246"/>
      <c r="I70" s="246"/>
      <c r="J70" s="248"/>
      <c r="K70" s="249"/>
      <c r="L70" s="249"/>
      <c r="M70" s="249"/>
      <c r="N70" s="249"/>
      <c r="O70" s="249"/>
      <c r="P70" s="250"/>
    </row>
    <row r="71" spans="1:16" s="169" customFormat="1" ht="18" thickBot="1">
      <c r="A71" s="230"/>
      <c r="B71" s="231"/>
      <c r="C71" s="232"/>
      <c r="D71" s="233"/>
      <c r="E71" s="234"/>
      <c r="F71" s="233"/>
      <c r="G71" s="233"/>
      <c r="H71" s="233"/>
      <c r="I71" s="233"/>
      <c r="J71" s="235"/>
      <c r="K71" s="236"/>
      <c r="L71" s="236"/>
      <c r="M71" s="236"/>
      <c r="N71" s="236"/>
      <c r="O71" s="236"/>
      <c r="P71" s="237"/>
    </row>
    <row r="73" spans="1:16">
      <c r="C73" s="153"/>
      <c r="D73" s="154"/>
    </row>
    <row r="74" spans="1:16">
      <c r="C74" s="153"/>
      <c r="E74" s="154"/>
    </row>
    <row r="75" spans="1:16">
      <c r="C75" s="153"/>
      <c r="D75" s="154"/>
    </row>
    <row r="77" spans="1:16">
      <c r="C77" s="152"/>
    </row>
    <row r="78" spans="1:16">
      <c r="C78" s="153"/>
      <c r="D78" s="154"/>
    </row>
    <row r="79" spans="1:16">
      <c r="C79" s="153"/>
      <c r="D79" s="154"/>
    </row>
    <row r="80" spans="1:16">
      <c r="C80" s="153"/>
      <c r="D80" s="154"/>
    </row>
    <row r="81" spans="3:4">
      <c r="C81" s="153"/>
      <c r="D81" s="154"/>
    </row>
    <row r="83" spans="3:4">
      <c r="C83" s="152"/>
    </row>
  </sheetData>
  <mergeCells count="8">
    <mergeCell ref="A2:P2"/>
    <mergeCell ref="A3:P3"/>
    <mergeCell ref="C53:J53"/>
    <mergeCell ref="C37:J37"/>
    <mergeCell ref="C47:J47"/>
    <mergeCell ref="A4:P4"/>
    <mergeCell ref="A11:P11"/>
    <mergeCell ref="C31:J31"/>
  </mergeCells>
  <printOptions horizontalCentered="1"/>
  <pageMargins left="0.11811023622047245" right="0.11811023622047245" top="0.31496062992125984" bottom="0.19685039370078741" header="0.31496062992125984" footer="0.31496062992125984"/>
  <pageSetup paperSize="9"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B1:X125"/>
  <sheetViews>
    <sheetView view="pageBreakPreview" zoomScale="85" zoomScaleNormal="85" zoomScaleSheetLayoutView="85" workbookViewId="0">
      <pane xSplit="5" ySplit="8" topLeftCell="F27" activePane="bottomRight" state="frozen"/>
      <selection pane="topRight" activeCell="F1" sqref="F1"/>
      <selection pane="bottomLeft" activeCell="A9" sqref="A9"/>
      <selection pane="bottomRight" activeCell="S46" sqref="S46"/>
    </sheetView>
  </sheetViews>
  <sheetFormatPr defaultColWidth="9.140625" defaultRowHeight="12.75" outlineLevelRow="1" outlineLevelCol="1"/>
  <cols>
    <col min="1" max="1" width="1.85546875" style="4" customWidth="1"/>
    <col min="2" max="2" width="13.5703125" style="4" hidden="1" customWidth="1"/>
    <col min="3" max="3" width="74.28515625" style="4" customWidth="1"/>
    <col min="4" max="4" width="44" style="4" hidden="1" customWidth="1"/>
    <col min="5" max="8" width="11.7109375" style="4" customWidth="1"/>
    <col min="9" max="12" width="11" style="4" customWidth="1" outlineLevel="1"/>
    <col min="13" max="13" width="10.28515625" style="4" customWidth="1"/>
    <col min="14" max="14" width="9.28515625" style="4" customWidth="1"/>
    <col min="15" max="15" width="14.5703125" style="4" customWidth="1"/>
    <col min="16" max="16" width="16.140625" style="44" customWidth="1"/>
    <col min="17" max="18" width="16.140625" style="4" customWidth="1"/>
    <col min="19" max="19" width="21.7109375" style="44" customWidth="1"/>
    <col min="20" max="20" width="16.140625" style="4" customWidth="1"/>
    <col min="21" max="21" width="22.42578125" style="44" customWidth="1"/>
    <col min="22" max="22" width="21.140625" style="4" customWidth="1"/>
    <col min="23" max="23" width="158.7109375" style="16" customWidth="1"/>
    <col min="24" max="24" width="31.85546875" style="4" bestFit="1" customWidth="1"/>
    <col min="25" max="25" width="13.7109375" style="4" bestFit="1" customWidth="1"/>
    <col min="26" max="26" width="7.85546875" style="4" bestFit="1" customWidth="1"/>
    <col min="27" max="16384" width="9.140625" style="4"/>
  </cols>
  <sheetData>
    <row r="1" spans="2:24" ht="16.5" customHeight="1">
      <c r="B1" s="50"/>
      <c r="C1" s="50" t="s">
        <v>216</v>
      </c>
      <c r="D1" s="50"/>
      <c r="E1" s="50"/>
      <c r="F1" s="50"/>
      <c r="G1" s="50"/>
      <c r="H1" s="50"/>
    </row>
    <row r="2" spans="2:24">
      <c r="B2" s="50"/>
      <c r="C2" s="50" t="s">
        <v>217</v>
      </c>
      <c r="D2" s="50"/>
      <c r="E2" s="50"/>
      <c r="F2" s="50"/>
      <c r="G2" s="50"/>
      <c r="H2" s="50"/>
      <c r="M2" s="4" t="s">
        <v>0</v>
      </c>
      <c r="N2" s="51">
        <v>178</v>
      </c>
      <c r="O2" s="4" t="s">
        <v>1</v>
      </c>
      <c r="P2" s="52" t="s">
        <v>2</v>
      </c>
      <c r="Q2" s="53" t="s">
        <v>38</v>
      </c>
      <c r="R2" s="53"/>
      <c r="T2" s="53"/>
      <c r="U2" s="4"/>
    </row>
    <row r="3" spans="2:24">
      <c r="B3" s="50"/>
      <c r="C3" s="320" t="s">
        <v>213</v>
      </c>
      <c r="D3" s="50"/>
      <c r="E3" s="50"/>
      <c r="F3" s="50"/>
      <c r="G3" s="50"/>
      <c r="H3" s="50"/>
      <c r="P3" s="4"/>
      <c r="U3" s="4"/>
    </row>
    <row r="4" spans="2:24" ht="15" customHeight="1">
      <c r="B4" s="54" t="s">
        <v>27</v>
      </c>
      <c r="C4" s="54" t="s">
        <v>27</v>
      </c>
      <c r="D4" s="55"/>
      <c r="E4" s="55"/>
      <c r="F4" s="55"/>
      <c r="G4" s="55"/>
      <c r="H4" s="55"/>
      <c r="I4" s="461" t="s">
        <v>16</v>
      </c>
      <c r="J4" s="461"/>
      <c r="K4" s="461" t="s">
        <v>115</v>
      </c>
      <c r="L4" s="461"/>
      <c r="M4" s="55"/>
      <c r="N4" s="462" t="s">
        <v>15</v>
      </c>
      <c r="O4" s="462"/>
      <c r="P4" s="465" t="s">
        <v>3</v>
      </c>
      <c r="Q4" s="463" t="s">
        <v>4</v>
      </c>
      <c r="R4" s="465" t="s">
        <v>19</v>
      </c>
      <c r="S4" s="463" t="s">
        <v>5</v>
      </c>
      <c r="T4" s="465" t="s">
        <v>18</v>
      </c>
      <c r="U4" s="466" t="s">
        <v>6</v>
      </c>
      <c r="V4" s="56" t="s">
        <v>7</v>
      </c>
      <c r="W4" s="57"/>
    </row>
    <row r="5" spans="2:24" ht="15" customHeight="1">
      <c r="B5" s="54" t="s">
        <v>8</v>
      </c>
      <c r="C5" s="115" t="s">
        <v>9</v>
      </c>
      <c r="D5" s="115" t="s">
        <v>61</v>
      </c>
      <c r="E5" s="156"/>
      <c r="F5" s="156"/>
      <c r="G5" s="156"/>
      <c r="H5" s="156"/>
      <c r="I5" s="69" t="s">
        <v>10</v>
      </c>
      <c r="J5" s="114" t="s">
        <v>11</v>
      </c>
      <c r="K5" s="69" t="s">
        <v>10</v>
      </c>
      <c r="L5" s="114" t="s">
        <v>11</v>
      </c>
      <c r="M5" s="115"/>
      <c r="N5" s="115" t="s">
        <v>10</v>
      </c>
      <c r="O5" s="115" t="s">
        <v>11</v>
      </c>
      <c r="P5" s="465"/>
      <c r="Q5" s="463"/>
      <c r="R5" s="465"/>
      <c r="S5" s="464"/>
      <c r="T5" s="465"/>
      <c r="U5" s="466"/>
      <c r="V5" s="56" t="s">
        <v>12</v>
      </c>
      <c r="W5" s="58"/>
    </row>
    <row r="6" spans="2:24" ht="15" customHeight="1">
      <c r="C6" s="59" t="s">
        <v>20</v>
      </c>
      <c r="D6" s="59"/>
      <c r="E6" s="457" t="s">
        <v>62</v>
      </c>
      <c r="F6" s="458"/>
      <c r="G6" s="459" t="s">
        <v>63</v>
      </c>
      <c r="H6" s="460"/>
      <c r="I6" s="60"/>
      <c r="J6" s="60"/>
      <c r="K6" s="60"/>
      <c r="L6" s="60"/>
      <c r="M6" s="60"/>
      <c r="N6" s="60"/>
      <c r="O6" s="60"/>
      <c r="P6" s="63"/>
      <c r="Q6" s="61"/>
      <c r="R6" s="61"/>
      <c r="S6" s="62"/>
      <c r="T6" s="61"/>
      <c r="U6" s="62"/>
    </row>
    <row r="7" spans="2:24" ht="15" customHeight="1">
      <c r="B7" s="17"/>
      <c r="C7" s="31"/>
      <c r="D7" s="31"/>
      <c r="E7" s="158" t="s">
        <v>64</v>
      </c>
      <c r="F7" s="158" t="s">
        <v>65</v>
      </c>
      <c r="G7" s="158" t="s">
        <v>64</v>
      </c>
      <c r="H7" s="158" t="s">
        <v>65</v>
      </c>
      <c r="I7" s="18"/>
      <c r="J7" s="18"/>
      <c r="K7" s="18"/>
      <c r="L7" s="18"/>
      <c r="M7" s="18"/>
      <c r="N7" s="19"/>
      <c r="O7" s="20"/>
      <c r="P7" s="21"/>
      <c r="Q7" s="21"/>
      <c r="R7" s="21"/>
      <c r="S7" s="22"/>
      <c r="T7" s="21"/>
      <c r="U7" s="23"/>
      <c r="V7" s="15"/>
      <c r="X7" s="49"/>
    </row>
    <row r="8" spans="2:24" ht="15" customHeight="1">
      <c r="B8" s="1" t="s">
        <v>13</v>
      </c>
      <c r="C8" s="117" t="s">
        <v>171</v>
      </c>
      <c r="D8" s="117"/>
      <c r="E8" s="117"/>
      <c r="F8" s="117"/>
      <c r="G8" s="117"/>
      <c r="H8" s="117"/>
      <c r="I8" s="118"/>
      <c r="J8" s="118"/>
      <c r="K8" s="118"/>
      <c r="L8" s="118"/>
      <c r="M8" s="118"/>
      <c r="N8" s="119"/>
      <c r="O8" s="120"/>
      <c r="P8" s="121"/>
      <c r="Q8" s="122"/>
      <c r="R8" s="123"/>
      <c r="S8" s="124"/>
      <c r="T8" s="123"/>
      <c r="U8" s="125"/>
      <c r="V8" s="15"/>
    </row>
    <row r="9" spans="2:24" ht="15" customHeight="1">
      <c r="B9" s="5"/>
      <c r="C9" s="116" t="s">
        <v>133</v>
      </c>
      <c r="D9" s="116"/>
      <c r="E9" s="116"/>
      <c r="F9" s="116"/>
      <c r="G9" s="116"/>
      <c r="H9" s="116"/>
      <c r="I9" s="11"/>
      <c r="J9" s="11"/>
      <c r="K9" s="11"/>
      <c r="L9" s="11"/>
      <c r="M9" s="11"/>
      <c r="N9" s="9"/>
      <c r="O9" s="12"/>
      <c r="P9" s="66"/>
      <c r="Q9" s="24"/>
      <c r="R9" s="23"/>
      <c r="S9" s="27"/>
      <c r="T9" s="22"/>
      <c r="U9" s="22"/>
      <c r="V9" s="15"/>
    </row>
    <row r="10" spans="2:24" ht="15" customHeight="1" outlineLevel="1">
      <c r="B10" s="5"/>
      <c r="C10" s="109" t="str">
        <f>'TAKEOFF DETAIL'!B14</f>
        <v>1-1/4" EMT Conduit</v>
      </c>
      <c r="D10" s="116"/>
      <c r="E10" s="159" t="s">
        <v>66</v>
      </c>
      <c r="F10" s="159" t="s">
        <v>66</v>
      </c>
      <c r="G10" s="159"/>
      <c r="H10" s="131"/>
      <c r="I10" s="43"/>
      <c r="J10" s="70">
        <f>'TAKEOFF DETAIL'!BU14</f>
        <v>30</v>
      </c>
      <c r="K10" s="43"/>
      <c r="L10" s="43"/>
      <c r="M10" s="30"/>
      <c r="N10" s="19"/>
      <c r="O10" s="71">
        <f t="shared" ref="O10:O12" si="0">J10+L10</f>
        <v>30</v>
      </c>
      <c r="P10" s="66">
        <f t="shared" ref="P10:P13" si="1">IF(N10&gt;0,N10*Q10,O10*Q10)</f>
        <v>1.8599999999999999</v>
      </c>
      <c r="Q10" s="24">
        <v>6.2E-2</v>
      </c>
      <c r="R10" s="23">
        <f t="shared" ref="R10:R11" si="2">P10*$N$2</f>
        <v>331.08</v>
      </c>
      <c r="S10" s="23"/>
      <c r="T10" s="22">
        <f t="shared" ref="T10:T13" si="3">(N10+O10)*S10</f>
        <v>0</v>
      </c>
      <c r="U10" s="22">
        <f t="shared" ref="U10:U13" si="4">+R10+T10</f>
        <v>331.08</v>
      </c>
      <c r="V10" s="15" t="s">
        <v>38</v>
      </c>
    </row>
    <row r="11" spans="2:24" ht="15" customHeight="1" outlineLevel="1">
      <c r="B11" s="5"/>
      <c r="C11" s="109" t="str">
        <f>'TAKEOFF DETAIL'!B23</f>
        <v>Copper Wire, 1#3 AWG</v>
      </c>
      <c r="D11" s="116"/>
      <c r="E11" s="159" t="s">
        <v>66</v>
      </c>
      <c r="F11" s="159" t="s">
        <v>66</v>
      </c>
      <c r="G11" s="159"/>
      <c r="H11" s="131"/>
      <c r="I11" s="43"/>
      <c r="J11" s="70">
        <f>'TAKEOFF DETAIL'!BU23</f>
        <v>120</v>
      </c>
      <c r="K11" s="43"/>
      <c r="L11" s="43"/>
      <c r="M11" s="30"/>
      <c r="N11" s="19"/>
      <c r="O11" s="71">
        <f t="shared" si="0"/>
        <v>120</v>
      </c>
      <c r="P11" s="66">
        <f t="shared" si="1"/>
        <v>1.7999999999999998</v>
      </c>
      <c r="Q11" s="24">
        <v>1.4999999999999999E-2</v>
      </c>
      <c r="R11" s="23">
        <f t="shared" si="2"/>
        <v>320.39999999999998</v>
      </c>
      <c r="S11" s="23"/>
      <c r="T11" s="22">
        <f t="shared" si="3"/>
        <v>0</v>
      </c>
      <c r="U11" s="22">
        <f t="shared" si="4"/>
        <v>320.39999999999998</v>
      </c>
      <c r="V11" s="15" t="s">
        <v>38</v>
      </c>
    </row>
    <row r="12" spans="2:24" ht="15" customHeight="1" outlineLevel="1">
      <c r="B12" s="5"/>
      <c r="C12" s="109" t="str">
        <f>'TAKEOFF DETAIL'!B24</f>
        <v>Copper Wire, 1#8G AWG</v>
      </c>
      <c r="D12" s="116"/>
      <c r="E12" s="159" t="s">
        <v>66</v>
      </c>
      <c r="F12" s="159" t="s">
        <v>66</v>
      </c>
      <c r="G12" s="159"/>
      <c r="H12" s="131"/>
      <c r="I12" s="43"/>
      <c r="J12" s="70">
        <f>'TAKEOFF DETAIL'!BU24</f>
        <v>40</v>
      </c>
      <c r="K12" s="43"/>
      <c r="L12" s="43"/>
      <c r="M12" s="30"/>
      <c r="N12" s="19"/>
      <c r="O12" s="71">
        <f t="shared" si="0"/>
        <v>40</v>
      </c>
      <c r="P12" s="66">
        <f t="shared" ref="P12" si="5">IF(N12&gt;0,N12*Q12,O12*Q12)</f>
        <v>0.36</v>
      </c>
      <c r="Q12" s="24">
        <v>8.9999999999999993E-3</v>
      </c>
      <c r="R12" s="23">
        <f t="shared" ref="R12" si="6">P12*$N$2</f>
        <v>64.08</v>
      </c>
      <c r="S12" s="23"/>
      <c r="T12" s="22">
        <f t="shared" ref="T12" si="7">(N12+O12)*S12</f>
        <v>0</v>
      </c>
      <c r="U12" s="22">
        <f t="shared" ref="U12" si="8">+R12+T12</f>
        <v>64.08</v>
      </c>
      <c r="V12" s="15" t="s">
        <v>38</v>
      </c>
    </row>
    <row r="13" spans="2:24" ht="15" customHeight="1" outlineLevel="1">
      <c r="B13" s="5"/>
      <c r="C13" s="109" t="s">
        <v>67</v>
      </c>
      <c r="D13" s="116"/>
      <c r="E13" s="159" t="s">
        <v>66</v>
      </c>
      <c r="F13" s="159" t="s">
        <v>66</v>
      </c>
      <c r="G13" s="159"/>
      <c r="H13" s="131"/>
      <c r="I13" s="160">
        <v>1</v>
      </c>
      <c r="J13" s="43"/>
      <c r="K13" s="43"/>
      <c r="L13" s="43"/>
      <c r="M13" s="30"/>
      <c r="N13" s="161">
        <f>I13+K13</f>
        <v>1</v>
      </c>
      <c r="O13" s="132"/>
      <c r="P13" s="66">
        <f t="shared" si="1"/>
        <v>0</v>
      </c>
      <c r="Q13" s="24"/>
      <c r="R13" s="23">
        <f>P13*$N$2</f>
        <v>0</v>
      </c>
      <c r="S13" s="432"/>
      <c r="T13" s="22">
        <f t="shared" si="3"/>
        <v>0</v>
      </c>
      <c r="U13" s="22">
        <f t="shared" si="4"/>
        <v>0</v>
      </c>
      <c r="V13" s="15"/>
    </row>
    <row r="14" spans="2:24" ht="15" customHeight="1" outlineLevel="1">
      <c r="B14" s="5"/>
      <c r="C14" s="109"/>
      <c r="D14" s="116"/>
      <c r="E14" s="159"/>
      <c r="F14" s="159"/>
      <c r="G14" s="109"/>
      <c r="H14" s="109"/>
      <c r="I14" s="43"/>
      <c r="J14" s="70"/>
      <c r="K14" s="68"/>
      <c r="L14" s="70"/>
      <c r="M14" s="30"/>
      <c r="N14" s="19"/>
      <c r="O14" s="71"/>
      <c r="P14" s="67"/>
      <c r="Q14" s="24"/>
      <c r="R14" s="22"/>
      <c r="S14" s="126"/>
      <c r="T14" s="22"/>
      <c r="U14" s="22"/>
      <c r="V14" s="15"/>
      <c r="W14" s="127"/>
    </row>
    <row r="15" spans="2:24" ht="15" customHeight="1">
      <c r="B15" s="10"/>
      <c r="C15" s="128" t="s">
        <v>133</v>
      </c>
      <c r="D15" s="128"/>
      <c r="E15" s="128"/>
      <c r="F15" s="128"/>
      <c r="G15" s="128"/>
      <c r="H15" s="128"/>
      <c r="I15" s="129"/>
      <c r="J15" s="129"/>
      <c r="K15" s="129"/>
      <c r="L15" s="129"/>
      <c r="M15" s="6"/>
      <c r="N15" s="7"/>
      <c r="O15" s="8"/>
      <c r="P15" s="162">
        <f>SUM(P9:P14)</f>
        <v>4.0199999999999996</v>
      </c>
      <c r="Q15" s="13"/>
      <c r="R15" s="130">
        <f>SUM(R9:R14)</f>
        <v>715.56000000000006</v>
      </c>
      <c r="S15" s="14"/>
      <c r="T15" s="130">
        <f>SUM(T9:T14)</f>
        <v>0</v>
      </c>
      <c r="U15" s="130">
        <f>SUM(U9:U14)</f>
        <v>715.56000000000006</v>
      </c>
      <c r="V15" s="15"/>
    </row>
    <row r="16" spans="2:24" ht="15" customHeight="1">
      <c r="B16" s="1" t="s">
        <v>13</v>
      </c>
      <c r="C16" s="32" t="s">
        <v>134</v>
      </c>
      <c r="D16" s="32"/>
      <c r="E16" s="32"/>
      <c r="F16" s="32"/>
      <c r="G16" s="32"/>
      <c r="H16" s="32"/>
      <c r="I16" s="34"/>
      <c r="J16" s="34"/>
      <c r="K16" s="34"/>
      <c r="L16" s="34"/>
      <c r="M16" s="34"/>
      <c r="N16" s="35"/>
      <c r="O16" s="36"/>
      <c r="P16" s="163">
        <f>P15</f>
        <v>4.0199999999999996</v>
      </c>
      <c r="Q16" s="37"/>
      <c r="R16" s="39">
        <f>R15</f>
        <v>715.56000000000006</v>
      </c>
      <c r="S16" s="38"/>
      <c r="T16" s="39">
        <f>T15</f>
        <v>0</v>
      </c>
      <c r="U16" s="39">
        <f>U15</f>
        <v>715.56000000000006</v>
      </c>
      <c r="V16" s="15"/>
    </row>
    <row r="17" spans="2:23" ht="15" customHeight="1">
      <c r="B17" s="10"/>
      <c r="C17" s="40"/>
      <c r="D17" s="40"/>
      <c r="E17" s="40"/>
      <c r="F17" s="40"/>
      <c r="G17" s="40"/>
      <c r="H17" s="40"/>
      <c r="I17" s="41"/>
      <c r="J17" s="41"/>
      <c r="K17" s="41"/>
      <c r="L17" s="41"/>
      <c r="M17" s="11"/>
      <c r="N17" s="9"/>
      <c r="O17" s="12"/>
      <c r="P17" s="66"/>
      <c r="Q17" s="21"/>
      <c r="R17" s="133"/>
      <c r="S17" s="28"/>
      <c r="T17" s="133"/>
      <c r="U17" s="133"/>
      <c r="V17" s="15"/>
    </row>
    <row r="18" spans="2:23" ht="15" customHeight="1">
      <c r="B18" s="1" t="s">
        <v>26</v>
      </c>
      <c r="C18" s="117" t="s">
        <v>101</v>
      </c>
      <c r="D18" s="117"/>
      <c r="E18" s="117"/>
      <c r="F18" s="117"/>
      <c r="G18" s="117"/>
      <c r="H18" s="117"/>
      <c r="I18" s="118"/>
      <c r="J18" s="118"/>
      <c r="K18" s="118"/>
      <c r="L18" s="118"/>
      <c r="M18" s="118"/>
      <c r="N18" s="119"/>
      <c r="O18" s="120"/>
      <c r="P18" s="121"/>
      <c r="Q18" s="122"/>
      <c r="R18" s="123"/>
      <c r="S18" s="124"/>
      <c r="T18" s="123"/>
      <c r="U18" s="125"/>
      <c r="V18" s="15"/>
    </row>
    <row r="19" spans="2:23" ht="15" customHeight="1">
      <c r="B19" s="5"/>
      <c r="C19" s="116" t="s">
        <v>113</v>
      </c>
      <c r="D19" s="116"/>
      <c r="E19" s="116"/>
      <c r="F19" s="116"/>
      <c r="G19" s="116"/>
      <c r="H19" s="116"/>
      <c r="I19" s="11"/>
      <c r="J19" s="11"/>
      <c r="K19" s="11"/>
      <c r="L19" s="11"/>
      <c r="M19" s="11"/>
      <c r="N19" s="9"/>
      <c r="O19" s="12"/>
      <c r="P19" s="66"/>
      <c r="Q19" s="21"/>
      <c r="R19" s="22"/>
      <c r="S19" s="28"/>
      <c r="T19" s="22"/>
      <c r="U19" s="22"/>
      <c r="V19" s="15"/>
    </row>
    <row r="20" spans="2:23" ht="15" customHeight="1" outlineLevel="1">
      <c r="B20" s="106"/>
      <c r="C20" s="131" t="str">
        <f>'TAKEOFF DETAIL'!B26</f>
        <v>Junction Box</v>
      </c>
      <c r="D20" s="131"/>
      <c r="E20" s="364" t="s">
        <v>66</v>
      </c>
      <c r="F20" s="364" t="s">
        <v>66</v>
      </c>
      <c r="G20" s="364"/>
      <c r="H20" s="109"/>
      <c r="I20" s="433">
        <f>'TAKEOFF DETAIL'!BH26+'TAKEOFF DETAIL'!L61</f>
        <v>263</v>
      </c>
      <c r="J20" s="433"/>
      <c r="K20" s="433">
        <f>'TAKEOFF DETAIL'!BR26</f>
        <v>0</v>
      </c>
      <c r="L20" s="433"/>
      <c r="M20" s="434"/>
      <c r="N20" s="361">
        <f>I20+K20</f>
        <v>263</v>
      </c>
      <c r="O20" s="25"/>
      <c r="P20" s="67">
        <f>IF(N20&gt;0,N20*Q20,O20*Q20)</f>
        <v>131.5</v>
      </c>
      <c r="Q20" s="24">
        <v>0.5</v>
      </c>
      <c r="R20" s="23">
        <f>P20*$N$2</f>
        <v>23407</v>
      </c>
      <c r="S20" s="23"/>
      <c r="T20" s="22">
        <f>(N20+O20)*S20</f>
        <v>0</v>
      </c>
      <c r="U20" s="22">
        <f>+R20+T20</f>
        <v>23407</v>
      </c>
      <c r="V20" s="15" t="s">
        <v>38</v>
      </c>
      <c r="W20" s="137"/>
    </row>
    <row r="21" spans="2:23" ht="15" customHeight="1" outlineLevel="1">
      <c r="B21" s="106"/>
      <c r="C21" s="131" t="str">
        <f>'TAKEOFF DETAIL'!B27</f>
        <v>Junction Box, Weatherproof</v>
      </c>
      <c r="D21" s="131"/>
      <c r="E21" s="364" t="s">
        <v>66</v>
      </c>
      <c r="F21" s="364" t="s">
        <v>66</v>
      </c>
      <c r="G21" s="364"/>
      <c r="H21" s="109"/>
      <c r="I21" s="433">
        <f>'TAKEOFF DETAIL'!BH27</f>
        <v>0</v>
      </c>
      <c r="J21" s="433"/>
      <c r="K21" s="433">
        <f>'TAKEOFF DETAIL'!BR27</f>
        <v>10</v>
      </c>
      <c r="L21" s="433"/>
      <c r="M21" s="434"/>
      <c r="N21" s="361">
        <f>I21+K21</f>
        <v>10</v>
      </c>
      <c r="O21" s="25"/>
      <c r="P21" s="67">
        <f>IF(N21&gt;0,N21*Q21,O21*Q21)</f>
        <v>5</v>
      </c>
      <c r="Q21" s="24">
        <v>0.5</v>
      </c>
      <c r="R21" s="23">
        <f>P21*$N$2</f>
        <v>890</v>
      </c>
      <c r="S21" s="23"/>
      <c r="T21" s="22">
        <f>(N21+O21)*S21</f>
        <v>0</v>
      </c>
      <c r="U21" s="22">
        <f>+R21+T21</f>
        <v>890</v>
      </c>
      <c r="V21" s="15" t="s">
        <v>38</v>
      </c>
      <c r="W21" s="137"/>
    </row>
    <row r="22" spans="2:23" ht="15" customHeight="1" outlineLevel="1">
      <c r="B22" s="106"/>
      <c r="C22" s="131" t="str">
        <f>'TAKEOFF DETAIL'!B28</f>
        <v>Duplex Receptacle</v>
      </c>
      <c r="D22" s="131"/>
      <c r="E22" s="364" t="s">
        <v>66</v>
      </c>
      <c r="F22" s="364" t="s">
        <v>66</v>
      </c>
      <c r="G22" s="364"/>
      <c r="H22" s="109"/>
      <c r="I22" s="433">
        <f>'TAKEOFF DETAIL'!BH28</f>
        <v>32</v>
      </c>
      <c r="J22" s="433"/>
      <c r="K22" s="433">
        <f>'TAKEOFF DETAIL'!BR28</f>
        <v>0</v>
      </c>
      <c r="L22" s="433"/>
      <c r="M22" s="434"/>
      <c r="N22" s="361">
        <f>I22+K22</f>
        <v>32</v>
      </c>
      <c r="O22" s="25"/>
      <c r="P22" s="67">
        <f t="shared" ref="P22:P27" si="9">IF(N22&gt;0,N22*Q22,O22*Q22)</f>
        <v>12.8</v>
      </c>
      <c r="Q22" s="24">
        <v>0.4</v>
      </c>
      <c r="R22" s="23">
        <f t="shared" ref="R22:R27" si="10">P22*$N$2</f>
        <v>2278.4</v>
      </c>
      <c r="S22" s="23"/>
      <c r="T22" s="22">
        <f t="shared" ref="T22:T27" si="11">(N22+O22)*S22</f>
        <v>0</v>
      </c>
      <c r="U22" s="22">
        <f t="shared" ref="U22:U27" si="12">+R22+T22</f>
        <v>2278.4</v>
      </c>
      <c r="V22" s="15" t="s">
        <v>38</v>
      </c>
      <c r="W22" s="137"/>
    </row>
    <row r="23" spans="2:23" ht="15" customHeight="1" outlineLevel="1">
      <c r="B23" s="106"/>
      <c r="C23" s="131" t="str">
        <f>'TAKEOFF DETAIL'!B29</f>
        <v>Duplex Dedicated Receptacle</v>
      </c>
      <c r="D23" s="131"/>
      <c r="E23" s="364" t="s">
        <v>66</v>
      </c>
      <c r="F23" s="364" t="s">
        <v>66</v>
      </c>
      <c r="G23" s="364"/>
      <c r="H23" s="109"/>
      <c r="I23" s="433">
        <f>'TAKEOFF DETAIL'!BH29</f>
        <v>7</v>
      </c>
      <c r="J23" s="433"/>
      <c r="K23" s="433">
        <f>'TAKEOFF DETAIL'!BR29</f>
        <v>0</v>
      </c>
      <c r="L23" s="433"/>
      <c r="M23" s="434"/>
      <c r="N23" s="361">
        <f t="shared" ref="N23:N27" si="13">I23+K23</f>
        <v>7</v>
      </c>
      <c r="O23" s="25"/>
      <c r="P23" s="67">
        <f t="shared" si="9"/>
        <v>2.8000000000000003</v>
      </c>
      <c r="Q23" s="24">
        <v>0.4</v>
      </c>
      <c r="R23" s="23">
        <f t="shared" si="10"/>
        <v>498.40000000000003</v>
      </c>
      <c r="S23" s="23"/>
      <c r="T23" s="22">
        <f t="shared" si="11"/>
        <v>0</v>
      </c>
      <c r="U23" s="22">
        <f t="shared" si="12"/>
        <v>498.40000000000003</v>
      </c>
      <c r="V23" s="15" t="s">
        <v>38</v>
      </c>
      <c r="W23" s="137"/>
    </row>
    <row r="24" spans="2:23" ht="15" customHeight="1" outlineLevel="1">
      <c r="B24" s="106"/>
      <c r="C24" s="131" t="str">
        <f>'TAKEOFF DETAIL'!B30</f>
        <v>Duplex Receptacle, with Surge Protection Device</v>
      </c>
      <c r="D24" s="131"/>
      <c r="E24" s="364" t="s">
        <v>66</v>
      </c>
      <c r="F24" s="364" t="s">
        <v>66</v>
      </c>
      <c r="G24" s="364"/>
      <c r="H24" s="109"/>
      <c r="I24" s="433">
        <f>'TAKEOFF DETAIL'!BH30</f>
        <v>2</v>
      </c>
      <c r="J24" s="433"/>
      <c r="K24" s="433">
        <f>'TAKEOFF DETAIL'!BR30</f>
        <v>0</v>
      </c>
      <c r="L24" s="433"/>
      <c r="M24" s="434"/>
      <c r="N24" s="361">
        <f t="shared" ref="N24:N26" si="14">I24+K24</f>
        <v>2</v>
      </c>
      <c r="O24" s="25"/>
      <c r="P24" s="67">
        <f t="shared" ref="P24:P26" si="15">IF(N24&gt;0,N24*Q24,O24*Q24)</f>
        <v>0.9</v>
      </c>
      <c r="Q24" s="24">
        <v>0.45</v>
      </c>
      <c r="R24" s="23">
        <f t="shared" ref="R24:R26" si="16">P24*$N$2</f>
        <v>160.20000000000002</v>
      </c>
      <c r="S24" s="23"/>
      <c r="T24" s="22">
        <f t="shared" ref="T24:T26" si="17">(N24+O24)*S24</f>
        <v>0</v>
      </c>
      <c r="U24" s="22">
        <f t="shared" ref="U24:U26" si="18">+R24+T24</f>
        <v>160.20000000000002</v>
      </c>
      <c r="V24" s="15" t="s">
        <v>38</v>
      </c>
      <c r="W24" s="137"/>
    </row>
    <row r="25" spans="2:23" ht="15" customHeight="1" outlineLevel="1">
      <c r="B25" s="106"/>
      <c r="C25" s="131" t="str">
        <f>+'TAKEOFF DETAIL'!B65</f>
        <v>Duplex Receptacle, GFCI Type WP</v>
      </c>
      <c r="D25" s="131"/>
      <c r="E25" s="364" t="s">
        <v>66</v>
      </c>
      <c r="F25" s="364" t="s">
        <v>66</v>
      </c>
      <c r="G25" s="364"/>
      <c r="H25" s="109"/>
      <c r="I25" s="433">
        <f>+'TAKEOFF DETAIL'!L65</f>
        <v>2</v>
      </c>
      <c r="J25" s="433"/>
      <c r="K25" s="433">
        <f>'TAKEOFF DETAIL'!BR30</f>
        <v>0</v>
      </c>
      <c r="L25" s="433"/>
      <c r="M25" s="434"/>
      <c r="N25" s="361">
        <f t="shared" ref="N25" si="19">I25+K25</f>
        <v>2</v>
      </c>
      <c r="O25" s="25"/>
      <c r="P25" s="67">
        <f t="shared" ref="P25" si="20">IF(N25&gt;0,N25*Q25,O25*Q25)</f>
        <v>0.9</v>
      </c>
      <c r="Q25" s="24">
        <v>0.45</v>
      </c>
      <c r="R25" s="23">
        <f t="shared" ref="R25" si="21">P25*$N$2</f>
        <v>160.20000000000002</v>
      </c>
      <c r="S25" s="23"/>
      <c r="T25" s="22">
        <f t="shared" ref="T25" si="22">(N25+O25)*S25</f>
        <v>0</v>
      </c>
      <c r="U25" s="22">
        <f t="shared" ref="U25" si="23">+R25+T25</f>
        <v>160.20000000000002</v>
      </c>
      <c r="V25" s="15" t="s">
        <v>38</v>
      </c>
      <c r="W25" s="137"/>
    </row>
    <row r="26" spans="2:23" ht="15" customHeight="1" outlineLevel="1">
      <c r="B26" s="106"/>
      <c r="C26" s="131" t="str">
        <f>'TAKEOFF DETAIL'!B31</f>
        <v>Duplex Receptacle, Floor Mounted</v>
      </c>
      <c r="D26" s="131"/>
      <c r="E26" s="364" t="s">
        <v>66</v>
      </c>
      <c r="F26" s="364" t="s">
        <v>66</v>
      </c>
      <c r="G26" s="364"/>
      <c r="H26" s="109"/>
      <c r="I26" s="433">
        <f>'TAKEOFF DETAIL'!BH31</f>
        <v>4</v>
      </c>
      <c r="J26" s="433"/>
      <c r="K26" s="433">
        <f>'TAKEOFF DETAIL'!BR31</f>
        <v>0</v>
      </c>
      <c r="L26" s="433"/>
      <c r="M26" s="434"/>
      <c r="N26" s="361">
        <f t="shared" si="14"/>
        <v>4</v>
      </c>
      <c r="O26" s="25"/>
      <c r="P26" s="67">
        <f t="shared" si="15"/>
        <v>4</v>
      </c>
      <c r="Q26" s="24">
        <v>1</v>
      </c>
      <c r="R26" s="23">
        <f t="shared" si="16"/>
        <v>712</v>
      </c>
      <c r="S26" s="23"/>
      <c r="T26" s="22">
        <f t="shared" si="17"/>
        <v>0</v>
      </c>
      <c r="U26" s="22">
        <f t="shared" si="18"/>
        <v>712</v>
      </c>
      <c r="V26" s="15" t="s">
        <v>38</v>
      </c>
      <c r="W26" s="137"/>
    </row>
    <row r="27" spans="2:23" ht="15" customHeight="1" outlineLevel="1">
      <c r="B27" s="106"/>
      <c r="C27" s="131" t="str">
        <f>'TAKEOFF DETAIL'!B32</f>
        <v>Quadruplex Receptacle</v>
      </c>
      <c r="D27" s="131"/>
      <c r="E27" s="364" t="s">
        <v>66</v>
      </c>
      <c r="F27" s="364" t="s">
        <v>66</v>
      </c>
      <c r="G27" s="364"/>
      <c r="H27" s="109"/>
      <c r="I27" s="433">
        <f>'TAKEOFF DETAIL'!BH32</f>
        <v>10</v>
      </c>
      <c r="J27" s="433"/>
      <c r="K27" s="433">
        <f>'TAKEOFF DETAIL'!BR32</f>
        <v>0</v>
      </c>
      <c r="L27" s="433"/>
      <c r="M27" s="434"/>
      <c r="N27" s="361">
        <f t="shared" si="13"/>
        <v>10</v>
      </c>
      <c r="O27" s="25"/>
      <c r="P27" s="67">
        <f t="shared" si="9"/>
        <v>8</v>
      </c>
      <c r="Q27" s="24">
        <v>0.8</v>
      </c>
      <c r="R27" s="23">
        <f t="shared" si="10"/>
        <v>1424</v>
      </c>
      <c r="S27" s="23"/>
      <c r="T27" s="22">
        <f t="shared" si="11"/>
        <v>0</v>
      </c>
      <c r="U27" s="22">
        <f t="shared" si="12"/>
        <v>1424</v>
      </c>
      <c r="V27" s="15" t="s">
        <v>38</v>
      </c>
      <c r="W27" s="137"/>
    </row>
    <row r="28" spans="2:23" ht="15" customHeight="1" outlineLevel="1">
      <c r="B28" s="106"/>
      <c r="C28" s="131" t="str">
        <f>'TAKEOFF DETAIL'!B33</f>
        <v>Special Purpose Receptacle, NEMA 6-50R</v>
      </c>
      <c r="D28" s="131"/>
      <c r="E28" s="364" t="s">
        <v>66</v>
      </c>
      <c r="F28" s="364" t="s">
        <v>66</v>
      </c>
      <c r="G28" s="364"/>
      <c r="H28" s="109"/>
      <c r="I28" s="433">
        <f>'TAKEOFF DETAIL'!BH33</f>
        <v>2</v>
      </c>
      <c r="J28" s="433"/>
      <c r="K28" s="433">
        <f>'TAKEOFF DETAIL'!BR33</f>
        <v>0</v>
      </c>
      <c r="L28" s="433"/>
      <c r="M28" s="434"/>
      <c r="N28" s="361">
        <f t="shared" ref="N28:N31" si="24">I28+K28</f>
        <v>2</v>
      </c>
      <c r="O28" s="25"/>
      <c r="P28" s="67">
        <f t="shared" ref="P28:P31" si="25">IF(N28&gt;0,N28*Q28,O28*Q28)</f>
        <v>2</v>
      </c>
      <c r="Q28" s="24">
        <v>1</v>
      </c>
      <c r="R28" s="23">
        <f t="shared" ref="R28:R31" si="26">P28*$N$2</f>
        <v>356</v>
      </c>
      <c r="S28" s="23"/>
      <c r="T28" s="22">
        <f t="shared" ref="T28:T31" si="27">(N28+O28)*S28</f>
        <v>0</v>
      </c>
      <c r="U28" s="22">
        <f t="shared" ref="U28:U31" si="28">+R28+T28</f>
        <v>356</v>
      </c>
      <c r="V28" s="15" t="s">
        <v>38</v>
      </c>
      <c r="W28" s="137" t="s">
        <v>275</v>
      </c>
    </row>
    <row r="29" spans="2:23" ht="15" customHeight="1" outlineLevel="1">
      <c r="B29" s="106"/>
      <c r="C29" s="131" t="str">
        <f>'TAKEOFF DETAIL'!B34</f>
        <v>Special Purpose Receptacle, NEMA 5-15R</v>
      </c>
      <c r="D29" s="131"/>
      <c r="E29" s="364" t="s">
        <v>66</v>
      </c>
      <c r="F29" s="364" t="s">
        <v>66</v>
      </c>
      <c r="G29" s="364"/>
      <c r="H29" s="109"/>
      <c r="I29" s="433">
        <f>'TAKEOFF DETAIL'!BH34</f>
        <v>2</v>
      </c>
      <c r="J29" s="433"/>
      <c r="K29" s="433">
        <f>'TAKEOFF DETAIL'!BR34</f>
        <v>0</v>
      </c>
      <c r="L29" s="433"/>
      <c r="M29" s="434"/>
      <c r="N29" s="361">
        <f t="shared" si="24"/>
        <v>2</v>
      </c>
      <c r="O29" s="25"/>
      <c r="P29" s="67">
        <f t="shared" si="25"/>
        <v>2</v>
      </c>
      <c r="Q29" s="24">
        <v>1</v>
      </c>
      <c r="R29" s="23">
        <f t="shared" si="26"/>
        <v>356</v>
      </c>
      <c r="S29" s="23"/>
      <c r="T29" s="22">
        <f t="shared" si="27"/>
        <v>0</v>
      </c>
      <c r="U29" s="22">
        <f t="shared" si="28"/>
        <v>356</v>
      </c>
      <c r="V29" s="15" t="s">
        <v>38</v>
      </c>
      <c r="W29" s="137"/>
    </row>
    <row r="30" spans="2:23" ht="15" customHeight="1" outlineLevel="1">
      <c r="B30" s="106"/>
      <c r="C30" s="131" t="str">
        <f>'TAKEOFF DETAIL'!B35</f>
        <v>Special Purpose Receptacle, NEMA 14-50R</v>
      </c>
      <c r="D30" s="131"/>
      <c r="E30" s="364" t="s">
        <v>66</v>
      </c>
      <c r="F30" s="364" t="s">
        <v>66</v>
      </c>
      <c r="G30" s="364"/>
      <c r="H30" s="109"/>
      <c r="I30" s="433">
        <f>'TAKEOFF DETAIL'!BH35</f>
        <v>2</v>
      </c>
      <c r="J30" s="433"/>
      <c r="K30" s="433">
        <f>'TAKEOFF DETAIL'!BR35</f>
        <v>0</v>
      </c>
      <c r="L30" s="433"/>
      <c r="M30" s="434"/>
      <c r="N30" s="361">
        <f t="shared" si="24"/>
        <v>2</v>
      </c>
      <c r="O30" s="25"/>
      <c r="P30" s="67">
        <f t="shared" si="25"/>
        <v>2</v>
      </c>
      <c r="Q30" s="24">
        <v>1</v>
      </c>
      <c r="R30" s="23">
        <f t="shared" si="26"/>
        <v>356</v>
      </c>
      <c r="S30" s="23"/>
      <c r="T30" s="22">
        <f t="shared" si="27"/>
        <v>0</v>
      </c>
      <c r="U30" s="22">
        <f t="shared" si="28"/>
        <v>356</v>
      </c>
      <c r="V30" s="15" t="s">
        <v>38</v>
      </c>
      <c r="W30" s="137" t="s">
        <v>276</v>
      </c>
    </row>
    <row r="31" spans="2:23" ht="15" customHeight="1" outlineLevel="1">
      <c r="B31" s="106"/>
      <c r="C31" s="131" t="str">
        <f>'TAKEOFF DETAIL'!B36</f>
        <v>Special Purpose Receptacle, NEMA 6-30R</v>
      </c>
      <c r="D31" s="131"/>
      <c r="E31" s="364" t="s">
        <v>66</v>
      </c>
      <c r="F31" s="364" t="s">
        <v>66</v>
      </c>
      <c r="G31" s="364"/>
      <c r="H31" s="109"/>
      <c r="I31" s="433">
        <f>'TAKEOFF DETAIL'!BH36</f>
        <v>2</v>
      </c>
      <c r="J31" s="433"/>
      <c r="K31" s="433">
        <f>'TAKEOFF DETAIL'!BR36</f>
        <v>0</v>
      </c>
      <c r="L31" s="433"/>
      <c r="M31" s="434"/>
      <c r="N31" s="361">
        <f t="shared" si="24"/>
        <v>2</v>
      </c>
      <c r="O31" s="25"/>
      <c r="P31" s="67">
        <f t="shared" si="25"/>
        <v>2</v>
      </c>
      <c r="Q31" s="24">
        <v>1</v>
      </c>
      <c r="R31" s="23">
        <f t="shared" si="26"/>
        <v>356</v>
      </c>
      <c r="S31" s="23"/>
      <c r="T31" s="22">
        <f t="shared" si="27"/>
        <v>0</v>
      </c>
      <c r="U31" s="22">
        <f t="shared" si="28"/>
        <v>356</v>
      </c>
      <c r="V31" s="15" t="s">
        <v>38</v>
      </c>
      <c r="W31" s="137" t="s">
        <v>277</v>
      </c>
    </row>
    <row r="32" spans="2:23" ht="15" customHeight="1" outlineLevel="1">
      <c r="B32" s="106"/>
      <c r="C32" s="109" t="str">
        <f>'TAKEOFF DETAIL'!B37</f>
        <v>LeGrand Plugmold (MODEL#: BK20GB509TRUAC)</v>
      </c>
      <c r="D32" s="131"/>
      <c r="E32" s="364" t="s">
        <v>66</v>
      </c>
      <c r="F32" s="364" t="s">
        <v>66</v>
      </c>
      <c r="G32" s="364"/>
      <c r="H32" s="109"/>
      <c r="I32" s="433">
        <f>'TAKEOFF DETAIL'!BH37</f>
        <v>3</v>
      </c>
      <c r="J32" s="433"/>
      <c r="K32" s="433">
        <f>'TAKEOFF DETAIL'!BR37</f>
        <v>0</v>
      </c>
      <c r="L32" s="433"/>
      <c r="M32" s="434"/>
      <c r="N32" s="361">
        <f t="shared" ref="N32" si="29">I32+K32</f>
        <v>3</v>
      </c>
      <c r="O32" s="25"/>
      <c r="P32" s="67">
        <f t="shared" ref="P32" si="30">IF(N32&gt;0,N32*Q32,O32*Q32)</f>
        <v>6</v>
      </c>
      <c r="Q32" s="24">
        <v>2</v>
      </c>
      <c r="R32" s="23">
        <f t="shared" ref="R32" si="31">P32*$N$2</f>
        <v>1068</v>
      </c>
      <c r="S32" s="23"/>
      <c r="T32" s="22">
        <f t="shared" ref="T32" si="32">(N32+O32)*S32</f>
        <v>0</v>
      </c>
      <c r="U32" s="22">
        <f t="shared" ref="U32" si="33">+R32+T32</f>
        <v>1068</v>
      </c>
      <c r="V32" s="15" t="s">
        <v>38</v>
      </c>
      <c r="W32" s="137" t="s">
        <v>274</v>
      </c>
    </row>
    <row r="33" spans="2:23" ht="15" customHeight="1" outlineLevel="1">
      <c r="B33" s="106"/>
      <c r="C33" s="109"/>
      <c r="D33" s="131"/>
      <c r="E33" s="159"/>
      <c r="F33" s="159"/>
      <c r="G33" s="159"/>
      <c r="H33" s="131"/>
      <c r="I33" s="43"/>
      <c r="J33" s="43"/>
      <c r="K33" s="43"/>
      <c r="L33" s="43"/>
      <c r="M33" s="30"/>
      <c r="N33" s="19"/>
      <c r="O33" s="132"/>
      <c r="P33" s="66"/>
      <c r="Q33" s="21"/>
      <c r="R33" s="22"/>
      <c r="S33" s="126"/>
      <c r="T33" s="22"/>
      <c r="U33" s="22"/>
      <c r="V33" s="15"/>
      <c r="W33" s="107"/>
    </row>
    <row r="34" spans="2:23" ht="15" customHeight="1">
      <c r="B34" s="10"/>
      <c r="C34" s="128" t="s">
        <v>113</v>
      </c>
      <c r="D34" s="128"/>
      <c r="E34" s="128"/>
      <c r="F34" s="128"/>
      <c r="G34" s="128"/>
      <c r="H34" s="128"/>
      <c r="I34" s="129"/>
      <c r="J34" s="129"/>
      <c r="K34" s="129"/>
      <c r="L34" s="129"/>
      <c r="M34" s="6"/>
      <c r="N34" s="7"/>
      <c r="O34" s="8"/>
      <c r="P34" s="162">
        <f>SUM(P19:P33)</f>
        <v>179.90000000000003</v>
      </c>
      <c r="Q34" s="13"/>
      <c r="R34" s="130">
        <f>SUM(R19:R33)</f>
        <v>32022.200000000004</v>
      </c>
      <c r="S34" s="14"/>
      <c r="T34" s="130">
        <f>SUM(T19:T33)</f>
        <v>0</v>
      </c>
      <c r="U34" s="130">
        <f>SUM(U19:U33)</f>
        <v>32022.200000000004</v>
      </c>
      <c r="V34" s="15"/>
    </row>
    <row r="35" spans="2:23" ht="15" customHeight="1">
      <c r="B35" s="5"/>
      <c r="C35" s="116" t="s">
        <v>74</v>
      </c>
      <c r="D35" s="116"/>
      <c r="E35" s="116"/>
      <c r="F35" s="116"/>
      <c r="G35" s="116"/>
      <c r="H35" s="116"/>
      <c r="I35" s="11"/>
      <c r="J35" s="11"/>
      <c r="K35" s="11"/>
      <c r="L35" s="11"/>
      <c r="M35" s="11"/>
      <c r="N35" s="9"/>
      <c r="O35" s="12"/>
      <c r="P35" s="66"/>
      <c r="Q35" s="21"/>
      <c r="R35" s="22"/>
      <c r="S35" s="28"/>
      <c r="T35" s="22"/>
      <c r="U35" s="22"/>
      <c r="V35" s="15"/>
    </row>
    <row r="36" spans="2:23" ht="15" customHeight="1" outlineLevel="1">
      <c r="B36" s="42"/>
      <c r="C36" s="109" t="str">
        <f>+'TAKEOFF DETAIL'!B11</f>
        <v>1/2" EMT Conduit</v>
      </c>
      <c r="D36" s="109"/>
      <c r="E36" s="364" t="s">
        <v>66</v>
      </c>
      <c r="F36" s="364" t="s">
        <v>66</v>
      </c>
      <c r="G36" s="364"/>
      <c r="H36" s="109"/>
      <c r="I36" s="433"/>
      <c r="J36" s="435">
        <f>'TAKEOFF DETAIL'!BH11+'TAKEOFF DETAIL'!L57</f>
        <v>4540</v>
      </c>
      <c r="K36" s="436"/>
      <c r="L36" s="435">
        <f>'TAKEOFF DETAIL'!BR11</f>
        <v>290</v>
      </c>
      <c r="M36" s="434"/>
      <c r="N36" s="361"/>
      <c r="O36" s="437">
        <f t="shared" ref="O36:O45" si="34">J36+L36</f>
        <v>4830</v>
      </c>
      <c r="P36" s="67">
        <f t="shared" ref="P36:P46" si="35">IF(N36&gt;0,N36*Q36,O36*Q36)</f>
        <v>217.35</v>
      </c>
      <c r="Q36" s="24">
        <v>4.4999999999999998E-2</v>
      </c>
      <c r="R36" s="23">
        <f t="shared" ref="R36:R39" si="36">P36*$N$2</f>
        <v>38688.299999999996</v>
      </c>
      <c r="S36" s="432">
        <v>0.42399999999999999</v>
      </c>
      <c r="T36" s="22">
        <f t="shared" ref="T36:T46" si="37">(N36+O36)*S36</f>
        <v>2047.9199999999998</v>
      </c>
      <c r="U36" s="22">
        <f t="shared" ref="U36:U46" si="38">+R36+T36</f>
        <v>40736.219999999994</v>
      </c>
      <c r="V36" s="15" t="s">
        <v>38</v>
      </c>
      <c r="W36" s="127"/>
    </row>
    <row r="37" spans="2:23" ht="15" customHeight="1" outlineLevel="1">
      <c r="B37" s="42"/>
      <c r="C37" s="109" t="str">
        <f>+'TAKEOFF DETAIL'!B12</f>
        <v>3/4" EMT Conduit</v>
      </c>
      <c r="D37" s="109"/>
      <c r="E37" s="364" t="s">
        <v>66</v>
      </c>
      <c r="F37" s="364" t="s">
        <v>66</v>
      </c>
      <c r="G37" s="364"/>
      <c r="H37" s="109"/>
      <c r="I37" s="433"/>
      <c r="J37" s="435">
        <f>'TAKEOFF DETAIL'!BH12</f>
        <v>350</v>
      </c>
      <c r="K37" s="436"/>
      <c r="L37" s="435">
        <f>'TAKEOFF DETAIL'!BR12</f>
        <v>110</v>
      </c>
      <c r="M37" s="434"/>
      <c r="N37" s="361"/>
      <c r="O37" s="437">
        <f t="shared" ref="O37" si="39">J37+L37</f>
        <v>460</v>
      </c>
      <c r="P37" s="67">
        <f t="shared" ref="P37" si="40">IF(N37&gt;0,N37*Q37,O37*Q37)</f>
        <v>23</v>
      </c>
      <c r="Q37" s="24">
        <v>0.05</v>
      </c>
      <c r="R37" s="23">
        <f t="shared" ref="R37" si="41">P37*$N$2</f>
        <v>4094</v>
      </c>
      <c r="S37" s="432">
        <v>0.75090000000000001</v>
      </c>
      <c r="T37" s="22">
        <f t="shared" ref="T37" si="42">(N37+O37)*S37</f>
        <v>345.41399999999999</v>
      </c>
      <c r="U37" s="22">
        <f t="shared" ref="U37" si="43">+R37+T37</f>
        <v>4439.4139999999998</v>
      </c>
      <c r="V37" s="15" t="s">
        <v>38</v>
      </c>
      <c r="W37" s="127"/>
    </row>
    <row r="38" spans="2:23" ht="15" customHeight="1" outlineLevel="1">
      <c r="B38" s="42"/>
      <c r="C38" s="109" t="str">
        <f>+'TAKEOFF DETAIL'!B13</f>
        <v>1" EMT Conduit</v>
      </c>
      <c r="D38" s="109"/>
      <c r="E38" s="364" t="s">
        <v>66</v>
      </c>
      <c r="F38" s="364" t="s">
        <v>66</v>
      </c>
      <c r="G38" s="364"/>
      <c r="H38" s="109"/>
      <c r="I38" s="433"/>
      <c r="J38" s="435">
        <f>'TAKEOFF DETAIL'!BH13</f>
        <v>0</v>
      </c>
      <c r="K38" s="436"/>
      <c r="L38" s="435">
        <f>'TAKEOFF DETAIL'!BR13</f>
        <v>60</v>
      </c>
      <c r="M38" s="434"/>
      <c r="N38" s="361"/>
      <c r="O38" s="437">
        <f t="shared" ref="O38" si="44">J38+L38</f>
        <v>60</v>
      </c>
      <c r="P38" s="67">
        <f t="shared" ref="P38" si="45">IF(N38&gt;0,N38*Q38,O38*Q38)</f>
        <v>3.3</v>
      </c>
      <c r="Q38" s="24">
        <v>5.5E-2</v>
      </c>
      <c r="R38" s="23">
        <f t="shared" ref="R38" si="46">P38*$N$2</f>
        <v>587.4</v>
      </c>
      <c r="S38" s="432">
        <v>1.272</v>
      </c>
      <c r="T38" s="22">
        <f t="shared" ref="T38" si="47">(N38+O38)*S38</f>
        <v>76.320000000000007</v>
      </c>
      <c r="U38" s="22">
        <f t="shared" ref="U38" si="48">+R38+T38</f>
        <v>663.72</v>
      </c>
      <c r="V38" s="15" t="s">
        <v>38</v>
      </c>
      <c r="W38" s="127"/>
    </row>
    <row r="39" spans="2:23" ht="15" customHeight="1" outlineLevel="1">
      <c r="B39" s="42"/>
      <c r="C39" s="109" t="str">
        <f>'TAKEOFF DETAIL'!B16</f>
        <v>Copper Wire, 2#12 AWG + 1#12G AWG</v>
      </c>
      <c r="D39" s="109"/>
      <c r="E39" s="364" t="s">
        <v>66</v>
      </c>
      <c r="F39" s="364" t="s">
        <v>66</v>
      </c>
      <c r="G39" s="364"/>
      <c r="H39" s="109"/>
      <c r="I39" s="433"/>
      <c r="J39" s="435">
        <f>'TAKEOFF DETAIL'!BH16+'TAKEOFF DETAIL'!L59</f>
        <v>6090</v>
      </c>
      <c r="K39" s="436"/>
      <c r="L39" s="435">
        <f>'TAKEOFF DETAIL'!BR16</f>
        <v>290</v>
      </c>
      <c r="M39" s="434"/>
      <c r="N39" s="361"/>
      <c r="O39" s="437">
        <f t="shared" si="34"/>
        <v>6380</v>
      </c>
      <c r="P39" s="67">
        <f t="shared" si="35"/>
        <v>114.84000000000002</v>
      </c>
      <c r="Q39" s="24">
        <f>0.006*3</f>
        <v>1.8000000000000002E-2</v>
      </c>
      <c r="R39" s="23">
        <f t="shared" si="36"/>
        <v>20441.520000000004</v>
      </c>
      <c r="S39" s="432">
        <f>0.18628*3</f>
        <v>0.55884</v>
      </c>
      <c r="T39" s="22">
        <f t="shared" si="37"/>
        <v>3565.3991999999998</v>
      </c>
      <c r="U39" s="22">
        <f t="shared" si="38"/>
        <v>24006.919200000004</v>
      </c>
      <c r="V39" s="15" t="s">
        <v>38</v>
      </c>
      <c r="W39" s="139"/>
    </row>
    <row r="40" spans="2:23" ht="15" customHeight="1" outlineLevel="1">
      <c r="B40" s="42"/>
      <c r="C40" s="109" t="str">
        <f>'TAKEOFF DETAIL'!B17</f>
        <v>Copper Wire, 2#10 AWG + 1#10G AWG</v>
      </c>
      <c r="D40" s="109"/>
      <c r="E40" s="364" t="s">
        <v>66</v>
      </c>
      <c r="F40" s="364" t="s">
        <v>66</v>
      </c>
      <c r="G40" s="364"/>
      <c r="H40" s="109"/>
      <c r="I40" s="433"/>
      <c r="J40" s="435">
        <f>'TAKEOFF DETAIL'!BH17</f>
        <v>220</v>
      </c>
      <c r="K40" s="436"/>
      <c r="L40" s="435">
        <f>'TAKEOFF DETAIL'!BR17</f>
        <v>0</v>
      </c>
      <c r="M40" s="434"/>
      <c r="N40" s="361"/>
      <c r="O40" s="437">
        <f>J40+L40</f>
        <v>220</v>
      </c>
      <c r="P40" s="67">
        <f>IF(N40&gt;0,N40*Q40,O40*Q40)</f>
        <v>4.62</v>
      </c>
      <c r="Q40" s="24">
        <f>0.007*3</f>
        <v>2.1000000000000001E-2</v>
      </c>
      <c r="R40" s="23">
        <f>P40*$N$2</f>
        <v>822.36</v>
      </c>
      <c r="S40" s="432">
        <f>0.28491*3</f>
        <v>0.85472999999999999</v>
      </c>
      <c r="T40" s="22">
        <f t="shared" ref="T40" si="49">(N40+O40)*S40</f>
        <v>188.04059999999998</v>
      </c>
      <c r="U40" s="22">
        <f t="shared" ref="U40" si="50">+R40+T40</f>
        <v>1010.4005999999999</v>
      </c>
      <c r="V40" s="15" t="s">
        <v>38</v>
      </c>
      <c r="W40" s="139"/>
    </row>
    <row r="41" spans="2:23" ht="15" customHeight="1" outlineLevel="1">
      <c r="B41" s="42"/>
      <c r="C41" s="109" t="str">
        <f>'TAKEOFF DETAIL'!B18</f>
        <v>Copper Wire, 2#8 AWG + 1#10G AWG</v>
      </c>
      <c r="D41" s="109"/>
      <c r="E41" s="364" t="s">
        <v>66</v>
      </c>
      <c r="F41" s="364" t="s">
        <v>66</v>
      </c>
      <c r="G41" s="364"/>
      <c r="H41" s="109"/>
      <c r="I41" s="433"/>
      <c r="J41" s="435">
        <f>'TAKEOFF DETAIL'!BH18</f>
        <v>20</v>
      </c>
      <c r="K41" s="436"/>
      <c r="L41" s="435">
        <f>'TAKEOFF DETAIL'!BR18</f>
        <v>0</v>
      </c>
      <c r="M41" s="434"/>
      <c r="N41" s="361"/>
      <c r="O41" s="437">
        <f>J41+L41</f>
        <v>20</v>
      </c>
      <c r="P41" s="67">
        <f>IF(N41&gt;0,N41*Q41,O41*Q41)</f>
        <v>0.49999999999999994</v>
      </c>
      <c r="Q41" s="24">
        <f>0.009*2+0.007*1</f>
        <v>2.4999999999999998E-2</v>
      </c>
      <c r="R41" s="23">
        <f>P41*$N$2</f>
        <v>88.999999999999986</v>
      </c>
      <c r="S41" s="432">
        <f>0.54097*2+0.28491*1</f>
        <v>1.3668499999999999</v>
      </c>
      <c r="T41" s="22">
        <f t="shared" ref="T41" si="51">(N41+O41)*S41</f>
        <v>27.336999999999996</v>
      </c>
      <c r="U41" s="22">
        <f t="shared" ref="U41" si="52">+R41+T41</f>
        <v>116.33699999999999</v>
      </c>
      <c r="V41" s="15" t="s">
        <v>38</v>
      </c>
      <c r="W41" s="139"/>
    </row>
    <row r="42" spans="2:23" ht="15" customHeight="1" outlineLevel="1">
      <c r="B42" s="42"/>
      <c r="C42" s="109" t="str">
        <f>'TAKEOFF DETAIL'!B19</f>
        <v>Copper Wire, 3#12 AWG + 1#12G AWG</v>
      </c>
      <c r="D42" s="109"/>
      <c r="E42" s="364" t="s">
        <v>66</v>
      </c>
      <c r="F42" s="364" t="s">
        <v>66</v>
      </c>
      <c r="G42" s="364"/>
      <c r="H42" s="109"/>
      <c r="I42" s="433"/>
      <c r="J42" s="435">
        <f>'TAKEOFF DETAIL'!BH19</f>
        <v>70</v>
      </c>
      <c r="K42" s="436"/>
      <c r="L42" s="435">
        <f>'TAKEOFF DETAIL'!BR19</f>
        <v>70</v>
      </c>
      <c r="M42" s="434"/>
      <c r="N42" s="361"/>
      <c r="O42" s="437">
        <f t="shared" si="34"/>
        <v>140</v>
      </c>
      <c r="P42" s="67">
        <f t="shared" si="35"/>
        <v>3.36</v>
      </c>
      <c r="Q42" s="24">
        <f>0.006*4</f>
        <v>2.4E-2</v>
      </c>
      <c r="R42" s="23">
        <f t="shared" ref="R42" si="53">P42*$N$2</f>
        <v>598.07999999999993</v>
      </c>
      <c r="S42" s="432">
        <f>0.18628*4</f>
        <v>0.74512</v>
      </c>
      <c r="T42" s="22">
        <f t="shared" si="37"/>
        <v>104.3168</v>
      </c>
      <c r="U42" s="22">
        <f t="shared" si="38"/>
        <v>702.39679999999998</v>
      </c>
      <c r="V42" s="15" t="s">
        <v>38</v>
      </c>
      <c r="W42" s="139"/>
    </row>
    <row r="43" spans="2:23" ht="15" customHeight="1" outlineLevel="1">
      <c r="B43" s="42"/>
      <c r="C43" s="109" t="str">
        <f>'TAKEOFF DETAIL'!B20</f>
        <v>Copper Wire, 3#10 AWG + 1#10G AWG</v>
      </c>
      <c r="D43" s="109"/>
      <c r="E43" s="364" t="s">
        <v>66</v>
      </c>
      <c r="F43" s="364" t="s">
        <v>66</v>
      </c>
      <c r="G43" s="364"/>
      <c r="H43" s="109"/>
      <c r="I43" s="433"/>
      <c r="J43" s="435">
        <f>'TAKEOFF DETAIL'!BH20</f>
        <v>0</v>
      </c>
      <c r="K43" s="436"/>
      <c r="L43" s="435">
        <f>'TAKEOFF DETAIL'!BR20</f>
        <v>50</v>
      </c>
      <c r="M43" s="434"/>
      <c r="N43" s="361"/>
      <c r="O43" s="437">
        <f t="shared" si="34"/>
        <v>50</v>
      </c>
      <c r="P43" s="67">
        <f t="shared" ref="P43" si="54">IF(N43&gt;0,N43*Q43,O43*Q43)</f>
        <v>1.4000000000000001</v>
      </c>
      <c r="Q43" s="24">
        <f>0.007*4</f>
        <v>2.8000000000000001E-2</v>
      </c>
      <c r="R43" s="23">
        <f t="shared" ref="R43" si="55">P43*$N$2</f>
        <v>249.20000000000002</v>
      </c>
      <c r="S43" s="432">
        <f>0.28491*4</f>
        <v>1.13964</v>
      </c>
      <c r="T43" s="22">
        <f t="shared" ref="T43" si="56">(N43+O43)*S43</f>
        <v>56.981999999999999</v>
      </c>
      <c r="U43" s="22">
        <f t="shared" ref="U43" si="57">+R43+T43</f>
        <v>306.18200000000002</v>
      </c>
      <c r="V43" s="15" t="s">
        <v>38</v>
      </c>
      <c r="W43" s="139"/>
    </row>
    <row r="44" spans="2:23" ht="15" customHeight="1" outlineLevel="1">
      <c r="B44" s="42"/>
      <c r="C44" s="109" t="str">
        <f>'TAKEOFF DETAIL'!B21</f>
        <v>Copper Wire, 3#8 AWG + 1#10G AWG</v>
      </c>
      <c r="D44" s="109"/>
      <c r="E44" s="364" t="s">
        <v>66</v>
      </c>
      <c r="F44" s="364" t="s">
        <v>66</v>
      </c>
      <c r="G44" s="364"/>
      <c r="H44" s="109"/>
      <c r="I44" s="433"/>
      <c r="J44" s="435">
        <f>'TAKEOFF DETAIL'!BH21</f>
        <v>130</v>
      </c>
      <c r="K44" s="436"/>
      <c r="L44" s="435">
        <f>'TAKEOFF DETAIL'!BR21</f>
        <v>80</v>
      </c>
      <c r="M44" s="434"/>
      <c r="N44" s="361"/>
      <c r="O44" s="437">
        <f t="shared" si="34"/>
        <v>210</v>
      </c>
      <c r="P44" s="67">
        <f t="shared" ref="P44:P45" si="58">IF(N44&gt;0,N44*Q44,O44*Q44)</f>
        <v>7.1399999999999988</v>
      </c>
      <c r="Q44" s="24">
        <f>0.009*3+0.007*1</f>
        <v>3.3999999999999996E-2</v>
      </c>
      <c r="R44" s="23">
        <f t="shared" ref="R44:R45" si="59">P44*$N$2</f>
        <v>1270.9199999999998</v>
      </c>
      <c r="S44" s="432">
        <f>0.54097*3+0.28491*1</f>
        <v>1.9078199999999998</v>
      </c>
      <c r="T44" s="22">
        <f t="shared" ref="T44" si="60">(N44+O44)*S44</f>
        <v>400.64219999999995</v>
      </c>
      <c r="U44" s="22">
        <f t="shared" ref="U44" si="61">+R44+T44</f>
        <v>1671.5621999999998</v>
      </c>
      <c r="V44" s="15" t="s">
        <v>38</v>
      </c>
      <c r="W44" s="139"/>
    </row>
    <row r="45" spans="2:23" ht="15" customHeight="1" outlineLevel="1">
      <c r="B45" s="42"/>
      <c r="C45" s="109" t="str">
        <f>'TAKEOFF DETAIL'!B22</f>
        <v>Copper Wire, 3#4 AWG + 1#10G AWG</v>
      </c>
      <c r="D45" s="109"/>
      <c r="E45" s="364" t="s">
        <v>66</v>
      </c>
      <c r="F45" s="364" t="s">
        <v>66</v>
      </c>
      <c r="G45" s="364"/>
      <c r="H45" s="109"/>
      <c r="I45" s="433"/>
      <c r="J45" s="435">
        <f>'TAKEOFF DETAIL'!BH22</f>
        <v>0</v>
      </c>
      <c r="K45" s="436"/>
      <c r="L45" s="435">
        <f>'TAKEOFF DETAIL'!BR22</f>
        <v>70</v>
      </c>
      <c r="M45" s="434"/>
      <c r="N45" s="361"/>
      <c r="O45" s="437">
        <f t="shared" si="34"/>
        <v>70</v>
      </c>
      <c r="P45" s="67">
        <f t="shared" si="58"/>
        <v>3.2199999999999998</v>
      </c>
      <c r="Q45" s="24">
        <f>0.013*3+0.007*1</f>
        <v>4.5999999999999999E-2</v>
      </c>
      <c r="R45" s="23">
        <f t="shared" si="59"/>
        <v>573.16</v>
      </c>
      <c r="S45" s="432">
        <f>1.22781*3+0.28491*1</f>
        <v>3.9683400000000004</v>
      </c>
      <c r="T45" s="22">
        <f t="shared" ref="T45" si="62">(N45+O45)*S45</f>
        <v>277.78380000000004</v>
      </c>
      <c r="U45" s="22">
        <f t="shared" ref="U45" si="63">+R45+T45</f>
        <v>850.94380000000001</v>
      </c>
      <c r="V45" s="15" t="s">
        <v>38</v>
      </c>
      <c r="W45" s="139"/>
    </row>
    <row r="46" spans="2:23" ht="15" customHeight="1" outlineLevel="1">
      <c r="B46" s="106"/>
      <c r="C46" s="109" t="s">
        <v>67</v>
      </c>
      <c r="D46" s="109"/>
      <c r="E46" s="364" t="s">
        <v>66</v>
      </c>
      <c r="F46" s="364" t="s">
        <v>66</v>
      </c>
      <c r="G46" s="364"/>
      <c r="H46" s="109"/>
      <c r="I46" s="438">
        <v>1</v>
      </c>
      <c r="J46" s="436"/>
      <c r="K46" s="435"/>
      <c r="L46" s="434"/>
      <c r="M46" s="361"/>
      <c r="N46" s="439">
        <f>I46+K46</f>
        <v>1</v>
      </c>
      <c r="O46" s="439"/>
      <c r="P46" s="67">
        <f t="shared" si="35"/>
        <v>0</v>
      </c>
      <c r="Q46" s="24"/>
      <c r="R46" s="23">
        <f>P46*$N$2</f>
        <v>0</v>
      </c>
      <c r="S46" s="432">
        <f>SUM(T35:T45)*30%</f>
        <v>2127.0466800000004</v>
      </c>
      <c r="T46" s="22">
        <f t="shared" si="37"/>
        <v>2127.0466800000004</v>
      </c>
      <c r="U46" s="22">
        <f t="shared" si="38"/>
        <v>2127.0466800000004</v>
      </c>
      <c r="V46" s="15"/>
      <c r="W46" s="139"/>
    </row>
    <row r="47" spans="2:23" ht="15" customHeight="1" outlineLevel="1">
      <c r="B47" s="10"/>
      <c r="C47" s="29"/>
      <c r="D47" s="29"/>
      <c r="E47" s="29"/>
      <c r="F47" s="29"/>
      <c r="G47" s="29"/>
      <c r="H47" s="29"/>
      <c r="I47" s="41"/>
      <c r="J47" s="41"/>
      <c r="K47" s="41"/>
      <c r="L47" s="41"/>
      <c r="M47" s="11"/>
      <c r="N47" s="9"/>
      <c r="O47" s="12"/>
      <c r="P47" s="66"/>
      <c r="Q47" s="21"/>
      <c r="R47" s="21"/>
      <c r="S47" s="28"/>
      <c r="T47" s="21"/>
      <c r="U47" s="22"/>
      <c r="V47" s="15"/>
    </row>
    <row r="48" spans="2:23" ht="15" customHeight="1">
      <c r="B48" s="10"/>
      <c r="C48" s="128" t="s">
        <v>74</v>
      </c>
      <c r="D48" s="128"/>
      <c r="E48" s="128"/>
      <c r="F48" s="128"/>
      <c r="G48" s="128"/>
      <c r="H48" s="128"/>
      <c r="I48" s="129"/>
      <c r="J48" s="129"/>
      <c r="K48" s="129"/>
      <c r="L48" s="129"/>
      <c r="M48" s="6"/>
      <c r="N48" s="7"/>
      <c r="O48" s="8"/>
      <c r="P48" s="162">
        <f>SUM(P35:P47)</f>
        <v>378.73</v>
      </c>
      <c r="Q48" s="13"/>
      <c r="R48" s="130">
        <f>SUM(R35:R47)</f>
        <v>67413.94</v>
      </c>
      <c r="S48" s="14"/>
      <c r="T48" s="130">
        <f>SUM(T35:T47)</f>
        <v>9217.2022800000013</v>
      </c>
      <c r="U48" s="130">
        <f>SUM(U35:U47)</f>
        <v>76631.142279999985</v>
      </c>
      <c r="V48" s="15"/>
    </row>
    <row r="49" spans="2:23" ht="15" customHeight="1">
      <c r="B49" s="10"/>
      <c r="C49" s="135" t="s">
        <v>102</v>
      </c>
      <c r="D49" s="135"/>
      <c r="E49" s="135"/>
      <c r="F49" s="135"/>
      <c r="G49" s="135"/>
      <c r="H49" s="135"/>
      <c r="I49" s="136"/>
      <c r="J49" s="136"/>
      <c r="K49" s="136"/>
      <c r="L49" s="136"/>
      <c r="M49" s="33"/>
      <c r="N49" s="35"/>
      <c r="O49" s="36"/>
      <c r="P49" s="163">
        <f>P48+P34</f>
        <v>558.63000000000011</v>
      </c>
      <c r="Q49" s="37"/>
      <c r="R49" s="39">
        <f>R48+R34</f>
        <v>99436.140000000014</v>
      </c>
      <c r="S49" s="38"/>
      <c r="T49" s="39">
        <f>T48+T34</f>
        <v>9217.2022800000013</v>
      </c>
      <c r="U49" s="39">
        <f>U48+U34</f>
        <v>108653.34227999998</v>
      </c>
      <c r="V49" s="15"/>
    </row>
    <row r="50" spans="2:23" ht="15" customHeight="1">
      <c r="B50" s="10"/>
      <c r="C50" s="138"/>
      <c r="D50" s="138"/>
      <c r="E50" s="138"/>
      <c r="F50" s="138"/>
      <c r="G50" s="138"/>
      <c r="H50" s="138"/>
      <c r="I50" s="41"/>
      <c r="J50" s="41"/>
      <c r="K50" s="41"/>
      <c r="L50" s="41"/>
      <c r="M50" s="11"/>
      <c r="N50" s="9"/>
      <c r="O50" s="12"/>
      <c r="P50" s="66"/>
      <c r="Q50" s="21"/>
      <c r="R50" s="133"/>
      <c r="S50" s="28"/>
      <c r="T50" s="133"/>
      <c r="U50" s="133"/>
      <c r="V50" s="15"/>
    </row>
    <row r="51" spans="2:23" ht="15" customHeight="1">
      <c r="B51" s="1" t="s">
        <v>37</v>
      </c>
      <c r="C51" s="117" t="s">
        <v>172</v>
      </c>
      <c r="D51" s="117"/>
      <c r="E51" s="117"/>
      <c r="F51" s="117"/>
      <c r="G51" s="117"/>
      <c r="H51" s="117"/>
      <c r="I51" s="118"/>
      <c r="J51" s="118"/>
      <c r="K51" s="118"/>
      <c r="L51" s="118"/>
      <c r="M51" s="118"/>
      <c r="N51" s="119"/>
      <c r="O51" s="120"/>
      <c r="P51" s="121"/>
      <c r="Q51" s="122"/>
      <c r="R51" s="123"/>
      <c r="S51" s="124"/>
      <c r="T51" s="123"/>
      <c r="U51" s="123"/>
      <c r="V51" s="15"/>
    </row>
    <row r="52" spans="2:23" ht="15" customHeight="1">
      <c r="B52" s="5">
        <v>3</v>
      </c>
      <c r="C52" s="116" t="s">
        <v>125</v>
      </c>
      <c r="D52" s="116"/>
      <c r="E52" s="116"/>
      <c r="F52" s="116"/>
      <c r="G52" s="116"/>
      <c r="H52" s="116"/>
      <c r="I52" s="11"/>
      <c r="J52" s="11"/>
      <c r="K52" s="11"/>
      <c r="L52" s="11"/>
      <c r="M52" s="11"/>
      <c r="N52" s="9"/>
      <c r="O52" s="12"/>
      <c r="P52" s="66"/>
      <c r="Q52" s="21"/>
      <c r="R52" s="22"/>
      <c r="S52" s="28"/>
      <c r="T52" s="22"/>
      <c r="U52" s="22"/>
      <c r="V52" s="15"/>
    </row>
    <row r="53" spans="2:23" ht="15" customHeight="1" outlineLevel="1">
      <c r="B53" s="5"/>
      <c r="C53" s="109" t="str">
        <f>'TAKEOFF DETAIL'!B100</f>
        <v>3/4" EMT Conduit</v>
      </c>
      <c r="D53" s="109"/>
      <c r="E53" s="364" t="s">
        <v>66</v>
      </c>
      <c r="F53" s="364" t="s">
        <v>66</v>
      </c>
      <c r="G53" s="364"/>
      <c r="H53" s="109"/>
      <c r="I53" s="433"/>
      <c r="J53" s="435">
        <f>'TAKEOFF DETAIL'!E100</f>
        <v>180</v>
      </c>
      <c r="K53" s="436"/>
      <c r="L53" s="435"/>
      <c r="M53" s="434"/>
      <c r="N53" s="361"/>
      <c r="O53" s="437">
        <f t="shared" ref="O53" si="64">J53+L53</f>
        <v>180</v>
      </c>
      <c r="P53" s="67">
        <f t="shared" ref="P53:P54" si="65">IF(N53&gt;0,N53*Q53,O53*Q53)</f>
        <v>9</v>
      </c>
      <c r="Q53" s="24">
        <v>0.05</v>
      </c>
      <c r="R53" s="23">
        <f t="shared" ref="R53" si="66">P53*$N$2</f>
        <v>1602</v>
      </c>
      <c r="S53" s="432">
        <v>0.75090000000000001</v>
      </c>
      <c r="T53" s="22">
        <f t="shared" ref="T53:T54" si="67">(N53+O53)*S53</f>
        <v>135.16200000000001</v>
      </c>
      <c r="U53" s="22">
        <f t="shared" ref="U53:U54" si="68">+R53+T53</f>
        <v>1737.162</v>
      </c>
      <c r="V53" s="15" t="s">
        <v>38</v>
      </c>
    </row>
    <row r="54" spans="2:23" ht="15" customHeight="1" outlineLevel="1">
      <c r="B54" s="5"/>
      <c r="C54" s="109" t="s">
        <v>173</v>
      </c>
      <c r="D54" s="109"/>
      <c r="E54" s="364" t="s">
        <v>66</v>
      </c>
      <c r="F54" s="364" t="s">
        <v>66</v>
      </c>
      <c r="G54" s="364"/>
      <c r="H54" s="109"/>
      <c r="I54" s="438">
        <v>1</v>
      </c>
      <c r="J54" s="436"/>
      <c r="K54" s="435"/>
      <c r="L54" s="434"/>
      <c r="M54" s="361"/>
      <c r="N54" s="439">
        <f>I54+K54</f>
        <v>1</v>
      </c>
      <c r="O54" s="439"/>
      <c r="P54" s="67">
        <f t="shared" si="65"/>
        <v>0</v>
      </c>
      <c r="Q54" s="24"/>
      <c r="R54" s="23">
        <f>P54*$N$2</f>
        <v>0</v>
      </c>
      <c r="S54" s="432">
        <f>SUM(T52:T53)*40%</f>
        <v>54.064800000000005</v>
      </c>
      <c r="T54" s="22">
        <f t="shared" si="67"/>
        <v>54.064800000000005</v>
      </c>
      <c r="U54" s="22">
        <f t="shared" si="68"/>
        <v>54.064800000000005</v>
      </c>
      <c r="V54" s="15"/>
    </row>
    <row r="55" spans="2:23" ht="15" customHeight="1" outlineLevel="1">
      <c r="B55" s="5"/>
      <c r="C55" s="109" t="str">
        <f>'TAKEOFF DETAIL'!B102</f>
        <v>Single gang box with mudring</v>
      </c>
      <c r="D55" s="116"/>
      <c r="E55" s="364" t="s">
        <v>66</v>
      </c>
      <c r="F55" s="364" t="s">
        <v>66</v>
      </c>
      <c r="G55" s="440"/>
      <c r="H55" s="440"/>
      <c r="I55" s="433">
        <f>'TAKEOFF DETAIL'!E102</f>
        <v>18</v>
      </c>
      <c r="J55" s="433"/>
      <c r="K55" s="433"/>
      <c r="L55" s="433"/>
      <c r="M55" s="434"/>
      <c r="N55" s="361">
        <f>I55+K55</f>
        <v>18</v>
      </c>
      <c r="O55" s="25"/>
      <c r="P55" s="67">
        <f>IF(N55&gt;0,N55*Q55,O55*Q55)</f>
        <v>9</v>
      </c>
      <c r="Q55" s="24">
        <v>0.5</v>
      </c>
      <c r="R55" s="23">
        <f>P55*$N$2</f>
        <v>1602</v>
      </c>
      <c r="S55" s="23">
        <v>2.72</v>
      </c>
      <c r="T55" s="22">
        <f>(N55+O55)*S55</f>
        <v>48.96</v>
      </c>
      <c r="U55" s="22">
        <f>+R55+T55</f>
        <v>1650.96</v>
      </c>
      <c r="V55" s="15" t="s">
        <v>38</v>
      </c>
      <c r="W55" s="137" t="s">
        <v>132</v>
      </c>
    </row>
    <row r="56" spans="2:23" ht="15" customHeight="1" outlineLevel="1">
      <c r="B56" s="106"/>
      <c r="C56" s="109"/>
      <c r="D56" s="131"/>
      <c r="E56" s="159"/>
      <c r="F56" s="159"/>
      <c r="G56" s="159"/>
      <c r="H56" s="131"/>
      <c r="I56" s="43"/>
      <c r="J56" s="43"/>
      <c r="K56" s="43"/>
      <c r="L56" s="43"/>
      <c r="M56" s="30"/>
      <c r="N56" s="19"/>
      <c r="O56" s="132"/>
      <c r="P56" s="66"/>
      <c r="Q56" s="21"/>
      <c r="R56" s="22"/>
      <c r="S56" s="126"/>
      <c r="T56" s="22"/>
      <c r="U56" s="22"/>
      <c r="V56" s="15"/>
      <c r="W56" s="107"/>
    </row>
    <row r="57" spans="2:23" ht="15" customHeight="1">
      <c r="B57" s="10"/>
      <c r="C57" s="128" t="s">
        <v>125</v>
      </c>
      <c r="D57" s="128"/>
      <c r="E57" s="128"/>
      <c r="F57" s="128"/>
      <c r="G57" s="128"/>
      <c r="H57" s="128"/>
      <c r="I57" s="129"/>
      <c r="J57" s="129"/>
      <c r="K57" s="129"/>
      <c r="L57" s="129"/>
      <c r="M57" s="6"/>
      <c r="N57" s="7"/>
      <c r="O57" s="8"/>
      <c r="P57" s="162">
        <f>SUM(P52:P56)</f>
        <v>18</v>
      </c>
      <c r="Q57" s="13"/>
      <c r="R57" s="130">
        <f>SUM(R52:R56)</f>
        <v>3204</v>
      </c>
      <c r="S57" s="14"/>
      <c r="T57" s="130">
        <f>SUM(T52:T56)</f>
        <v>238.18680000000003</v>
      </c>
      <c r="U57" s="130">
        <f>SUM(U52:U56)</f>
        <v>3442.1868000000004</v>
      </c>
      <c r="V57" s="15"/>
    </row>
    <row r="58" spans="2:23" ht="15" customHeight="1">
      <c r="B58" s="10"/>
      <c r="C58" s="135" t="s">
        <v>103</v>
      </c>
      <c r="D58" s="135"/>
      <c r="E58" s="135"/>
      <c r="F58" s="135"/>
      <c r="G58" s="135"/>
      <c r="H58" s="135"/>
      <c r="I58" s="136"/>
      <c r="J58" s="136"/>
      <c r="K58" s="136"/>
      <c r="L58" s="136"/>
      <c r="M58" s="33"/>
      <c r="N58" s="35"/>
      <c r="O58" s="36"/>
      <c r="P58" s="163">
        <f>+P57</f>
        <v>18</v>
      </c>
      <c r="Q58" s="37"/>
      <c r="R58" s="39">
        <f>+R57</f>
        <v>3204</v>
      </c>
      <c r="S58" s="38"/>
      <c r="T58" s="39">
        <f>+T57</f>
        <v>238.18680000000003</v>
      </c>
      <c r="U58" s="39">
        <f>+U57</f>
        <v>3442.1868000000004</v>
      </c>
      <c r="V58" s="15"/>
    </row>
    <row r="59" spans="2:23" ht="15" customHeight="1">
      <c r="B59" s="106"/>
      <c r="C59" s="109"/>
      <c r="D59" s="131"/>
      <c r="E59" s="159"/>
      <c r="F59" s="159"/>
      <c r="G59" s="159"/>
      <c r="H59" s="131"/>
      <c r="I59" s="43"/>
      <c r="J59" s="43"/>
      <c r="K59" s="43"/>
      <c r="L59" s="43"/>
      <c r="M59" s="30"/>
      <c r="N59" s="19"/>
      <c r="O59" s="132"/>
      <c r="P59" s="66"/>
      <c r="Q59" s="21"/>
      <c r="R59" s="22"/>
      <c r="S59" s="126"/>
      <c r="T59" s="22"/>
      <c r="U59" s="22"/>
      <c r="V59" s="15"/>
      <c r="W59" s="107"/>
    </row>
    <row r="60" spans="2:23" ht="15" customHeight="1">
      <c r="B60" s="1" t="s">
        <v>14</v>
      </c>
      <c r="C60" s="117" t="s">
        <v>128</v>
      </c>
      <c r="D60" s="117"/>
      <c r="E60" s="117"/>
      <c r="F60" s="117"/>
      <c r="G60" s="117"/>
      <c r="H60" s="117"/>
      <c r="I60" s="118"/>
      <c r="J60" s="118"/>
      <c r="K60" s="118"/>
      <c r="L60" s="118"/>
      <c r="M60" s="118"/>
      <c r="N60" s="119"/>
      <c r="O60" s="120"/>
      <c r="P60" s="121"/>
      <c r="Q60" s="122"/>
      <c r="R60" s="123"/>
      <c r="S60" s="124"/>
      <c r="T60" s="123"/>
      <c r="U60" s="134"/>
      <c r="V60" s="15"/>
    </row>
    <row r="61" spans="2:23" ht="15" customHeight="1">
      <c r="B61" s="106"/>
      <c r="C61" s="116" t="s">
        <v>40</v>
      </c>
      <c r="D61" s="131"/>
      <c r="E61" s="159"/>
      <c r="F61" s="159"/>
      <c r="G61" s="159"/>
      <c r="H61" s="131"/>
      <c r="I61" s="43"/>
      <c r="J61" s="43"/>
      <c r="K61" s="43"/>
      <c r="L61" s="43"/>
      <c r="M61" s="30"/>
      <c r="N61" s="19"/>
      <c r="O61" s="132"/>
      <c r="P61" s="66"/>
      <c r="Q61" s="21"/>
      <c r="R61" s="22"/>
      <c r="S61" s="126"/>
      <c r="T61" s="22"/>
      <c r="U61" s="22"/>
      <c r="V61" s="15"/>
      <c r="W61" s="107"/>
    </row>
    <row r="62" spans="2:23" ht="15" customHeight="1" outlineLevel="1">
      <c r="B62" s="106"/>
      <c r="C62" s="109" t="str">
        <f>'TAKEOFF DETAIL'!B39</f>
        <v>Panel " C ", 100A MLO, 120/208V, 3P, 4W, 10KAIC, Surface Mtd., in NEMA 1 Enclosure</v>
      </c>
      <c r="D62" s="131"/>
      <c r="E62" s="364" t="s">
        <v>66</v>
      </c>
      <c r="F62" s="364" t="s">
        <v>66</v>
      </c>
      <c r="G62" s="364"/>
      <c r="H62" s="109"/>
      <c r="I62" s="433">
        <f>+'TAKEOFF DETAIL'!BU39</f>
        <v>1</v>
      </c>
      <c r="J62" s="433"/>
      <c r="K62" s="433"/>
      <c r="L62" s="433"/>
      <c r="M62" s="434"/>
      <c r="N62" s="361">
        <f t="shared" ref="N62:N70" si="69">I62+K62</f>
        <v>1</v>
      </c>
      <c r="O62" s="25"/>
      <c r="P62" s="67">
        <f t="shared" ref="P62:P70" si="70">IF(N62&gt;0,N62*Q62,O62*Q62)</f>
        <v>10</v>
      </c>
      <c r="Q62" s="24">
        <v>10</v>
      </c>
      <c r="R62" s="23">
        <f t="shared" ref="R62:R70" si="71">P62*$N$2</f>
        <v>1780</v>
      </c>
      <c r="S62" s="352"/>
      <c r="T62" s="22">
        <f t="shared" ref="T62:T70" si="72">(N62+O62)*S62</f>
        <v>0</v>
      </c>
      <c r="U62" s="22">
        <f t="shared" ref="U62:U70" si="73">+R62+T62</f>
        <v>1780</v>
      </c>
      <c r="V62" s="15" t="s">
        <v>38</v>
      </c>
      <c r="W62" s="387" t="s">
        <v>163</v>
      </c>
    </row>
    <row r="63" spans="2:23" ht="15" customHeight="1" outlineLevel="1">
      <c r="B63" s="106"/>
      <c r="C63" s="109" t="str">
        <f>'TAKEOFF DETAIL'!B40</f>
        <v>Branches:</v>
      </c>
      <c r="D63" s="131"/>
      <c r="E63" s="364"/>
      <c r="F63" s="364"/>
      <c r="G63" s="364"/>
      <c r="H63" s="109"/>
      <c r="I63" s="433"/>
      <c r="J63" s="433"/>
      <c r="K63" s="433"/>
      <c r="L63" s="433"/>
      <c r="M63" s="434"/>
      <c r="N63" s="361"/>
      <c r="O63" s="25"/>
      <c r="P63" s="67"/>
      <c r="Q63" s="24"/>
      <c r="R63" s="23"/>
      <c r="S63" s="23"/>
      <c r="T63" s="22"/>
      <c r="U63" s="22"/>
      <c r="V63" s="15"/>
      <c r="W63" s="387"/>
    </row>
    <row r="64" spans="2:23" ht="15" customHeight="1" outlineLevel="1">
      <c r="B64" s="106"/>
      <c r="C64" s="109" t="str">
        <f>'TAKEOFF DETAIL'!B41</f>
        <v xml:space="preserve">               1 - 15A, 2P, Circuit Breaker</v>
      </c>
      <c r="D64" s="131"/>
      <c r="E64" s="364"/>
      <c r="F64" s="364"/>
      <c r="G64" s="364"/>
      <c r="H64" s="109"/>
      <c r="I64" s="433"/>
      <c r="J64" s="433"/>
      <c r="K64" s="433"/>
      <c r="L64" s="433"/>
      <c r="M64" s="434"/>
      <c r="N64" s="361"/>
      <c r="O64" s="25"/>
      <c r="P64" s="67"/>
      <c r="Q64" s="24"/>
      <c r="R64" s="23"/>
      <c r="S64" s="23"/>
      <c r="T64" s="22"/>
      <c r="U64" s="22"/>
      <c r="V64" s="15"/>
      <c r="W64" s="387"/>
    </row>
    <row r="65" spans="2:23" ht="15" customHeight="1" outlineLevel="1">
      <c r="B65" s="106"/>
      <c r="C65" s="109" t="str">
        <f>'TAKEOFF DETAIL'!B42</f>
        <v xml:space="preserve">             18 - 20A, 1P, Circuit Breaker</v>
      </c>
      <c r="D65" s="131"/>
      <c r="E65" s="364"/>
      <c r="F65" s="364"/>
      <c r="G65" s="364"/>
      <c r="H65" s="109"/>
      <c r="I65" s="433"/>
      <c r="J65" s="433"/>
      <c r="K65" s="433"/>
      <c r="L65" s="433"/>
      <c r="M65" s="434"/>
      <c r="N65" s="361"/>
      <c r="O65" s="25"/>
      <c r="P65" s="67"/>
      <c r="Q65" s="24"/>
      <c r="R65" s="23"/>
      <c r="S65" s="23"/>
      <c r="T65" s="22"/>
      <c r="U65" s="22"/>
      <c r="V65" s="15"/>
      <c r="W65" s="387"/>
    </row>
    <row r="66" spans="2:23" ht="15" customHeight="1" outlineLevel="1">
      <c r="B66" s="106"/>
      <c r="C66" s="109" t="str">
        <f>'TAKEOFF DETAIL'!B43</f>
        <v xml:space="preserve">               3 - 15A, 1P, Circuit Breaker</v>
      </c>
      <c r="D66" s="131"/>
      <c r="E66" s="364"/>
      <c r="F66" s="364"/>
      <c r="G66" s="364"/>
      <c r="H66" s="109"/>
      <c r="I66" s="433"/>
      <c r="J66" s="433"/>
      <c r="K66" s="433"/>
      <c r="L66" s="433"/>
      <c r="M66" s="434"/>
      <c r="N66" s="361"/>
      <c r="O66" s="25"/>
      <c r="P66" s="67"/>
      <c r="Q66" s="24"/>
      <c r="R66" s="23"/>
      <c r="S66" s="23"/>
      <c r="T66" s="22"/>
      <c r="U66" s="22"/>
      <c r="V66" s="15"/>
      <c r="W66" s="387"/>
    </row>
    <row r="67" spans="2:23" ht="15" customHeight="1" outlineLevel="1">
      <c r="B67" s="106"/>
      <c r="C67" s="109" t="str">
        <f>'TAKEOFF DETAIL'!B44</f>
        <v xml:space="preserve">             19 - Space</v>
      </c>
      <c r="D67" s="131"/>
      <c r="E67" s="364"/>
      <c r="F67" s="364"/>
      <c r="G67" s="364"/>
      <c r="H67" s="109"/>
      <c r="I67" s="433"/>
      <c r="J67" s="433"/>
      <c r="K67" s="433"/>
      <c r="L67" s="433"/>
      <c r="M67" s="434"/>
      <c r="N67" s="361"/>
      <c r="O67" s="25"/>
      <c r="P67" s="67"/>
      <c r="Q67" s="24"/>
      <c r="R67" s="23"/>
      <c r="S67" s="23"/>
      <c r="T67" s="22"/>
      <c r="U67" s="22"/>
      <c r="V67" s="15"/>
      <c r="W67" s="387"/>
    </row>
    <row r="68" spans="2:23" ht="15" customHeight="1" outlineLevel="1">
      <c r="B68" s="106"/>
      <c r="C68" s="109" t="str">
        <f>'TAKEOFF DETAIL'!B45</f>
        <v>Disconnect Switch, 80A, 3P, in NEMA 3R Enclosure</v>
      </c>
      <c r="D68" s="131"/>
      <c r="E68" s="364" t="s">
        <v>66</v>
      </c>
      <c r="F68" s="364" t="s">
        <v>66</v>
      </c>
      <c r="G68" s="364"/>
      <c r="H68" s="109"/>
      <c r="I68" s="433">
        <f>'TAKEOFF DETAIL'!BH45</f>
        <v>0</v>
      </c>
      <c r="J68" s="433"/>
      <c r="K68" s="433">
        <f>'TAKEOFF DETAIL'!BR45</f>
        <v>1</v>
      </c>
      <c r="L68" s="433"/>
      <c r="M68" s="434"/>
      <c r="N68" s="361">
        <f t="shared" si="69"/>
        <v>1</v>
      </c>
      <c r="O68" s="25"/>
      <c r="P68" s="67">
        <f t="shared" si="70"/>
        <v>3</v>
      </c>
      <c r="Q68" s="24">
        <v>3</v>
      </c>
      <c r="R68" s="23">
        <f t="shared" si="71"/>
        <v>534</v>
      </c>
      <c r="S68" s="352"/>
      <c r="T68" s="22">
        <f t="shared" si="72"/>
        <v>0</v>
      </c>
      <c r="U68" s="22">
        <f t="shared" si="73"/>
        <v>534</v>
      </c>
      <c r="V68" s="15" t="s">
        <v>38</v>
      </c>
      <c r="W68" s="387"/>
    </row>
    <row r="69" spans="2:23" ht="15" customHeight="1" outlineLevel="1">
      <c r="B69" s="106"/>
      <c r="C69" s="109" t="str">
        <f>'TAKEOFF DETAIL'!B46</f>
        <v>Disconnect Switch, 50A, 3P, in NEMA 3R Enclosure</v>
      </c>
      <c r="D69" s="131"/>
      <c r="E69" s="364" t="s">
        <v>66</v>
      </c>
      <c r="F69" s="364" t="s">
        <v>66</v>
      </c>
      <c r="G69" s="364"/>
      <c r="H69" s="109"/>
      <c r="I69" s="433">
        <f>'TAKEOFF DETAIL'!BH46</f>
        <v>0</v>
      </c>
      <c r="J69" s="433"/>
      <c r="K69" s="433">
        <f>'TAKEOFF DETAIL'!BR46</f>
        <v>1</v>
      </c>
      <c r="L69" s="433"/>
      <c r="M69" s="434"/>
      <c r="N69" s="361">
        <f t="shared" si="69"/>
        <v>1</v>
      </c>
      <c r="O69" s="25"/>
      <c r="P69" s="67">
        <f t="shared" si="70"/>
        <v>2</v>
      </c>
      <c r="Q69" s="24">
        <v>2</v>
      </c>
      <c r="R69" s="23">
        <f t="shared" si="71"/>
        <v>356</v>
      </c>
      <c r="S69" s="352"/>
      <c r="T69" s="22">
        <f t="shared" si="72"/>
        <v>0</v>
      </c>
      <c r="U69" s="22">
        <f t="shared" si="73"/>
        <v>356</v>
      </c>
      <c r="V69" s="15" t="s">
        <v>38</v>
      </c>
      <c r="W69" s="387"/>
    </row>
    <row r="70" spans="2:23" ht="15" customHeight="1" outlineLevel="1">
      <c r="B70" s="106"/>
      <c r="C70" s="109" t="str">
        <f>'TAKEOFF DETAIL'!B47</f>
        <v>Disconnect Switch, 30A, 3P, in NEMA 3R Enclosure</v>
      </c>
      <c r="D70" s="131"/>
      <c r="E70" s="364" t="s">
        <v>66</v>
      </c>
      <c r="F70" s="364" t="s">
        <v>66</v>
      </c>
      <c r="G70" s="364"/>
      <c r="H70" s="109"/>
      <c r="I70" s="433">
        <f>'TAKEOFF DETAIL'!BH47</f>
        <v>0</v>
      </c>
      <c r="J70" s="433"/>
      <c r="K70" s="433">
        <f>'TAKEOFF DETAIL'!BR47</f>
        <v>1</v>
      </c>
      <c r="L70" s="433"/>
      <c r="M70" s="434"/>
      <c r="N70" s="361">
        <f t="shared" si="69"/>
        <v>1</v>
      </c>
      <c r="O70" s="25"/>
      <c r="P70" s="67">
        <f t="shared" si="70"/>
        <v>2</v>
      </c>
      <c r="Q70" s="24">
        <v>2</v>
      </c>
      <c r="R70" s="23">
        <f t="shared" si="71"/>
        <v>356</v>
      </c>
      <c r="S70" s="352"/>
      <c r="T70" s="22">
        <f t="shared" si="72"/>
        <v>0</v>
      </c>
      <c r="U70" s="22">
        <f t="shared" si="73"/>
        <v>356</v>
      </c>
      <c r="V70" s="15" t="s">
        <v>38</v>
      </c>
      <c r="W70" s="387"/>
    </row>
    <row r="71" spans="2:23" ht="15" customHeight="1" outlineLevel="1">
      <c r="B71" s="106"/>
      <c r="C71" s="109" t="str">
        <f>'TAKEOFF DETAIL'!B48</f>
        <v>Disconnect Switch, 30A, 2P, in NEMA 3R Enclosure</v>
      </c>
      <c r="D71" s="131"/>
      <c r="E71" s="364" t="s">
        <v>66</v>
      </c>
      <c r="F71" s="364" t="s">
        <v>66</v>
      </c>
      <c r="G71" s="364"/>
      <c r="H71" s="109"/>
      <c r="I71" s="433">
        <f>'TAKEOFF DETAIL'!BH48</f>
        <v>1</v>
      </c>
      <c r="J71" s="433"/>
      <c r="K71" s="433">
        <f>'TAKEOFF DETAIL'!BR48</f>
        <v>0</v>
      </c>
      <c r="L71" s="433"/>
      <c r="M71" s="434"/>
      <c r="N71" s="361">
        <f t="shared" ref="N71" si="74">I71+K71</f>
        <v>1</v>
      </c>
      <c r="O71" s="25"/>
      <c r="P71" s="67">
        <f t="shared" ref="P71" si="75">IF(N71&gt;0,N71*Q71,O71*Q71)</f>
        <v>2</v>
      </c>
      <c r="Q71" s="24">
        <v>2</v>
      </c>
      <c r="R71" s="23">
        <f t="shared" ref="R71" si="76">P71*$N$2</f>
        <v>356</v>
      </c>
      <c r="S71" s="352"/>
      <c r="T71" s="22">
        <f t="shared" ref="T71" si="77">(N71+O71)*S71</f>
        <v>0</v>
      </c>
      <c r="U71" s="22">
        <f t="shared" ref="U71" si="78">+R71+T71</f>
        <v>356</v>
      </c>
      <c r="V71" s="15" t="s">
        <v>38</v>
      </c>
      <c r="W71" s="387"/>
    </row>
    <row r="72" spans="2:23" ht="15" customHeight="1" outlineLevel="1">
      <c r="B72" s="106"/>
      <c r="C72" s="116"/>
      <c r="D72" s="131"/>
      <c r="E72" s="159"/>
      <c r="F72" s="159"/>
      <c r="G72" s="159"/>
      <c r="H72" s="131"/>
      <c r="I72" s="43"/>
      <c r="J72" s="43"/>
      <c r="K72" s="43"/>
      <c r="L72" s="43"/>
      <c r="M72" s="30"/>
      <c r="N72" s="19"/>
      <c r="O72" s="132"/>
      <c r="P72" s="66"/>
      <c r="Q72" s="21"/>
      <c r="R72" s="22"/>
      <c r="S72" s="126"/>
      <c r="T72" s="22"/>
      <c r="U72" s="22"/>
      <c r="V72" s="15"/>
      <c r="W72" s="107"/>
    </row>
    <row r="73" spans="2:23" ht="15" customHeight="1">
      <c r="B73" s="10"/>
      <c r="C73" s="128" t="s">
        <v>40</v>
      </c>
      <c r="D73" s="128"/>
      <c r="E73" s="128"/>
      <c r="F73" s="128"/>
      <c r="G73" s="128"/>
      <c r="H73" s="128"/>
      <c r="I73" s="129"/>
      <c r="J73" s="129"/>
      <c r="K73" s="129"/>
      <c r="L73" s="129"/>
      <c r="M73" s="6"/>
      <c r="N73" s="7"/>
      <c r="O73" s="8"/>
      <c r="P73" s="162">
        <f>SUM(P61:P72)</f>
        <v>19</v>
      </c>
      <c r="Q73" s="13"/>
      <c r="R73" s="130">
        <f>SUM(R61:R72)</f>
        <v>3382</v>
      </c>
      <c r="S73" s="14"/>
      <c r="T73" s="130">
        <f>SUM(T61:T72)</f>
        <v>0</v>
      </c>
      <c r="U73" s="130">
        <f>SUM(U61:U72)</f>
        <v>3382</v>
      </c>
      <c r="V73" s="15"/>
    </row>
    <row r="74" spans="2:23" ht="15" customHeight="1">
      <c r="B74" s="5"/>
      <c r="C74" s="116" t="s">
        <v>279</v>
      </c>
      <c r="D74" s="116"/>
      <c r="E74" s="116"/>
      <c r="F74" s="116"/>
      <c r="G74" s="116"/>
      <c r="H74" s="116"/>
      <c r="I74" s="11"/>
      <c r="J74" s="11"/>
      <c r="K74" s="11"/>
      <c r="L74" s="11"/>
      <c r="M74" s="11"/>
      <c r="N74" s="9"/>
      <c r="O74" s="12"/>
      <c r="P74" s="66"/>
      <c r="Q74" s="21"/>
      <c r="R74" s="22"/>
      <c r="S74" s="28"/>
      <c r="T74" s="22"/>
      <c r="U74" s="22"/>
      <c r="V74" s="15"/>
    </row>
    <row r="75" spans="2:23" ht="15" customHeight="1" outlineLevel="1">
      <c r="B75" s="5"/>
      <c r="C75" s="109" t="str">
        <f>'TAKEOFF DETAIL'!B62</f>
        <v>Wall Motion Sensor</v>
      </c>
      <c r="D75" s="116"/>
      <c r="E75" s="364" t="s">
        <v>66</v>
      </c>
      <c r="F75" s="364" t="s">
        <v>66</v>
      </c>
      <c r="G75" s="364"/>
      <c r="H75" s="440"/>
      <c r="I75" s="433">
        <f>'TAKEOFF DETAIL'!L62</f>
        <v>2</v>
      </c>
      <c r="J75" s="435"/>
      <c r="K75" s="433"/>
      <c r="L75" s="433"/>
      <c r="M75" s="434"/>
      <c r="N75" s="361">
        <f t="shared" ref="N75:N76" si="79">I75+K75</f>
        <v>2</v>
      </c>
      <c r="O75" s="437"/>
      <c r="P75" s="67">
        <f t="shared" ref="P75:P76" si="80">IF(N75&gt;0,N75*Q75,O75*Q75)</f>
        <v>1</v>
      </c>
      <c r="Q75" s="24">
        <v>0.5</v>
      </c>
      <c r="R75" s="23">
        <f t="shared" ref="R75:R76" si="81">P75*$N$2</f>
        <v>178</v>
      </c>
      <c r="S75" s="441" t="s">
        <v>256</v>
      </c>
      <c r="T75" s="22">
        <v>0</v>
      </c>
      <c r="U75" s="22">
        <f t="shared" ref="U75:U76" si="82">+R75+T75</f>
        <v>178</v>
      </c>
      <c r="V75" s="15" t="s">
        <v>38</v>
      </c>
      <c r="W75" s="16" t="s">
        <v>203</v>
      </c>
    </row>
    <row r="76" spans="2:23" ht="15" customHeight="1" outlineLevel="1">
      <c r="B76" s="5"/>
      <c r="C76" s="109" t="str">
        <f>'TAKEOFF DETAIL'!B63</f>
        <v>Switchbank complete with 9-Dimmer Switch</v>
      </c>
      <c r="D76" s="116"/>
      <c r="E76" s="364" t="s">
        <v>66</v>
      </c>
      <c r="F76" s="364" t="s">
        <v>66</v>
      </c>
      <c r="G76" s="440"/>
      <c r="H76" s="440"/>
      <c r="I76" s="433">
        <f>'TAKEOFF DETAIL'!L63</f>
        <v>1</v>
      </c>
      <c r="J76" s="435"/>
      <c r="K76" s="433"/>
      <c r="L76" s="433"/>
      <c r="M76" s="434"/>
      <c r="N76" s="361">
        <f t="shared" si="79"/>
        <v>1</v>
      </c>
      <c r="O76" s="437"/>
      <c r="P76" s="67">
        <f t="shared" si="80"/>
        <v>4.5</v>
      </c>
      <c r="Q76" s="24">
        <f>0.5*9</f>
        <v>4.5</v>
      </c>
      <c r="R76" s="23">
        <f t="shared" si="81"/>
        <v>801</v>
      </c>
      <c r="S76" s="441" t="s">
        <v>256</v>
      </c>
      <c r="T76" s="22">
        <v>0</v>
      </c>
      <c r="U76" s="22">
        <f t="shared" si="82"/>
        <v>801</v>
      </c>
      <c r="V76" s="15" t="s">
        <v>38</v>
      </c>
      <c r="W76" s="353" t="s">
        <v>204</v>
      </c>
    </row>
    <row r="77" spans="2:23" ht="15" customHeight="1" outlineLevel="1">
      <c r="B77" s="5"/>
      <c r="C77" s="109" t="str">
        <f>'TAKEOFF DETAIL'!B64</f>
        <v>24VDC Drive for LED Strip Light</v>
      </c>
      <c r="D77" s="116"/>
      <c r="E77" s="364" t="s">
        <v>66</v>
      </c>
      <c r="F77" s="364" t="s">
        <v>66</v>
      </c>
      <c r="G77" s="440"/>
      <c r="H77" s="440"/>
      <c r="I77" s="433">
        <f>'TAKEOFF DETAIL'!L64</f>
        <v>8</v>
      </c>
      <c r="J77" s="435"/>
      <c r="K77" s="433"/>
      <c r="L77" s="433"/>
      <c r="M77" s="434"/>
      <c r="N77" s="361">
        <f t="shared" ref="N77" si="83">I77+K77</f>
        <v>8</v>
      </c>
      <c r="O77" s="437"/>
      <c r="P77" s="67">
        <f t="shared" ref="P77" si="84">IF(N77&gt;0,N77*Q77,O77*Q77)</f>
        <v>4</v>
      </c>
      <c r="Q77" s="24">
        <v>0.5</v>
      </c>
      <c r="R77" s="23">
        <f t="shared" ref="R77" si="85">P77*$N$2</f>
        <v>712</v>
      </c>
      <c r="S77" s="441" t="s">
        <v>256</v>
      </c>
      <c r="T77" s="22">
        <v>0</v>
      </c>
      <c r="U77" s="22">
        <f t="shared" ref="U77" si="86">+R77+T77</f>
        <v>712</v>
      </c>
      <c r="V77" s="15" t="s">
        <v>38</v>
      </c>
      <c r="W77" s="353" t="s">
        <v>205</v>
      </c>
    </row>
    <row r="78" spans="2:23" ht="15" customHeight="1" outlineLevel="1">
      <c r="B78" s="5"/>
      <c r="C78" s="109" t="str">
        <f>'TAKEOFF DETAIL'!B67</f>
        <v>Type " 19045 ", LED Exit Sign with Emergency Light</v>
      </c>
      <c r="D78" s="109"/>
      <c r="E78" s="364"/>
      <c r="F78" s="364" t="s">
        <v>66</v>
      </c>
      <c r="G78" s="364" t="s">
        <v>66</v>
      </c>
      <c r="H78" s="109"/>
      <c r="I78" s="433">
        <f>'TAKEOFF DETAIL'!L67</f>
        <v>1</v>
      </c>
      <c r="J78" s="435"/>
      <c r="K78" s="433"/>
      <c r="L78" s="433"/>
      <c r="M78" s="434"/>
      <c r="N78" s="361">
        <f t="shared" ref="N78:N85" si="87">I78+K78</f>
        <v>1</v>
      </c>
      <c r="O78" s="437"/>
      <c r="P78" s="67">
        <f t="shared" ref="P78:P80" si="88">IF(N78&gt;0,N78*Q78,O78*Q78)</f>
        <v>1.5</v>
      </c>
      <c r="Q78" s="24">
        <v>1.5</v>
      </c>
      <c r="R78" s="23">
        <f t="shared" ref="R78:R80" si="89">P78*$N$2</f>
        <v>267</v>
      </c>
      <c r="S78" s="441" t="s">
        <v>256</v>
      </c>
      <c r="T78" s="22">
        <v>0</v>
      </c>
      <c r="U78" s="22">
        <f t="shared" ref="U78:U80" si="90">+R78+T78</f>
        <v>267</v>
      </c>
      <c r="V78" s="15" t="s">
        <v>38</v>
      </c>
      <c r="W78" s="353"/>
    </row>
    <row r="79" spans="2:23" ht="15" customHeight="1" outlineLevel="1">
      <c r="B79" s="42"/>
      <c r="C79" s="109" t="str">
        <f>'TAKEOFF DETAIL'!B68</f>
        <v>Type " 19047 ", LED Exit Sign with Emergency Light</v>
      </c>
      <c r="D79" s="109"/>
      <c r="E79" s="364"/>
      <c r="F79" s="364" t="s">
        <v>66</v>
      </c>
      <c r="G79" s="364" t="s">
        <v>66</v>
      </c>
      <c r="H79" s="109"/>
      <c r="I79" s="433">
        <f>'TAKEOFF DETAIL'!L68</f>
        <v>4</v>
      </c>
      <c r="J79" s="435"/>
      <c r="K79" s="433"/>
      <c r="L79" s="433"/>
      <c r="M79" s="434"/>
      <c r="N79" s="361">
        <f t="shared" si="87"/>
        <v>4</v>
      </c>
      <c r="O79" s="437"/>
      <c r="P79" s="67">
        <f t="shared" si="88"/>
        <v>6</v>
      </c>
      <c r="Q79" s="24">
        <v>1.5</v>
      </c>
      <c r="R79" s="23">
        <f t="shared" si="89"/>
        <v>1068</v>
      </c>
      <c r="S79" s="441" t="s">
        <v>256</v>
      </c>
      <c r="T79" s="22">
        <v>0</v>
      </c>
      <c r="U79" s="22">
        <f t="shared" si="90"/>
        <v>1068</v>
      </c>
      <c r="V79" s="15" t="s">
        <v>38</v>
      </c>
      <c r="W79" s="64"/>
    </row>
    <row r="80" spans="2:23" ht="15" customHeight="1" outlineLevel="1">
      <c r="B80" s="42"/>
      <c r="C80" s="109" t="str">
        <f>'TAKEOFF DETAIL'!B69</f>
        <v>Type " 19056 ", LED Emergency Light</v>
      </c>
      <c r="D80" s="109"/>
      <c r="E80" s="364"/>
      <c r="F80" s="364" t="s">
        <v>66</v>
      </c>
      <c r="G80" s="364" t="s">
        <v>66</v>
      </c>
      <c r="H80" s="109"/>
      <c r="I80" s="433">
        <f>'TAKEOFF DETAIL'!L69</f>
        <v>1</v>
      </c>
      <c r="J80" s="433"/>
      <c r="K80" s="433"/>
      <c r="L80" s="433"/>
      <c r="M80" s="434"/>
      <c r="N80" s="361">
        <f t="shared" si="87"/>
        <v>1</v>
      </c>
      <c r="O80" s="25"/>
      <c r="P80" s="67">
        <f t="shared" si="88"/>
        <v>1.5</v>
      </c>
      <c r="Q80" s="24">
        <v>1.5</v>
      </c>
      <c r="R80" s="23">
        <f t="shared" si="89"/>
        <v>267</v>
      </c>
      <c r="S80" s="441" t="s">
        <v>256</v>
      </c>
      <c r="T80" s="22">
        <v>0</v>
      </c>
      <c r="U80" s="22">
        <f t="shared" si="90"/>
        <v>267</v>
      </c>
      <c r="V80" s="15" t="s">
        <v>38</v>
      </c>
      <c r="W80" s="64"/>
    </row>
    <row r="81" spans="2:23" ht="15" customHeight="1" outlineLevel="1">
      <c r="B81" s="42"/>
      <c r="C81" s="109" t="str">
        <f>'TAKEOFF DETAIL'!B70</f>
        <v>Type " 21769 ", Recessed Can Light</v>
      </c>
      <c r="D81" s="109"/>
      <c r="E81" s="364"/>
      <c r="F81" s="364" t="s">
        <v>66</v>
      </c>
      <c r="G81" s="364" t="s">
        <v>66</v>
      </c>
      <c r="H81" s="109"/>
      <c r="I81" s="433">
        <f>'TAKEOFF DETAIL'!L70</f>
        <v>35</v>
      </c>
      <c r="J81" s="433"/>
      <c r="K81" s="433"/>
      <c r="L81" s="433"/>
      <c r="M81" s="434"/>
      <c r="N81" s="361">
        <f t="shared" si="87"/>
        <v>35</v>
      </c>
      <c r="O81" s="25"/>
      <c r="P81" s="67">
        <f t="shared" ref="P81:P85" si="91">IF(N81&gt;0,N81*Q81,O81*Q81)</f>
        <v>28</v>
      </c>
      <c r="Q81" s="24">
        <v>0.8</v>
      </c>
      <c r="R81" s="23">
        <f t="shared" ref="R81:R85" si="92">P81*$N$2</f>
        <v>4984</v>
      </c>
      <c r="S81" s="441" t="s">
        <v>256</v>
      </c>
      <c r="T81" s="22">
        <v>0</v>
      </c>
      <c r="U81" s="22">
        <f t="shared" ref="U81:U85" si="93">+R81+T81</f>
        <v>4984</v>
      </c>
      <c r="V81" s="15" t="s">
        <v>38</v>
      </c>
      <c r="W81" s="64"/>
    </row>
    <row r="82" spans="2:23" ht="15" customHeight="1" outlineLevel="1">
      <c r="B82" s="42"/>
      <c r="C82" s="109" t="str">
        <f>'TAKEOFF DETAIL'!B71</f>
        <v>Type " 21769 ", Recessed Can Light with Emergency Lighting Inverter</v>
      </c>
      <c r="D82" s="109"/>
      <c r="E82" s="364"/>
      <c r="F82" s="364" t="s">
        <v>66</v>
      </c>
      <c r="G82" s="364" t="s">
        <v>66</v>
      </c>
      <c r="H82" s="109"/>
      <c r="I82" s="433">
        <f>'TAKEOFF DETAIL'!L71</f>
        <v>2</v>
      </c>
      <c r="J82" s="433"/>
      <c r="K82" s="433"/>
      <c r="L82" s="433"/>
      <c r="M82" s="434"/>
      <c r="N82" s="361">
        <f t="shared" si="87"/>
        <v>2</v>
      </c>
      <c r="O82" s="25"/>
      <c r="P82" s="67">
        <f t="shared" si="91"/>
        <v>1.6</v>
      </c>
      <c r="Q82" s="24">
        <v>0.8</v>
      </c>
      <c r="R82" s="23">
        <f t="shared" si="92"/>
        <v>284.8</v>
      </c>
      <c r="S82" s="441" t="s">
        <v>256</v>
      </c>
      <c r="T82" s="22">
        <v>0</v>
      </c>
      <c r="U82" s="22">
        <f t="shared" si="93"/>
        <v>284.8</v>
      </c>
      <c r="V82" s="15" t="s">
        <v>38</v>
      </c>
      <c r="W82" s="64"/>
    </row>
    <row r="83" spans="2:23" ht="15" customHeight="1" outlineLevel="1">
      <c r="B83" s="42"/>
      <c r="C83" s="109" t="str">
        <f>'TAKEOFF DETAIL'!B72</f>
        <v>Type " 21771 ", Recessed Can Light</v>
      </c>
      <c r="D83" s="109"/>
      <c r="E83" s="364"/>
      <c r="F83" s="364" t="s">
        <v>66</v>
      </c>
      <c r="G83" s="364" t="s">
        <v>66</v>
      </c>
      <c r="H83" s="109"/>
      <c r="I83" s="433">
        <f>'TAKEOFF DETAIL'!L72</f>
        <v>20</v>
      </c>
      <c r="J83" s="433"/>
      <c r="K83" s="433"/>
      <c r="L83" s="433"/>
      <c r="M83" s="434"/>
      <c r="N83" s="361">
        <f t="shared" si="87"/>
        <v>20</v>
      </c>
      <c r="O83" s="25"/>
      <c r="P83" s="67">
        <f t="shared" si="91"/>
        <v>16</v>
      </c>
      <c r="Q83" s="24">
        <v>0.8</v>
      </c>
      <c r="R83" s="23">
        <f t="shared" si="92"/>
        <v>2848</v>
      </c>
      <c r="S83" s="441" t="s">
        <v>256</v>
      </c>
      <c r="T83" s="22">
        <v>0</v>
      </c>
      <c r="U83" s="22">
        <f t="shared" si="93"/>
        <v>2848</v>
      </c>
      <c r="V83" s="15" t="s">
        <v>38</v>
      </c>
      <c r="W83" s="64"/>
    </row>
    <row r="84" spans="2:23" ht="15" customHeight="1" outlineLevel="1">
      <c r="B84" s="42"/>
      <c r="C84" s="109" t="str">
        <f>'TAKEOFF DETAIL'!B73</f>
        <v>Type " 21772 ", Recessed Can Light</v>
      </c>
      <c r="D84" s="109"/>
      <c r="E84" s="364"/>
      <c r="F84" s="364" t="s">
        <v>66</v>
      </c>
      <c r="G84" s="364" t="s">
        <v>66</v>
      </c>
      <c r="H84" s="109"/>
      <c r="I84" s="433">
        <f>'TAKEOFF DETAIL'!L73</f>
        <v>11</v>
      </c>
      <c r="J84" s="433"/>
      <c r="K84" s="433"/>
      <c r="L84" s="433"/>
      <c r="M84" s="434"/>
      <c r="N84" s="361">
        <f t="shared" si="87"/>
        <v>11</v>
      </c>
      <c r="O84" s="25"/>
      <c r="P84" s="67">
        <f t="shared" si="91"/>
        <v>8.8000000000000007</v>
      </c>
      <c r="Q84" s="24">
        <v>0.8</v>
      </c>
      <c r="R84" s="23">
        <f t="shared" si="92"/>
        <v>1566.4</v>
      </c>
      <c r="S84" s="441" t="s">
        <v>256</v>
      </c>
      <c r="T84" s="22">
        <v>0</v>
      </c>
      <c r="U84" s="22">
        <f t="shared" si="93"/>
        <v>1566.4</v>
      </c>
      <c r="V84" s="15" t="s">
        <v>38</v>
      </c>
      <c r="W84" s="64"/>
    </row>
    <row r="85" spans="2:23" ht="15" customHeight="1" outlineLevel="1">
      <c r="B85" s="42"/>
      <c r="C85" s="109" t="str">
        <f>'TAKEOFF DETAIL'!B74</f>
        <v>Type " 21772 ", Recessed Can Light with Emergency Lighting Inverter</v>
      </c>
      <c r="D85" s="109"/>
      <c r="E85" s="364"/>
      <c r="F85" s="364" t="s">
        <v>66</v>
      </c>
      <c r="G85" s="364" t="s">
        <v>66</v>
      </c>
      <c r="H85" s="109"/>
      <c r="I85" s="433">
        <f>'TAKEOFF DETAIL'!L74</f>
        <v>2</v>
      </c>
      <c r="J85" s="433"/>
      <c r="K85" s="433"/>
      <c r="L85" s="433"/>
      <c r="M85" s="434"/>
      <c r="N85" s="361">
        <f t="shared" si="87"/>
        <v>2</v>
      </c>
      <c r="O85" s="25"/>
      <c r="P85" s="67">
        <f t="shared" si="91"/>
        <v>1.6</v>
      </c>
      <c r="Q85" s="24">
        <v>0.8</v>
      </c>
      <c r="R85" s="23">
        <f t="shared" si="92"/>
        <v>284.8</v>
      </c>
      <c r="S85" s="441" t="s">
        <v>256</v>
      </c>
      <c r="T85" s="22">
        <v>0</v>
      </c>
      <c r="U85" s="22">
        <f t="shared" si="93"/>
        <v>284.8</v>
      </c>
      <c r="V85" s="15" t="s">
        <v>38</v>
      </c>
      <c r="W85" s="64"/>
    </row>
    <row r="86" spans="2:23" ht="15" customHeight="1" outlineLevel="1">
      <c r="B86" s="42"/>
      <c r="C86" s="109" t="str">
        <f>'TAKEOFF DETAIL'!B75</f>
        <v>Type " 20749 ", Wall Sconce</v>
      </c>
      <c r="D86" s="109"/>
      <c r="E86" s="364"/>
      <c r="F86" s="364" t="s">
        <v>66</v>
      </c>
      <c r="G86" s="364" t="s">
        <v>66</v>
      </c>
      <c r="H86" s="109"/>
      <c r="I86" s="433">
        <f>'TAKEOFF DETAIL'!L75</f>
        <v>1</v>
      </c>
      <c r="J86" s="433"/>
      <c r="K86" s="433"/>
      <c r="L86" s="433"/>
      <c r="M86" s="434"/>
      <c r="N86" s="361">
        <f t="shared" ref="N86:N103" si="94">I86+K86</f>
        <v>1</v>
      </c>
      <c r="O86" s="25"/>
      <c r="P86" s="67">
        <f t="shared" ref="P86:P103" si="95">IF(N86&gt;0,N86*Q86,O86*Q86)</f>
        <v>1.25</v>
      </c>
      <c r="Q86" s="24">
        <v>1.25</v>
      </c>
      <c r="R86" s="23">
        <f t="shared" ref="R86:R103" si="96">P86*$N$2</f>
        <v>222.5</v>
      </c>
      <c r="S86" s="441" t="s">
        <v>256</v>
      </c>
      <c r="T86" s="22">
        <v>0</v>
      </c>
      <c r="U86" s="22">
        <f t="shared" ref="U86:U103" si="97">+R86+T86</f>
        <v>222.5</v>
      </c>
      <c r="V86" s="15" t="s">
        <v>38</v>
      </c>
      <c r="W86" s="64"/>
    </row>
    <row r="87" spans="2:23" ht="15" customHeight="1" outlineLevel="1">
      <c r="B87" s="42"/>
      <c r="C87" s="109" t="str">
        <f>'TAKEOFF DETAIL'!B76</f>
        <v>Type " 20750 ", Wall Sconce</v>
      </c>
      <c r="D87" s="109"/>
      <c r="E87" s="364"/>
      <c r="F87" s="364" t="s">
        <v>66</v>
      </c>
      <c r="G87" s="364" t="s">
        <v>66</v>
      </c>
      <c r="H87" s="109"/>
      <c r="I87" s="433">
        <f>'TAKEOFF DETAIL'!L76</f>
        <v>2</v>
      </c>
      <c r="J87" s="433"/>
      <c r="K87" s="433"/>
      <c r="L87" s="433"/>
      <c r="M87" s="434"/>
      <c r="N87" s="361">
        <f t="shared" si="94"/>
        <v>2</v>
      </c>
      <c r="O87" s="25"/>
      <c r="P87" s="67">
        <f t="shared" si="95"/>
        <v>2.5</v>
      </c>
      <c r="Q87" s="24">
        <v>1.25</v>
      </c>
      <c r="R87" s="23">
        <f t="shared" si="96"/>
        <v>445</v>
      </c>
      <c r="S87" s="441" t="s">
        <v>256</v>
      </c>
      <c r="T87" s="22">
        <v>0</v>
      </c>
      <c r="U87" s="22">
        <f t="shared" si="97"/>
        <v>445</v>
      </c>
      <c r="V87" s="15" t="s">
        <v>38</v>
      </c>
      <c r="W87" s="64"/>
    </row>
    <row r="88" spans="2:23" ht="15" customHeight="1" outlineLevel="1">
      <c r="B88" s="42"/>
      <c r="C88" s="109" t="str">
        <f>'TAKEOFF DETAIL'!B77</f>
        <v>Type " X0501 ", Wall Sconce</v>
      </c>
      <c r="D88" s="109"/>
      <c r="E88" s="364"/>
      <c r="F88" s="364" t="s">
        <v>66</v>
      </c>
      <c r="G88" s="364" t="s">
        <v>66</v>
      </c>
      <c r="H88" s="109"/>
      <c r="I88" s="433">
        <f>'TAKEOFF DETAIL'!L77</f>
        <v>2</v>
      </c>
      <c r="J88" s="433"/>
      <c r="K88" s="433"/>
      <c r="L88" s="433"/>
      <c r="M88" s="434"/>
      <c r="N88" s="361">
        <f t="shared" si="94"/>
        <v>2</v>
      </c>
      <c r="O88" s="25"/>
      <c r="P88" s="67">
        <f t="shared" si="95"/>
        <v>2.5</v>
      </c>
      <c r="Q88" s="24">
        <v>1.25</v>
      </c>
      <c r="R88" s="23">
        <f t="shared" si="96"/>
        <v>445</v>
      </c>
      <c r="S88" s="441" t="s">
        <v>256</v>
      </c>
      <c r="T88" s="22">
        <v>0</v>
      </c>
      <c r="U88" s="22">
        <f t="shared" si="97"/>
        <v>445</v>
      </c>
      <c r="V88" s="15" t="s">
        <v>38</v>
      </c>
      <c r="W88" s="64"/>
    </row>
    <row r="89" spans="2:23" ht="15" customHeight="1" outlineLevel="1">
      <c r="B89" s="42"/>
      <c r="C89" s="109" t="str">
        <f>'TAKEOFF DETAIL'!B78</f>
        <v>Type " 17796 ", LED String Light @ 10'-9''</v>
      </c>
      <c r="D89" s="109"/>
      <c r="E89" s="364"/>
      <c r="F89" s="364" t="s">
        <v>66</v>
      </c>
      <c r="G89" s="364" t="s">
        <v>66</v>
      </c>
      <c r="H89" s="109"/>
      <c r="I89" s="433">
        <f>'TAKEOFF DETAIL'!L78</f>
        <v>7</v>
      </c>
      <c r="J89" s="433"/>
      <c r="K89" s="433"/>
      <c r="L89" s="433"/>
      <c r="M89" s="434"/>
      <c r="N89" s="361">
        <f t="shared" si="94"/>
        <v>7</v>
      </c>
      <c r="O89" s="25"/>
      <c r="P89" s="67">
        <f t="shared" si="95"/>
        <v>11.200000000000001</v>
      </c>
      <c r="Q89" s="24">
        <v>1.6</v>
      </c>
      <c r="R89" s="23">
        <f t="shared" si="96"/>
        <v>1993.6000000000001</v>
      </c>
      <c r="S89" s="441" t="s">
        <v>256</v>
      </c>
      <c r="T89" s="22">
        <v>0</v>
      </c>
      <c r="U89" s="22">
        <f t="shared" si="97"/>
        <v>1993.6000000000001</v>
      </c>
      <c r="V89" s="15" t="s">
        <v>38</v>
      </c>
      <c r="W89" s="64"/>
    </row>
    <row r="90" spans="2:23" ht="15" customHeight="1" outlineLevel="1">
      <c r="B90" s="42"/>
      <c r="C90" s="109" t="str">
        <f>'TAKEOFF DETAIL'!B79</f>
        <v>Type " 17796 ", LED String Light @ 16'-6''</v>
      </c>
      <c r="D90" s="109"/>
      <c r="E90" s="364"/>
      <c r="F90" s="364" t="s">
        <v>66</v>
      </c>
      <c r="G90" s="364" t="s">
        <v>66</v>
      </c>
      <c r="H90" s="109"/>
      <c r="I90" s="433">
        <f>'TAKEOFF DETAIL'!L79</f>
        <v>2</v>
      </c>
      <c r="J90" s="433"/>
      <c r="K90" s="433"/>
      <c r="L90" s="433"/>
      <c r="M90" s="434"/>
      <c r="N90" s="361">
        <f t="shared" si="94"/>
        <v>2</v>
      </c>
      <c r="O90" s="25"/>
      <c r="P90" s="67">
        <f t="shared" si="95"/>
        <v>4.8</v>
      </c>
      <c r="Q90" s="24">
        <v>2.4</v>
      </c>
      <c r="R90" s="23">
        <f t="shared" si="96"/>
        <v>854.4</v>
      </c>
      <c r="S90" s="441" t="s">
        <v>256</v>
      </c>
      <c r="T90" s="22">
        <v>0</v>
      </c>
      <c r="U90" s="22">
        <f t="shared" si="97"/>
        <v>854.4</v>
      </c>
      <c r="V90" s="15" t="s">
        <v>38</v>
      </c>
      <c r="W90" s="64"/>
    </row>
    <row r="91" spans="2:23" ht="15" customHeight="1" outlineLevel="1">
      <c r="B91" s="42"/>
      <c r="C91" s="109" t="str">
        <f>'TAKEOFF DETAIL'!B80</f>
        <v>Type " 21781 ", LED Tape Grazer @ 4'</v>
      </c>
      <c r="D91" s="109"/>
      <c r="E91" s="364"/>
      <c r="F91" s="364" t="s">
        <v>66</v>
      </c>
      <c r="G91" s="364" t="s">
        <v>66</v>
      </c>
      <c r="H91" s="109"/>
      <c r="I91" s="433">
        <f>'TAKEOFF DETAIL'!L80</f>
        <v>2</v>
      </c>
      <c r="J91" s="433"/>
      <c r="K91" s="433"/>
      <c r="L91" s="433"/>
      <c r="M91" s="434"/>
      <c r="N91" s="361">
        <f t="shared" si="94"/>
        <v>2</v>
      </c>
      <c r="O91" s="25"/>
      <c r="P91" s="67">
        <f t="shared" si="95"/>
        <v>1</v>
      </c>
      <c r="Q91" s="24">
        <v>0.5</v>
      </c>
      <c r="R91" s="23">
        <f t="shared" si="96"/>
        <v>178</v>
      </c>
      <c r="S91" s="441" t="s">
        <v>256</v>
      </c>
      <c r="T91" s="22">
        <v>0</v>
      </c>
      <c r="U91" s="22">
        <f t="shared" si="97"/>
        <v>178</v>
      </c>
      <c r="V91" s="15" t="s">
        <v>38</v>
      </c>
      <c r="W91" s="64"/>
    </row>
    <row r="92" spans="2:23" ht="15" customHeight="1" outlineLevel="1">
      <c r="B92" s="42"/>
      <c r="C92" s="109" t="str">
        <f>'TAKEOFF DETAIL'!B81</f>
        <v>Type " 21781 ", LED Tape Grazer @ 6'-6"</v>
      </c>
      <c r="D92" s="109"/>
      <c r="E92" s="364"/>
      <c r="F92" s="364" t="s">
        <v>66</v>
      </c>
      <c r="G92" s="364" t="s">
        <v>66</v>
      </c>
      <c r="H92" s="109"/>
      <c r="I92" s="433">
        <f>'TAKEOFF DETAIL'!L81</f>
        <v>1</v>
      </c>
      <c r="J92" s="433"/>
      <c r="K92" s="433"/>
      <c r="L92" s="433"/>
      <c r="M92" s="434"/>
      <c r="N92" s="361">
        <f t="shared" si="94"/>
        <v>1</v>
      </c>
      <c r="O92" s="25"/>
      <c r="P92" s="67">
        <f t="shared" si="95"/>
        <v>0.9</v>
      </c>
      <c r="Q92" s="24">
        <v>0.9</v>
      </c>
      <c r="R92" s="23">
        <f t="shared" si="96"/>
        <v>160.20000000000002</v>
      </c>
      <c r="S92" s="441" t="s">
        <v>256</v>
      </c>
      <c r="T92" s="22">
        <v>0</v>
      </c>
      <c r="U92" s="22">
        <f t="shared" si="97"/>
        <v>160.20000000000002</v>
      </c>
      <c r="V92" s="15" t="s">
        <v>38</v>
      </c>
      <c r="W92" s="64"/>
    </row>
    <row r="93" spans="2:23" ht="15" customHeight="1" outlineLevel="1">
      <c r="B93" s="42"/>
      <c r="C93" s="109" t="str">
        <f>'TAKEOFF DETAIL'!B82</f>
        <v>Type " 21781 ", LED Tape Grazer @ 12'-6"</v>
      </c>
      <c r="D93" s="109"/>
      <c r="E93" s="364"/>
      <c r="F93" s="364" t="s">
        <v>66</v>
      </c>
      <c r="G93" s="364" t="s">
        <v>66</v>
      </c>
      <c r="H93" s="109"/>
      <c r="I93" s="433">
        <f>'TAKEOFF DETAIL'!L82</f>
        <v>1</v>
      </c>
      <c r="J93" s="433"/>
      <c r="K93" s="433"/>
      <c r="L93" s="433"/>
      <c r="M93" s="434"/>
      <c r="N93" s="361">
        <f t="shared" si="94"/>
        <v>1</v>
      </c>
      <c r="O93" s="25"/>
      <c r="P93" s="67">
        <f t="shared" si="95"/>
        <v>1.8</v>
      </c>
      <c r="Q93" s="24">
        <v>1.8</v>
      </c>
      <c r="R93" s="23">
        <f t="shared" si="96"/>
        <v>320.40000000000003</v>
      </c>
      <c r="S93" s="441" t="s">
        <v>256</v>
      </c>
      <c r="T93" s="22">
        <v>0</v>
      </c>
      <c r="U93" s="22">
        <f t="shared" si="97"/>
        <v>320.40000000000003</v>
      </c>
      <c r="V93" s="15" t="s">
        <v>38</v>
      </c>
      <c r="W93" s="64"/>
    </row>
    <row r="94" spans="2:23" ht="15" customHeight="1" outlineLevel="1">
      <c r="B94" s="42"/>
      <c r="C94" s="109" t="str">
        <f>'TAKEOFF DETAIL'!B83</f>
        <v>Type " 21782 ", LED Tape Light @ 12'-6"</v>
      </c>
      <c r="D94" s="109"/>
      <c r="E94" s="364"/>
      <c r="F94" s="364" t="s">
        <v>66</v>
      </c>
      <c r="G94" s="364" t="s">
        <v>66</v>
      </c>
      <c r="H94" s="109"/>
      <c r="I94" s="433">
        <f>'TAKEOFF DETAIL'!L83</f>
        <v>1</v>
      </c>
      <c r="J94" s="433"/>
      <c r="K94" s="433"/>
      <c r="L94" s="433"/>
      <c r="M94" s="434"/>
      <c r="N94" s="361">
        <f t="shared" si="94"/>
        <v>1</v>
      </c>
      <c r="O94" s="25"/>
      <c r="P94" s="67">
        <f t="shared" si="95"/>
        <v>2.7</v>
      </c>
      <c r="Q94" s="24">
        <v>2.7</v>
      </c>
      <c r="R94" s="23">
        <f t="shared" si="96"/>
        <v>480.6</v>
      </c>
      <c r="S94" s="441" t="s">
        <v>256</v>
      </c>
      <c r="T94" s="22">
        <v>0</v>
      </c>
      <c r="U94" s="22">
        <f t="shared" si="97"/>
        <v>480.6</v>
      </c>
      <c r="V94" s="15" t="s">
        <v>38</v>
      </c>
      <c r="W94" s="64"/>
    </row>
    <row r="95" spans="2:23" ht="15" customHeight="1" outlineLevel="1">
      <c r="B95" s="42"/>
      <c r="C95" s="109" t="str">
        <f>'TAKEOFF DETAIL'!B84</f>
        <v>Type " 22217 ", LED Tape Flexible @ 6'-6"</v>
      </c>
      <c r="D95" s="109"/>
      <c r="E95" s="364"/>
      <c r="F95" s="364" t="s">
        <v>66</v>
      </c>
      <c r="G95" s="364" t="s">
        <v>66</v>
      </c>
      <c r="H95" s="109"/>
      <c r="I95" s="433">
        <f>'TAKEOFF DETAIL'!L84</f>
        <v>1</v>
      </c>
      <c r="J95" s="433"/>
      <c r="K95" s="433"/>
      <c r="L95" s="433"/>
      <c r="M95" s="434"/>
      <c r="N95" s="361">
        <f t="shared" si="94"/>
        <v>1</v>
      </c>
      <c r="O95" s="25"/>
      <c r="P95" s="67">
        <f t="shared" si="95"/>
        <v>0.9</v>
      </c>
      <c r="Q95" s="24">
        <v>0.9</v>
      </c>
      <c r="R95" s="23">
        <f t="shared" si="96"/>
        <v>160.20000000000002</v>
      </c>
      <c r="S95" s="441" t="s">
        <v>256</v>
      </c>
      <c r="T95" s="22">
        <v>0</v>
      </c>
      <c r="U95" s="22">
        <f t="shared" si="97"/>
        <v>160.20000000000002</v>
      </c>
      <c r="V95" s="15" t="s">
        <v>38</v>
      </c>
      <c r="W95" s="64"/>
    </row>
    <row r="96" spans="2:23" ht="15" customHeight="1" outlineLevel="1">
      <c r="B96" s="42"/>
      <c r="C96" s="109" t="str">
        <f>'TAKEOFF DETAIL'!B85</f>
        <v>Type " 22217 ", LED Tape Flexible @ 13'-9"</v>
      </c>
      <c r="D96" s="109"/>
      <c r="E96" s="364"/>
      <c r="F96" s="364" t="s">
        <v>66</v>
      </c>
      <c r="G96" s="364" t="s">
        <v>66</v>
      </c>
      <c r="H96" s="109"/>
      <c r="I96" s="433">
        <f>'TAKEOFF DETAIL'!L85</f>
        <v>1</v>
      </c>
      <c r="J96" s="433"/>
      <c r="K96" s="433"/>
      <c r="L96" s="433"/>
      <c r="M96" s="434"/>
      <c r="N96" s="361">
        <f t="shared" si="94"/>
        <v>1</v>
      </c>
      <c r="O96" s="25"/>
      <c r="P96" s="67">
        <f t="shared" si="95"/>
        <v>2</v>
      </c>
      <c r="Q96" s="24">
        <v>2</v>
      </c>
      <c r="R96" s="23">
        <f t="shared" si="96"/>
        <v>356</v>
      </c>
      <c r="S96" s="441" t="s">
        <v>256</v>
      </c>
      <c r="T96" s="22">
        <v>0</v>
      </c>
      <c r="U96" s="22">
        <f t="shared" si="97"/>
        <v>356</v>
      </c>
      <c r="V96" s="15" t="s">
        <v>38</v>
      </c>
      <c r="W96" s="64"/>
    </row>
    <row r="97" spans="2:24" ht="15" customHeight="1" outlineLevel="1">
      <c r="B97" s="42"/>
      <c r="C97" s="109" t="str">
        <f>'TAKEOFF DETAIL'!B86</f>
        <v>Type " 12947 ", 8' LED Track with connectors</v>
      </c>
      <c r="D97" s="109"/>
      <c r="E97" s="364"/>
      <c r="F97" s="364" t="s">
        <v>66</v>
      </c>
      <c r="G97" s="364" t="s">
        <v>66</v>
      </c>
      <c r="H97" s="109"/>
      <c r="I97" s="433">
        <f>'TAKEOFF DETAIL'!L86</f>
        <v>17</v>
      </c>
      <c r="J97" s="433"/>
      <c r="K97" s="433"/>
      <c r="L97" s="433"/>
      <c r="M97" s="434"/>
      <c r="N97" s="361">
        <f t="shared" si="94"/>
        <v>17</v>
      </c>
      <c r="O97" s="25"/>
      <c r="P97" s="67">
        <f t="shared" si="95"/>
        <v>25.5</v>
      </c>
      <c r="Q97" s="24">
        <v>1.5</v>
      </c>
      <c r="R97" s="23">
        <f t="shared" si="96"/>
        <v>4539</v>
      </c>
      <c r="S97" s="441" t="s">
        <v>256</v>
      </c>
      <c r="T97" s="22">
        <v>0</v>
      </c>
      <c r="U97" s="22">
        <f t="shared" si="97"/>
        <v>4539</v>
      </c>
      <c r="V97" s="15" t="s">
        <v>38</v>
      </c>
      <c r="W97" s="64"/>
    </row>
    <row r="98" spans="2:24" ht="15" customHeight="1" outlineLevel="1">
      <c r="B98" s="42"/>
      <c r="C98" s="109" t="str">
        <f>'TAKEOFF DETAIL'!B87</f>
        <v>Type " 21777 ", LED Fixture with Snoot</v>
      </c>
      <c r="D98" s="109"/>
      <c r="E98" s="364"/>
      <c r="F98" s="364" t="s">
        <v>66</v>
      </c>
      <c r="G98" s="364" t="s">
        <v>66</v>
      </c>
      <c r="H98" s="109"/>
      <c r="I98" s="433">
        <f>'TAKEOFF DETAIL'!L87</f>
        <v>11</v>
      </c>
      <c r="J98" s="433"/>
      <c r="K98" s="433"/>
      <c r="L98" s="433"/>
      <c r="M98" s="434"/>
      <c r="N98" s="361">
        <f t="shared" si="94"/>
        <v>11</v>
      </c>
      <c r="O98" s="25"/>
      <c r="P98" s="67">
        <f t="shared" si="95"/>
        <v>16.5</v>
      </c>
      <c r="Q98" s="24">
        <v>1.5</v>
      </c>
      <c r="R98" s="23">
        <f t="shared" si="96"/>
        <v>2937</v>
      </c>
      <c r="S98" s="441" t="s">
        <v>256</v>
      </c>
      <c r="T98" s="22">
        <v>0</v>
      </c>
      <c r="U98" s="22">
        <f t="shared" si="97"/>
        <v>2937</v>
      </c>
      <c r="V98" s="15" t="s">
        <v>38</v>
      </c>
      <c r="W98" s="64"/>
    </row>
    <row r="99" spans="2:24" ht="15" customHeight="1" outlineLevel="1">
      <c r="B99" s="42"/>
      <c r="C99" s="109" t="str">
        <f>'TAKEOFF DETAIL'!B88</f>
        <v>Type " 21779 ", LED Fixture with Snoot</v>
      </c>
      <c r="D99" s="109"/>
      <c r="E99" s="364"/>
      <c r="F99" s="364" t="s">
        <v>66</v>
      </c>
      <c r="G99" s="364" t="s">
        <v>66</v>
      </c>
      <c r="H99" s="109"/>
      <c r="I99" s="433">
        <f>'TAKEOFF DETAIL'!L88</f>
        <v>28</v>
      </c>
      <c r="J99" s="433"/>
      <c r="K99" s="433"/>
      <c r="L99" s="433"/>
      <c r="M99" s="434"/>
      <c r="N99" s="361">
        <f t="shared" si="94"/>
        <v>28</v>
      </c>
      <c r="O99" s="25"/>
      <c r="P99" s="67">
        <f t="shared" si="95"/>
        <v>42</v>
      </c>
      <c r="Q99" s="24">
        <v>1.5</v>
      </c>
      <c r="R99" s="23">
        <f t="shared" si="96"/>
        <v>7476</v>
      </c>
      <c r="S99" s="441" t="s">
        <v>256</v>
      </c>
      <c r="T99" s="22">
        <v>0</v>
      </c>
      <c r="U99" s="22">
        <f t="shared" si="97"/>
        <v>7476</v>
      </c>
      <c r="V99" s="15" t="s">
        <v>38</v>
      </c>
      <c r="W99" s="64"/>
    </row>
    <row r="100" spans="2:24" ht="15" customHeight="1" outlineLevel="1">
      <c r="B100" s="42"/>
      <c r="C100" s="109" t="str">
        <f>'TAKEOFF DETAIL'!B89</f>
        <v>Type " X1060 ", 0.5A Current Limiter</v>
      </c>
      <c r="D100" s="109"/>
      <c r="E100" s="364"/>
      <c r="F100" s="364" t="s">
        <v>66</v>
      </c>
      <c r="G100" s="364" t="s">
        <v>66</v>
      </c>
      <c r="H100" s="109"/>
      <c r="I100" s="433">
        <f>'TAKEOFF DETAIL'!L89</f>
        <v>1</v>
      </c>
      <c r="J100" s="433"/>
      <c r="K100" s="433"/>
      <c r="L100" s="433"/>
      <c r="M100" s="434"/>
      <c r="N100" s="361">
        <f t="shared" si="94"/>
        <v>1</v>
      </c>
      <c r="O100" s="25"/>
      <c r="P100" s="67">
        <f t="shared" si="95"/>
        <v>0.5</v>
      </c>
      <c r="Q100" s="24">
        <v>0.5</v>
      </c>
      <c r="R100" s="23">
        <f t="shared" si="96"/>
        <v>89</v>
      </c>
      <c r="S100" s="441" t="s">
        <v>256</v>
      </c>
      <c r="T100" s="22">
        <v>0</v>
      </c>
      <c r="U100" s="22">
        <f t="shared" si="97"/>
        <v>89</v>
      </c>
      <c r="V100" s="15" t="s">
        <v>38</v>
      </c>
      <c r="W100" s="64"/>
    </row>
    <row r="101" spans="2:24" ht="15" customHeight="1" outlineLevel="1">
      <c r="B101" s="42"/>
      <c r="C101" s="109" t="str">
        <f>'TAKEOFF DETAIL'!B90</f>
        <v>Type " X1120 ", 1A Current Limiter</v>
      </c>
      <c r="D101" s="109"/>
      <c r="E101" s="364"/>
      <c r="F101" s="364" t="s">
        <v>66</v>
      </c>
      <c r="G101" s="364" t="s">
        <v>66</v>
      </c>
      <c r="H101" s="109"/>
      <c r="I101" s="433">
        <f>'TAKEOFF DETAIL'!L90</f>
        <v>1</v>
      </c>
      <c r="J101" s="433"/>
      <c r="K101" s="433"/>
      <c r="L101" s="433"/>
      <c r="M101" s="434"/>
      <c r="N101" s="361">
        <f t="shared" si="94"/>
        <v>1</v>
      </c>
      <c r="O101" s="25"/>
      <c r="P101" s="67">
        <f t="shared" si="95"/>
        <v>0.5</v>
      </c>
      <c r="Q101" s="24">
        <v>0.5</v>
      </c>
      <c r="R101" s="23">
        <f t="shared" si="96"/>
        <v>89</v>
      </c>
      <c r="S101" s="441" t="s">
        <v>256</v>
      </c>
      <c r="T101" s="22">
        <v>0</v>
      </c>
      <c r="U101" s="22">
        <f t="shared" si="97"/>
        <v>89</v>
      </c>
      <c r="V101" s="15" t="s">
        <v>38</v>
      </c>
      <c r="W101" s="64"/>
    </row>
    <row r="102" spans="2:24" ht="15" customHeight="1" outlineLevel="1">
      <c r="B102" s="42"/>
      <c r="C102" s="109" t="str">
        <f>'TAKEOFF DETAIL'!B91</f>
        <v>Type " X1240 ", 2A Current Limiter</v>
      </c>
      <c r="D102" s="109"/>
      <c r="E102" s="364"/>
      <c r="F102" s="364" t="s">
        <v>66</v>
      </c>
      <c r="G102" s="364" t="s">
        <v>66</v>
      </c>
      <c r="H102" s="109"/>
      <c r="I102" s="433">
        <f>'TAKEOFF DETAIL'!L91</f>
        <v>1</v>
      </c>
      <c r="J102" s="433"/>
      <c r="K102" s="433"/>
      <c r="L102" s="433"/>
      <c r="M102" s="434"/>
      <c r="N102" s="361">
        <f t="shared" si="94"/>
        <v>1</v>
      </c>
      <c r="O102" s="25"/>
      <c r="P102" s="67">
        <f t="shared" si="95"/>
        <v>0.85</v>
      </c>
      <c r="Q102" s="24">
        <v>0.85</v>
      </c>
      <c r="R102" s="23">
        <f t="shared" si="96"/>
        <v>151.29999999999998</v>
      </c>
      <c r="S102" s="441" t="s">
        <v>256</v>
      </c>
      <c r="T102" s="22">
        <v>0</v>
      </c>
      <c r="U102" s="22">
        <f t="shared" si="97"/>
        <v>151.29999999999998</v>
      </c>
      <c r="V102" s="15" t="s">
        <v>38</v>
      </c>
      <c r="W102" s="64"/>
    </row>
    <row r="103" spans="2:24" ht="15" customHeight="1" outlineLevel="1">
      <c r="B103" s="42"/>
      <c r="C103" s="109" t="str">
        <f>'TAKEOFF DETAIL'!B92</f>
        <v>Type " 21783 " - Recessed LED Trofer</v>
      </c>
      <c r="D103" s="109"/>
      <c r="E103" s="364"/>
      <c r="F103" s="364" t="s">
        <v>66</v>
      </c>
      <c r="G103" s="364" t="s">
        <v>66</v>
      </c>
      <c r="H103" s="109"/>
      <c r="I103" s="433">
        <f>'TAKEOFF DETAIL'!L92</f>
        <v>6</v>
      </c>
      <c r="J103" s="433"/>
      <c r="K103" s="433"/>
      <c r="L103" s="433"/>
      <c r="M103" s="434"/>
      <c r="N103" s="361">
        <f t="shared" si="94"/>
        <v>6</v>
      </c>
      <c r="O103" s="25"/>
      <c r="P103" s="67">
        <f t="shared" si="95"/>
        <v>6</v>
      </c>
      <c r="Q103" s="24">
        <v>1</v>
      </c>
      <c r="R103" s="23">
        <f t="shared" si="96"/>
        <v>1068</v>
      </c>
      <c r="S103" s="441" t="s">
        <v>256</v>
      </c>
      <c r="T103" s="22">
        <v>0</v>
      </c>
      <c r="U103" s="22">
        <f t="shared" si="97"/>
        <v>1068</v>
      </c>
      <c r="V103" s="15" t="s">
        <v>38</v>
      </c>
      <c r="W103" s="64"/>
    </row>
    <row r="104" spans="2:24" ht="15" customHeight="1" outlineLevel="1">
      <c r="B104" s="10"/>
      <c r="C104" s="108"/>
      <c r="D104" s="108"/>
      <c r="E104" s="159"/>
      <c r="F104" s="159"/>
      <c r="G104" s="108"/>
      <c r="H104" s="108"/>
      <c r="I104" s="43"/>
      <c r="J104" s="41"/>
      <c r="K104" s="41"/>
      <c r="L104" s="41"/>
      <c r="M104" s="11"/>
      <c r="N104" s="9"/>
      <c r="O104" s="12"/>
      <c r="P104" s="66"/>
      <c r="Q104" s="21"/>
      <c r="R104" s="21"/>
      <c r="S104" s="28"/>
      <c r="T104" s="21"/>
      <c r="U104" s="22"/>
      <c r="V104" s="15"/>
    </row>
    <row r="105" spans="2:24" ht="15" customHeight="1">
      <c r="B105" s="10"/>
      <c r="C105" s="128" t="s">
        <v>43</v>
      </c>
      <c r="D105" s="128"/>
      <c r="E105" s="128"/>
      <c r="F105" s="128"/>
      <c r="G105" s="128"/>
      <c r="H105" s="128"/>
      <c r="I105" s="129"/>
      <c r="J105" s="129"/>
      <c r="K105" s="129"/>
      <c r="L105" s="129"/>
      <c r="M105" s="6"/>
      <c r="N105" s="7"/>
      <c r="O105" s="8"/>
      <c r="P105" s="162">
        <f>SUM(P74:P104)</f>
        <v>197.9</v>
      </c>
      <c r="Q105" s="13"/>
      <c r="R105" s="130">
        <f>SUM(R74:R104)</f>
        <v>35226.200000000004</v>
      </c>
      <c r="S105" s="14"/>
      <c r="T105" s="130">
        <f>SUM(T74:T104)</f>
        <v>0</v>
      </c>
      <c r="U105" s="130">
        <f>SUM(U74:U104)</f>
        <v>35226.200000000004</v>
      </c>
      <c r="V105" s="15"/>
    </row>
    <row r="106" spans="2:24" ht="15" customHeight="1">
      <c r="B106" s="10"/>
      <c r="C106" s="135" t="s">
        <v>129</v>
      </c>
      <c r="D106" s="135"/>
      <c r="E106" s="135"/>
      <c r="F106" s="135"/>
      <c r="G106" s="135"/>
      <c r="H106" s="135"/>
      <c r="I106" s="136"/>
      <c r="J106" s="136"/>
      <c r="K106" s="136"/>
      <c r="L106" s="136"/>
      <c r="M106" s="33"/>
      <c r="N106" s="35"/>
      <c r="O106" s="36"/>
      <c r="P106" s="163">
        <f>P73+P105</f>
        <v>216.9</v>
      </c>
      <c r="Q106" s="37"/>
      <c r="R106" s="39">
        <f>R73+R105</f>
        <v>38608.200000000004</v>
      </c>
      <c r="S106" s="38"/>
      <c r="T106" s="39">
        <f>T73+T105</f>
        <v>0</v>
      </c>
      <c r="U106" s="39">
        <f>U73+U105</f>
        <v>38608.200000000004</v>
      </c>
      <c r="V106" s="15"/>
    </row>
    <row r="107" spans="2:24" ht="20.25" customHeight="1">
      <c r="B107" s="2"/>
      <c r="C107" s="45"/>
      <c r="D107" s="45"/>
      <c r="E107" s="45"/>
      <c r="F107" s="45"/>
      <c r="G107" s="45"/>
      <c r="H107" s="45"/>
      <c r="I107" s="3"/>
      <c r="J107" s="3"/>
      <c r="K107" s="3"/>
      <c r="L107" s="3"/>
      <c r="M107" s="3"/>
      <c r="N107" s="9"/>
      <c r="O107" s="46"/>
      <c r="P107" s="26"/>
      <c r="Q107" s="21"/>
      <c r="R107" s="24"/>
      <c r="S107" s="27"/>
      <c r="T107" s="24"/>
      <c r="U107" s="27"/>
      <c r="V107" s="47"/>
      <c r="W107" s="48"/>
      <c r="X107" s="49"/>
    </row>
    <row r="108" spans="2:24" ht="35.1" customHeight="1">
      <c r="C108" s="145" t="s">
        <v>257</v>
      </c>
      <c r="D108" s="157"/>
      <c r="E108" s="157"/>
      <c r="F108" s="157"/>
      <c r="G108" s="157"/>
      <c r="H108" s="157"/>
      <c r="I108" s="155"/>
      <c r="J108" s="155"/>
      <c r="K108" s="155"/>
      <c r="L108" s="155"/>
      <c r="M108" s="155"/>
      <c r="N108" s="155"/>
      <c r="O108" s="442" t="s">
        <v>15</v>
      </c>
      <c r="P108" s="443">
        <f>P16+P49+P58+P106</f>
        <v>797.55000000000007</v>
      </c>
      <c r="Q108" s="444"/>
      <c r="R108" s="445">
        <f>R16+R49+R58+R106</f>
        <v>141963.90000000002</v>
      </c>
      <c r="S108" s="442"/>
      <c r="T108" s="445">
        <f>T16+T49+T58+T106</f>
        <v>9455.3890800000008</v>
      </c>
      <c r="U108" s="445">
        <f>U16+U49+U58+U106</f>
        <v>151419.28907999999</v>
      </c>
    </row>
    <row r="109" spans="2:24">
      <c r="C109" s="140"/>
      <c r="D109" s="140"/>
      <c r="E109" s="140"/>
      <c r="F109" s="140"/>
      <c r="G109" s="140"/>
      <c r="H109" s="140"/>
      <c r="I109" s="141"/>
      <c r="J109" s="141"/>
      <c r="K109" s="141"/>
      <c r="L109" s="141"/>
      <c r="M109" s="141"/>
      <c r="N109" s="141"/>
      <c r="O109" s="141"/>
      <c r="P109" s="142"/>
      <c r="Q109" s="141"/>
      <c r="R109" s="141"/>
      <c r="S109" s="143"/>
      <c r="T109" s="141"/>
      <c r="U109" s="144"/>
    </row>
    <row r="111" spans="2:24">
      <c r="P111" s="366"/>
    </row>
    <row r="125" spans="15:15">
      <c r="O125" s="4" t="s">
        <v>39</v>
      </c>
    </row>
  </sheetData>
  <mergeCells count="11">
    <mergeCell ref="S4:S5"/>
    <mergeCell ref="T4:T5"/>
    <mergeCell ref="U4:U5"/>
    <mergeCell ref="P4:P5"/>
    <mergeCell ref="Q4:Q5"/>
    <mergeCell ref="R4:R5"/>
    <mergeCell ref="E6:F6"/>
    <mergeCell ref="G6:H6"/>
    <mergeCell ref="I4:J4"/>
    <mergeCell ref="K4:L4"/>
    <mergeCell ref="N4:O4"/>
  </mergeCells>
  <phoneticPr fontId="29" type="noConversion"/>
  <hyperlinks>
    <hyperlink ref="W62" r:id="rId1" xr:uid="{00000000-0004-0000-0100-000000000000}"/>
    <hyperlink ref="W76" display="https://www.ebay.com/itm/397021260933?_skw=DIMMER+SWITCH%2C+WALL+MTD.&amp;itmmeta=01K8YWH0K0SXBWQ1CTCQZCPC2R&amp;hash=item5c704fac85:g:ofcAAeSwRNJouG5I&amp;itmprp=enc%3AAQAKAAAA8FkggFvd1GGDu0w3yXCmi1fFGGYh32G7yZ1Kym2GQPAooift9NOfoQp3iquGwcwakUANKT07oyYAwwkPlXfYrgWFbp" xr:uid="{00000000-0004-0000-0100-000007000000}"/>
    <hyperlink ref="W77" display="https://www.ebay.com/itm/355619900469?_skw=24VDC+DRIVER&amp;itmmeta=01K8YWXFDNSDK07F1F0PKQG1YZ&amp;hash=item52cc990c35:g:tqAAAOSwTP1mFWG3&amp;itmprp=enc%3AAQAKAAAA4FkggFvd1GGDu0w3yXCmi1cb0p2QHLfe6FlkI6bSLk%2FuAULcA%2FMHiEX5Zpavn4o3XeIOfJ1in355Abbirc2tYnkd%2B7fNFOjLkG" xr:uid="{00000000-0004-0000-0100-000008000000}"/>
  </hyperlinks>
  <printOptions horizontalCentered="1"/>
  <pageMargins left="0.11811023622047245" right="0.11811023622047245" top="0.31496062992125984" bottom="0.19685039370078741" header="0.11811023622047245" footer="0.11811023622047245"/>
  <pageSetup paperSize="9" scale="45" orientation="landscape" r:id="rId2"/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B1:X29"/>
  <sheetViews>
    <sheetView view="pageBreakPreview" zoomScaleNormal="85" zoomScaleSheetLayoutView="100" workbookViewId="0">
      <pane xSplit="3" ySplit="5" topLeftCell="H6" activePane="bottomRight" state="frozen"/>
      <selection pane="topRight" activeCell="D1" sqref="D1"/>
      <selection pane="bottomLeft" activeCell="A7" sqref="A7"/>
      <selection pane="bottomRight" activeCell="N3" sqref="N3"/>
    </sheetView>
  </sheetViews>
  <sheetFormatPr defaultColWidth="9.140625" defaultRowHeight="12.75" outlineLevelRow="1" outlineLevelCol="1"/>
  <cols>
    <col min="1" max="1" width="1.85546875" style="4" customWidth="1"/>
    <col min="2" max="2" width="13.5703125" style="4" hidden="1" customWidth="1"/>
    <col min="3" max="3" width="74.28515625" style="4" customWidth="1"/>
    <col min="4" max="4" width="44" style="4" hidden="1" customWidth="1"/>
    <col min="5" max="8" width="11.7109375" style="4" customWidth="1"/>
    <col min="9" max="12" width="11" style="4" hidden="1" customWidth="1" outlineLevel="1"/>
    <col min="13" max="13" width="10.28515625" style="4" customWidth="1" collapsed="1"/>
    <col min="14" max="14" width="9.28515625" style="4" customWidth="1"/>
    <col min="15" max="15" width="14.5703125" style="4" customWidth="1"/>
    <col min="16" max="16" width="16.140625" style="44" customWidth="1"/>
    <col min="17" max="18" width="16.140625" style="4" customWidth="1"/>
    <col min="19" max="19" width="21.7109375" style="44" customWidth="1"/>
    <col min="20" max="20" width="16.140625" style="4" customWidth="1"/>
    <col min="21" max="21" width="22.42578125" style="44" customWidth="1"/>
    <col min="22" max="22" width="21.140625" style="4" customWidth="1"/>
    <col min="23" max="23" width="158.7109375" style="16" customWidth="1"/>
    <col min="24" max="24" width="31.85546875" style="4" bestFit="1" customWidth="1"/>
    <col min="25" max="25" width="13.7109375" style="4" bestFit="1" customWidth="1"/>
    <col min="26" max="26" width="7.85546875" style="4" bestFit="1" customWidth="1"/>
    <col min="27" max="16384" width="9.140625" style="4"/>
  </cols>
  <sheetData>
    <row r="1" spans="2:24" ht="16.5" customHeight="1">
      <c r="B1" s="50"/>
      <c r="C1" s="50" t="str">
        <f>+'BREAKDOWN (BUILDING)'!C1</f>
        <v>Project Name: University Park Village (Starbucks 6212)</v>
      </c>
      <c r="D1" s="50"/>
      <c r="E1" s="50"/>
      <c r="F1" s="50"/>
      <c r="G1" s="50"/>
      <c r="H1" s="50"/>
    </row>
    <row r="2" spans="2:24">
      <c r="B2" s="50"/>
      <c r="C2" s="50" t="str">
        <f>+'BREAKDOWN (BUILDING)'!C2</f>
        <v>Address: 1620 S University Dr, Fort Worth, TX 76107</v>
      </c>
      <c r="D2" s="50"/>
      <c r="E2" s="50"/>
      <c r="F2" s="50"/>
      <c r="G2" s="50"/>
      <c r="H2" s="50"/>
      <c r="M2" s="4" t="s">
        <v>0</v>
      </c>
      <c r="N2" s="51">
        <v>178</v>
      </c>
      <c r="O2" s="4" t="s">
        <v>1</v>
      </c>
      <c r="P2" s="52" t="s">
        <v>2</v>
      </c>
      <c r="Q2" s="53" t="s">
        <v>38</v>
      </c>
      <c r="R2" s="53"/>
      <c r="T2" s="53"/>
      <c r="U2" s="4"/>
    </row>
    <row r="3" spans="2:24">
      <c r="B3" s="50"/>
      <c r="C3" s="50" t="str">
        <f>+'BREAKDOWN (BUILDING)'!C3</f>
        <v>Plan Date: 8/27/2025</v>
      </c>
      <c r="D3" s="50"/>
      <c r="E3" s="50"/>
      <c r="F3" s="50"/>
      <c r="G3" s="50"/>
      <c r="H3" s="50"/>
      <c r="P3" s="4"/>
      <c r="U3" s="4"/>
    </row>
    <row r="4" spans="2:24" ht="15" customHeight="1">
      <c r="B4" s="54" t="s">
        <v>27</v>
      </c>
      <c r="C4" s="54" t="s">
        <v>27</v>
      </c>
      <c r="D4" s="55"/>
      <c r="E4" s="55"/>
      <c r="F4" s="55"/>
      <c r="G4" s="55"/>
      <c r="H4" s="55"/>
      <c r="I4" s="461" t="s">
        <v>16</v>
      </c>
      <c r="J4" s="461"/>
      <c r="K4" s="461" t="s">
        <v>17</v>
      </c>
      <c r="L4" s="461"/>
      <c r="M4" s="55"/>
      <c r="N4" s="462" t="s">
        <v>15</v>
      </c>
      <c r="O4" s="462"/>
      <c r="P4" s="465" t="s">
        <v>3</v>
      </c>
      <c r="Q4" s="463" t="s">
        <v>4</v>
      </c>
      <c r="R4" s="465" t="s">
        <v>19</v>
      </c>
      <c r="S4" s="463" t="s">
        <v>5</v>
      </c>
      <c r="T4" s="465" t="s">
        <v>18</v>
      </c>
      <c r="U4" s="466" t="s">
        <v>6</v>
      </c>
      <c r="V4" s="56" t="s">
        <v>7</v>
      </c>
      <c r="W4" s="57"/>
    </row>
    <row r="5" spans="2:24" ht="15" customHeight="1">
      <c r="B5" s="54" t="s">
        <v>8</v>
      </c>
      <c r="C5" s="115" t="s">
        <v>9</v>
      </c>
      <c r="D5" s="115" t="s">
        <v>61</v>
      </c>
      <c r="E5" s="156"/>
      <c r="F5" s="156"/>
      <c r="G5" s="156"/>
      <c r="H5" s="156"/>
      <c r="I5" s="69" t="s">
        <v>10</v>
      </c>
      <c r="J5" s="114" t="s">
        <v>11</v>
      </c>
      <c r="K5" s="69" t="s">
        <v>10</v>
      </c>
      <c r="L5" s="114" t="s">
        <v>11</v>
      </c>
      <c r="M5" s="115"/>
      <c r="N5" s="115" t="s">
        <v>10</v>
      </c>
      <c r="O5" s="115" t="s">
        <v>11</v>
      </c>
      <c r="P5" s="465"/>
      <c r="Q5" s="463"/>
      <c r="R5" s="465"/>
      <c r="S5" s="464"/>
      <c r="T5" s="465"/>
      <c r="U5" s="466"/>
      <c r="V5" s="56" t="s">
        <v>12</v>
      </c>
      <c r="W5" s="58"/>
    </row>
    <row r="6" spans="2:24" ht="15" customHeight="1">
      <c r="C6" s="59" t="s">
        <v>41</v>
      </c>
      <c r="D6" s="59"/>
      <c r="E6" s="457" t="s">
        <v>62</v>
      </c>
      <c r="F6" s="458"/>
      <c r="G6" s="459" t="s">
        <v>63</v>
      </c>
      <c r="H6" s="460"/>
      <c r="I6" s="60"/>
      <c r="J6" s="60"/>
      <c r="K6" s="60"/>
      <c r="L6" s="60"/>
      <c r="M6" s="60"/>
      <c r="N6" s="60"/>
      <c r="O6" s="60"/>
      <c r="P6" s="63"/>
      <c r="Q6" s="61"/>
      <c r="R6" s="61"/>
      <c r="S6" s="62"/>
      <c r="T6" s="61"/>
      <c r="U6" s="62"/>
    </row>
    <row r="7" spans="2:24" ht="15" customHeight="1">
      <c r="B7" s="17"/>
      <c r="C7" s="31"/>
      <c r="D7" s="31"/>
      <c r="E7" s="158" t="s">
        <v>64</v>
      </c>
      <c r="F7" s="158" t="s">
        <v>65</v>
      </c>
      <c r="G7" s="158" t="s">
        <v>64</v>
      </c>
      <c r="H7" s="158" t="s">
        <v>65</v>
      </c>
      <c r="I7" s="18"/>
      <c r="J7" s="18"/>
      <c r="K7" s="18"/>
      <c r="L7" s="18"/>
      <c r="M7" s="18"/>
      <c r="N7" s="19"/>
      <c r="O7" s="20"/>
      <c r="P7" s="21"/>
      <c r="Q7" s="21"/>
      <c r="R7" s="21"/>
      <c r="S7" s="22"/>
      <c r="T7" s="21"/>
      <c r="U7" s="23"/>
      <c r="V7" s="15"/>
      <c r="X7" s="49"/>
    </row>
    <row r="8" spans="2:24" ht="15" customHeight="1">
      <c r="B8" s="1" t="s">
        <v>13</v>
      </c>
      <c r="C8" s="117" t="s">
        <v>46</v>
      </c>
      <c r="D8" s="117"/>
      <c r="E8" s="117"/>
      <c r="F8" s="117"/>
      <c r="G8" s="117"/>
      <c r="H8" s="117"/>
      <c r="I8" s="118"/>
      <c r="J8" s="118"/>
      <c r="K8" s="118"/>
      <c r="L8" s="118"/>
      <c r="M8" s="118"/>
      <c r="N8" s="119"/>
      <c r="O8" s="120"/>
      <c r="P8" s="121"/>
      <c r="Q8" s="122"/>
      <c r="R8" s="123"/>
      <c r="S8" s="124"/>
      <c r="T8" s="123"/>
      <c r="U8" s="125"/>
      <c r="V8" s="15"/>
    </row>
    <row r="9" spans="2:24" ht="15" customHeight="1">
      <c r="B9" s="5"/>
      <c r="C9" s="116" t="s">
        <v>45</v>
      </c>
      <c r="D9" s="116"/>
      <c r="E9" s="116"/>
      <c r="F9" s="116"/>
      <c r="G9" s="116"/>
      <c r="H9" s="116"/>
      <c r="I9" s="11"/>
      <c r="J9" s="11"/>
      <c r="K9" s="11"/>
      <c r="L9" s="11"/>
      <c r="M9" s="11"/>
      <c r="N9" s="9"/>
      <c r="O9" s="12"/>
      <c r="P9" s="66"/>
      <c r="Q9" s="21"/>
      <c r="R9" s="22"/>
      <c r="S9" s="28"/>
      <c r="T9" s="22"/>
      <c r="U9" s="22"/>
      <c r="V9" s="15"/>
    </row>
    <row r="10" spans="2:24" ht="15" hidden="1" customHeight="1" outlineLevel="1">
      <c r="B10" s="42"/>
      <c r="C10" s="109"/>
      <c r="D10" s="109"/>
      <c r="E10" s="109"/>
      <c r="F10" s="109"/>
      <c r="G10" s="109"/>
      <c r="H10" s="109"/>
      <c r="I10" s="43"/>
      <c r="J10" s="70"/>
      <c r="K10" s="68"/>
      <c r="L10" s="70"/>
      <c r="M10" s="30"/>
      <c r="N10" s="19"/>
      <c r="O10" s="71"/>
      <c r="P10" s="67"/>
      <c r="Q10" s="24"/>
      <c r="R10" s="22"/>
      <c r="S10" s="126"/>
      <c r="T10" s="22"/>
      <c r="U10" s="22"/>
      <c r="V10" s="15"/>
      <c r="W10" s="127"/>
    </row>
    <row r="11" spans="2:24" ht="15" customHeight="1" collapsed="1">
      <c r="B11" s="10"/>
      <c r="C11" s="128"/>
      <c r="D11" s="128"/>
      <c r="E11" s="128"/>
      <c r="F11" s="128"/>
      <c r="G11" s="128"/>
      <c r="H11" s="128"/>
      <c r="I11" s="129"/>
      <c r="J11" s="129"/>
      <c r="K11" s="129"/>
      <c r="L11" s="129"/>
      <c r="M11" s="6"/>
      <c r="N11" s="7"/>
      <c r="O11" s="8"/>
      <c r="P11" s="65"/>
      <c r="Q11" s="13"/>
      <c r="R11" s="130"/>
      <c r="S11" s="14"/>
      <c r="T11" s="130"/>
      <c r="U11" s="130"/>
      <c r="V11" s="15"/>
    </row>
    <row r="12" spans="2:24" ht="15" customHeight="1">
      <c r="B12" s="1" t="s">
        <v>13</v>
      </c>
      <c r="C12" s="32" t="s">
        <v>42</v>
      </c>
      <c r="D12" s="32"/>
      <c r="E12" s="32"/>
      <c r="F12" s="32"/>
      <c r="G12" s="32"/>
      <c r="H12" s="32"/>
      <c r="I12" s="34"/>
      <c r="J12" s="34"/>
      <c r="K12" s="34"/>
      <c r="L12" s="34"/>
      <c r="M12" s="34"/>
      <c r="N12" s="35"/>
      <c r="O12" s="36"/>
      <c r="P12" s="258">
        <f>+P11</f>
        <v>0</v>
      </c>
      <c r="Q12" s="258"/>
      <c r="R12" s="39">
        <f>+R11</f>
        <v>0</v>
      </c>
      <c r="S12" s="38"/>
      <c r="T12" s="39">
        <f>+T11</f>
        <v>0</v>
      </c>
      <c r="U12" s="39">
        <f>+U11</f>
        <v>0</v>
      </c>
      <c r="V12" s="15"/>
    </row>
    <row r="13" spans="2:24">
      <c r="C13" s="140"/>
      <c r="D13" s="140"/>
      <c r="E13" s="140"/>
      <c r="F13" s="140"/>
      <c r="G13" s="140"/>
      <c r="H13" s="140"/>
      <c r="I13" s="141"/>
      <c r="J13" s="141"/>
      <c r="K13" s="141"/>
      <c r="L13" s="141"/>
      <c r="M13" s="141"/>
      <c r="N13" s="141"/>
      <c r="O13" s="141"/>
      <c r="P13" s="142"/>
      <c r="Q13" s="141"/>
      <c r="R13" s="141"/>
      <c r="S13" s="143"/>
      <c r="T13" s="141"/>
      <c r="U13" s="144"/>
    </row>
    <row r="29" spans="2:24" s="44" customFormat="1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 t="s">
        <v>39</v>
      </c>
      <c r="Q29" s="4"/>
      <c r="R29" s="4"/>
      <c r="T29" s="4"/>
      <c r="V29" s="4"/>
      <c r="W29" s="16"/>
      <c r="X29" s="4"/>
    </row>
  </sheetData>
  <mergeCells count="11">
    <mergeCell ref="S4:S5"/>
    <mergeCell ref="T4:T5"/>
    <mergeCell ref="U4:U5"/>
    <mergeCell ref="E6:F6"/>
    <mergeCell ref="G6:H6"/>
    <mergeCell ref="I4:J4"/>
    <mergeCell ref="K4:L4"/>
    <mergeCell ref="N4:O4"/>
    <mergeCell ref="P4:P5"/>
    <mergeCell ref="Q4:Q5"/>
    <mergeCell ref="R4:R5"/>
  </mergeCells>
  <printOptions horizontalCentered="1"/>
  <pageMargins left="0.11811023622047245" right="0.11811023622047245" top="0.31496062992125984" bottom="0.19685039370078741" header="0.11811023622047245" footer="0.11811023622047245"/>
  <pageSetup paperSize="9" scale="45" orientation="landscape" r:id="rId1"/>
  <colBreaks count="1" manualBreakCount="1">
    <brk id="2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CY111"/>
  <sheetViews>
    <sheetView view="pageBreakPreview" zoomScale="70" zoomScaleNormal="85" zoomScaleSheetLayoutView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B102" sqref="B102"/>
    </sheetView>
  </sheetViews>
  <sheetFormatPr defaultColWidth="9.140625" defaultRowHeight="20.25" customHeight="1"/>
  <cols>
    <col min="1" max="1" width="9.140625" style="72" customWidth="1"/>
    <col min="2" max="2" width="80.85546875" style="104" customWidth="1"/>
    <col min="3" max="3" width="10.7109375" style="105" customWidth="1"/>
    <col min="4" max="16" width="13.7109375" style="105" customWidth="1"/>
    <col min="17" max="17" width="20.7109375" style="105" customWidth="1"/>
    <col min="18" max="59" width="13.7109375" style="105" customWidth="1"/>
    <col min="60" max="60" width="20.7109375" style="105" customWidth="1"/>
    <col min="61" max="69" width="13.7109375" style="105" customWidth="1"/>
    <col min="70" max="70" width="20.7109375" style="105" customWidth="1"/>
    <col min="71" max="71" width="18.28515625" style="105" customWidth="1"/>
    <col min="72" max="72" width="15.7109375" style="105" customWidth="1"/>
    <col min="73" max="73" width="20.7109375" style="105" customWidth="1"/>
    <col min="74" max="75" width="12.7109375" style="105" customWidth="1"/>
    <col min="76" max="76" width="14" style="105" customWidth="1"/>
    <col min="77" max="77" width="15.140625" style="105" customWidth="1"/>
    <col min="78" max="79" width="12.7109375" style="105" customWidth="1"/>
    <col min="80" max="96" width="12.7109375" style="77" customWidth="1"/>
    <col min="97" max="97" width="15.7109375" style="78" customWidth="1"/>
    <col min="98" max="98" width="9.140625" style="75"/>
    <col min="99" max="99" width="15.7109375" style="76" customWidth="1"/>
    <col min="100" max="101" width="18.7109375" style="76" customWidth="1"/>
    <col min="102" max="102" width="15.7109375" style="76" customWidth="1"/>
    <col min="103" max="103" width="9.140625" style="76"/>
    <col min="104" max="16384" width="9.140625" style="75"/>
  </cols>
  <sheetData>
    <row r="1" spans="1:103" ht="20.25" customHeight="1">
      <c r="B1" s="305"/>
      <c r="C1" s="73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  <c r="CF1" s="74"/>
      <c r="CG1" s="74"/>
      <c r="CH1" s="74"/>
      <c r="CI1" s="74"/>
      <c r="CJ1" s="74"/>
      <c r="CK1" s="74"/>
      <c r="CL1" s="74"/>
      <c r="CM1" s="74"/>
      <c r="CN1" s="74"/>
      <c r="CO1" s="74"/>
      <c r="CP1" s="74"/>
      <c r="CQ1" s="74"/>
      <c r="CR1" s="74"/>
      <c r="CS1" s="74"/>
    </row>
    <row r="2" spans="1:103" ht="20.25" customHeight="1">
      <c r="B2" s="312" t="str">
        <f>+'BREAKDOWN (BUILDING)'!C1</f>
        <v>Project Name: University Park Village (Starbucks 6212)</v>
      </c>
      <c r="C2" s="77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  <c r="BM2" s="78"/>
      <c r="BN2" s="78"/>
      <c r="BO2" s="78"/>
      <c r="BP2" s="78"/>
      <c r="BQ2" s="78"/>
      <c r="BR2" s="78"/>
      <c r="BS2" s="78"/>
      <c r="BT2" s="78"/>
      <c r="BU2" s="78"/>
      <c r="BV2" s="78"/>
      <c r="BW2" s="78"/>
      <c r="BX2" s="78"/>
      <c r="BY2" s="78"/>
      <c r="BZ2" s="78"/>
      <c r="CA2" s="78"/>
      <c r="CB2" s="78"/>
      <c r="CC2" s="78"/>
      <c r="CD2" s="78"/>
      <c r="CE2" s="78"/>
      <c r="CF2" s="78"/>
      <c r="CG2" s="78"/>
      <c r="CH2" s="78"/>
      <c r="CI2" s="78"/>
      <c r="CJ2" s="78"/>
      <c r="CK2" s="78"/>
      <c r="CL2" s="78"/>
      <c r="CM2" s="78"/>
      <c r="CN2" s="78"/>
      <c r="CO2" s="78"/>
      <c r="CP2" s="78"/>
      <c r="CQ2" s="78"/>
      <c r="CR2" s="78"/>
    </row>
    <row r="3" spans="1:103" ht="20.25" customHeight="1">
      <c r="B3" s="312" t="str">
        <f>+'BREAKDOWN (BUILDING)'!C2</f>
        <v>Address: 1620 S University Dr, Fort Worth, TX 76107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7"/>
      <c r="BY3" s="77"/>
      <c r="BZ3" s="77"/>
      <c r="CA3" s="77"/>
    </row>
    <row r="4" spans="1:103" ht="20.25" customHeight="1">
      <c r="B4" s="312" t="str">
        <f>+'BREAKDOWN (BUILDING)'!C3</f>
        <v>Plan Date: 8/27/2025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</row>
    <row r="5" spans="1:103" ht="20.25" customHeight="1">
      <c r="B5" s="313"/>
      <c r="C5" s="79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  <c r="CK5" s="80"/>
      <c r="CL5" s="80"/>
      <c r="CM5" s="80"/>
      <c r="CN5" s="80"/>
      <c r="CO5" s="80"/>
      <c r="CP5" s="80"/>
      <c r="CQ5" s="80"/>
      <c r="CR5" s="80"/>
      <c r="CS5" s="80"/>
    </row>
    <row r="6" spans="1:103" ht="20.25" customHeight="1">
      <c r="B6" s="471" t="s">
        <v>28</v>
      </c>
      <c r="C6" s="471" t="s">
        <v>29</v>
      </c>
      <c r="D6" s="474" t="s">
        <v>136</v>
      </c>
      <c r="E6" s="474"/>
      <c r="F6" s="474"/>
      <c r="G6" s="474"/>
      <c r="H6" s="474"/>
      <c r="I6" s="474"/>
      <c r="J6" s="474"/>
      <c r="K6" s="474"/>
      <c r="L6" s="474"/>
      <c r="M6" s="474"/>
      <c r="N6" s="474"/>
      <c r="O6" s="474"/>
      <c r="P6" s="474"/>
      <c r="Q6" s="474"/>
      <c r="R6" s="474"/>
      <c r="S6" s="474"/>
      <c r="T6" s="474"/>
      <c r="U6" s="474"/>
      <c r="V6" s="474"/>
      <c r="W6" s="474"/>
      <c r="X6" s="474"/>
      <c r="Y6" s="474"/>
      <c r="Z6" s="474"/>
      <c r="AA6" s="474"/>
      <c r="AB6" s="474"/>
      <c r="AC6" s="474"/>
      <c r="AD6" s="474"/>
      <c r="AE6" s="474"/>
      <c r="AF6" s="474"/>
      <c r="AG6" s="474"/>
      <c r="AH6" s="474"/>
      <c r="AI6" s="474"/>
      <c r="AJ6" s="474"/>
      <c r="AK6" s="474"/>
      <c r="AL6" s="474"/>
      <c r="AM6" s="474"/>
      <c r="AN6" s="474"/>
      <c r="AO6" s="474"/>
      <c r="AP6" s="474"/>
      <c r="AQ6" s="474"/>
      <c r="AR6" s="474"/>
      <c r="AS6" s="474"/>
      <c r="AT6" s="474"/>
      <c r="AU6" s="474"/>
      <c r="AV6" s="474"/>
      <c r="AW6" s="474"/>
      <c r="AX6" s="474"/>
      <c r="AY6" s="474"/>
      <c r="AZ6" s="474"/>
      <c r="BA6" s="474"/>
      <c r="BB6" s="474"/>
      <c r="BC6" s="474"/>
      <c r="BD6" s="474"/>
      <c r="BE6" s="474"/>
      <c r="BF6" s="474"/>
      <c r="BG6" s="474"/>
      <c r="BH6" s="475" t="s">
        <v>30</v>
      </c>
      <c r="BI6" s="478" t="s">
        <v>119</v>
      </c>
      <c r="BJ6" s="474"/>
      <c r="BK6" s="474"/>
      <c r="BL6" s="474"/>
      <c r="BM6" s="474"/>
      <c r="BN6" s="474"/>
      <c r="BO6" s="474"/>
      <c r="BP6" s="474"/>
      <c r="BQ6" s="474"/>
      <c r="BR6" s="475" t="s">
        <v>30</v>
      </c>
      <c r="BS6" s="478" t="s">
        <v>169</v>
      </c>
      <c r="BT6" s="479"/>
      <c r="BU6" s="475" t="s">
        <v>122</v>
      </c>
      <c r="BV6" s="342"/>
      <c r="BW6" s="467" t="s">
        <v>31</v>
      </c>
      <c r="BX6" s="467" t="s">
        <v>32</v>
      </c>
      <c r="BY6" s="467" t="s">
        <v>33</v>
      </c>
      <c r="BZ6" s="467" t="s">
        <v>34</v>
      </c>
      <c r="CA6" s="343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5"/>
      <c r="CW6" s="75"/>
      <c r="CX6" s="75"/>
      <c r="CY6" s="75"/>
    </row>
    <row r="7" spans="1:103" s="82" customFormat="1" ht="20.25" customHeight="1">
      <c r="A7" s="81"/>
      <c r="B7" s="472"/>
      <c r="C7" s="472"/>
      <c r="D7" s="482" t="s">
        <v>223</v>
      </c>
      <c r="E7" s="483"/>
      <c r="F7" s="483"/>
      <c r="G7" s="483"/>
      <c r="H7" s="483"/>
      <c r="I7" s="483"/>
      <c r="J7" s="483"/>
      <c r="K7" s="483"/>
      <c r="L7" s="483"/>
      <c r="M7" s="483"/>
      <c r="N7" s="483"/>
      <c r="O7" s="483"/>
      <c r="P7" s="483"/>
      <c r="Q7" s="483"/>
      <c r="R7" s="483"/>
      <c r="S7" s="483"/>
      <c r="T7" s="483"/>
      <c r="U7" s="483"/>
      <c r="V7" s="484"/>
      <c r="W7" s="482" t="s">
        <v>224</v>
      </c>
      <c r="X7" s="483"/>
      <c r="Y7" s="483"/>
      <c r="Z7" s="483"/>
      <c r="AA7" s="483"/>
      <c r="AB7" s="483"/>
      <c r="AC7" s="483"/>
      <c r="AD7" s="483"/>
      <c r="AE7" s="483"/>
      <c r="AF7" s="483"/>
      <c r="AG7" s="483"/>
      <c r="AH7" s="483"/>
      <c r="AI7" s="483"/>
      <c r="AJ7" s="483"/>
      <c r="AK7" s="483"/>
      <c r="AL7" s="484"/>
      <c r="AM7" s="482" t="s">
        <v>225</v>
      </c>
      <c r="AN7" s="483"/>
      <c r="AO7" s="483"/>
      <c r="AP7" s="483"/>
      <c r="AQ7" s="483"/>
      <c r="AR7" s="483"/>
      <c r="AS7" s="483"/>
      <c r="AT7" s="483"/>
      <c r="AU7" s="483"/>
      <c r="AV7" s="483"/>
      <c r="AW7" s="482" t="s">
        <v>224</v>
      </c>
      <c r="AX7" s="483"/>
      <c r="AY7" s="483"/>
      <c r="AZ7" s="484"/>
      <c r="BA7" s="483" t="s">
        <v>225</v>
      </c>
      <c r="BB7" s="483"/>
      <c r="BC7" s="483"/>
      <c r="BD7" s="483"/>
      <c r="BE7" s="483"/>
      <c r="BF7" s="483"/>
      <c r="BG7" s="484"/>
      <c r="BH7" s="476"/>
      <c r="BI7" s="324" t="s">
        <v>196</v>
      </c>
      <c r="BJ7" s="324"/>
      <c r="BK7" s="324"/>
      <c r="BL7" s="408"/>
      <c r="BM7" s="324" t="s">
        <v>196</v>
      </c>
      <c r="BN7" s="382"/>
      <c r="BO7" s="382"/>
      <c r="BP7" s="382"/>
      <c r="BQ7" s="382"/>
      <c r="BR7" s="476"/>
      <c r="BS7" s="468" t="s">
        <v>215</v>
      </c>
      <c r="BT7" s="468" t="s">
        <v>131</v>
      </c>
      <c r="BU7" s="476"/>
      <c r="BV7" s="344"/>
      <c r="BW7" s="467"/>
      <c r="BX7" s="467"/>
      <c r="BY7" s="467"/>
      <c r="BZ7" s="467"/>
      <c r="CA7" s="345"/>
      <c r="CB7" s="81"/>
      <c r="CC7" s="81"/>
      <c r="CD7" s="81"/>
      <c r="CE7" s="81"/>
      <c r="CF7" s="81"/>
      <c r="CG7" s="81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</row>
    <row r="8" spans="1:103" ht="30" customHeight="1">
      <c r="B8" s="473"/>
      <c r="C8" s="473"/>
      <c r="D8" s="418" t="s">
        <v>178</v>
      </c>
      <c r="E8" s="314" t="s">
        <v>179</v>
      </c>
      <c r="F8" s="314" t="s">
        <v>181</v>
      </c>
      <c r="G8" s="314" t="s">
        <v>183</v>
      </c>
      <c r="H8" s="314" t="s">
        <v>150</v>
      </c>
      <c r="I8" s="314" t="s">
        <v>155</v>
      </c>
      <c r="J8" s="314" t="s">
        <v>156</v>
      </c>
      <c r="K8" s="314" t="s">
        <v>157</v>
      </c>
      <c r="L8" s="314" t="s">
        <v>158</v>
      </c>
      <c r="M8" s="314" t="s">
        <v>153</v>
      </c>
      <c r="N8" s="314" t="s">
        <v>185</v>
      </c>
      <c r="O8" s="314" t="s">
        <v>140</v>
      </c>
      <c r="P8" s="314" t="s">
        <v>186</v>
      </c>
      <c r="Q8" s="314" t="s">
        <v>159</v>
      </c>
      <c r="R8" s="314" t="s">
        <v>187</v>
      </c>
      <c r="S8" s="314" t="s">
        <v>188</v>
      </c>
      <c r="T8" s="314" t="s">
        <v>175</v>
      </c>
      <c r="U8" s="314" t="s">
        <v>176</v>
      </c>
      <c r="V8" s="314" t="s">
        <v>177</v>
      </c>
      <c r="W8" s="418" t="s">
        <v>189</v>
      </c>
      <c r="X8" s="314" t="s">
        <v>142</v>
      </c>
      <c r="Y8" s="314" t="s">
        <v>135</v>
      </c>
      <c r="Z8" s="314" t="s">
        <v>152</v>
      </c>
      <c r="AA8" s="314" t="s">
        <v>144</v>
      </c>
      <c r="AB8" s="314" t="s">
        <v>145</v>
      </c>
      <c r="AC8" s="314" t="s">
        <v>146</v>
      </c>
      <c r="AD8" s="314" t="s">
        <v>147</v>
      </c>
      <c r="AE8" s="314" t="s">
        <v>148</v>
      </c>
      <c r="AF8" s="314" t="s">
        <v>138</v>
      </c>
      <c r="AG8" s="314" t="s">
        <v>151</v>
      </c>
      <c r="AH8" s="314" t="s">
        <v>160</v>
      </c>
      <c r="AI8" s="314" t="s">
        <v>156</v>
      </c>
      <c r="AJ8" s="314" t="s">
        <v>190</v>
      </c>
      <c r="AK8" s="314" t="s">
        <v>192</v>
      </c>
      <c r="AL8" s="314" t="s">
        <v>194</v>
      </c>
      <c r="AM8" s="418" t="s">
        <v>178</v>
      </c>
      <c r="AN8" s="314" t="s">
        <v>179</v>
      </c>
      <c r="AO8" s="314" t="s">
        <v>135</v>
      </c>
      <c r="AP8" s="314" t="s">
        <v>147</v>
      </c>
      <c r="AQ8" s="314" t="s">
        <v>149</v>
      </c>
      <c r="AR8" s="314" t="s">
        <v>138</v>
      </c>
      <c r="AS8" s="314" t="s">
        <v>150</v>
      </c>
      <c r="AT8" s="314" t="s">
        <v>151</v>
      </c>
      <c r="AU8" s="314" t="s">
        <v>160</v>
      </c>
      <c r="AV8" s="446" t="s">
        <v>140</v>
      </c>
      <c r="AW8" s="418" t="s">
        <v>161</v>
      </c>
      <c r="AX8" s="314" t="s">
        <v>187</v>
      </c>
      <c r="AY8" s="314" t="s">
        <v>188</v>
      </c>
      <c r="AZ8" s="314" t="s">
        <v>195</v>
      </c>
      <c r="BA8" s="314" t="s">
        <v>189</v>
      </c>
      <c r="BB8" s="314" t="s">
        <v>142</v>
      </c>
      <c r="BC8" s="314" t="s">
        <v>145</v>
      </c>
      <c r="BD8" s="314" t="s">
        <v>155</v>
      </c>
      <c r="BE8" s="314" t="s">
        <v>156</v>
      </c>
      <c r="BF8" s="314" t="s">
        <v>157</v>
      </c>
      <c r="BG8" s="314" t="s">
        <v>153</v>
      </c>
      <c r="BH8" s="477"/>
      <c r="BI8" s="314" t="s">
        <v>168</v>
      </c>
      <c r="BJ8" s="314" t="s">
        <v>162</v>
      </c>
      <c r="BK8" s="314" t="s">
        <v>200</v>
      </c>
      <c r="BL8" s="409" t="s">
        <v>131</v>
      </c>
      <c r="BM8" s="314" t="s">
        <v>143</v>
      </c>
      <c r="BN8" s="314" t="s">
        <v>144</v>
      </c>
      <c r="BO8" s="314" t="s">
        <v>202</v>
      </c>
      <c r="BP8" s="314" t="s">
        <v>154</v>
      </c>
      <c r="BQ8" s="383" t="s">
        <v>131</v>
      </c>
      <c r="BR8" s="477"/>
      <c r="BS8" s="469"/>
      <c r="BT8" s="469"/>
      <c r="BU8" s="477"/>
      <c r="BV8" s="346"/>
      <c r="BW8" s="103"/>
      <c r="BX8" s="103"/>
      <c r="BY8" s="103"/>
      <c r="BZ8" s="103"/>
      <c r="CA8" s="348"/>
      <c r="CB8" s="72"/>
      <c r="CC8" s="72"/>
      <c r="CD8" s="72"/>
      <c r="CE8" s="72"/>
      <c r="CF8" s="72"/>
      <c r="CG8" s="72"/>
      <c r="CH8" s="72"/>
      <c r="CI8" s="72"/>
      <c r="CJ8" s="72"/>
      <c r="CK8" s="72"/>
      <c r="CL8" s="72"/>
      <c r="CM8" s="72"/>
      <c r="CN8" s="72"/>
      <c r="CO8" s="72"/>
      <c r="CP8" s="72"/>
      <c r="CQ8" s="72"/>
      <c r="CR8" s="72"/>
      <c r="CS8" s="72"/>
      <c r="CT8" s="72"/>
      <c r="CU8" s="72"/>
      <c r="CV8" s="75"/>
      <c r="CW8" s="75"/>
      <c r="CX8" s="75"/>
      <c r="CY8" s="75"/>
    </row>
    <row r="9" spans="1:103" ht="35.1" customHeight="1">
      <c r="B9" s="277" t="s">
        <v>21</v>
      </c>
      <c r="C9" s="83"/>
      <c r="D9" s="373" t="s">
        <v>214</v>
      </c>
      <c r="E9" s="327" t="s">
        <v>137</v>
      </c>
      <c r="F9" s="327" t="s">
        <v>137</v>
      </c>
      <c r="G9" s="327" t="s">
        <v>137</v>
      </c>
      <c r="H9" s="327" t="s">
        <v>137</v>
      </c>
      <c r="I9" s="327" t="s">
        <v>137</v>
      </c>
      <c r="J9" s="327" t="s">
        <v>137</v>
      </c>
      <c r="K9" s="327" t="s">
        <v>137</v>
      </c>
      <c r="L9" s="327" t="s">
        <v>137</v>
      </c>
      <c r="M9" s="327" t="s">
        <v>137</v>
      </c>
      <c r="N9" s="327" t="s">
        <v>137</v>
      </c>
      <c r="O9" s="327" t="s">
        <v>137</v>
      </c>
      <c r="P9" s="327" t="s">
        <v>137</v>
      </c>
      <c r="Q9" s="327" t="s">
        <v>137</v>
      </c>
      <c r="R9" s="327" t="s">
        <v>137</v>
      </c>
      <c r="S9" s="327" t="s">
        <v>137</v>
      </c>
      <c r="T9" s="327" t="s">
        <v>137</v>
      </c>
      <c r="U9" s="327" t="s">
        <v>137</v>
      </c>
      <c r="V9" s="410" t="s">
        <v>137</v>
      </c>
      <c r="W9" s="373" t="s">
        <v>137</v>
      </c>
      <c r="X9" s="327" t="s">
        <v>137</v>
      </c>
      <c r="Y9" s="327" t="s">
        <v>137</v>
      </c>
      <c r="Z9" s="327" t="s">
        <v>137</v>
      </c>
      <c r="AA9" s="327" t="s">
        <v>137</v>
      </c>
      <c r="AB9" s="327" t="s">
        <v>137</v>
      </c>
      <c r="AC9" s="327" t="s">
        <v>137</v>
      </c>
      <c r="AD9" s="327" t="s">
        <v>137</v>
      </c>
      <c r="AE9" s="327" t="s">
        <v>137</v>
      </c>
      <c r="AF9" s="327" t="s">
        <v>137</v>
      </c>
      <c r="AG9" s="327" t="s">
        <v>137</v>
      </c>
      <c r="AH9" s="327" t="s">
        <v>137</v>
      </c>
      <c r="AI9" s="327" t="s">
        <v>137</v>
      </c>
      <c r="AJ9" s="327" t="s">
        <v>191</v>
      </c>
      <c r="AK9" s="327" t="s">
        <v>137</v>
      </c>
      <c r="AL9" s="410" t="s">
        <v>137</v>
      </c>
      <c r="AM9" s="373" t="s">
        <v>137</v>
      </c>
      <c r="AN9" s="327" t="s">
        <v>137</v>
      </c>
      <c r="AO9" s="327" t="s">
        <v>137</v>
      </c>
      <c r="AP9" s="327" t="s">
        <v>137</v>
      </c>
      <c r="AQ9" s="327" t="s">
        <v>137</v>
      </c>
      <c r="AR9" s="327" t="s">
        <v>137</v>
      </c>
      <c r="AS9" s="327" t="s">
        <v>137</v>
      </c>
      <c r="AT9" s="327" t="s">
        <v>137</v>
      </c>
      <c r="AU9" s="327" t="s">
        <v>137</v>
      </c>
      <c r="AV9" s="367" t="s">
        <v>137</v>
      </c>
      <c r="AW9" s="373" t="s">
        <v>137</v>
      </c>
      <c r="AX9" s="327" t="s">
        <v>191</v>
      </c>
      <c r="AY9" s="327" t="s">
        <v>191</v>
      </c>
      <c r="AZ9" s="410" t="s">
        <v>137</v>
      </c>
      <c r="BA9" s="327" t="s">
        <v>137</v>
      </c>
      <c r="BB9" s="327" t="s">
        <v>191</v>
      </c>
      <c r="BC9" s="327" t="s">
        <v>137</v>
      </c>
      <c r="BD9" s="327" t="s">
        <v>137</v>
      </c>
      <c r="BE9" s="327" t="s">
        <v>191</v>
      </c>
      <c r="BF9" s="327" t="s">
        <v>137</v>
      </c>
      <c r="BG9" s="327" t="s">
        <v>137</v>
      </c>
      <c r="BH9" s="378" t="s">
        <v>136</v>
      </c>
      <c r="BI9" s="327" t="s">
        <v>197</v>
      </c>
      <c r="BJ9" s="327" t="s">
        <v>197</v>
      </c>
      <c r="BK9" s="327" t="s">
        <v>197</v>
      </c>
      <c r="BL9" s="419"/>
      <c r="BM9" s="422" t="s">
        <v>191</v>
      </c>
      <c r="BN9" s="321" t="s">
        <v>191</v>
      </c>
      <c r="BO9" s="321" t="s">
        <v>191</v>
      </c>
      <c r="BP9" s="321" t="s">
        <v>191</v>
      </c>
      <c r="BQ9" s="367"/>
      <c r="BR9" s="326" t="s">
        <v>119</v>
      </c>
      <c r="BS9" s="373"/>
      <c r="BT9" s="333"/>
      <c r="BU9" s="85"/>
      <c r="BV9" s="346"/>
      <c r="BW9" s="102"/>
      <c r="BX9" s="102"/>
      <c r="BY9" s="102"/>
      <c r="BZ9" s="102"/>
      <c r="CA9" s="339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72"/>
      <c r="CM9" s="72"/>
      <c r="CN9" s="72"/>
      <c r="CO9" s="72"/>
      <c r="CP9" s="72"/>
      <c r="CQ9" s="72"/>
      <c r="CR9" s="72"/>
      <c r="CS9" s="72"/>
      <c r="CT9" s="72"/>
      <c r="CU9" s="72"/>
      <c r="CV9" s="75"/>
      <c r="CW9" s="75"/>
      <c r="CX9" s="75"/>
      <c r="CY9" s="75"/>
    </row>
    <row r="10" spans="1:103" ht="20.25" customHeight="1">
      <c r="B10" s="278" t="s">
        <v>25</v>
      </c>
      <c r="C10" s="87"/>
      <c r="D10" s="374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411"/>
      <c r="W10" s="374"/>
      <c r="X10" s="328"/>
      <c r="Y10" s="328"/>
      <c r="Z10" s="328"/>
      <c r="AA10" s="328"/>
      <c r="AB10" s="328"/>
      <c r="AC10" s="328"/>
      <c r="AD10" s="328"/>
      <c r="AE10" s="328"/>
      <c r="AF10" s="328"/>
      <c r="AG10" s="328"/>
      <c r="AH10" s="328"/>
      <c r="AI10" s="328"/>
      <c r="AJ10" s="328"/>
      <c r="AK10" s="328"/>
      <c r="AL10" s="411"/>
      <c r="AM10" s="374"/>
      <c r="AN10" s="328"/>
      <c r="AO10" s="328"/>
      <c r="AP10" s="328"/>
      <c r="AQ10" s="328"/>
      <c r="AR10" s="328"/>
      <c r="AS10" s="328"/>
      <c r="AT10" s="328"/>
      <c r="AU10" s="328"/>
      <c r="AV10" s="447"/>
      <c r="AW10" s="374"/>
      <c r="AX10" s="328"/>
      <c r="AY10" s="328"/>
      <c r="AZ10" s="411"/>
      <c r="BA10" s="328"/>
      <c r="BB10" s="328"/>
      <c r="BC10" s="328"/>
      <c r="BD10" s="328"/>
      <c r="BE10" s="328"/>
      <c r="BF10" s="328"/>
      <c r="BG10" s="328"/>
      <c r="BH10" s="86"/>
      <c r="BI10" s="328"/>
      <c r="BJ10" s="328"/>
      <c r="BK10" s="328"/>
      <c r="BL10" s="420"/>
      <c r="BM10" s="423"/>
      <c r="BN10" s="318"/>
      <c r="BO10" s="318"/>
      <c r="BP10" s="318"/>
      <c r="BQ10" s="385"/>
      <c r="BR10" s="86"/>
      <c r="BS10" s="88"/>
      <c r="BT10" s="296"/>
      <c r="BU10" s="86"/>
      <c r="BV10" s="349"/>
      <c r="BW10" s="302">
        <v>10</v>
      </c>
      <c r="BX10" s="302">
        <v>10</v>
      </c>
      <c r="BY10" s="302">
        <v>10</v>
      </c>
      <c r="BZ10" s="302">
        <v>0</v>
      </c>
      <c r="CA10" s="78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72"/>
      <c r="CM10" s="72"/>
      <c r="CN10" s="72"/>
      <c r="CO10" s="72"/>
      <c r="CP10" s="72"/>
      <c r="CQ10" s="72"/>
      <c r="CR10" s="72"/>
      <c r="CS10" s="72"/>
      <c r="CT10" s="72"/>
      <c r="CU10" s="72"/>
      <c r="CV10" s="75"/>
      <c r="CW10" s="75"/>
      <c r="CX10" s="75"/>
      <c r="CY10" s="75"/>
    </row>
    <row r="11" spans="1:103" ht="20.25" customHeight="1">
      <c r="A11" s="75"/>
      <c r="B11" s="279" t="s">
        <v>180</v>
      </c>
      <c r="C11" s="90" t="s">
        <v>35</v>
      </c>
      <c r="D11" s="375"/>
      <c r="E11" s="273">
        <f>20+SUM(E28:E48)*$BW$10+$BY$10</f>
        <v>40</v>
      </c>
      <c r="F11" s="273"/>
      <c r="G11" s="273"/>
      <c r="H11" s="273">
        <f>30+SUM(H28:H48)*$BW$10+$BY$10</f>
        <v>50</v>
      </c>
      <c r="I11" s="273">
        <f>30+SUM(I28:I48)*$BW$10+$BY$10</f>
        <v>50</v>
      </c>
      <c r="J11" s="273">
        <f>20+SUM(J28:J48)*$BW$10+$BY$10</f>
        <v>40</v>
      </c>
      <c r="K11" s="273">
        <f>20+SUM(K28:K48)*$BW$10+$BY$10</f>
        <v>40</v>
      </c>
      <c r="L11" s="273">
        <f>20+SUM(L28:L48)*$BW$10+$BY$10</f>
        <v>40</v>
      </c>
      <c r="M11" s="273">
        <f>20+SUM(M28:M48)*$BW$10+$BY$10</f>
        <v>40</v>
      </c>
      <c r="N11" s="273"/>
      <c r="O11" s="273">
        <f>20+SUM(O28:O48)*$BW$10+$BY$10</f>
        <v>40</v>
      </c>
      <c r="P11" s="273"/>
      <c r="Q11" s="273">
        <f>20+SUM(Q28:Q48)*$BW$10+$BY$10</f>
        <v>60</v>
      </c>
      <c r="R11" s="273">
        <f>30+SUM(R28:R48)*$BW$10+$BY$10</f>
        <v>50</v>
      </c>
      <c r="S11" s="273">
        <f>20+SUM(S28:S48)*$BW$10+$BY$10</f>
        <v>40</v>
      </c>
      <c r="T11" s="273">
        <f>20+SUM(T28:T48)*$BW$10+$BY$10</f>
        <v>50</v>
      </c>
      <c r="U11" s="273">
        <f>20+SUM(U28:U48)*$BW$10+$BY$10</f>
        <v>60</v>
      </c>
      <c r="V11" s="412">
        <f>10+40+SUM(V28:V48)*$BW$10+$BY$10</f>
        <v>70</v>
      </c>
      <c r="W11" s="375">
        <f>20+40+SUM(W28:W48)*$BW$10+$BY$10</f>
        <v>80</v>
      </c>
      <c r="X11" s="273">
        <f>20+40+SUM(X28:X48)*$BW$10+$BY$10</f>
        <v>80</v>
      </c>
      <c r="Y11" s="273">
        <f>10+40+SUM(Y28:Y48)*$BW$10+$BY$10</f>
        <v>70</v>
      </c>
      <c r="Z11" s="273">
        <f>10+40+SUM(Z28:Z48)*$BW$10+$BY$10</f>
        <v>70</v>
      </c>
      <c r="AA11" s="273">
        <f>20+40+SUM(AA28:AA48)*$BW$10+$BY$10</f>
        <v>80</v>
      </c>
      <c r="AB11" s="273">
        <f>10+40+SUM(AB28:AB48)*$BW$10+$BY$10</f>
        <v>70</v>
      </c>
      <c r="AC11" s="273">
        <f>20+40+SUM(AC28:AC48)*$BW$10+$BY$10</f>
        <v>80</v>
      </c>
      <c r="AD11" s="273">
        <f>30+40+SUM(AD28:AD48)*$BW$10+$BY$10</f>
        <v>90</v>
      </c>
      <c r="AE11" s="273">
        <f>10+40+SUM(AE28:AE48)*$BW$10+$BY$10</f>
        <v>70</v>
      </c>
      <c r="AF11" s="273">
        <f>10+40+SUM(AF28:AF48)*$BW$10+$BY$10</f>
        <v>70</v>
      </c>
      <c r="AG11" s="273">
        <f>40+SUM(AG28:AG48)*$BW$10+$BY$10</f>
        <v>60</v>
      </c>
      <c r="AH11" s="273">
        <f>40+SUM(AH28:AH48)*$BW$10+$BY$10</f>
        <v>60</v>
      </c>
      <c r="AI11" s="273">
        <f>50+SUM(AI28:AI48)*$BW$10+$BY$10</f>
        <v>70</v>
      </c>
      <c r="AJ11" s="273">
        <f>50+SUM(AJ28:AJ48)*$BW$10+$BY$10</f>
        <v>60</v>
      </c>
      <c r="AK11" s="273"/>
      <c r="AL11" s="412"/>
      <c r="AM11" s="375">
        <f>40+SUM(AM28:AM48)*$BW$10+$BY$10</f>
        <v>60</v>
      </c>
      <c r="AN11" s="273">
        <f>40+SUM(AN28:AN48)*$BW$10+$BY$10</f>
        <v>60</v>
      </c>
      <c r="AO11" s="273">
        <f>40+SUM(AO28:AO48)*$BW$10+$BY$10</f>
        <v>60</v>
      </c>
      <c r="AP11" s="273">
        <f>20+SUM(AP28:AP48)*$BW$10+$BY$10</f>
        <v>40</v>
      </c>
      <c r="AQ11" s="273">
        <f>40+SUM(AQ28:AQ48)*$BW$10+$BY$10</f>
        <v>70</v>
      </c>
      <c r="AR11" s="273">
        <f>20+40+SUM(AR28:AR48)*$BW$10+$BY$10</f>
        <v>80</v>
      </c>
      <c r="AS11" s="273">
        <f>40+SUM(AS28:AS48)*$BW$10+$BY$10</f>
        <v>60</v>
      </c>
      <c r="AT11" s="273">
        <f>20+40+SUM(AT28:AT48)*$BW$10+$BY$10</f>
        <v>80</v>
      </c>
      <c r="AU11" s="273">
        <f>20+40+SUM(AU28:AU48)*$BW$10+$BY$10</f>
        <v>80</v>
      </c>
      <c r="AV11" s="368">
        <f>20+SUM(AV28:AV48)*$BW$10+$BY$10</f>
        <v>40</v>
      </c>
      <c r="AW11" s="375">
        <f>80+SUM(AW28:AW48)*$BW$10+$BY$10</f>
        <v>110</v>
      </c>
      <c r="AX11" s="273">
        <f>60+SUM(AX28:AX48)*$BW$10+$BY$10</f>
        <v>70</v>
      </c>
      <c r="AY11" s="273">
        <f>70+SUM(AY28:AY48)*$BW$10+$BY$10</f>
        <v>80</v>
      </c>
      <c r="AZ11" s="412">
        <f>10+40+SUM(AZ28:AZ48)*$BW$10+$BY$10</f>
        <v>70</v>
      </c>
      <c r="BA11" s="273">
        <f>20+SUM(BA28:BA48)*$BW$10+$BY$10</f>
        <v>40</v>
      </c>
      <c r="BB11" s="273">
        <f>60+SUM(BB28:BB48)*$BW$10+$BY$10</f>
        <v>100</v>
      </c>
      <c r="BC11" s="273">
        <f>100+SUM(BC28:BC48)*$BW$10+$BY$10</f>
        <v>150</v>
      </c>
      <c r="BD11" s="273">
        <f>50+SUM(BD28:BD48)*$BW$10+$BY$10</f>
        <v>90</v>
      </c>
      <c r="BE11" s="273">
        <f>40+SUM(BE28:BE48)*$BW$10+$BY$10</f>
        <v>50</v>
      </c>
      <c r="BF11" s="273">
        <f>20+SUM(BF28:BF48)*$BW$10+$BY$10</f>
        <v>40</v>
      </c>
      <c r="BG11" s="273">
        <f>20+SUM(BG28:BG48)*$BW$10+$BY$10</f>
        <v>40</v>
      </c>
      <c r="BH11" s="110">
        <f>SUM(D11:BG11)</f>
        <v>3150</v>
      </c>
      <c r="BI11" s="273"/>
      <c r="BJ11" s="273"/>
      <c r="BK11" s="273"/>
      <c r="BL11" s="396"/>
      <c r="BM11" s="362">
        <f>70+10+SUM(BM28:BM48)*$BW$10+$BY$10</f>
        <v>90</v>
      </c>
      <c r="BN11" s="360">
        <f>50+10+SUM(BN28:BN48)*$BW$10+$BY$10</f>
        <v>70</v>
      </c>
      <c r="BO11" s="360">
        <f>40+10+SUM(BO28:BO48)*$BW$10+$BY$10</f>
        <v>60</v>
      </c>
      <c r="BP11" s="360">
        <f>50+10+SUM(BP28:BP48)*$BW$10+$BY$10</f>
        <v>70</v>
      </c>
      <c r="BQ11" s="368"/>
      <c r="BR11" s="110">
        <f>SUM(BI11:BQ11)</f>
        <v>290</v>
      </c>
      <c r="BS11" s="84"/>
      <c r="BT11" s="295"/>
      <c r="BU11" s="110">
        <f>SUM(BS11:BT11)</f>
        <v>0</v>
      </c>
      <c r="BV11" s="347"/>
      <c r="BW11" s="102"/>
      <c r="BX11" s="102"/>
      <c r="BY11" s="102"/>
      <c r="BZ11" s="102"/>
      <c r="CA11" s="331"/>
      <c r="CB11" s="72"/>
      <c r="CC11" s="72"/>
      <c r="CD11" s="72"/>
      <c r="CE11" s="72"/>
      <c r="CF11" s="72"/>
      <c r="CG11" s="75"/>
      <c r="CH11" s="75"/>
      <c r="CI11" s="75"/>
      <c r="CJ11" s="75"/>
      <c r="CK11" s="75"/>
      <c r="CL11" s="75"/>
      <c r="CM11" s="75"/>
      <c r="CN11" s="75"/>
      <c r="CO11" s="75"/>
      <c r="CP11" s="75"/>
      <c r="CQ11" s="75"/>
      <c r="CR11" s="75"/>
      <c r="CS11" s="75"/>
      <c r="CU11" s="75"/>
      <c r="CV11" s="75"/>
      <c r="CW11" s="75"/>
      <c r="CX11" s="75"/>
      <c r="CY11" s="75"/>
    </row>
    <row r="12" spans="1:103" ht="20.25" customHeight="1">
      <c r="A12" s="75"/>
      <c r="B12" s="363" t="s">
        <v>170</v>
      </c>
      <c r="C12" s="90" t="s">
        <v>35</v>
      </c>
      <c r="D12" s="375">
        <f>20+10+SUM(D28:D48)*$BW$10+$BY$10</f>
        <v>60</v>
      </c>
      <c r="E12" s="273"/>
      <c r="F12" s="273">
        <f>40+SUM(F28:F48)*$BW$10+$BY$10</f>
        <v>60</v>
      </c>
      <c r="G12" s="273">
        <f>40+SUM(G28:G48)*$BW$10+$BY$10</f>
        <v>60</v>
      </c>
      <c r="H12" s="273"/>
      <c r="I12" s="273"/>
      <c r="J12" s="273"/>
      <c r="K12" s="273"/>
      <c r="L12" s="273"/>
      <c r="M12" s="273"/>
      <c r="N12" s="273">
        <f>30+SUM(N28:N48)*$BW$10+$BY$10</f>
        <v>50</v>
      </c>
      <c r="O12" s="273"/>
      <c r="P12" s="273">
        <f>40+SUM(P28:P48)*$BW$10+$BY$10</f>
        <v>60</v>
      </c>
      <c r="Q12" s="273"/>
      <c r="R12" s="273"/>
      <c r="S12" s="273"/>
      <c r="T12" s="273"/>
      <c r="U12" s="273"/>
      <c r="V12" s="412"/>
      <c r="W12" s="375"/>
      <c r="X12" s="273"/>
      <c r="Y12" s="273"/>
      <c r="Z12" s="273"/>
      <c r="AA12" s="273"/>
      <c r="AB12" s="273"/>
      <c r="AC12" s="273"/>
      <c r="AD12" s="273"/>
      <c r="AE12" s="273"/>
      <c r="AF12" s="273"/>
      <c r="AG12" s="273"/>
      <c r="AH12" s="273"/>
      <c r="AI12" s="273"/>
      <c r="AJ12" s="273"/>
      <c r="AK12" s="273">
        <f>10+SUM(AK28:AK48)*$BW$10+$BY$10</f>
        <v>30</v>
      </c>
      <c r="AL12" s="412">
        <f>10+SUM(AL28:AL48)*$BW$10+$BY$10</f>
        <v>30</v>
      </c>
      <c r="AM12" s="375"/>
      <c r="AN12" s="273"/>
      <c r="AO12" s="273"/>
      <c r="AP12" s="273"/>
      <c r="AQ12" s="273"/>
      <c r="AR12" s="273"/>
      <c r="AS12" s="273"/>
      <c r="AT12" s="273"/>
      <c r="AU12" s="273"/>
      <c r="AV12" s="368"/>
      <c r="AW12" s="375"/>
      <c r="AX12" s="273"/>
      <c r="AY12" s="273"/>
      <c r="AZ12" s="412"/>
      <c r="BA12" s="273"/>
      <c r="BB12" s="273"/>
      <c r="BC12" s="273"/>
      <c r="BD12" s="273"/>
      <c r="BE12" s="273"/>
      <c r="BF12" s="273"/>
      <c r="BG12" s="273"/>
      <c r="BH12" s="110">
        <f>SUM(D12:BG12)</f>
        <v>350</v>
      </c>
      <c r="BI12" s="273"/>
      <c r="BJ12" s="273">
        <f>40+10+SUM(BJ28:BJ48)*$BW$10+$BY$10</f>
        <v>70</v>
      </c>
      <c r="BK12" s="273">
        <f>10+10+SUM(BK28:BK48)*$BW$10+$BY$10</f>
        <v>40</v>
      </c>
      <c r="BL12" s="396"/>
      <c r="BM12" s="362"/>
      <c r="BN12" s="360"/>
      <c r="BO12" s="360"/>
      <c r="BP12" s="360"/>
      <c r="BQ12" s="368"/>
      <c r="BR12" s="110">
        <f>SUM(BI12:BQ12)</f>
        <v>110</v>
      </c>
      <c r="BS12" s="84"/>
      <c r="BT12" s="295"/>
      <c r="BU12" s="110">
        <f t="shared" ref="BU12:BU14" si="0">SUM(BS12:BT12)</f>
        <v>0</v>
      </c>
      <c r="BV12" s="347"/>
      <c r="BW12" s="102"/>
      <c r="BX12" s="102"/>
      <c r="BY12" s="102"/>
      <c r="BZ12" s="102"/>
      <c r="CA12" s="331"/>
      <c r="CB12" s="72"/>
      <c r="CC12" s="72"/>
      <c r="CD12" s="72"/>
      <c r="CE12" s="72"/>
      <c r="CF12" s="72"/>
      <c r="CG12" s="75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U12" s="75"/>
      <c r="CV12" s="75"/>
      <c r="CW12" s="75"/>
      <c r="CX12" s="75"/>
      <c r="CY12" s="75"/>
    </row>
    <row r="13" spans="1:103" ht="20.25" customHeight="1">
      <c r="A13" s="75"/>
      <c r="B13" s="279" t="s">
        <v>166</v>
      </c>
      <c r="C13" s="90" t="s">
        <v>35</v>
      </c>
      <c r="D13" s="375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412"/>
      <c r="W13" s="375"/>
      <c r="X13" s="273"/>
      <c r="Y13" s="273"/>
      <c r="Z13" s="273"/>
      <c r="AA13" s="273"/>
      <c r="AB13" s="273"/>
      <c r="AC13" s="273"/>
      <c r="AD13" s="273"/>
      <c r="AE13" s="273"/>
      <c r="AF13" s="273"/>
      <c r="AG13" s="273"/>
      <c r="AH13" s="273"/>
      <c r="AI13" s="273"/>
      <c r="AJ13" s="273"/>
      <c r="AK13" s="273"/>
      <c r="AL13" s="412"/>
      <c r="AM13" s="375"/>
      <c r="AN13" s="273"/>
      <c r="AO13" s="273"/>
      <c r="AP13" s="273"/>
      <c r="AQ13" s="273"/>
      <c r="AR13" s="273"/>
      <c r="AS13" s="273"/>
      <c r="AT13" s="273"/>
      <c r="AU13" s="273"/>
      <c r="AV13" s="368"/>
      <c r="AW13" s="375"/>
      <c r="AX13" s="273"/>
      <c r="AY13" s="273"/>
      <c r="AZ13" s="412"/>
      <c r="BA13" s="273"/>
      <c r="BB13" s="273"/>
      <c r="BC13" s="273"/>
      <c r="BD13" s="273"/>
      <c r="BE13" s="273"/>
      <c r="BF13" s="273"/>
      <c r="BG13" s="273"/>
      <c r="BH13" s="110">
        <f>SUM(D13:BG13)</f>
        <v>0</v>
      </c>
      <c r="BI13" s="273">
        <f>30+10+SUM(BI28:BI48)*$BW$10+$BY$10</f>
        <v>60</v>
      </c>
      <c r="BJ13" s="273"/>
      <c r="BK13" s="273"/>
      <c r="BL13" s="396"/>
      <c r="BM13" s="362"/>
      <c r="BN13" s="360"/>
      <c r="BO13" s="360"/>
      <c r="BP13" s="360"/>
      <c r="BQ13" s="368"/>
      <c r="BR13" s="110">
        <f>SUM(BI13:BQ13)</f>
        <v>60</v>
      </c>
      <c r="BS13" s="319"/>
      <c r="BT13" s="295"/>
      <c r="BU13" s="110">
        <f t="shared" si="0"/>
        <v>0</v>
      </c>
      <c r="BV13" s="347"/>
      <c r="BW13" s="102"/>
      <c r="BX13" s="102"/>
      <c r="BY13" s="102"/>
      <c r="BZ13" s="102"/>
      <c r="CA13" s="331"/>
      <c r="CB13" s="72"/>
      <c r="CC13" s="72"/>
      <c r="CD13" s="72"/>
      <c r="CE13" s="72"/>
      <c r="CF13" s="72"/>
      <c r="CG13" s="75"/>
      <c r="CH13" s="75"/>
      <c r="CI13" s="75"/>
      <c r="CJ13" s="75"/>
      <c r="CK13" s="75"/>
      <c r="CL13" s="75"/>
      <c r="CM13" s="75"/>
      <c r="CN13" s="75"/>
      <c r="CO13" s="75"/>
      <c r="CP13" s="75"/>
      <c r="CQ13" s="75"/>
      <c r="CR13" s="75"/>
      <c r="CS13" s="75"/>
      <c r="CU13" s="75"/>
      <c r="CV13" s="75"/>
      <c r="CW13" s="75"/>
      <c r="CX13" s="75"/>
      <c r="CY13" s="75"/>
    </row>
    <row r="14" spans="1:103" ht="20.25" customHeight="1">
      <c r="A14" s="75"/>
      <c r="B14" s="279" t="s">
        <v>167</v>
      </c>
      <c r="C14" s="90" t="s">
        <v>35</v>
      </c>
      <c r="D14" s="375"/>
      <c r="E14" s="273"/>
      <c r="F14" s="273"/>
      <c r="G14" s="273"/>
      <c r="H14" s="273"/>
      <c r="I14" s="273"/>
      <c r="J14" s="273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412"/>
      <c r="W14" s="375"/>
      <c r="X14" s="273"/>
      <c r="Y14" s="273"/>
      <c r="Z14" s="273"/>
      <c r="AA14" s="273"/>
      <c r="AB14" s="273"/>
      <c r="AC14" s="273"/>
      <c r="AD14" s="273"/>
      <c r="AE14" s="273"/>
      <c r="AF14" s="273"/>
      <c r="AG14" s="273"/>
      <c r="AH14" s="273"/>
      <c r="AI14" s="273"/>
      <c r="AJ14" s="273"/>
      <c r="AK14" s="273"/>
      <c r="AL14" s="412"/>
      <c r="AM14" s="375"/>
      <c r="AN14" s="273"/>
      <c r="AO14" s="273"/>
      <c r="AP14" s="273"/>
      <c r="AQ14" s="273"/>
      <c r="AR14" s="273"/>
      <c r="AS14" s="273"/>
      <c r="AT14" s="273"/>
      <c r="AU14" s="273"/>
      <c r="AV14" s="368"/>
      <c r="AW14" s="375"/>
      <c r="AX14" s="273"/>
      <c r="AY14" s="273"/>
      <c r="AZ14" s="412"/>
      <c r="BA14" s="273"/>
      <c r="BB14" s="273"/>
      <c r="BC14" s="273"/>
      <c r="BD14" s="273"/>
      <c r="BE14" s="273"/>
      <c r="BF14" s="273"/>
      <c r="BG14" s="273"/>
      <c r="BH14" s="110">
        <f>SUM(D14:BG14)</f>
        <v>0</v>
      </c>
      <c r="BI14" s="273"/>
      <c r="BJ14" s="273"/>
      <c r="BK14" s="273"/>
      <c r="BL14" s="396"/>
      <c r="BM14" s="362"/>
      <c r="BN14" s="360"/>
      <c r="BO14" s="360"/>
      <c r="BP14" s="360"/>
      <c r="BQ14" s="368"/>
      <c r="BR14" s="110">
        <f>SUM(BI14:BQ14)</f>
        <v>0</v>
      </c>
      <c r="BS14" s="319">
        <f>10+$BY$10+$BY$10</f>
        <v>30</v>
      </c>
      <c r="BT14" s="295"/>
      <c r="BU14" s="110">
        <f t="shared" si="0"/>
        <v>30</v>
      </c>
      <c r="BV14" s="347"/>
      <c r="BW14" s="102"/>
      <c r="BX14" s="102"/>
      <c r="BY14" s="102"/>
      <c r="BZ14" s="102"/>
      <c r="CA14" s="331"/>
      <c r="CB14" s="72"/>
      <c r="CC14" s="72"/>
      <c r="CD14" s="72"/>
      <c r="CE14" s="72"/>
      <c r="CF14" s="72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5"/>
      <c r="CR14" s="75"/>
      <c r="CS14" s="75"/>
      <c r="CU14" s="75"/>
      <c r="CV14" s="75"/>
      <c r="CW14" s="75"/>
      <c r="CX14" s="75"/>
      <c r="CY14" s="75"/>
    </row>
    <row r="15" spans="1:103" ht="20.25" customHeight="1">
      <c r="B15" s="280" t="s">
        <v>22</v>
      </c>
      <c r="C15" s="87"/>
      <c r="D15" s="376"/>
      <c r="E15" s="329"/>
      <c r="F15" s="329"/>
      <c r="G15" s="329"/>
      <c r="H15" s="329"/>
      <c r="I15" s="329"/>
      <c r="J15" s="329"/>
      <c r="K15" s="329"/>
      <c r="L15" s="329"/>
      <c r="M15" s="329"/>
      <c r="N15" s="329"/>
      <c r="O15" s="329"/>
      <c r="P15" s="329"/>
      <c r="Q15" s="329"/>
      <c r="R15" s="329"/>
      <c r="S15" s="329"/>
      <c r="T15" s="329"/>
      <c r="U15" s="329"/>
      <c r="V15" s="413"/>
      <c r="W15" s="376"/>
      <c r="X15" s="329"/>
      <c r="Y15" s="329"/>
      <c r="Z15" s="329"/>
      <c r="AA15" s="329"/>
      <c r="AB15" s="329"/>
      <c r="AC15" s="329"/>
      <c r="AD15" s="329"/>
      <c r="AE15" s="329"/>
      <c r="AF15" s="329"/>
      <c r="AG15" s="329"/>
      <c r="AH15" s="329"/>
      <c r="AI15" s="329"/>
      <c r="AJ15" s="329"/>
      <c r="AK15" s="329"/>
      <c r="AL15" s="413"/>
      <c r="AM15" s="376"/>
      <c r="AN15" s="329"/>
      <c r="AO15" s="329"/>
      <c r="AP15" s="329"/>
      <c r="AQ15" s="329"/>
      <c r="AR15" s="329"/>
      <c r="AS15" s="329"/>
      <c r="AT15" s="329"/>
      <c r="AU15" s="329"/>
      <c r="AV15" s="369"/>
      <c r="AW15" s="376"/>
      <c r="AX15" s="329"/>
      <c r="AY15" s="329"/>
      <c r="AZ15" s="413"/>
      <c r="BA15" s="329"/>
      <c r="BB15" s="329"/>
      <c r="BC15" s="329"/>
      <c r="BD15" s="329"/>
      <c r="BE15" s="329"/>
      <c r="BF15" s="329"/>
      <c r="BG15" s="329"/>
      <c r="BH15" s="299"/>
      <c r="BI15" s="329"/>
      <c r="BJ15" s="329"/>
      <c r="BK15" s="329"/>
      <c r="BL15" s="397"/>
      <c r="BM15" s="389"/>
      <c r="BN15" s="91"/>
      <c r="BO15" s="91"/>
      <c r="BP15" s="91"/>
      <c r="BQ15" s="369"/>
      <c r="BR15" s="299"/>
      <c r="BS15" s="307"/>
      <c r="BT15" s="334"/>
      <c r="BU15" s="111"/>
      <c r="BV15" s="347"/>
      <c r="BW15" s="331"/>
      <c r="BX15" s="331"/>
      <c r="BY15" s="331"/>
      <c r="BZ15" s="331"/>
      <c r="CA15" s="331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72"/>
      <c r="CM15" s="72"/>
      <c r="CN15" s="72"/>
      <c r="CO15" s="72"/>
      <c r="CP15" s="72"/>
      <c r="CQ15" s="72"/>
      <c r="CR15" s="72"/>
      <c r="CS15" s="72"/>
      <c r="CT15" s="72"/>
      <c r="CU15" s="72"/>
      <c r="CV15" s="75"/>
      <c r="CW15" s="75"/>
      <c r="CX15" s="75"/>
      <c r="CY15" s="75"/>
    </row>
    <row r="16" spans="1:103" ht="20.25" customHeight="1">
      <c r="B16" s="281" t="s">
        <v>127</v>
      </c>
      <c r="C16" s="90" t="s">
        <v>35</v>
      </c>
      <c r="D16" s="375"/>
      <c r="E16" s="273">
        <f>+(SUM(E28:E48)*$BX$10+$BZ$10*2+E11)</f>
        <v>50</v>
      </c>
      <c r="F16" s="273"/>
      <c r="G16" s="273"/>
      <c r="H16" s="273">
        <f t="shared" ref="H16:M16" si="1">+(SUM(H28:H48)*$BX$10+$BZ$10*2+H11)</f>
        <v>60</v>
      </c>
      <c r="I16" s="273">
        <f t="shared" si="1"/>
        <v>60</v>
      </c>
      <c r="J16" s="273">
        <f t="shared" si="1"/>
        <v>50</v>
      </c>
      <c r="K16" s="273">
        <f t="shared" si="1"/>
        <v>50</v>
      </c>
      <c r="L16" s="273">
        <f t="shared" si="1"/>
        <v>50</v>
      </c>
      <c r="M16" s="273">
        <f t="shared" si="1"/>
        <v>50</v>
      </c>
      <c r="N16" s="273"/>
      <c r="O16" s="273">
        <f>+(SUM(O28:O48)*$BX$10+$BZ$10*2+O11)</f>
        <v>50</v>
      </c>
      <c r="P16" s="273"/>
      <c r="Q16" s="273">
        <f t="shared" ref="Q16:AI16" si="2">+(SUM(Q28:Q48)*$BX$10+$BZ$10*2+Q11)</f>
        <v>90</v>
      </c>
      <c r="R16" s="273">
        <f t="shared" si="2"/>
        <v>60</v>
      </c>
      <c r="S16" s="273">
        <f t="shared" si="2"/>
        <v>50</v>
      </c>
      <c r="T16" s="273">
        <f t="shared" si="2"/>
        <v>70</v>
      </c>
      <c r="U16" s="273">
        <f t="shared" si="2"/>
        <v>90</v>
      </c>
      <c r="V16" s="412">
        <f t="shared" si="2"/>
        <v>80</v>
      </c>
      <c r="W16" s="375">
        <f t="shared" si="2"/>
        <v>90</v>
      </c>
      <c r="X16" s="273">
        <f t="shared" si="2"/>
        <v>90</v>
      </c>
      <c r="Y16" s="273">
        <f t="shared" si="2"/>
        <v>80</v>
      </c>
      <c r="Z16" s="273">
        <f t="shared" si="2"/>
        <v>80</v>
      </c>
      <c r="AA16" s="273">
        <f t="shared" si="2"/>
        <v>90</v>
      </c>
      <c r="AB16" s="273">
        <f t="shared" si="2"/>
        <v>80</v>
      </c>
      <c r="AC16" s="273">
        <f t="shared" si="2"/>
        <v>90</v>
      </c>
      <c r="AD16" s="273">
        <f t="shared" si="2"/>
        <v>100</v>
      </c>
      <c r="AE16" s="273">
        <f t="shared" si="2"/>
        <v>80</v>
      </c>
      <c r="AF16" s="273">
        <f t="shared" si="2"/>
        <v>80</v>
      </c>
      <c r="AG16" s="273">
        <f t="shared" si="2"/>
        <v>70</v>
      </c>
      <c r="AH16" s="273">
        <f t="shared" si="2"/>
        <v>70</v>
      </c>
      <c r="AI16" s="273">
        <f t="shared" si="2"/>
        <v>80</v>
      </c>
      <c r="AJ16" s="273"/>
      <c r="AK16" s="273"/>
      <c r="AL16" s="412"/>
      <c r="AM16" s="375">
        <f t="shared" ref="AM16:AW16" si="3">+(SUM(AM28:AM48)*$BX$10+$BZ$10*2+AM11)</f>
        <v>70</v>
      </c>
      <c r="AN16" s="273">
        <f t="shared" si="3"/>
        <v>70</v>
      </c>
      <c r="AO16" s="273">
        <f t="shared" si="3"/>
        <v>70</v>
      </c>
      <c r="AP16" s="273">
        <f t="shared" si="3"/>
        <v>50</v>
      </c>
      <c r="AQ16" s="273">
        <f t="shared" si="3"/>
        <v>90</v>
      </c>
      <c r="AR16" s="273">
        <f t="shared" si="3"/>
        <v>90</v>
      </c>
      <c r="AS16" s="273">
        <f t="shared" si="3"/>
        <v>70</v>
      </c>
      <c r="AT16" s="273">
        <f t="shared" si="3"/>
        <v>90</v>
      </c>
      <c r="AU16" s="273">
        <f t="shared" si="3"/>
        <v>90</v>
      </c>
      <c r="AV16" s="368">
        <f t="shared" si="3"/>
        <v>50</v>
      </c>
      <c r="AW16" s="375">
        <f t="shared" si="3"/>
        <v>130</v>
      </c>
      <c r="AX16" s="273">
        <f>+(SUM(AX26)*$BX$10+$BZ$10*2+AX11)</f>
        <v>80</v>
      </c>
      <c r="AY16" s="273">
        <f>+(SUM(AY26)*$BX$10+$BZ$10*2+AY11)</f>
        <v>90</v>
      </c>
      <c r="AZ16" s="412">
        <f>+(SUM(AZ28:AZ48)*$BX$10+$BZ$10*2+AZ11)</f>
        <v>80</v>
      </c>
      <c r="BA16" s="273">
        <f>+(SUM(BA28:BA48)*$BX$10+$BZ$10*2+BA11)</f>
        <v>50</v>
      </c>
      <c r="BB16" s="273">
        <f>+(SUM(BB26)*$BX$10+$BZ$10*2+BB11)</f>
        <v>110</v>
      </c>
      <c r="BC16" s="273">
        <f>+(SUM(BC28:BC48)*$BX$10+$BZ$10*2+BC11)</f>
        <v>190</v>
      </c>
      <c r="BD16" s="273">
        <f>+(SUM(BD28:BD48)*$BX$10+$BZ$10*2+BD11)</f>
        <v>120</v>
      </c>
      <c r="BE16" s="273">
        <f>+(SUM(BE26)*$BX$10+$BZ$10*2+BE11)</f>
        <v>60</v>
      </c>
      <c r="BF16" s="273">
        <f>+(SUM(BF28:BF48)*$BX$10+$BZ$10*2+BF11)</f>
        <v>50</v>
      </c>
      <c r="BG16" s="273">
        <f>+(SUM(BG28:BG48)*$BX$10+$BZ$10*2+BG11)</f>
        <v>50</v>
      </c>
      <c r="BH16" s="110">
        <f t="shared" ref="BH16:BH24" si="4">SUM(D16:BG16)</f>
        <v>3690</v>
      </c>
      <c r="BI16" s="273"/>
      <c r="BJ16" s="273"/>
      <c r="BK16" s="273"/>
      <c r="BL16" s="396"/>
      <c r="BM16" s="362">
        <f>+(SUM(BM27)*$BX$10+$BZ$10*2+BM11)</f>
        <v>100</v>
      </c>
      <c r="BN16" s="360">
        <f>+(SUM(BN27)*$BX$10+$BZ$10*2+BN11)</f>
        <v>80</v>
      </c>
      <c r="BO16" s="360"/>
      <c r="BP16" s="360">
        <f>+(SUM(BP27)*$BX$10+$BZ$10*2+BP11)</f>
        <v>110</v>
      </c>
      <c r="BQ16" s="368"/>
      <c r="BR16" s="110">
        <f>SUM(BI16:BQ16)</f>
        <v>290</v>
      </c>
      <c r="BS16" s="308"/>
      <c r="BT16" s="335"/>
      <c r="BU16" s="110">
        <f>SUM(BS16:BT16)</f>
        <v>0</v>
      </c>
      <c r="BV16" s="347"/>
      <c r="BW16" s="331"/>
      <c r="BX16" s="331"/>
      <c r="BY16" s="331"/>
      <c r="BZ16" s="331"/>
      <c r="CA16" s="331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  <c r="CN16" s="72"/>
      <c r="CO16" s="72"/>
      <c r="CP16" s="72"/>
      <c r="CQ16" s="72"/>
      <c r="CR16" s="72"/>
      <c r="CS16" s="72"/>
      <c r="CT16" s="72"/>
      <c r="CU16" s="72"/>
      <c r="CV16" s="75"/>
      <c r="CW16" s="75"/>
      <c r="CX16" s="75"/>
      <c r="CY16" s="75"/>
    </row>
    <row r="17" spans="2:103" ht="20.25" customHeight="1">
      <c r="B17" s="281" t="s">
        <v>182</v>
      </c>
      <c r="C17" s="90" t="s">
        <v>35</v>
      </c>
      <c r="D17" s="375">
        <f>+(SUM(D28:D48)*$BX$10+$BZ$10*2+D12)</f>
        <v>80</v>
      </c>
      <c r="E17" s="273"/>
      <c r="F17" s="273">
        <f>+(SUM(F28:F48)*$BX$10+$BZ$10*2+F12)</f>
        <v>70</v>
      </c>
      <c r="G17" s="273">
        <f>+(SUM(G28:G48)*$BX$10+$BZ$10*2+G12)</f>
        <v>70</v>
      </c>
      <c r="H17" s="273"/>
      <c r="I17" s="273"/>
      <c r="J17" s="273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412"/>
      <c r="W17" s="375"/>
      <c r="X17" s="273"/>
      <c r="Y17" s="273"/>
      <c r="Z17" s="273"/>
      <c r="AA17" s="273"/>
      <c r="AB17" s="273"/>
      <c r="AC17" s="273"/>
      <c r="AD17" s="273"/>
      <c r="AE17" s="273"/>
      <c r="AF17" s="273"/>
      <c r="AG17" s="273"/>
      <c r="AH17" s="273"/>
      <c r="AI17" s="273"/>
      <c r="AJ17" s="273"/>
      <c r="AK17" s="273"/>
      <c r="AL17" s="412"/>
      <c r="AM17" s="375"/>
      <c r="AN17" s="273"/>
      <c r="AO17" s="273"/>
      <c r="AP17" s="273"/>
      <c r="AQ17" s="273"/>
      <c r="AR17" s="273"/>
      <c r="AS17" s="273"/>
      <c r="AT17" s="273"/>
      <c r="AU17" s="273"/>
      <c r="AV17" s="368"/>
      <c r="AW17" s="375"/>
      <c r="AX17" s="273"/>
      <c r="AY17" s="273"/>
      <c r="AZ17" s="412"/>
      <c r="BA17" s="273"/>
      <c r="BB17" s="273"/>
      <c r="BC17" s="273"/>
      <c r="BD17" s="273"/>
      <c r="BE17" s="273"/>
      <c r="BF17" s="273"/>
      <c r="BG17" s="273"/>
      <c r="BH17" s="110">
        <f t="shared" si="4"/>
        <v>220</v>
      </c>
      <c r="BI17" s="273"/>
      <c r="BJ17" s="273"/>
      <c r="BK17" s="273"/>
      <c r="BL17" s="396"/>
      <c r="BM17" s="362"/>
      <c r="BN17" s="360"/>
      <c r="BO17" s="360"/>
      <c r="BP17" s="360"/>
      <c r="BQ17" s="368"/>
      <c r="BR17" s="110">
        <f>SUM(BI17:BQ17)</f>
        <v>0</v>
      </c>
      <c r="BS17" s="308"/>
      <c r="BT17" s="335"/>
      <c r="BU17" s="110">
        <f>SUM(BS17:BT17)</f>
        <v>0</v>
      </c>
      <c r="BV17" s="347"/>
      <c r="BW17" s="331"/>
      <c r="BX17" s="331"/>
      <c r="BY17" s="331"/>
      <c r="BZ17" s="331"/>
      <c r="CA17" s="331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  <c r="CV17" s="75"/>
      <c r="CW17" s="75"/>
      <c r="CX17" s="75"/>
      <c r="CY17" s="75"/>
    </row>
    <row r="18" spans="2:103" ht="20.25" customHeight="1">
      <c r="B18" s="281" t="s">
        <v>193</v>
      </c>
      <c r="C18" s="90" t="s">
        <v>35</v>
      </c>
      <c r="D18" s="375"/>
      <c r="E18" s="273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412"/>
      <c r="W18" s="375"/>
      <c r="X18" s="273"/>
      <c r="Y18" s="273"/>
      <c r="Z18" s="273"/>
      <c r="AA18" s="273"/>
      <c r="AB18" s="273"/>
      <c r="AC18" s="273"/>
      <c r="AD18" s="273"/>
      <c r="AE18" s="273"/>
      <c r="AF18" s="273"/>
      <c r="AG18" s="273"/>
      <c r="AH18" s="273"/>
      <c r="AI18" s="273"/>
      <c r="AJ18" s="273"/>
      <c r="AK18" s="273">
        <f>+(SUM(AK28:AK48)*$BX$10+$BZ$10*2+AK11)</f>
        <v>10</v>
      </c>
      <c r="AL18" s="412">
        <f>+(SUM(AL28:AL48)*$BX$10+$BZ$10*2+AL11)</f>
        <v>10</v>
      </c>
      <c r="AM18" s="375"/>
      <c r="AN18" s="273"/>
      <c r="AO18" s="273"/>
      <c r="AP18" s="273"/>
      <c r="AQ18" s="273"/>
      <c r="AR18" s="273"/>
      <c r="AS18" s="273"/>
      <c r="AT18" s="273"/>
      <c r="AU18" s="273"/>
      <c r="AV18" s="368"/>
      <c r="AW18" s="375"/>
      <c r="AX18" s="273"/>
      <c r="AY18" s="273"/>
      <c r="AZ18" s="412"/>
      <c r="BA18" s="273"/>
      <c r="BB18" s="273"/>
      <c r="BC18" s="273"/>
      <c r="BD18" s="273"/>
      <c r="BE18" s="273"/>
      <c r="BF18" s="273"/>
      <c r="BG18" s="273"/>
      <c r="BH18" s="110">
        <f t="shared" si="4"/>
        <v>20</v>
      </c>
      <c r="BI18" s="273"/>
      <c r="BJ18" s="273"/>
      <c r="BK18" s="273"/>
      <c r="BL18" s="396"/>
      <c r="BM18" s="362"/>
      <c r="BN18" s="360"/>
      <c r="BO18" s="360"/>
      <c r="BP18" s="360"/>
      <c r="BQ18" s="368"/>
      <c r="BR18" s="110">
        <f>SUM(BI18:BQ18)</f>
        <v>0</v>
      </c>
      <c r="BS18" s="308"/>
      <c r="BT18" s="335"/>
      <c r="BU18" s="110">
        <f>SUM(BS18:BT18)</f>
        <v>0</v>
      </c>
      <c r="BV18" s="347"/>
      <c r="BW18" s="331"/>
      <c r="BX18" s="331"/>
      <c r="BY18" s="331"/>
      <c r="BZ18" s="331"/>
      <c r="CA18" s="331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72"/>
      <c r="CM18" s="72"/>
      <c r="CN18" s="72"/>
      <c r="CO18" s="72"/>
      <c r="CP18" s="72"/>
      <c r="CQ18" s="72"/>
      <c r="CR18" s="72"/>
      <c r="CS18" s="72"/>
      <c r="CT18" s="72"/>
      <c r="CU18" s="72"/>
      <c r="CV18" s="75"/>
      <c r="CW18" s="75"/>
      <c r="CX18" s="75"/>
      <c r="CY18" s="75"/>
    </row>
    <row r="19" spans="2:103" ht="20.25" customHeight="1">
      <c r="B19" s="281" t="s">
        <v>139</v>
      </c>
      <c r="C19" s="90" t="s">
        <v>35</v>
      </c>
      <c r="D19" s="375"/>
      <c r="E19" s="273"/>
      <c r="F19" s="273"/>
      <c r="G19" s="273"/>
      <c r="H19" s="273"/>
      <c r="I19" s="273"/>
      <c r="J19" s="273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412"/>
      <c r="W19" s="375"/>
      <c r="X19" s="273"/>
      <c r="Y19" s="273"/>
      <c r="Z19" s="273"/>
      <c r="AA19" s="273"/>
      <c r="AB19" s="273"/>
      <c r="AC19" s="273"/>
      <c r="AD19" s="273"/>
      <c r="AE19" s="273"/>
      <c r="AF19" s="273"/>
      <c r="AG19" s="273"/>
      <c r="AH19" s="273"/>
      <c r="AI19" s="273"/>
      <c r="AJ19" s="273">
        <f>+(SUM(AJ26)*$BX$10+$BZ$10*2+AJ11)</f>
        <v>70</v>
      </c>
      <c r="AK19" s="273"/>
      <c r="AL19" s="412"/>
      <c r="AM19" s="375"/>
      <c r="AN19" s="273"/>
      <c r="AO19" s="273"/>
      <c r="AP19" s="273"/>
      <c r="AQ19" s="273"/>
      <c r="AR19" s="273"/>
      <c r="AS19" s="273"/>
      <c r="AT19" s="273"/>
      <c r="AU19" s="273"/>
      <c r="AV19" s="368"/>
      <c r="AW19" s="375"/>
      <c r="AX19" s="273"/>
      <c r="AY19" s="273"/>
      <c r="AZ19" s="412"/>
      <c r="BA19" s="273"/>
      <c r="BB19" s="273"/>
      <c r="BC19" s="273"/>
      <c r="BD19" s="273"/>
      <c r="BE19" s="273"/>
      <c r="BF19" s="273"/>
      <c r="BG19" s="273"/>
      <c r="BH19" s="110">
        <f t="shared" si="4"/>
        <v>70</v>
      </c>
      <c r="BI19" s="273"/>
      <c r="BJ19" s="273"/>
      <c r="BK19" s="273"/>
      <c r="BL19" s="396"/>
      <c r="BM19" s="362"/>
      <c r="BN19" s="360"/>
      <c r="BO19" s="360">
        <f>+(SUM(BO27)*$BX$10+$BZ$10*2+BO11)</f>
        <v>70</v>
      </c>
      <c r="BP19" s="360"/>
      <c r="BQ19" s="368"/>
      <c r="BR19" s="110">
        <f>SUM(BI19:BQ19)</f>
        <v>70</v>
      </c>
      <c r="BS19" s="308"/>
      <c r="BT19" s="335"/>
      <c r="BU19" s="110">
        <f>SUM(BS19:BT19)</f>
        <v>0</v>
      </c>
      <c r="BV19" s="347"/>
      <c r="BW19" s="331"/>
      <c r="BX19" s="331"/>
      <c r="BY19" s="331"/>
      <c r="BZ19" s="331"/>
      <c r="CA19" s="331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5"/>
      <c r="CW19" s="75"/>
      <c r="CX19" s="75"/>
      <c r="CY19" s="75"/>
    </row>
    <row r="20" spans="2:103" ht="20.25" customHeight="1">
      <c r="B20" s="281" t="s">
        <v>201</v>
      </c>
      <c r="C20" s="90" t="s">
        <v>35</v>
      </c>
      <c r="D20" s="375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412"/>
      <c r="W20" s="375"/>
      <c r="X20" s="273"/>
      <c r="Y20" s="273"/>
      <c r="Z20" s="273"/>
      <c r="AA20" s="273"/>
      <c r="AB20" s="273"/>
      <c r="AC20" s="273"/>
      <c r="AD20" s="273"/>
      <c r="AE20" s="273"/>
      <c r="AF20" s="273"/>
      <c r="AG20" s="273"/>
      <c r="AH20" s="273"/>
      <c r="AI20" s="273"/>
      <c r="AJ20" s="273"/>
      <c r="AK20" s="273"/>
      <c r="AL20" s="412"/>
      <c r="AM20" s="375"/>
      <c r="AN20" s="273"/>
      <c r="AO20" s="273"/>
      <c r="AP20" s="273"/>
      <c r="AQ20" s="273"/>
      <c r="AR20" s="273"/>
      <c r="AS20" s="273"/>
      <c r="AT20" s="273"/>
      <c r="AU20" s="273"/>
      <c r="AV20" s="368"/>
      <c r="AW20" s="375"/>
      <c r="AX20" s="273"/>
      <c r="AY20" s="273"/>
      <c r="AZ20" s="412"/>
      <c r="BA20" s="273"/>
      <c r="BB20" s="273"/>
      <c r="BC20" s="273"/>
      <c r="BD20" s="273"/>
      <c r="BE20" s="273"/>
      <c r="BF20" s="273"/>
      <c r="BG20" s="273"/>
      <c r="BH20" s="110">
        <f t="shared" si="4"/>
        <v>0</v>
      </c>
      <c r="BI20" s="273"/>
      <c r="BJ20" s="273"/>
      <c r="BK20" s="273">
        <f>+(SUM(BK28:BK48)*$BX$10+$BZ$10*2+BK12)</f>
        <v>50</v>
      </c>
      <c r="BL20" s="396"/>
      <c r="BM20" s="362"/>
      <c r="BN20" s="360"/>
      <c r="BO20" s="360"/>
      <c r="BP20" s="360"/>
      <c r="BQ20" s="368"/>
      <c r="BR20" s="110">
        <f t="shared" ref="BR20:BR23" si="5">SUM(BI20:BQ20)</f>
        <v>50</v>
      </c>
      <c r="BS20" s="308"/>
      <c r="BT20" s="335"/>
      <c r="BU20" s="110">
        <f t="shared" ref="BU20:BU24" si="6">SUM(BS20:BT20)</f>
        <v>0</v>
      </c>
      <c r="BV20" s="347"/>
      <c r="BW20" s="331"/>
      <c r="BX20" s="331"/>
      <c r="BY20" s="331"/>
      <c r="BZ20" s="331"/>
      <c r="CA20" s="331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5"/>
      <c r="CW20" s="75"/>
      <c r="CX20" s="75"/>
      <c r="CY20" s="75"/>
    </row>
    <row r="21" spans="2:103" ht="20.25" customHeight="1">
      <c r="B21" s="281" t="s">
        <v>184</v>
      </c>
      <c r="C21" s="90" t="s">
        <v>35</v>
      </c>
      <c r="D21" s="375"/>
      <c r="E21" s="273"/>
      <c r="F21" s="273"/>
      <c r="G21" s="273"/>
      <c r="H21" s="273"/>
      <c r="I21" s="273"/>
      <c r="J21" s="273"/>
      <c r="K21" s="273"/>
      <c r="L21" s="273"/>
      <c r="M21" s="273"/>
      <c r="N21" s="273">
        <f>+(SUM(N28:N48)*$BX$10+$BZ$10*2+N12)</f>
        <v>60</v>
      </c>
      <c r="O21" s="273"/>
      <c r="P21" s="273">
        <f>+(SUM(P28:P48)*$BX$10+$BZ$10*2+P12)</f>
        <v>70</v>
      </c>
      <c r="Q21" s="273"/>
      <c r="R21" s="273"/>
      <c r="S21" s="273"/>
      <c r="T21" s="273"/>
      <c r="U21" s="273"/>
      <c r="V21" s="412"/>
      <c r="W21" s="375"/>
      <c r="X21" s="273"/>
      <c r="Y21" s="273"/>
      <c r="Z21" s="273"/>
      <c r="AA21" s="273"/>
      <c r="AB21" s="273"/>
      <c r="AC21" s="273"/>
      <c r="AD21" s="273"/>
      <c r="AE21" s="273"/>
      <c r="AF21" s="273"/>
      <c r="AG21" s="273"/>
      <c r="AH21" s="273"/>
      <c r="AI21" s="273"/>
      <c r="AJ21" s="273"/>
      <c r="AK21" s="273"/>
      <c r="AL21" s="412"/>
      <c r="AM21" s="375"/>
      <c r="AN21" s="273"/>
      <c r="AO21" s="273"/>
      <c r="AP21" s="273"/>
      <c r="AQ21" s="273"/>
      <c r="AR21" s="273"/>
      <c r="AS21" s="273"/>
      <c r="AT21" s="273"/>
      <c r="AU21" s="273"/>
      <c r="AV21" s="368"/>
      <c r="AW21" s="375"/>
      <c r="AX21" s="273"/>
      <c r="AY21" s="273"/>
      <c r="AZ21" s="412"/>
      <c r="BA21" s="273"/>
      <c r="BB21" s="273"/>
      <c r="BC21" s="273"/>
      <c r="BD21" s="273"/>
      <c r="BE21" s="273"/>
      <c r="BF21" s="273"/>
      <c r="BG21" s="273"/>
      <c r="BH21" s="110">
        <f t="shared" si="4"/>
        <v>130</v>
      </c>
      <c r="BI21" s="273"/>
      <c r="BJ21" s="273">
        <f>+(SUM(BJ28:BJ48)*$BX$10+$BZ$10*2+BJ12)</f>
        <v>80</v>
      </c>
      <c r="BK21" s="273"/>
      <c r="BL21" s="396"/>
      <c r="BM21" s="362"/>
      <c r="BN21" s="360"/>
      <c r="BO21" s="360"/>
      <c r="BP21" s="360"/>
      <c r="BQ21" s="368"/>
      <c r="BR21" s="110">
        <f t="shared" si="5"/>
        <v>80</v>
      </c>
      <c r="BS21" s="308"/>
      <c r="BT21" s="335"/>
      <c r="BU21" s="110">
        <f t="shared" si="6"/>
        <v>0</v>
      </c>
      <c r="BV21" s="347"/>
      <c r="BW21" s="331"/>
      <c r="BX21" s="331"/>
      <c r="BY21" s="331"/>
      <c r="BZ21" s="331"/>
      <c r="CA21" s="331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5"/>
      <c r="CW21" s="75"/>
      <c r="CX21" s="75"/>
      <c r="CY21" s="75"/>
    </row>
    <row r="22" spans="2:103" ht="20.25" customHeight="1">
      <c r="B22" s="281" t="s">
        <v>199</v>
      </c>
      <c r="C22" s="90" t="s">
        <v>35</v>
      </c>
      <c r="D22" s="375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412"/>
      <c r="W22" s="375"/>
      <c r="X22" s="273"/>
      <c r="Y22" s="273"/>
      <c r="Z22" s="273"/>
      <c r="AA22" s="273"/>
      <c r="AB22" s="273"/>
      <c r="AC22" s="273"/>
      <c r="AD22" s="273"/>
      <c r="AE22" s="273"/>
      <c r="AF22" s="273"/>
      <c r="AG22" s="273"/>
      <c r="AH22" s="273"/>
      <c r="AI22" s="273"/>
      <c r="AJ22" s="273"/>
      <c r="AK22" s="273"/>
      <c r="AL22" s="412"/>
      <c r="AM22" s="375"/>
      <c r="AN22" s="273"/>
      <c r="AO22" s="273"/>
      <c r="AP22" s="273"/>
      <c r="AQ22" s="273"/>
      <c r="AR22" s="273"/>
      <c r="AS22" s="273"/>
      <c r="AT22" s="273"/>
      <c r="AU22" s="273"/>
      <c r="AV22" s="368"/>
      <c r="AW22" s="375"/>
      <c r="AX22" s="273"/>
      <c r="AY22" s="273"/>
      <c r="AZ22" s="412"/>
      <c r="BA22" s="273"/>
      <c r="BB22" s="273"/>
      <c r="BC22" s="273"/>
      <c r="BD22" s="273"/>
      <c r="BE22" s="273"/>
      <c r="BF22" s="273"/>
      <c r="BG22" s="273"/>
      <c r="BH22" s="110">
        <f t="shared" si="4"/>
        <v>0</v>
      </c>
      <c r="BI22" s="273">
        <f>+(SUM(BI28:BI48)*$BX$10+$BZ$10*2+BI13)</f>
        <v>70</v>
      </c>
      <c r="BJ22" s="273"/>
      <c r="BK22" s="273"/>
      <c r="BL22" s="396"/>
      <c r="BM22" s="362"/>
      <c r="BN22" s="360"/>
      <c r="BO22" s="360"/>
      <c r="BP22" s="360"/>
      <c r="BQ22" s="368"/>
      <c r="BR22" s="110">
        <f t="shared" si="5"/>
        <v>70</v>
      </c>
      <c r="BS22" s="308"/>
      <c r="BT22" s="335"/>
      <c r="BU22" s="110">
        <f t="shared" si="6"/>
        <v>0</v>
      </c>
      <c r="BV22" s="347"/>
      <c r="BW22" s="331"/>
      <c r="BX22" s="331"/>
      <c r="BY22" s="331"/>
      <c r="BZ22" s="331"/>
      <c r="CA22" s="331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72"/>
      <c r="CM22" s="72"/>
      <c r="CN22" s="72"/>
      <c r="CO22" s="72"/>
      <c r="CP22" s="72"/>
      <c r="CQ22" s="72"/>
      <c r="CR22" s="72"/>
      <c r="CS22" s="72"/>
      <c r="CT22" s="72"/>
      <c r="CU22" s="72"/>
      <c r="CV22" s="75"/>
      <c r="CW22" s="75"/>
      <c r="CX22" s="75"/>
      <c r="CY22" s="75"/>
    </row>
    <row r="23" spans="2:103" ht="20.25" customHeight="1">
      <c r="B23" s="281" t="s">
        <v>262</v>
      </c>
      <c r="C23" s="90" t="s">
        <v>35</v>
      </c>
      <c r="D23" s="375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412"/>
      <c r="W23" s="375"/>
      <c r="X23" s="273"/>
      <c r="Y23" s="273"/>
      <c r="Z23" s="273"/>
      <c r="AA23" s="273"/>
      <c r="AB23" s="273"/>
      <c r="AC23" s="273"/>
      <c r="AD23" s="273"/>
      <c r="AE23" s="273"/>
      <c r="AF23" s="273"/>
      <c r="AG23" s="273"/>
      <c r="AH23" s="273"/>
      <c r="AI23" s="273"/>
      <c r="AJ23" s="273"/>
      <c r="AK23" s="273"/>
      <c r="AL23" s="412"/>
      <c r="AM23" s="375"/>
      <c r="AN23" s="273"/>
      <c r="AO23" s="273"/>
      <c r="AP23" s="273"/>
      <c r="AQ23" s="273"/>
      <c r="AR23" s="273"/>
      <c r="AS23" s="273"/>
      <c r="AT23" s="273"/>
      <c r="AU23" s="273"/>
      <c r="AV23" s="368"/>
      <c r="AW23" s="375"/>
      <c r="AX23" s="273"/>
      <c r="AY23" s="273"/>
      <c r="AZ23" s="412"/>
      <c r="BA23" s="273"/>
      <c r="BB23" s="273"/>
      <c r="BC23" s="273"/>
      <c r="BD23" s="273"/>
      <c r="BE23" s="273"/>
      <c r="BF23" s="273"/>
      <c r="BG23" s="273"/>
      <c r="BH23" s="110">
        <f t="shared" si="4"/>
        <v>0</v>
      </c>
      <c r="BI23" s="273"/>
      <c r="BJ23" s="273"/>
      <c r="BK23" s="273"/>
      <c r="BL23" s="396"/>
      <c r="BM23" s="362"/>
      <c r="BN23" s="360"/>
      <c r="BO23" s="360"/>
      <c r="BP23" s="360"/>
      <c r="BQ23" s="368"/>
      <c r="BR23" s="110">
        <f t="shared" si="5"/>
        <v>0</v>
      </c>
      <c r="BS23" s="308">
        <f>(BS14+$BX$10)*3</f>
        <v>120</v>
      </c>
      <c r="BT23" s="335"/>
      <c r="BU23" s="110">
        <f t="shared" si="6"/>
        <v>120</v>
      </c>
      <c r="BV23" s="347"/>
      <c r="BW23" s="331"/>
      <c r="BX23" s="331"/>
      <c r="BY23" s="331"/>
      <c r="BZ23" s="331"/>
      <c r="CA23" s="331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72"/>
      <c r="CM23" s="72"/>
      <c r="CN23" s="72"/>
      <c r="CO23" s="72"/>
      <c r="CP23" s="72"/>
      <c r="CQ23" s="72"/>
      <c r="CR23" s="72"/>
      <c r="CS23" s="72"/>
      <c r="CT23" s="72"/>
      <c r="CU23" s="72"/>
      <c r="CV23" s="75"/>
      <c r="CW23" s="75"/>
      <c r="CX23" s="75"/>
      <c r="CY23" s="75"/>
    </row>
    <row r="24" spans="2:103" ht="20.25" customHeight="1">
      <c r="B24" s="281" t="s">
        <v>263</v>
      </c>
      <c r="C24" s="90" t="s">
        <v>35</v>
      </c>
      <c r="D24" s="375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412"/>
      <c r="W24" s="375"/>
      <c r="X24" s="273"/>
      <c r="Y24" s="273"/>
      <c r="Z24" s="273"/>
      <c r="AA24" s="273"/>
      <c r="AB24" s="273"/>
      <c r="AC24" s="273"/>
      <c r="AD24" s="273"/>
      <c r="AE24" s="273"/>
      <c r="AF24" s="273"/>
      <c r="AG24" s="273"/>
      <c r="AH24" s="273"/>
      <c r="AI24" s="273"/>
      <c r="AJ24" s="273"/>
      <c r="AK24" s="273"/>
      <c r="AL24" s="412"/>
      <c r="AM24" s="375"/>
      <c r="AN24" s="273"/>
      <c r="AO24" s="273"/>
      <c r="AP24" s="273"/>
      <c r="AQ24" s="273"/>
      <c r="AR24" s="273"/>
      <c r="AS24" s="273"/>
      <c r="AT24" s="273"/>
      <c r="AU24" s="273"/>
      <c r="AV24" s="368"/>
      <c r="AW24" s="375"/>
      <c r="AX24" s="273"/>
      <c r="AY24" s="273"/>
      <c r="AZ24" s="412"/>
      <c r="BA24" s="273"/>
      <c r="BB24" s="273"/>
      <c r="BC24" s="273"/>
      <c r="BD24" s="273"/>
      <c r="BE24" s="273"/>
      <c r="BF24" s="273"/>
      <c r="BG24" s="273"/>
      <c r="BH24" s="110">
        <f t="shared" si="4"/>
        <v>0</v>
      </c>
      <c r="BI24" s="273"/>
      <c r="BJ24" s="273"/>
      <c r="BK24" s="273"/>
      <c r="BL24" s="396"/>
      <c r="BM24" s="362"/>
      <c r="BN24" s="360"/>
      <c r="BO24" s="360"/>
      <c r="BP24" s="360"/>
      <c r="BQ24" s="368"/>
      <c r="BR24" s="110">
        <f>SUM(BI24:BQ24)</f>
        <v>0</v>
      </c>
      <c r="BS24" s="308">
        <f>(BS14+$BX$10)*1</f>
        <v>40</v>
      </c>
      <c r="BT24" s="335"/>
      <c r="BU24" s="110">
        <f t="shared" si="6"/>
        <v>40</v>
      </c>
      <c r="BV24" s="347"/>
      <c r="BW24" s="331"/>
      <c r="BX24" s="331"/>
      <c r="BY24" s="331"/>
      <c r="BZ24" s="331"/>
      <c r="CA24" s="331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5"/>
      <c r="CW24" s="75"/>
      <c r="CX24" s="75"/>
      <c r="CY24" s="75"/>
    </row>
    <row r="25" spans="2:103" ht="20.25" customHeight="1">
      <c r="B25" s="92" t="s">
        <v>23</v>
      </c>
      <c r="C25" s="93"/>
      <c r="D25" s="377"/>
      <c r="E25" s="330"/>
      <c r="F25" s="330"/>
      <c r="G25" s="330"/>
      <c r="H25" s="330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414"/>
      <c r="W25" s="377"/>
      <c r="X25" s="330"/>
      <c r="Y25" s="330"/>
      <c r="Z25" s="330"/>
      <c r="AA25" s="330"/>
      <c r="AB25" s="330"/>
      <c r="AC25" s="330"/>
      <c r="AD25" s="330"/>
      <c r="AE25" s="330"/>
      <c r="AF25" s="330"/>
      <c r="AG25" s="330"/>
      <c r="AH25" s="330"/>
      <c r="AI25" s="330"/>
      <c r="AJ25" s="330"/>
      <c r="AK25" s="330"/>
      <c r="AL25" s="414"/>
      <c r="AM25" s="377"/>
      <c r="AN25" s="330"/>
      <c r="AO25" s="330"/>
      <c r="AP25" s="330"/>
      <c r="AQ25" s="330"/>
      <c r="AR25" s="330"/>
      <c r="AS25" s="330"/>
      <c r="AT25" s="330"/>
      <c r="AU25" s="330"/>
      <c r="AV25" s="370"/>
      <c r="AW25" s="377"/>
      <c r="AX25" s="330"/>
      <c r="AY25" s="330"/>
      <c r="AZ25" s="414"/>
      <c r="BA25" s="330"/>
      <c r="BB25" s="330"/>
      <c r="BC25" s="330"/>
      <c r="BD25" s="330"/>
      <c r="BE25" s="330"/>
      <c r="BF25" s="330"/>
      <c r="BG25" s="330"/>
      <c r="BH25" s="299"/>
      <c r="BI25" s="330"/>
      <c r="BJ25" s="330"/>
      <c r="BK25" s="330"/>
      <c r="BL25" s="398"/>
      <c r="BM25" s="390"/>
      <c r="BN25" s="94"/>
      <c r="BO25" s="94"/>
      <c r="BP25" s="94"/>
      <c r="BQ25" s="370"/>
      <c r="BR25" s="299"/>
      <c r="BS25" s="309"/>
      <c r="BT25" s="336"/>
      <c r="BU25" s="111"/>
      <c r="BV25" s="350"/>
      <c r="BW25" s="332"/>
      <c r="BX25" s="332"/>
      <c r="BY25" s="332"/>
      <c r="BZ25" s="332"/>
      <c r="CA25" s="33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5"/>
      <c r="CW25" s="75"/>
      <c r="CX25" s="75"/>
      <c r="CY25" s="75"/>
    </row>
    <row r="26" spans="2:103" ht="20.25" customHeight="1">
      <c r="B26" s="281" t="s">
        <v>44</v>
      </c>
      <c r="C26" s="95" t="s">
        <v>36</v>
      </c>
      <c r="D26" s="375">
        <f t="shared" ref="D26:T26" si="7">SUM(D28:D47)*1+D32</f>
        <v>1</v>
      </c>
      <c r="E26" s="273">
        <f t="shared" si="7"/>
        <v>1</v>
      </c>
      <c r="F26" s="273">
        <f t="shared" si="7"/>
        <v>1</v>
      </c>
      <c r="G26" s="273">
        <f t="shared" si="7"/>
        <v>1</v>
      </c>
      <c r="H26" s="273">
        <f t="shared" si="7"/>
        <v>1</v>
      </c>
      <c r="I26" s="273">
        <f t="shared" si="7"/>
        <v>1</v>
      </c>
      <c r="J26" s="273">
        <f t="shared" si="7"/>
        <v>1</v>
      </c>
      <c r="K26" s="273">
        <f t="shared" si="7"/>
        <v>1</v>
      </c>
      <c r="L26" s="273">
        <f t="shared" si="7"/>
        <v>1</v>
      </c>
      <c r="M26" s="273">
        <f t="shared" si="7"/>
        <v>1</v>
      </c>
      <c r="N26" s="273">
        <f t="shared" si="7"/>
        <v>1</v>
      </c>
      <c r="O26" s="273">
        <f t="shared" si="7"/>
        <v>1</v>
      </c>
      <c r="P26" s="273">
        <f t="shared" si="7"/>
        <v>1</v>
      </c>
      <c r="Q26" s="273">
        <f t="shared" si="7"/>
        <v>3</v>
      </c>
      <c r="R26" s="273">
        <f t="shared" si="7"/>
        <v>2</v>
      </c>
      <c r="S26" s="273">
        <f t="shared" si="7"/>
        <v>1</v>
      </c>
      <c r="T26" s="273">
        <f t="shared" si="7"/>
        <v>2</v>
      </c>
      <c r="U26" s="273">
        <f>SUM(U28:U47)*1+U32+1</f>
        <v>5</v>
      </c>
      <c r="V26" s="412">
        <f t="shared" ref="V26:AI26" si="8">SUM(V28:V47)*1+V32</f>
        <v>1</v>
      </c>
      <c r="W26" s="375">
        <f t="shared" si="8"/>
        <v>2</v>
      </c>
      <c r="X26" s="273">
        <f t="shared" si="8"/>
        <v>1</v>
      </c>
      <c r="Y26" s="273">
        <f t="shared" si="8"/>
        <v>1</v>
      </c>
      <c r="Z26" s="273">
        <f t="shared" si="8"/>
        <v>1</v>
      </c>
      <c r="AA26" s="273">
        <f t="shared" si="8"/>
        <v>1</v>
      </c>
      <c r="AB26" s="273">
        <f t="shared" si="8"/>
        <v>1</v>
      </c>
      <c r="AC26" s="273">
        <f t="shared" si="8"/>
        <v>2</v>
      </c>
      <c r="AD26" s="273">
        <f t="shared" si="8"/>
        <v>1</v>
      </c>
      <c r="AE26" s="273">
        <f t="shared" si="8"/>
        <v>2</v>
      </c>
      <c r="AF26" s="273">
        <f t="shared" si="8"/>
        <v>2</v>
      </c>
      <c r="AG26" s="273">
        <f t="shared" si="8"/>
        <v>1</v>
      </c>
      <c r="AH26" s="273">
        <f t="shared" si="8"/>
        <v>1</v>
      </c>
      <c r="AI26" s="273">
        <f t="shared" si="8"/>
        <v>2</v>
      </c>
      <c r="AJ26" s="273">
        <v>1</v>
      </c>
      <c r="AK26" s="273">
        <f t="shared" ref="AK26:AW26" si="9">SUM(AK28:AK47)*1+AK32</f>
        <v>1</v>
      </c>
      <c r="AL26" s="412">
        <f t="shared" si="9"/>
        <v>1</v>
      </c>
      <c r="AM26" s="375">
        <f t="shared" si="9"/>
        <v>2</v>
      </c>
      <c r="AN26" s="273">
        <f t="shared" si="9"/>
        <v>1</v>
      </c>
      <c r="AO26" s="273">
        <f t="shared" si="9"/>
        <v>1</v>
      </c>
      <c r="AP26" s="273">
        <f t="shared" si="9"/>
        <v>1</v>
      </c>
      <c r="AQ26" s="273">
        <f t="shared" si="9"/>
        <v>3</v>
      </c>
      <c r="AR26" s="273">
        <f t="shared" si="9"/>
        <v>1</v>
      </c>
      <c r="AS26" s="273">
        <f t="shared" si="9"/>
        <v>1</v>
      </c>
      <c r="AT26" s="273">
        <f t="shared" si="9"/>
        <v>2</v>
      </c>
      <c r="AU26" s="273">
        <f t="shared" si="9"/>
        <v>1</v>
      </c>
      <c r="AV26" s="368">
        <f t="shared" si="9"/>
        <v>1</v>
      </c>
      <c r="AW26" s="375">
        <f t="shared" si="9"/>
        <v>2</v>
      </c>
      <c r="AX26" s="273">
        <v>1</v>
      </c>
      <c r="AY26" s="273">
        <v>1</v>
      </c>
      <c r="AZ26" s="412">
        <f>SUM(AZ28:AZ47)*1+AZ32</f>
        <v>1</v>
      </c>
      <c r="BA26" s="273">
        <f>SUM(BA28:BA47)*1+BA32</f>
        <v>1</v>
      </c>
      <c r="BB26" s="273">
        <v>1</v>
      </c>
      <c r="BC26" s="273">
        <f>SUM(BC28:BC47)*1+BC32</f>
        <v>4</v>
      </c>
      <c r="BD26" s="273">
        <f>SUM(BD28:BD47)*1+BD32</f>
        <v>3</v>
      </c>
      <c r="BE26" s="273">
        <v>1</v>
      </c>
      <c r="BF26" s="273">
        <f>SUM(BF28:BF47)*1+BF32</f>
        <v>1</v>
      </c>
      <c r="BG26" s="273">
        <f>SUM(BG28:BG47)*1+BG32</f>
        <v>1</v>
      </c>
      <c r="BH26" s="110">
        <f t="shared" ref="BH26:BH37" si="10">SUM(D26:BG26)</f>
        <v>79</v>
      </c>
      <c r="BI26" s="273"/>
      <c r="BJ26" s="273"/>
      <c r="BK26" s="273"/>
      <c r="BL26" s="396"/>
      <c r="BM26" s="362"/>
      <c r="BN26" s="360"/>
      <c r="BO26" s="360"/>
      <c r="BP26" s="360"/>
      <c r="BQ26" s="368"/>
      <c r="BR26" s="110">
        <f>SUM(BI26:BQ26)</f>
        <v>0</v>
      </c>
      <c r="BS26" s="306"/>
      <c r="BT26" s="337"/>
      <c r="BU26" s="110">
        <f>SUM(BS26:BT26)</f>
        <v>0</v>
      </c>
      <c r="BV26" s="347"/>
      <c r="BW26" s="331"/>
      <c r="BX26" s="331"/>
      <c r="BY26" s="331"/>
      <c r="BZ26" s="331"/>
      <c r="CA26" s="331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72"/>
      <c r="CM26" s="72"/>
      <c r="CN26" s="72"/>
      <c r="CO26" s="72"/>
      <c r="CP26" s="72"/>
      <c r="CQ26" s="72"/>
      <c r="CR26" s="72"/>
      <c r="CS26" s="72"/>
      <c r="CT26" s="72"/>
      <c r="CU26" s="72"/>
      <c r="CV26" s="75"/>
      <c r="CW26" s="75"/>
      <c r="CX26" s="75"/>
      <c r="CY26" s="75"/>
    </row>
    <row r="27" spans="2:103" ht="20.25" customHeight="1">
      <c r="B27" s="281" t="s">
        <v>198</v>
      </c>
      <c r="C27" s="95" t="s">
        <v>36</v>
      </c>
      <c r="D27" s="275"/>
      <c r="E27" s="284"/>
      <c r="F27" s="284"/>
      <c r="G27" s="284"/>
      <c r="H27" s="284"/>
      <c r="I27" s="273"/>
      <c r="J27" s="273"/>
      <c r="K27" s="273"/>
      <c r="L27" s="273"/>
      <c r="M27" s="284"/>
      <c r="N27" s="284"/>
      <c r="O27" s="284"/>
      <c r="P27" s="284"/>
      <c r="Q27" s="273"/>
      <c r="R27" s="273"/>
      <c r="S27" s="273"/>
      <c r="T27" s="273"/>
      <c r="U27" s="284"/>
      <c r="V27" s="415"/>
      <c r="W27" s="275"/>
      <c r="X27" s="273"/>
      <c r="Y27" s="273"/>
      <c r="Z27" s="273"/>
      <c r="AA27" s="273"/>
      <c r="AB27" s="273"/>
      <c r="AC27" s="284"/>
      <c r="AD27" s="273"/>
      <c r="AE27" s="284"/>
      <c r="AF27" s="284"/>
      <c r="AG27" s="284"/>
      <c r="AH27" s="284"/>
      <c r="AI27" s="284"/>
      <c r="AJ27" s="284"/>
      <c r="AK27" s="284"/>
      <c r="AL27" s="415"/>
      <c r="AM27" s="275"/>
      <c r="AN27" s="284"/>
      <c r="AO27" s="284"/>
      <c r="AP27" s="284"/>
      <c r="AQ27" s="284"/>
      <c r="AR27" s="284"/>
      <c r="AS27" s="284"/>
      <c r="AT27" s="284"/>
      <c r="AU27" s="284"/>
      <c r="AV27" s="371"/>
      <c r="AW27" s="275"/>
      <c r="AX27" s="273"/>
      <c r="AY27" s="273"/>
      <c r="AZ27" s="412"/>
      <c r="BA27" s="273"/>
      <c r="BB27" s="273"/>
      <c r="BC27" s="284"/>
      <c r="BD27" s="284"/>
      <c r="BE27" s="273"/>
      <c r="BF27" s="273"/>
      <c r="BG27" s="273"/>
      <c r="BH27" s="110">
        <f t="shared" si="10"/>
        <v>0</v>
      </c>
      <c r="BI27" s="284">
        <f>SUM(BI28:BI47)*1+BI32</f>
        <v>1</v>
      </c>
      <c r="BJ27" s="284">
        <f>SUM(BJ28:BJ47)*1+BJ32</f>
        <v>1</v>
      </c>
      <c r="BK27" s="284">
        <f>SUM(BK28:BK47)*1+BK32</f>
        <v>1</v>
      </c>
      <c r="BL27" s="417"/>
      <c r="BM27" s="365">
        <v>1</v>
      </c>
      <c r="BN27" s="276">
        <v>1</v>
      </c>
      <c r="BO27" s="276">
        <v>1</v>
      </c>
      <c r="BP27" s="276">
        <v>4</v>
      </c>
      <c r="BQ27" s="371"/>
      <c r="BR27" s="110">
        <f>SUM(BI27:BQ27)</f>
        <v>10</v>
      </c>
      <c r="BS27" s="354"/>
      <c r="BT27" s="355"/>
      <c r="BU27" s="110">
        <f t="shared" ref="BU27:BU37" si="11">SUM(BS27:BT27)</f>
        <v>0</v>
      </c>
      <c r="BV27" s="347"/>
      <c r="BW27" s="331"/>
      <c r="BX27" s="331"/>
      <c r="BY27" s="331"/>
      <c r="BZ27" s="331"/>
      <c r="CA27" s="331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72"/>
      <c r="CM27" s="72"/>
      <c r="CN27" s="72"/>
      <c r="CO27" s="72"/>
      <c r="CP27" s="72"/>
      <c r="CQ27" s="72"/>
      <c r="CR27" s="72"/>
      <c r="CS27" s="72"/>
      <c r="CT27" s="72"/>
      <c r="CU27" s="72"/>
      <c r="CV27" s="75"/>
      <c r="CW27" s="75"/>
      <c r="CX27" s="75"/>
      <c r="CY27" s="75"/>
    </row>
    <row r="28" spans="2:103" ht="20.25" customHeight="1">
      <c r="B28" s="281" t="s">
        <v>264</v>
      </c>
      <c r="C28" s="95" t="s">
        <v>36</v>
      </c>
      <c r="D28" s="275"/>
      <c r="E28" s="284"/>
      <c r="F28" s="284"/>
      <c r="G28" s="284"/>
      <c r="H28" s="284"/>
      <c r="I28" s="273">
        <v>1</v>
      </c>
      <c r="J28" s="273">
        <v>1</v>
      </c>
      <c r="K28" s="273">
        <v>1</v>
      </c>
      <c r="L28" s="273">
        <v>1</v>
      </c>
      <c r="M28" s="284"/>
      <c r="N28" s="284"/>
      <c r="O28" s="284"/>
      <c r="P28" s="284"/>
      <c r="Q28" s="273">
        <v>2</v>
      </c>
      <c r="R28" s="273"/>
      <c r="S28" s="273">
        <v>1</v>
      </c>
      <c r="T28" s="273">
        <v>2</v>
      </c>
      <c r="U28" s="284">
        <v>2</v>
      </c>
      <c r="V28" s="415"/>
      <c r="W28" s="275"/>
      <c r="X28" s="273">
        <v>1</v>
      </c>
      <c r="Y28" s="273">
        <v>1</v>
      </c>
      <c r="Z28" s="273">
        <v>1</v>
      </c>
      <c r="AA28" s="273">
        <v>1</v>
      </c>
      <c r="AB28" s="273">
        <v>1</v>
      </c>
      <c r="AC28" s="284"/>
      <c r="AD28" s="273">
        <v>1</v>
      </c>
      <c r="AE28" s="284"/>
      <c r="AF28" s="284"/>
      <c r="AG28" s="284"/>
      <c r="AH28" s="284"/>
      <c r="AI28" s="284"/>
      <c r="AJ28" s="284"/>
      <c r="AK28" s="284"/>
      <c r="AL28" s="415"/>
      <c r="AM28" s="275"/>
      <c r="AN28" s="284"/>
      <c r="AO28" s="276">
        <v>1</v>
      </c>
      <c r="AP28" s="276">
        <v>1</v>
      </c>
      <c r="AQ28" s="276">
        <v>1</v>
      </c>
      <c r="AR28" s="284"/>
      <c r="AS28" s="276">
        <v>1</v>
      </c>
      <c r="AT28" s="276"/>
      <c r="AU28" s="276">
        <v>1</v>
      </c>
      <c r="AV28" s="286">
        <v>1</v>
      </c>
      <c r="AW28" s="275">
        <v>2</v>
      </c>
      <c r="AX28" s="273"/>
      <c r="AY28" s="273"/>
      <c r="AZ28" s="412"/>
      <c r="BA28" s="273"/>
      <c r="BB28" s="273"/>
      <c r="BC28" s="284">
        <v>4</v>
      </c>
      <c r="BD28" s="284">
        <v>3</v>
      </c>
      <c r="BE28" s="273"/>
      <c r="BF28" s="273"/>
      <c r="BG28" s="273"/>
      <c r="BH28" s="110">
        <f t="shared" si="10"/>
        <v>32</v>
      </c>
      <c r="BI28" s="284"/>
      <c r="BJ28" s="273"/>
      <c r="BK28" s="273"/>
      <c r="BL28" s="417"/>
      <c r="BM28" s="365"/>
      <c r="BN28" s="276"/>
      <c r="BO28" s="276"/>
      <c r="BP28" s="276"/>
      <c r="BQ28" s="371"/>
      <c r="BR28" s="110">
        <f t="shared" ref="BR28:BR37" si="12">SUM(BI28:BQ28)</f>
        <v>0</v>
      </c>
      <c r="BS28" s="354"/>
      <c r="BT28" s="355"/>
      <c r="BU28" s="110">
        <f t="shared" si="11"/>
        <v>0</v>
      </c>
      <c r="BV28" s="347"/>
      <c r="BW28" s="331"/>
      <c r="BX28" s="331"/>
      <c r="BY28" s="331"/>
      <c r="BZ28" s="331"/>
      <c r="CA28" s="331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72"/>
      <c r="CM28" s="72"/>
      <c r="CN28" s="72"/>
      <c r="CO28" s="72"/>
      <c r="CP28" s="72"/>
      <c r="CQ28" s="72"/>
      <c r="CR28" s="72"/>
      <c r="CS28" s="72"/>
      <c r="CT28" s="72"/>
      <c r="CU28" s="72"/>
      <c r="CV28" s="75"/>
      <c r="CW28" s="75"/>
      <c r="CX28" s="75"/>
      <c r="CY28" s="75"/>
    </row>
    <row r="29" spans="2:103" ht="20.25" customHeight="1">
      <c r="B29" s="281" t="s">
        <v>265</v>
      </c>
      <c r="C29" s="95" t="s">
        <v>36</v>
      </c>
      <c r="D29" s="275"/>
      <c r="E29" s="284">
        <v>1</v>
      </c>
      <c r="F29" s="284"/>
      <c r="G29" s="284"/>
      <c r="H29" s="284">
        <v>1</v>
      </c>
      <c r="I29" s="284"/>
      <c r="J29" s="284"/>
      <c r="K29" s="284"/>
      <c r="L29" s="284"/>
      <c r="M29" s="284">
        <v>1</v>
      </c>
      <c r="N29" s="284"/>
      <c r="O29" s="284">
        <v>1</v>
      </c>
      <c r="P29" s="284"/>
      <c r="Q29" s="284">
        <v>1</v>
      </c>
      <c r="R29" s="284"/>
      <c r="S29" s="284"/>
      <c r="T29" s="284"/>
      <c r="U29" s="284"/>
      <c r="V29" s="415"/>
      <c r="W29" s="275"/>
      <c r="X29" s="284"/>
      <c r="Y29" s="284"/>
      <c r="Z29" s="284"/>
      <c r="AA29" s="284"/>
      <c r="AB29" s="284"/>
      <c r="AC29" s="284"/>
      <c r="AD29" s="284"/>
      <c r="AE29" s="284"/>
      <c r="AF29" s="284"/>
      <c r="AG29" s="284"/>
      <c r="AH29" s="284"/>
      <c r="AI29" s="284"/>
      <c r="AJ29" s="284"/>
      <c r="AK29" s="284"/>
      <c r="AL29" s="415"/>
      <c r="AM29" s="275"/>
      <c r="AN29" s="284">
        <v>1</v>
      </c>
      <c r="AO29" s="276"/>
      <c r="AP29" s="276"/>
      <c r="AQ29" s="276"/>
      <c r="AR29" s="284">
        <v>1</v>
      </c>
      <c r="AS29" s="276"/>
      <c r="AT29" s="276"/>
      <c r="AU29" s="276"/>
      <c r="AV29" s="286"/>
      <c r="AW29" s="275"/>
      <c r="AX29" s="284"/>
      <c r="AY29" s="284"/>
      <c r="AZ29" s="415"/>
      <c r="BA29" s="284"/>
      <c r="BB29" s="284"/>
      <c r="BC29" s="284"/>
      <c r="BD29" s="284"/>
      <c r="BE29" s="284"/>
      <c r="BF29" s="284"/>
      <c r="BG29" s="284"/>
      <c r="BH29" s="110">
        <f t="shared" si="10"/>
        <v>7</v>
      </c>
      <c r="BI29" s="284"/>
      <c r="BJ29" s="284"/>
      <c r="BK29" s="284"/>
      <c r="BL29" s="417"/>
      <c r="BM29" s="365"/>
      <c r="BN29" s="276"/>
      <c r="BO29" s="276"/>
      <c r="BP29" s="276"/>
      <c r="BQ29" s="371"/>
      <c r="BR29" s="110">
        <f t="shared" si="12"/>
        <v>0</v>
      </c>
      <c r="BS29" s="354"/>
      <c r="BT29" s="355"/>
      <c r="BU29" s="110">
        <f t="shared" si="11"/>
        <v>0</v>
      </c>
      <c r="BV29" s="347"/>
      <c r="BW29" s="331"/>
      <c r="BX29" s="331"/>
      <c r="BY29" s="331"/>
      <c r="BZ29" s="331"/>
      <c r="CA29" s="331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72"/>
      <c r="CM29" s="72"/>
      <c r="CN29" s="72"/>
      <c r="CO29" s="72"/>
      <c r="CP29" s="72"/>
      <c r="CQ29" s="72"/>
      <c r="CR29" s="72"/>
      <c r="CS29" s="72"/>
      <c r="CT29" s="72"/>
      <c r="CU29" s="72"/>
      <c r="CV29" s="75"/>
      <c r="CW29" s="75"/>
      <c r="CX29" s="75"/>
      <c r="CY29" s="75"/>
    </row>
    <row r="30" spans="2:103" ht="20.25" customHeight="1">
      <c r="B30" s="281" t="s">
        <v>267</v>
      </c>
      <c r="C30" s="95" t="s">
        <v>36</v>
      </c>
      <c r="D30" s="275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415"/>
      <c r="W30" s="275"/>
      <c r="X30" s="284"/>
      <c r="Y30" s="284"/>
      <c r="Z30" s="284"/>
      <c r="AA30" s="284"/>
      <c r="AB30" s="284"/>
      <c r="AC30" s="284"/>
      <c r="AD30" s="284"/>
      <c r="AE30" s="284"/>
      <c r="AF30" s="284"/>
      <c r="AG30" s="284">
        <v>1</v>
      </c>
      <c r="AH30" s="284">
        <v>1</v>
      </c>
      <c r="AI30" s="284"/>
      <c r="AJ30" s="284"/>
      <c r="AK30" s="284"/>
      <c r="AL30" s="415"/>
      <c r="AM30" s="365"/>
      <c r="AN30" s="276"/>
      <c r="AO30" s="276"/>
      <c r="AP30" s="276"/>
      <c r="AQ30" s="276"/>
      <c r="AR30" s="276"/>
      <c r="AS30" s="276"/>
      <c r="AT30" s="276"/>
      <c r="AU30" s="276"/>
      <c r="AV30" s="286"/>
      <c r="AW30" s="275"/>
      <c r="AX30" s="284"/>
      <c r="AY30" s="284"/>
      <c r="AZ30" s="415"/>
      <c r="BA30" s="284"/>
      <c r="BB30" s="284"/>
      <c r="BC30" s="284"/>
      <c r="BD30" s="284"/>
      <c r="BE30" s="284"/>
      <c r="BF30" s="284"/>
      <c r="BG30" s="284"/>
      <c r="BH30" s="110">
        <f t="shared" si="10"/>
        <v>2</v>
      </c>
      <c r="BI30" s="284"/>
      <c r="BJ30" s="284"/>
      <c r="BK30" s="284"/>
      <c r="BL30" s="417"/>
      <c r="BM30" s="365"/>
      <c r="BN30" s="276"/>
      <c r="BO30" s="276"/>
      <c r="BP30" s="276"/>
      <c r="BQ30" s="371"/>
      <c r="BR30" s="110">
        <f>SUM(BI30:BQ30)</f>
        <v>0</v>
      </c>
      <c r="BS30" s="354"/>
      <c r="BT30" s="355"/>
      <c r="BU30" s="110">
        <f>SUM(BS30:BT30)</f>
        <v>0</v>
      </c>
      <c r="BV30" s="347"/>
      <c r="BW30" s="331"/>
      <c r="BX30" s="331"/>
      <c r="BY30" s="331"/>
      <c r="BZ30" s="331"/>
      <c r="CA30" s="331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72"/>
      <c r="CM30" s="72"/>
      <c r="CN30" s="72"/>
      <c r="CO30" s="72"/>
      <c r="CP30" s="72"/>
      <c r="CQ30" s="72"/>
      <c r="CR30" s="72"/>
      <c r="CS30" s="72"/>
      <c r="CT30" s="72"/>
      <c r="CU30" s="72"/>
      <c r="CV30" s="75"/>
      <c r="CW30" s="75"/>
      <c r="CX30" s="75"/>
      <c r="CY30" s="75"/>
    </row>
    <row r="31" spans="2:103" ht="20.25" customHeight="1">
      <c r="B31" s="281" t="s">
        <v>272</v>
      </c>
      <c r="C31" s="95" t="s">
        <v>36</v>
      </c>
      <c r="D31" s="275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415"/>
      <c r="W31" s="275"/>
      <c r="X31" s="284"/>
      <c r="Y31" s="284"/>
      <c r="Z31" s="284"/>
      <c r="AA31" s="284"/>
      <c r="AB31" s="284"/>
      <c r="AC31" s="284"/>
      <c r="AD31" s="284"/>
      <c r="AE31" s="284"/>
      <c r="AF31" s="284"/>
      <c r="AG31" s="284"/>
      <c r="AH31" s="284"/>
      <c r="AI31" s="284"/>
      <c r="AJ31" s="284"/>
      <c r="AK31" s="284"/>
      <c r="AL31" s="415"/>
      <c r="AM31" s="365"/>
      <c r="AN31" s="276"/>
      <c r="AO31" s="276"/>
      <c r="AP31" s="276"/>
      <c r="AQ31" s="276"/>
      <c r="AR31" s="276"/>
      <c r="AS31" s="276"/>
      <c r="AT31" s="276"/>
      <c r="AU31" s="276"/>
      <c r="AV31" s="286"/>
      <c r="AW31" s="275"/>
      <c r="AX31" s="284"/>
      <c r="AY31" s="284"/>
      <c r="AZ31" s="415">
        <v>1</v>
      </c>
      <c r="BA31" s="284">
        <v>1</v>
      </c>
      <c r="BB31" s="284"/>
      <c r="BC31" s="284"/>
      <c r="BD31" s="284"/>
      <c r="BE31" s="284"/>
      <c r="BF31" s="371">
        <v>1</v>
      </c>
      <c r="BG31" s="276">
        <v>1</v>
      </c>
      <c r="BH31" s="110">
        <f t="shared" si="10"/>
        <v>4</v>
      </c>
      <c r="BI31" s="284"/>
      <c r="BJ31" s="284"/>
      <c r="BK31" s="284"/>
      <c r="BL31" s="417"/>
      <c r="BM31" s="365"/>
      <c r="BN31" s="276"/>
      <c r="BO31" s="276"/>
      <c r="BP31" s="276"/>
      <c r="BQ31" s="371"/>
      <c r="BR31" s="110">
        <f>SUM(BI31:BQ31)</f>
        <v>0</v>
      </c>
      <c r="BS31" s="354"/>
      <c r="BT31" s="355"/>
      <c r="BU31" s="110">
        <f>SUM(BS31:BT31)</f>
        <v>0</v>
      </c>
      <c r="BV31" s="347"/>
      <c r="BW31" s="331"/>
      <c r="BX31" s="331"/>
      <c r="BY31" s="331"/>
      <c r="BZ31" s="331"/>
      <c r="CA31" s="331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72"/>
      <c r="CM31" s="72"/>
      <c r="CN31" s="72"/>
      <c r="CO31" s="72"/>
      <c r="CP31" s="72"/>
      <c r="CQ31" s="72"/>
      <c r="CR31" s="72"/>
      <c r="CS31" s="72"/>
      <c r="CT31" s="72"/>
      <c r="CU31" s="72"/>
      <c r="CV31" s="75"/>
      <c r="CW31" s="75"/>
      <c r="CX31" s="75"/>
      <c r="CY31" s="75"/>
    </row>
    <row r="32" spans="2:103" ht="20.25" customHeight="1">
      <c r="B32" s="281" t="s">
        <v>266</v>
      </c>
      <c r="C32" s="95" t="s">
        <v>36</v>
      </c>
      <c r="D32" s="275"/>
      <c r="E32" s="284"/>
      <c r="F32" s="284"/>
      <c r="G32" s="284"/>
      <c r="H32" s="284"/>
      <c r="I32" s="284"/>
      <c r="J32" s="284"/>
      <c r="K32" s="284"/>
      <c r="L32" s="284"/>
      <c r="M32" s="284"/>
      <c r="N32" s="284"/>
      <c r="O32" s="284"/>
      <c r="P32" s="284"/>
      <c r="Q32" s="284"/>
      <c r="R32" s="284">
        <v>1</v>
      </c>
      <c r="S32" s="284"/>
      <c r="T32" s="284"/>
      <c r="U32" s="284">
        <v>1</v>
      </c>
      <c r="V32" s="415"/>
      <c r="W32" s="275">
        <v>1</v>
      </c>
      <c r="X32" s="284"/>
      <c r="Y32" s="284"/>
      <c r="Z32" s="284"/>
      <c r="AA32" s="284"/>
      <c r="AB32" s="284"/>
      <c r="AC32" s="284">
        <v>1</v>
      </c>
      <c r="AD32" s="284"/>
      <c r="AE32" s="284">
        <v>1</v>
      </c>
      <c r="AF32" s="284">
        <v>1</v>
      </c>
      <c r="AG32" s="284"/>
      <c r="AH32" s="284"/>
      <c r="AI32" s="284">
        <v>1</v>
      </c>
      <c r="AJ32" s="284"/>
      <c r="AK32" s="284"/>
      <c r="AL32" s="415"/>
      <c r="AM32" s="275">
        <v>1</v>
      </c>
      <c r="AN32" s="276"/>
      <c r="AO32" s="276"/>
      <c r="AP32" s="276"/>
      <c r="AQ32" s="276">
        <v>1</v>
      </c>
      <c r="AR32" s="276"/>
      <c r="AS32" s="276"/>
      <c r="AT32" s="276">
        <v>1</v>
      </c>
      <c r="AU32" s="276"/>
      <c r="AV32" s="286"/>
      <c r="AW32" s="275"/>
      <c r="AX32" s="284"/>
      <c r="AY32" s="284"/>
      <c r="AZ32" s="415"/>
      <c r="BA32" s="284"/>
      <c r="BB32" s="284"/>
      <c r="BC32" s="284"/>
      <c r="BD32" s="284"/>
      <c r="BE32" s="284"/>
      <c r="BF32" s="284"/>
      <c r="BG32" s="284"/>
      <c r="BH32" s="110">
        <f t="shared" si="10"/>
        <v>10</v>
      </c>
      <c r="BI32" s="284"/>
      <c r="BJ32" s="284"/>
      <c r="BK32" s="284"/>
      <c r="BL32" s="417"/>
      <c r="BM32" s="365"/>
      <c r="BN32" s="276"/>
      <c r="BO32" s="276"/>
      <c r="BP32" s="276"/>
      <c r="BQ32" s="371"/>
      <c r="BR32" s="110">
        <f t="shared" si="12"/>
        <v>0</v>
      </c>
      <c r="BS32" s="354"/>
      <c r="BT32" s="355"/>
      <c r="BU32" s="110">
        <f t="shared" si="11"/>
        <v>0</v>
      </c>
      <c r="BV32" s="347"/>
      <c r="BW32" s="331"/>
      <c r="BX32" s="331"/>
      <c r="BY32" s="331"/>
      <c r="BZ32" s="331"/>
      <c r="CA32" s="331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72"/>
      <c r="CM32" s="72"/>
      <c r="CN32" s="72"/>
      <c r="CO32" s="72"/>
      <c r="CP32" s="72"/>
      <c r="CQ32" s="72"/>
      <c r="CR32" s="72"/>
      <c r="CS32" s="72"/>
      <c r="CT32" s="72"/>
      <c r="CU32" s="72"/>
      <c r="CV32" s="75"/>
      <c r="CW32" s="75"/>
      <c r="CX32" s="75"/>
      <c r="CY32" s="75"/>
    </row>
    <row r="33" spans="2:103" ht="20.25" customHeight="1">
      <c r="B33" s="281" t="s">
        <v>268</v>
      </c>
      <c r="C33" s="95" t="s">
        <v>36</v>
      </c>
      <c r="D33" s="275"/>
      <c r="E33" s="284"/>
      <c r="F33" s="284"/>
      <c r="G33" s="284"/>
      <c r="H33" s="284"/>
      <c r="I33" s="284"/>
      <c r="J33" s="284"/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415"/>
      <c r="W33" s="275"/>
      <c r="X33" s="284"/>
      <c r="Y33" s="284"/>
      <c r="Z33" s="284"/>
      <c r="AA33" s="284"/>
      <c r="AB33" s="284"/>
      <c r="AC33" s="284"/>
      <c r="AD33" s="284"/>
      <c r="AE33" s="284"/>
      <c r="AF33" s="284"/>
      <c r="AG33" s="284"/>
      <c r="AH33" s="284"/>
      <c r="AI33" s="284"/>
      <c r="AJ33" s="284"/>
      <c r="AK33" s="284">
        <v>1</v>
      </c>
      <c r="AL33" s="415">
        <v>1</v>
      </c>
      <c r="AM33" s="365"/>
      <c r="AN33" s="276"/>
      <c r="AO33" s="276"/>
      <c r="AP33" s="276"/>
      <c r="AQ33" s="276"/>
      <c r="AR33" s="276"/>
      <c r="AS33" s="276"/>
      <c r="AT33" s="276"/>
      <c r="AU33" s="276"/>
      <c r="AV33" s="286"/>
      <c r="AW33" s="275"/>
      <c r="AX33" s="284"/>
      <c r="AY33" s="284"/>
      <c r="AZ33" s="415"/>
      <c r="BA33" s="284"/>
      <c r="BB33" s="284"/>
      <c r="BC33" s="284"/>
      <c r="BD33" s="284"/>
      <c r="BE33" s="284"/>
      <c r="BF33" s="284"/>
      <c r="BG33" s="284"/>
      <c r="BH33" s="110">
        <f t="shared" si="10"/>
        <v>2</v>
      </c>
      <c r="BI33" s="284"/>
      <c r="BJ33" s="284"/>
      <c r="BK33" s="284"/>
      <c r="BL33" s="417"/>
      <c r="BM33" s="365"/>
      <c r="BN33" s="276"/>
      <c r="BO33" s="276"/>
      <c r="BP33" s="276"/>
      <c r="BQ33" s="371"/>
      <c r="BR33" s="110">
        <f t="shared" si="12"/>
        <v>0</v>
      </c>
      <c r="BS33" s="354"/>
      <c r="BT33" s="355"/>
      <c r="BU33" s="110">
        <f t="shared" si="11"/>
        <v>0</v>
      </c>
      <c r="BV33" s="347"/>
      <c r="BW33" s="331"/>
      <c r="BX33" s="331"/>
      <c r="BY33" s="331"/>
      <c r="BZ33" s="331"/>
      <c r="CA33" s="331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72"/>
      <c r="CM33" s="72"/>
      <c r="CN33" s="72"/>
      <c r="CO33" s="72"/>
      <c r="CP33" s="72"/>
      <c r="CQ33" s="72"/>
      <c r="CR33" s="72"/>
      <c r="CS33" s="72"/>
      <c r="CT33" s="72"/>
      <c r="CU33" s="72"/>
      <c r="CV33" s="75"/>
      <c r="CW33" s="75"/>
      <c r="CX33" s="75"/>
      <c r="CY33" s="75"/>
    </row>
    <row r="34" spans="2:103" ht="20.25" customHeight="1">
      <c r="B34" s="281" t="s">
        <v>269</v>
      </c>
      <c r="C34" s="95" t="s">
        <v>36</v>
      </c>
      <c r="D34" s="275">
        <v>1</v>
      </c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415">
        <v>1</v>
      </c>
      <c r="W34" s="275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4"/>
      <c r="AI34" s="284"/>
      <c r="AJ34" s="284"/>
      <c r="AK34" s="284"/>
      <c r="AL34" s="415"/>
      <c r="AM34" s="362"/>
      <c r="AN34" s="276"/>
      <c r="AO34" s="276"/>
      <c r="AP34" s="276"/>
      <c r="AQ34" s="276"/>
      <c r="AR34" s="276"/>
      <c r="AS34" s="276"/>
      <c r="AT34" s="276"/>
      <c r="AU34" s="276"/>
      <c r="AV34" s="286"/>
      <c r="AW34" s="275"/>
      <c r="AX34" s="284"/>
      <c r="AY34" s="284"/>
      <c r="AZ34" s="415"/>
      <c r="BA34" s="284"/>
      <c r="BB34" s="284"/>
      <c r="BC34" s="284"/>
      <c r="BD34" s="284"/>
      <c r="BE34" s="284"/>
      <c r="BF34" s="284"/>
      <c r="BG34" s="284"/>
      <c r="BH34" s="110">
        <f t="shared" si="10"/>
        <v>2</v>
      </c>
      <c r="BI34" s="284"/>
      <c r="BJ34" s="284"/>
      <c r="BK34" s="284"/>
      <c r="BL34" s="417"/>
      <c r="BM34" s="365"/>
      <c r="BN34" s="276"/>
      <c r="BO34" s="276"/>
      <c r="BP34" s="276"/>
      <c r="BQ34" s="371"/>
      <c r="BR34" s="110">
        <f t="shared" si="12"/>
        <v>0</v>
      </c>
      <c r="BS34" s="354"/>
      <c r="BT34" s="355"/>
      <c r="BU34" s="110">
        <f t="shared" si="11"/>
        <v>0</v>
      </c>
      <c r="BV34" s="347"/>
      <c r="BW34" s="331"/>
      <c r="BX34" s="331"/>
      <c r="BY34" s="331"/>
      <c r="BZ34" s="331"/>
      <c r="CA34" s="331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2"/>
      <c r="CO34" s="72"/>
      <c r="CP34" s="72"/>
      <c r="CQ34" s="72"/>
      <c r="CR34" s="72"/>
      <c r="CS34" s="72"/>
      <c r="CT34" s="72"/>
      <c r="CU34" s="72"/>
      <c r="CV34" s="75"/>
      <c r="CW34" s="75"/>
      <c r="CX34" s="75"/>
      <c r="CY34" s="75"/>
    </row>
    <row r="35" spans="2:103" ht="20.25" customHeight="1">
      <c r="B35" s="281" t="s">
        <v>270</v>
      </c>
      <c r="C35" s="95" t="s">
        <v>36</v>
      </c>
      <c r="D35" s="275"/>
      <c r="E35" s="284"/>
      <c r="F35" s="284"/>
      <c r="G35" s="284"/>
      <c r="H35" s="284"/>
      <c r="I35" s="284"/>
      <c r="J35" s="284"/>
      <c r="K35" s="284"/>
      <c r="L35" s="284"/>
      <c r="M35" s="284"/>
      <c r="N35" s="284">
        <v>1</v>
      </c>
      <c r="O35" s="284"/>
      <c r="P35" s="284">
        <v>1</v>
      </c>
      <c r="Q35" s="284"/>
      <c r="R35" s="284"/>
      <c r="S35" s="284"/>
      <c r="T35" s="284"/>
      <c r="U35" s="284"/>
      <c r="V35" s="415"/>
      <c r="W35" s="275"/>
      <c r="X35" s="284"/>
      <c r="Y35" s="284"/>
      <c r="Z35" s="284"/>
      <c r="AA35" s="284"/>
      <c r="AB35" s="284"/>
      <c r="AC35" s="284"/>
      <c r="AD35" s="284"/>
      <c r="AE35" s="284"/>
      <c r="AF35" s="284"/>
      <c r="AG35" s="284"/>
      <c r="AH35" s="284"/>
      <c r="AI35" s="284"/>
      <c r="AJ35" s="284"/>
      <c r="AK35" s="284"/>
      <c r="AL35" s="415"/>
      <c r="AM35" s="365"/>
      <c r="AN35" s="276"/>
      <c r="AO35" s="276"/>
      <c r="AP35" s="276"/>
      <c r="AQ35" s="276"/>
      <c r="AR35" s="276"/>
      <c r="AS35" s="276"/>
      <c r="AT35" s="276"/>
      <c r="AU35" s="276"/>
      <c r="AV35" s="286"/>
      <c r="AW35" s="275"/>
      <c r="AX35" s="284"/>
      <c r="AY35" s="284"/>
      <c r="AZ35" s="415"/>
      <c r="BA35" s="284"/>
      <c r="BB35" s="284"/>
      <c r="BC35" s="284"/>
      <c r="BD35" s="284"/>
      <c r="BE35" s="284"/>
      <c r="BF35" s="284"/>
      <c r="BG35" s="284"/>
      <c r="BH35" s="110">
        <f t="shared" si="10"/>
        <v>2</v>
      </c>
      <c r="BI35" s="284"/>
      <c r="BJ35" s="284"/>
      <c r="BK35" s="284"/>
      <c r="BL35" s="417"/>
      <c r="BM35" s="365"/>
      <c r="BN35" s="276"/>
      <c r="BO35" s="276"/>
      <c r="BP35" s="276"/>
      <c r="BQ35" s="371"/>
      <c r="BR35" s="110">
        <f t="shared" si="12"/>
        <v>0</v>
      </c>
      <c r="BS35" s="354"/>
      <c r="BT35" s="355"/>
      <c r="BU35" s="110">
        <f t="shared" si="11"/>
        <v>0</v>
      </c>
      <c r="BV35" s="347"/>
      <c r="BW35" s="331"/>
      <c r="BX35" s="331"/>
      <c r="BY35" s="331"/>
      <c r="BZ35" s="331"/>
      <c r="CA35" s="331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72"/>
      <c r="CM35" s="72"/>
      <c r="CN35" s="72"/>
      <c r="CO35" s="72"/>
      <c r="CP35" s="72"/>
      <c r="CQ35" s="72"/>
      <c r="CR35" s="72"/>
      <c r="CS35" s="72"/>
      <c r="CT35" s="72"/>
      <c r="CU35" s="72"/>
      <c r="CV35" s="75"/>
      <c r="CW35" s="75"/>
      <c r="CX35" s="75"/>
      <c r="CY35" s="75"/>
    </row>
    <row r="36" spans="2:103" ht="20.25" customHeight="1">
      <c r="B36" s="281" t="s">
        <v>271</v>
      </c>
      <c r="C36" s="95" t="s">
        <v>36</v>
      </c>
      <c r="D36" s="275"/>
      <c r="E36" s="284"/>
      <c r="F36" s="284">
        <v>1</v>
      </c>
      <c r="G36" s="284">
        <v>1</v>
      </c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415"/>
      <c r="W36" s="275"/>
      <c r="X36" s="284"/>
      <c r="Y36" s="284"/>
      <c r="Z36" s="284"/>
      <c r="AA36" s="284"/>
      <c r="AB36" s="284"/>
      <c r="AC36" s="284"/>
      <c r="AD36" s="284"/>
      <c r="AE36" s="284"/>
      <c r="AF36" s="284"/>
      <c r="AG36" s="284"/>
      <c r="AH36" s="284"/>
      <c r="AI36" s="284"/>
      <c r="AJ36" s="284"/>
      <c r="AK36" s="284"/>
      <c r="AL36" s="415"/>
      <c r="AM36" s="365"/>
      <c r="AN36" s="276"/>
      <c r="AO36" s="276"/>
      <c r="AP36" s="276"/>
      <c r="AQ36" s="276"/>
      <c r="AR36" s="276"/>
      <c r="AS36" s="276"/>
      <c r="AT36" s="276"/>
      <c r="AU36" s="276"/>
      <c r="AV36" s="286"/>
      <c r="AW36" s="275"/>
      <c r="AX36" s="284"/>
      <c r="AY36" s="284"/>
      <c r="AZ36" s="415"/>
      <c r="BA36" s="284"/>
      <c r="BB36" s="284"/>
      <c r="BC36" s="284"/>
      <c r="BD36" s="284"/>
      <c r="BE36" s="284"/>
      <c r="BF36" s="284"/>
      <c r="BG36" s="284"/>
      <c r="BH36" s="110">
        <f t="shared" si="10"/>
        <v>2</v>
      </c>
      <c r="BI36" s="284"/>
      <c r="BJ36" s="284"/>
      <c r="BK36" s="284"/>
      <c r="BL36" s="417"/>
      <c r="BM36" s="365"/>
      <c r="BN36" s="276"/>
      <c r="BO36" s="276"/>
      <c r="BP36" s="276"/>
      <c r="BQ36" s="371"/>
      <c r="BR36" s="110">
        <f t="shared" si="12"/>
        <v>0</v>
      </c>
      <c r="BS36" s="354"/>
      <c r="BT36" s="355"/>
      <c r="BU36" s="110">
        <f t="shared" si="11"/>
        <v>0</v>
      </c>
      <c r="BV36" s="347"/>
      <c r="BW36" s="331"/>
      <c r="BX36" s="331"/>
      <c r="BY36" s="331"/>
      <c r="BZ36" s="331"/>
      <c r="CA36" s="331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72"/>
      <c r="CM36" s="72"/>
      <c r="CN36" s="72"/>
      <c r="CO36" s="72"/>
      <c r="CP36" s="72"/>
      <c r="CQ36" s="72"/>
      <c r="CR36" s="72"/>
      <c r="CS36" s="72"/>
      <c r="CT36" s="72"/>
      <c r="CU36" s="72"/>
      <c r="CV36" s="75"/>
      <c r="CW36" s="75"/>
      <c r="CX36" s="75"/>
      <c r="CY36" s="75"/>
    </row>
    <row r="37" spans="2:103" ht="20.25" customHeight="1">
      <c r="B37" s="283" t="s">
        <v>273</v>
      </c>
      <c r="C37" s="95" t="s">
        <v>36</v>
      </c>
      <c r="D37" s="275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415"/>
      <c r="W37" s="275"/>
      <c r="X37" s="284"/>
      <c r="Y37" s="284"/>
      <c r="Z37" s="284"/>
      <c r="AA37" s="284"/>
      <c r="AB37" s="284"/>
      <c r="AC37" s="284"/>
      <c r="AD37" s="284"/>
      <c r="AE37" s="284"/>
      <c r="AF37" s="284"/>
      <c r="AG37" s="284"/>
      <c r="AH37" s="284"/>
      <c r="AI37" s="284"/>
      <c r="AJ37" s="284"/>
      <c r="AK37" s="284"/>
      <c r="AL37" s="415"/>
      <c r="AM37" s="365"/>
      <c r="AN37" s="276"/>
      <c r="AO37" s="276"/>
      <c r="AP37" s="276"/>
      <c r="AQ37" s="276"/>
      <c r="AR37" s="276"/>
      <c r="AS37" s="276"/>
      <c r="AT37" s="276"/>
      <c r="AU37" s="276"/>
      <c r="AV37" s="286"/>
      <c r="AW37" s="275"/>
      <c r="AX37" s="284"/>
      <c r="AY37" s="284"/>
      <c r="AZ37" s="415"/>
      <c r="BA37" s="284"/>
      <c r="BB37" s="284">
        <v>3</v>
      </c>
      <c r="BC37" s="284"/>
      <c r="BD37" s="284"/>
      <c r="BE37" s="284"/>
      <c r="BF37" s="371"/>
      <c r="BG37" s="276"/>
      <c r="BH37" s="110">
        <f t="shared" si="10"/>
        <v>3</v>
      </c>
      <c r="BI37" s="284"/>
      <c r="BJ37" s="284"/>
      <c r="BK37" s="284"/>
      <c r="BL37" s="417"/>
      <c r="BM37" s="365"/>
      <c r="BN37" s="276"/>
      <c r="BO37" s="276"/>
      <c r="BP37" s="276"/>
      <c r="BQ37" s="371"/>
      <c r="BR37" s="110">
        <f t="shared" si="12"/>
        <v>0</v>
      </c>
      <c r="BS37" s="354"/>
      <c r="BT37" s="355"/>
      <c r="BU37" s="110">
        <f t="shared" si="11"/>
        <v>0</v>
      </c>
      <c r="BV37" s="347"/>
      <c r="BW37" s="331"/>
      <c r="BX37" s="331"/>
      <c r="BY37" s="331"/>
      <c r="BZ37" s="331"/>
      <c r="CA37" s="331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72"/>
      <c r="CM37" s="72"/>
      <c r="CN37" s="72"/>
      <c r="CO37" s="72"/>
      <c r="CP37" s="72"/>
      <c r="CQ37" s="72"/>
      <c r="CR37" s="72"/>
      <c r="CS37" s="72"/>
      <c r="CT37" s="72"/>
      <c r="CU37" s="72"/>
      <c r="CV37" s="75"/>
      <c r="CW37" s="75"/>
      <c r="CX37" s="75"/>
      <c r="CY37" s="75"/>
    </row>
    <row r="38" spans="2:103" ht="20.25" customHeight="1">
      <c r="B38" s="280" t="s">
        <v>114</v>
      </c>
      <c r="C38" s="96"/>
      <c r="D38" s="287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8"/>
      <c r="R38" s="289"/>
      <c r="S38" s="289"/>
      <c r="T38" s="289"/>
      <c r="U38" s="289"/>
      <c r="V38" s="416"/>
      <c r="W38" s="287"/>
      <c r="X38" s="289"/>
      <c r="Y38" s="289"/>
      <c r="Z38" s="289"/>
      <c r="AA38" s="289"/>
      <c r="AB38" s="289"/>
      <c r="AC38" s="289"/>
      <c r="AD38" s="289"/>
      <c r="AE38" s="289"/>
      <c r="AF38" s="289"/>
      <c r="AG38" s="289"/>
      <c r="AH38" s="289"/>
      <c r="AI38" s="289"/>
      <c r="AJ38" s="289"/>
      <c r="AK38" s="289"/>
      <c r="AL38" s="416"/>
      <c r="AM38" s="325"/>
      <c r="AN38" s="288"/>
      <c r="AO38" s="288"/>
      <c r="AP38" s="288"/>
      <c r="AQ38" s="288"/>
      <c r="AR38" s="288"/>
      <c r="AS38" s="288"/>
      <c r="AT38" s="288"/>
      <c r="AU38" s="288"/>
      <c r="AV38" s="290"/>
      <c r="AW38" s="287"/>
      <c r="AX38" s="289"/>
      <c r="AY38" s="289"/>
      <c r="AZ38" s="416"/>
      <c r="BA38" s="289"/>
      <c r="BB38" s="289"/>
      <c r="BC38" s="289"/>
      <c r="BD38" s="289"/>
      <c r="BE38" s="289"/>
      <c r="BF38" s="372"/>
      <c r="BG38" s="288"/>
      <c r="BH38" s="300"/>
      <c r="BI38" s="289"/>
      <c r="BJ38" s="289"/>
      <c r="BK38" s="289"/>
      <c r="BL38" s="421"/>
      <c r="BM38" s="325"/>
      <c r="BN38" s="288"/>
      <c r="BO38" s="288"/>
      <c r="BP38" s="288"/>
      <c r="BQ38" s="372"/>
      <c r="BR38" s="300"/>
      <c r="BS38" s="287"/>
      <c r="BT38" s="325"/>
      <c r="BU38" s="291"/>
      <c r="BV38" s="351"/>
      <c r="BW38" s="317"/>
      <c r="BX38" s="317"/>
      <c r="BY38" s="317"/>
      <c r="BZ38" s="317"/>
      <c r="CA38" s="317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72"/>
      <c r="CM38" s="72"/>
      <c r="CN38" s="72"/>
      <c r="CO38" s="72"/>
      <c r="CP38" s="72"/>
      <c r="CQ38" s="72"/>
      <c r="CR38" s="72"/>
      <c r="CS38" s="72"/>
      <c r="CT38" s="72"/>
      <c r="CU38" s="72"/>
      <c r="CV38" s="75"/>
      <c r="CW38" s="75"/>
      <c r="CX38" s="75"/>
      <c r="CY38" s="75"/>
    </row>
    <row r="39" spans="2:103" ht="20.25" customHeight="1">
      <c r="B39" s="283" t="s">
        <v>222</v>
      </c>
      <c r="C39" s="95" t="s">
        <v>165</v>
      </c>
      <c r="D39" s="275"/>
      <c r="E39" s="284"/>
      <c r="F39" s="284"/>
      <c r="G39" s="284"/>
      <c r="H39" s="284"/>
      <c r="I39" s="284"/>
      <c r="J39" s="284"/>
      <c r="K39" s="284"/>
      <c r="L39" s="284"/>
      <c r="M39" s="284"/>
      <c r="N39" s="284"/>
      <c r="O39" s="284"/>
      <c r="P39" s="284"/>
      <c r="Q39" s="276"/>
      <c r="R39" s="284"/>
      <c r="S39" s="284"/>
      <c r="T39" s="284"/>
      <c r="U39" s="284"/>
      <c r="V39" s="415"/>
      <c r="W39" s="275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  <c r="AI39" s="284"/>
      <c r="AJ39" s="284"/>
      <c r="AK39" s="284"/>
      <c r="AL39" s="415"/>
      <c r="AM39" s="365"/>
      <c r="AN39" s="276"/>
      <c r="AO39" s="276"/>
      <c r="AP39" s="276"/>
      <c r="AQ39" s="276"/>
      <c r="AR39" s="276"/>
      <c r="AS39" s="276"/>
      <c r="AT39" s="276"/>
      <c r="AU39" s="276"/>
      <c r="AV39" s="286"/>
      <c r="AW39" s="275"/>
      <c r="AX39" s="284"/>
      <c r="AY39" s="284"/>
      <c r="AZ39" s="415"/>
      <c r="BA39" s="284"/>
      <c r="BB39" s="284"/>
      <c r="BC39" s="284"/>
      <c r="BD39" s="284"/>
      <c r="BE39" s="284"/>
      <c r="BF39" s="371"/>
      <c r="BG39" s="276"/>
      <c r="BH39" s="110">
        <f>SUM(D39:BG39)</f>
        <v>0</v>
      </c>
      <c r="BI39" s="284"/>
      <c r="BJ39" s="284"/>
      <c r="BK39" s="284"/>
      <c r="BL39" s="417"/>
      <c r="BM39" s="365"/>
      <c r="BN39" s="276"/>
      <c r="BO39" s="276"/>
      <c r="BP39" s="276"/>
      <c r="BQ39" s="371"/>
      <c r="BR39" s="110">
        <f>SUM(BI39:BQ39)</f>
        <v>0</v>
      </c>
      <c r="BS39" s="275">
        <v>1</v>
      </c>
      <c r="BT39" s="365"/>
      <c r="BU39" s="110">
        <f>SUM(BS39:BT39)</f>
        <v>1</v>
      </c>
      <c r="BV39" s="347"/>
      <c r="BW39" s="331"/>
      <c r="BX39" s="331"/>
      <c r="BY39" s="331"/>
      <c r="BZ39" s="331"/>
      <c r="CA39" s="331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72"/>
      <c r="CM39" s="72"/>
      <c r="CN39" s="72"/>
      <c r="CO39" s="72"/>
      <c r="CP39" s="72"/>
      <c r="CQ39" s="72"/>
      <c r="CR39" s="72"/>
      <c r="CS39" s="72"/>
      <c r="CT39" s="72"/>
      <c r="CU39" s="72"/>
      <c r="CV39" s="75"/>
      <c r="CW39" s="75"/>
      <c r="CX39" s="75"/>
      <c r="CY39" s="75"/>
    </row>
    <row r="40" spans="2:103" ht="20.25" customHeight="1">
      <c r="B40" s="283" t="s">
        <v>164</v>
      </c>
      <c r="C40" s="95"/>
      <c r="D40" s="275"/>
      <c r="E40" s="284"/>
      <c r="F40" s="284"/>
      <c r="G40" s="284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415"/>
      <c r="W40" s="275"/>
      <c r="X40" s="284"/>
      <c r="Y40" s="284"/>
      <c r="Z40" s="284"/>
      <c r="AA40" s="284"/>
      <c r="AB40" s="284"/>
      <c r="AC40" s="284"/>
      <c r="AD40" s="284"/>
      <c r="AE40" s="284"/>
      <c r="AF40" s="284"/>
      <c r="AG40" s="284"/>
      <c r="AH40" s="284"/>
      <c r="AI40" s="284"/>
      <c r="AJ40" s="284"/>
      <c r="AK40" s="284"/>
      <c r="AL40" s="415"/>
      <c r="AM40" s="365"/>
      <c r="AN40" s="276"/>
      <c r="AO40" s="276"/>
      <c r="AP40" s="276"/>
      <c r="AQ40" s="276"/>
      <c r="AR40" s="276"/>
      <c r="AS40" s="276"/>
      <c r="AT40" s="276"/>
      <c r="AU40" s="276"/>
      <c r="AV40" s="286"/>
      <c r="AW40" s="275"/>
      <c r="AX40" s="284"/>
      <c r="AY40" s="284"/>
      <c r="AZ40" s="415"/>
      <c r="BA40" s="284"/>
      <c r="BB40" s="284"/>
      <c r="BC40" s="284"/>
      <c r="BD40" s="284"/>
      <c r="BE40" s="284"/>
      <c r="BF40" s="371"/>
      <c r="BG40" s="276"/>
      <c r="BH40" s="110"/>
      <c r="BI40" s="284"/>
      <c r="BJ40" s="284"/>
      <c r="BK40" s="284"/>
      <c r="BL40" s="417"/>
      <c r="BM40" s="365"/>
      <c r="BN40" s="360"/>
      <c r="BO40" s="360"/>
      <c r="BP40" s="360"/>
      <c r="BQ40" s="371"/>
      <c r="BR40" s="110"/>
      <c r="BS40" s="275"/>
      <c r="BT40" s="365"/>
      <c r="BU40" s="110"/>
      <c r="BV40" s="347"/>
      <c r="BW40" s="331"/>
      <c r="BX40" s="331"/>
      <c r="BY40" s="331"/>
      <c r="BZ40" s="331"/>
      <c r="CA40" s="331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72"/>
      <c r="CM40" s="72"/>
      <c r="CN40" s="72"/>
      <c r="CO40" s="72"/>
      <c r="CP40" s="72"/>
      <c r="CQ40" s="72"/>
      <c r="CR40" s="72"/>
      <c r="CS40" s="72"/>
      <c r="CT40" s="72"/>
      <c r="CU40" s="72"/>
      <c r="CV40" s="75"/>
      <c r="CW40" s="75"/>
      <c r="CX40" s="75"/>
      <c r="CY40" s="75"/>
    </row>
    <row r="41" spans="2:103" ht="20.25" customHeight="1">
      <c r="B41" s="283" t="s">
        <v>258</v>
      </c>
      <c r="C41" s="95"/>
      <c r="D41" s="275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415"/>
      <c r="W41" s="275"/>
      <c r="X41" s="284"/>
      <c r="Y41" s="284"/>
      <c r="Z41" s="284"/>
      <c r="AA41" s="284"/>
      <c r="AB41" s="284"/>
      <c r="AC41" s="284"/>
      <c r="AD41" s="284"/>
      <c r="AE41" s="284"/>
      <c r="AF41" s="284"/>
      <c r="AG41" s="284"/>
      <c r="AH41" s="284"/>
      <c r="AI41" s="284"/>
      <c r="AJ41" s="284"/>
      <c r="AK41" s="284"/>
      <c r="AL41" s="415"/>
      <c r="AM41" s="365"/>
      <c r="AN41" s="276"/>
      <c r="AO41" s="276"/>
      <c r="AP41" s="276"/>
      <c r="AQ41" s="276"/>
      <c r="AR41" s="276"/>
      <c r="AS41" s="276"/>
      <c r="AT41" s="276"/>
      <c r="AU41" s="276"/>
      <c r="AV41" s="286"/>
      <c r="AW41" s="275"/>
      <c r="AX41" s="284"/>
      <c r="AY41" s="284"/>
      <c r="AZ41" s="415"/>
      <c r="BA41" s="284"/>
      <c r="BB41" s="284"/>
      <c r="BC41" s="284"/>
      <c r="BD41" s="284"/>
      <c r="BE41" s="284"/>
      <c r="BF41" s="371"/>
      <c r="BG41" s="276"/>
      <c r="BH41" s="110"/>
      <c r="BI41" s="284"/>
      <c r="BJ41" s="284"/>
      <c r="BK41" s="284"/>
      <c r="BL41" s="417"/>
      <c r="BM41" s="275"/>
      <c r="BN41" s="284"/>
      <c r="BO41" s="284"/>
      <c r="BP41" s="284"/>
      <c r="BQ41" s="371"/>
      <c r="BR41" s="110"/>
      <c r="BS41" s="275"/>
      <c r="BT41" s="365"/>
      <c r="BU41" s="110"/>
      <c r="BV41" s="347"/>
      <c r="BW41" s="331"/>
      <c r="BX41" s="331"/>
      <c r="BY41" s="331"/>
      <c r="BZ41" s="331"/>
      <c r="CA41" s="331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72"/>
      <c r="CM41" s="72"/>
      <c r="CN41" s="72"/>
      <c r="CO41" s="72"/>
      <c r="CP41" s="72"/>
      <c r="CQ41" s="72"/>
      <c r="CR41" s="72"/>
      <c r="CS41" s="72"/>
      <c r="CT41" s="72"/>
      <c r="CU41" s="72"/>
      <c r="CV41" s="75"/>
      <c r="CW41" s="75"/>
      <c r="CX41" s="75"/>
      <c r="CY41" s="75"/>
    </row>
    <row r="42" spans="2:103" ht="20.25" customHeight="1">
      <c r="B42" s="283" t="s">
        <v>259</v>
      </c>
      <c r="C42" s="95"/>
      <c r="D42" s="275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415"/>
      <c r="W42" s="275"/>
      <c r="X42" s="284"/>
      <c r="Y42" s="284"/>
      <c r="Z42" s="284"/>
      <c r="AA42" s="284"/>
      <c r="AB42" s="284"/>
      <c r="AC42" s="284"/>
      <c r="AD42" s="284"/>
      <c r="AE42" s="284"/>
      <c r="AF42" s="284"/>
      <c r="AG42" s="284"/>
      <c r="AH42" s="284"/>
      <c r="AI42" s="284"/>
      <c r="AJ42" s="284"/>
      <c r="AK42" s="284"/>
      <c r="AL42" s="415"/>
      <c r="AM42" s="365"/>
      <c r="AN42" s="276"/>
      <c r="AO42" s="276"/>
      <c r="AP42" s="276"/>
      <c r="AQ42" s="276"/>
      <c r="AR42" s="276"/>
      <c r="AS42" s="276"/>
      <c r="AT42" s="276"/>
      <c r="AU42" s="276"/>
      <c r="AV42" s="286"/>
      <c r="AW42" s="275"/>
      <c r="AX42" s="284"/>
      <c r="AY42" s="284"/>
      <c r="AZ42" s="415"/>
      <c r="BA42" s="284"/>
      <c r="BB42" s="284"/>
      <c r="BC42" s="284"/>
      <c r="BD42" s="284"/>
      <c r="BE42" s="284"/>
      <c r="BF42" s="371"/>
      <c r="BG42" s="276"/>
      <c r="BH42" s="110"/>
      <c r="BI42" s="284"/>
      <c r="BJ42" s="284"/>
      <c r="BK42" s="284"/>
      <c r="BL42" s="417"/>
      <c r="BM42" s="275"/>
      <c r="BN42" s="284"/>
      <c r="BO42" s="284"/>
      <c r="BP42" s="284"/>
      <c r="BQ42" s="371"/>
      <c r="BR42" s="110"/>
      <c r="BS42" s="275"/>
      <c r="BT42" s="365"/>
      <c r="BU42" s="110"/>
      <c r="BV42" s="347"/>
      <c r="BW42" s="331"/>
      <c r="BX42" s="331"/>
      <c r="BY42" s="331"/>
      <c r="BZ42" s="331"/>
      <c r="CA42" s="331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72"/>
      <c r="CM42" s="72"/>
      <c r="CN42" s="72"/>
      <c r="CO42" s="72"/>
      <c r="CP42" s="72"/>
      <c r="CQ42" s="72"/>
      <c r="CR42" s="72"/>
      <c r="CS42" s="72"/>
      <c r="CT42" s="72"/>
      <c r="CU42" s="72"/>
      <c r="CV42" s="75"/>
      <c r="CW42" s="75"/>
      <c r="CX42" s="75"/>
      <c r="CY42" s="75"/>
    </row>
    <row r="43" spans="2:103" ht="20.25" customHeight="1">
      <c r="B43" s="283" t="s">
        <v>260</v>
      </c>
      <c r="C43" s="95"/>
      <c r="D43" s="275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415"/>
      <c r="W43" s="275"/>
      <c r="X43" s="284"/>
      <c r="Y43" s="284"/>
      <c r="Z43" s="284"/>
      <c r="AA43" s="284"/>
      <c r="AB43" s="284"/>
      <c r="AC43" s="284"/>
      <c r="AD43" s="284"/>
      <c r="AE43" s="284"/>
      <c r="AF43" s="284"/>
      <c r="AG43" s="284"/>
      <c r="AH43" s="284"/>
      <c r="AI43" s="284"/>
      <c r="AJ43" s="284"/>
      <c r="AK43" s="284"/>
      <c r="AL43" s="415"/>
      <c r="AM43" s="365"/>
      <c r="AN43" s="276"/>
      <c r="AO43" s="276"/>
      <c r="AP43" s="276"/>
      <c r="AQ43" s="276"/>
      <c r="AR43" s="276"/>
      <c r="AS43" s="276"/>
      <c r="AT43" s="276"/>
      <c r="AU43" s="276"/>
      <c r="AV43" s="286"/>
      <c r="AW43" s="275"/>
      <c r="AX43" s="284"/>
      <c r="AY43" s="284"/>
      <c r="AZ43" s="415"/>
      <c r="BA43" s="284"/>
      <c r="BB43" s="284"/>
      <c r="BC43" s="284"/>
      <c r="BD43" s="284"/>
      <c r="BE43" s="284"/>
      <c r="BF43" s="371"/>
      <c r="BG43" s="276"/>
      <c r="BH43" s="110"/>
      <c r="BI43" s="284"/>
      <c r="BJ43" s="284"/>
      <c r="BK43" s="284"/>
      <c r="BL43" s="417"/>
      <c r="BM43" s="275"/>
      <c r="BN43" s="284"/>
      <c r="BO43" s="284"/>
      <c r="BP43" s="284"/>
      <c r="BQ43" s="371"/>
      <c r="BR43" s="110"/>
      <c r="BS43" s="275"/>
      <c r="BT43" s="365"/>
      <c r="BU43" s="110"/>
      <c r="BV43" s="347"/>
      <c r="BW43" s="331"/>
      <c r="BX43" s="331"/>
      <c r="BY43" s="331"/>
      <c r="BZ43" s="331"/>
      <c r="CA43" s="331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72"/>
      <c r="CM43" s="72"/>
      <c r="CN43" s="72"/>
      <c r="CO43" s="72"/>
      <c r="CP43" s="72"/>
      <c r="CQ43" s="72"/>
      <c r="CR43" s="72"/>
      <c r="CS43" s="72"/>
      <c r="CT43" s="72"/>
      <c r="CU43" s="72"/>
      <c r="CV43" s="75"/>
      <c r="CW43" s="75"/>
      <c r="CX43" s="75"/>
      <c r="CY43" s="75"/>
    </row>
    <row r="44" spans="2:103" ht="20.25" customHeight="1">
      <c r="B44" s="283" t="s">
        <v>261</v>
      </c>
      <c r="C44" s="95"/>
      <c r="D44" s="275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415"/>
      <c r="W44" s="275"/>
      <c r="X44" s="284"/>
      <c r="Y44" s="284"/>
      <c r="Z44" s="284"/>
      <c r="AA44" s="284"/>
      <c r="AB44" s="284"/>
      <c r="AC44" s="284"/>
      <c r="AD44" s="284"/>
      <c r="AE44" s="284"/>
      <c r="AF44" s="284"/>
      <c r="AG44" s="284"/>
      <c r="AH44" s="284"/>
      <c r="AI44" s="284"/>
      <c r="AJ44" s="284"/>
      <c r="AK44" s="284"/>
      <c r="AL44" s="415"/>
      <c r="AM44" s="365"/>
      <c r="AN44" s="276"/>
      <c r="AO44" s="276"/>
      <c r="AP44" s="276"/>
      <c r="AQ44" s="276"/>
      <c r="AR44" s="276"/>
      <c r="AS44" s="276"/>
      <c r="AT44" s="276"/>
      <c r="AU44" s="276"/>
      <c r="AV44" s="286"/>
      <c r="AW44" s="275"/>
      <c r="AX44" s="284"/>
      <c r="AY44" s="284"/>
      <c r="AZ44" s="415"/>
      <c r="BA44" s="284"/>
      <c r="BB44" s="284"/>
      <c r="BC44" s="284"/>
      <c r="BD44" s="284"/>
      <c r="BE44" s="284"/>
      <c r="BF44" s="371"/>
      <c r="BG44" s="276"/>
      <c r="BH44" s="110"/>
      <c r="BI44" s="284"/>
      <c r="BJ44" s="284"/>
      <c r="BK44" s="284"/>
      <c r="BL44" s="417"/>
      <c r="BM44" s="275"/>
      <c r="BN44" s="284"/>
      <c r="BO44" s="284"/>
      <c r="BP44" s="284"/>
      <c r="BQ44" s="371"/>
      <c r="BR44" s="110"/>
      <c r="BS44" s="275"/>
      <c r="BT44" s="365"/>
      <c r="BU44" s="110"/>
      <c r="BV44" s="347"/>
      <c r="BW44" s="331"/>
      <c r="BX44" s="331"/>
      <c r="BY44" s="331"/>
      <c r="BZ44" s="331"/>
      <c r="CA44" s="331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72"/>
      <c r="CM44" s="72"/>
      <c r="CN44" s="72"/>
      <c r="CO44" s="72"/>
      <c r="CP44" s="72"/>
      <c r="CQ44" s="72"/>
      <c r="CR44" s="72"/>
      <c r="CS44" s="72"/>
      <c r="CT44" s="72"/>
      <c r="CU44" s="72"/>
      <c r="CV44" s="75"/>
      <c r="CW44" s="75"/>
      <c r="CX44" s="75"/>
      <c r="CY44" s="75"/>
    </row>
    <row r="45" spans="2:103" ht="20.25" customHeight="1">
      <c r="B45" s="381" t="s">
        <v>218</v>
      </c>
      <c r="C45" s="95" t="s">
        <v>36</v>
      </c>
      <c r="D45" s="275"/>
      <c r="E45" s="284"/>
      <c r="F45" s="284"/>
      <c r="G45" s="284"/>
      <c r="H45" s="284"/>
      <c r="I45" s="284"/>
      <c r="J45" s="284"/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415"/>
      <c r="W45" s="275"/>
      <c r="X45" s="284"/>
      <c r="Y45" s="284"/>
      <c r="Z45" s="284"/>
      <c r="AA45" s="284"/>
      <c r="AB45" s="284"/>
      <c r="AC45" s="284"/>
      <c r="AD45" s="284"/>
      <c r="AE45" s="276"/>
      <c r="AF45" s="276"/>
      <c r="AG45" s="276"/>
      <c r="AH45" s="276"/>
      <c r="AI45" s="276"/>
      <c r="AJ45" s="284"/>
      <c r="AK45" s="276"/>
      <c r="AL45" s="415"/>
      <c r="AM45" s="365"/>
      <c r="AN45" s="276"/>
      <c r="AO45" s="276"/>
      <c r="AP45" s="276"/>
      <c r="AQ45" s="276"/>
      <c r="AR45" s="276"/>
      <c r="AS45" s="276"/>
      <c r="AT45" s="276"/>
      <c r="AU45" s="276"/>
      <c r="AV45" s="286"/>
      <c r="AW45" s="275"/>
      <c r="AX45" s="284"/>
      <c r="AY45" s="284"/>
      <c r="AZ45" s="415"/>
      <c r="BA45" s="284"/>
      <c r="BB45" s="284"/>
      <c r="BC45" s="284"/>
      <c r="BD45" s="284"/>
      <c r="BE45" s="284"/>
      <c r="BF45" s="371"/>
      <c r="BG45" s="276"/>
      <c r="BH45" s="110">
        <f>SUM(D45:BG45)</f>
        <v>0</v>
      </c>
      <c r="BI45" s="284">
        <v>1</v>
      </c>
      <c r="BJ45" s="284"/>
      <c r="BK45" s="284"/>
      <c r="BL45" s="417"/>
      <c r="BM45" s="275"/>
      <c r="BN45" s="284"/>
      <c r="BO45" s="284"/>
      <c r="BP45" s="284"/>
      <c r="BQ45" s="371"/>
      <c r="BR45" s="110">
        <f>SUM(BI45:BQ45)</f>
        <v>1</v>
      </c>
      <c r="BS45" s="275"/>
      <c r="BT45" s="365"/>
      <c r="BU45" s="110">
        <f>SUM(BS45:BT45)</f>
        <v>0</v>
      </c>
      <c r="BV45" s="347"/>
      <c r="BW45" s="331"/>
      <c r="BX45" s="331"/>
      <c r="BY45" s="331"/>
      <c r="BZ45" s="331"/>
      <c r="CA45" s="331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72"/>
      <c r="CM45" s="72"/>
      <c r="CN45" s="72"/>
      <c r="CO45" s="72"/>
      <c r="CP45" s="72"/>
      <c r="CQ45" s="72"/>
      <c r="CR45" s="72"/>
      <c r="CS45" s="72"/>
      <c r="CT45" s="72"/>
      <c r="CU45" s="72"/>
      <c r="CV45" s="75"/>
      <c r="CW45" s="75"/>
      <c r="CX45" s="75"/>
      <c r="CY45" s="75"/>
    </row>
    <row r="46" spans="2:103" ht="20.25" customHeight="1">
      <c r="B46" s="381" t="s">
        <v>219</v>
      </c>
      <c r="C46" s="311" t="s">
        <v>36</v>
      </c>
      <c r="D46" s="275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415"/>
      <c r="W46" s="275"/>
      <c r="X46" s="284"/>
      <c r="Y46" s="284"/>
      <c r="Z46" s="284"/>
      <c r="AA46" s="284"/>
      <c r="AB46" s="284"/>
      <c r="AC46" s="284"/>
      <c r="AD46" s="284"/>
      <c r="AE46" s="276"/>
      <c r="AF46" s="276"/>
      <c r="AG46" s="276"/>
      <c r="AH46" s="276"/>
      <c r="AI46" s="276"/>
      <c r="AJ46" s="284"/>
      <c r="AK46" s="276"/>
      <c r="AL46" s="415"/>
      <c r="AM46" s="365"/>
      <c r="AN46" s="276"/>
      <c r="AO46" s="286"/>
      <c r="AP46" s="276"/>
      <c r="AQ46" s="276"/>
      <c r="AR46" s="276"/>
      <c r="AS46" s="276"/>
      <c r="AT46" s="276"/>
      <c r="AU46" s="276"/>
      <c r="AV46" s="286"/>
      <c r="AW46" s="275"/>
      <c r="AX46" s="284"/>
      <c r="AY46" s="284"/>
      <c r="AZ46" s="415"/>
      <c r="BA46" s="284"/>
      <c r="BB46" s="284"/>
      <c r="BC46" s="284"/>
      <c r="BD46" s="284"/>
      <c r="BE46" s="284"/>
      <c r="BF46" s="371"/>
      <c r="BG46" s="276"/>
      <c r="BH46" s="110">
        <f>SUM(D46:BG46)</f>
        <v>0</v>
      </c>
      <c r="BI46" s="284"/>
      <c r="BJ46" s="284">
        <v>1</v>
      </c>
      <c r="BK46" s="284"/>
      <c r="BL46" s="417"/>
      <c r="BM46" s="275"/>
      <c r="BN46" s="284"/>
      <c r="BO46" s="284"/>
      <c r="BP46" s="284"/>
      <c r="BQ46" s="371"/>
      <c r="BR46" s="110">
        <f>SUM(BI46:BQ46)</f>
        <v>1</v>
      </c>
      <c r="BS46" s="275"/>
      <c r="BT46" s="365"/>
      <c r="BU46" s="110">
        <f t="shared" ref="BU46:BU48" si="13">SUM(BS46:BT46)</f>
        <v>0</v>
      </c>
      <c r="BV46" s="347"/>
      <c r="BW46" s="331"/>
      <c r="BX46" s="331"/>
      <c r="BY46" s="331"/>
      <c r="BZ46" s="331"/>
      <c r="CA46" s="331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72"/>
      <c r="CM46" s="72"/>
      <c r="CN46" s="72"/>
      <c r="CO46" s="72"/>
      <c r="CP46" s="72"/>
      <c r="CQ46" s="72"/>
      <c r="CR46" s="72"/>
      <c r="CS46" s="72"/>
      <c r="CT46" s="72"/>
      <c r="CU46" s="72"/>
      <c r="CV46" s="75"/>
      <c r="CW46" s="75"/>
      <c r="CX46" s="75"/>
      <c r="CY46" s="75"/>
    </row>
    <row r="47" spans="2:103" ht="20.25" customHeight="1">
      <c r="B47" s="381" t="s">
        <v>220</v>
      </c>
      <c r="C47" s="311" t="s">
        <v>36</v>
      </c>
      <c r="D47" s="275"/>
      <c r="E47" s="284"/>
      <c r="F47" s="284"/>
      <c r="G47" s="284"/>
      <c r="H47" s="284"/>
      <c r="I47" s="284"/>
      <c r="J47" s="284"/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415"/>
      <c r="W47" s="275"/>
      <c r="X47" s="284"/>
      <c r="Y47" s="284"/>
      <c r="Z47" s="284"/>
      <c r="AA47" s="284"/>
      <c r="AB47" s="284"/>
      <c r="AC47" s="284"/>
      <c r="AD47" s="284"/>
      <c r="AE47" s="276"/>
      <c r="AF47" s="276"/>
      <c r="AG47" s="276"/>
      <c r="AH47" s="276"/>
      <c r="AI47" s="276"/>
      <c r="AJ47" s="284"/>
      <c r="AK47" s="276"/>
      <c r="AL47" s="415"/>
      <c r="AM47" s="365"/>
      <c r="AN47" s="276"/>
      <c r="AO47" s="286"/>
      <c r="AP47" s="276"/>
      <c r="AQ47" s="276"/>
      <c r="AR47" s="276"/>
      <c r="AS47" s="276"/>
      <c r="AT47" s="276"/>
      <c r="AU47" s="276"/>
      <c r="AV47" s="286"/>
      <c r="AW47" s="275"/>
      <c r="AX47" s="284"/>
      <c r="AY47" s="284"/>
      <c r="AZ47" s="415"/>
      <c r="BA47" s="284"/>
      <c r="BB47" s="284"/>
      <c r="BC47" s="284"/>
      <c r="BD47" s="284"/>
      <c r="BE47" s="284"/>
      <c r="BF47" s="371"/>
      <c r="BG47" s="276"/>
      <c r="BH47" s="110">
        <f>SUM(D47:BG47)</f>
        <v>0</v>
      </c>
      <c r="BI47" s="284"/>
      <c r="BJ47" s="284"/>
      <c r="BK47" s="284">
        <v>1</v>
      </c>
      <c r="BL47" s="417"/>
      <c r="BM47" s="275"/>
      <c r="BN47" s="284"/>
      <c r="BO47" s="284"/>
      <c r="BP47" s="284"/>
      <c r="BQ47" s="371"/>
      <c r="BR47" s="110">
        <f>SUM(BI47:BQ47)</f>
        <v>1</v>
      </c>
      <c r="BS47" s="275"/>
      <c r="BT47" s="365"/>
      <c r="BU47" s="110">
        <f t="shared" si="13"/>
        <v>0</v>
      </c>
      <c r="BV47" s="347"/>
      <c r="BW47" s="331"/>
      <c r="BX47" s="331"/>
      <c r="BY47" s="331"/>
      <c r="BZ47" s="331"/>
      <c r="CA47" s="331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72"/>
      <c r="CM47" s="72"/>
      <c r="CN47" s="72"/>
      <c r="CO47" s="72"/>
      <c r="CP47" s="72"/>
      <c r="CQ47" s="72"/>
      <c r="CR47" s="72"/>
      <c r="CS47" s="72"/>
      <c r="CT47" s="72"/>
      <c r="CU47" s="72"/>
      <c r="CV47" s="75"/>
      <c r="CW47" s="75"/>
      <c r="CX47" s="75"/>
      <c r="CY47" s="75"/>
    </row>
    <row r="48" spans="2:103" ht="20.25" customHeight="1">
      <c r="B48" s="381" t="s">
        <v>221</v>
      </c>
      <c r="C48" s="311" t="s">
        <v>36</v>
      </c>
      <c r="D48" s="275">
        <v>1</v>
      </c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415"/>
      <c r="W48" s="275"/>
      <c r="X48" s="284"/>
      <c r="Y48" s="284"/>
      <c r="Z48" s="284"/>
      <c r="AA48" s="284"/>
      <c r="AB48" s="284"/>
      <c r="AC48" s="284"/>
      <c r="AD48" s="284"/>
      <c r="AE48" s="276"/>
      <c r="AF48" s="276"/>
      <c r="AG48" s="276"/>
      <c r="AH48" s="276"/>
      <c r="AI48" s="276"/>
      <c r="AJ48" s="284"/>
      <c r="AK48" s="276"/>
      <c r="AL48" s="415"/>
      <c r="AM48" s="365"/>
      <c r="AN48" s="276"/>
      <c r="AO48" s="286"/>
      <c r="AP48" s="276"/>
      <c r="AQ48" s="276"/>
      <c r="AR48" s="276"/>
      <c r="AS48" s="276"/>
      <c r="AT48" s="276"/>
      <c r="AU48" s="276"/>
      <c r="AV48" s="286"/>
      <c r="AW48" s="275"/>
      <c r="AX48" s="284"/>
      <c r="AY48" s="284"/>
      <c r="AZ48" s="415"/>
      <c r="BA48" s="284"/>
      <c r="BB48" s="284"/>
      <c r="BC48" s="284"/>
      <c r="BD48" s="284"/>
      <c r="BE48" s="284"/>
      <c r="BF48" s="371"/>
      <c r="BG48" s="276"/>
      <c r="BH48" s="110">
        <f>SUM(D48:BG48)</f>
        <v>1</v>
      </c>
      <c r="BI48" s="284"/>
      <c r="BJ48" s="284"/>
      <c r="BK48" s="284"/>
      <c r="BL48" s="417"/>
      <c r="BM48" s="275"/>
      <c r="BN48" s="284"/>
      <c r="BO48" s="284"/>
      <c r="BP48" s="284"/>
      <c r="BQ48" s="371"/>
      <c r="BR48" s="110">
        <f>SUM(BI48:BQ48)</f>
        <v>0</v>
      </c>
      <c r="BS48" s="275"/>
      <c r="BT48" s="365"/>
      <c r="BU48" s="110">
        <f t="shared" si="13"/>
        <v>0</v>
      </c>
      <c r="BV48" s="347"/>
      <c r="BW48" s="331"/>
      <c r="BX48" s="331"/>
      <c r="BY48" s="331"/>
      <c r="BZ48" s="331"/>
      <c r="CA48" s="331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  <c r="CO48" s="72"/>
      <c r="CP48" s="72"/>
      <c r="CQ48" s="72"/>
      <c r="CR48" s="72"/>
      <c r="CS48" s="72"/>
      <c r="CT48" s="72"/>
      <c r="CU48" s="72"/>
      <c r="CV48" s="75"/>
      <c r="CW48" s="75"/>
      <c r="CX48" s="75"/>
      <c r="CY48" s="75"/>
    </row>
    <row r="49" spans="1:103" ht="20.25" customHeight="1">
      <c r="B49" s="282"/>
      <c r="C49" s="97"/>
      <c r="D49" s="98"/>
      <c r="E49" s="274"/>
      <c r="F49" s="274"/>
      <c r="G49" s="274"/>
      <c r="H49" s="274"/>
      <c r="I49" s="274"/>
      <c r="J49" s="274"/>
      <c r="K49" s="274"/>
      <c r="L49" s="274"/>
      <c r="M49" s="274"/>
      <c r="N49" s="274"/>
      <c r="O49" s="274"/>
      <c r="P49" s="274"/>
      <c r="Q49" s="274"/>
      <c r="R49" s="274"/>
      <c r="S49" s="99"/>
      <c r="T49" s="99"/>
      <c r="U49" s="99"/>
      <c r="V49" s="405"/>
      <c r="W49" s="98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405"/>
      <c r="AM49" s="297"/>
      <c r="AN49" s="285"/>
      <c r="AO49" s="285"/>
      <c r="AP49" s="99"/>
      <c r="AQ49" s="99"/>
      <c r="AR49" s="99"/>
      <c r="AS49" s="99"/>
      <c r="AT49" s="99"/>
      <c r="AU49" s="99"/>
      <c r="AV49" s="285"/>
      <c r="AW49" s="98"/>
      <c r="AX49" s="99"/>
      <c r="AY49" s="99"/>
      <c r="AZ49" s="405"/>
      <c r="BA49" s="274"/>
      <c r="BB49" s="99"/>
      <c r="BC49" s="99"/>
      <c r="BD49" s="99"/>
      <c r="BE49" s="99"/>
      <c r="BF49" s="285"/>
      <c r="BG49" s="285"/>
      <c r="BH49" s="100"/>
      <c r="BI49" s="274"/>
      <c r="BJ49" s="99"/>
      <c r="BK49" s="99"/>
      <c r="BL49" s="405"/>
      <c r="BM49" s="98"/>
      <c r="BN49" s="274"/>
      <c r="BO49" s="274"/>
      <c r="BP49" s="274"/>
      <c r="BQ49" s="384"/>
      <c r="BR49" s="301"/>
      <c r="BS49" s="98"/>
      <c r="BT49" s="297"/>
      <c r="BU49" s="100"/>
      <c r="BV49" s="351"/>
      <c r="BW49" s="317"/>
      <c r="BX49" s="317"/>
      <c r="BY49" s="317"/>
      <c r="BZ49" s="317"/>
      <c r="CA49" s="317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72"/>
      <c r="CM49" s="72"/>
      <c r="CN49" s="72"/>
      <c r="CO49" s="72"/>
      <c r="CP49" s="72"/>
      <c r="CQ49" s="72"/>
      <c r="CR49" s="72"/>
      <c r="CS49" s="72"/>
      <c r="CT49" s="72"/>
      <c r="CU49" s="72"/>
      <c r="CV49" s="75"/>
      <c r="CW49" s="75"/>
      <c r="CX49" s="75"/>
      <c r="CY49" s="75"/>
    </row>
    <row r="50" spans="1:103" s="72" customFormat="1" ht="20.25" customHeight="1">
      <c r="B50" s="101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Q50" s="77"/>
      <c r="BR50" s="77"/>
      <c r="BS50" s="77"/>
      <c r="BT50" s="77"/>
      <c r="BU50" s="77"/>
      <c r="BV50" s="77"/>
      <c r="BW50" s="77"/>
      <c r="BX50" s="77"/>
      <c r="BY50" s="77"/>
      <c r="BZ50" s="77"/>
      <c r="CA50" s="77"/>
      <c r="CB50" s="77"/>
      <c r="CC50" s="77"/>
      <c r="CD50" s="77"/>
      <c r="CE50" s="77"/>
      <c r="CF50" s="77"/>
      <c r="CG50" s="77"/>
      <c r="CH50" s="77"/>
      <c r="CI50" s="77"/>
      <c r="CJ50" s="77"/>
      <c r="CK50" s="77"/>
      <c r="CL50" s="77"/>
      <c r="CM50" s="77"/>
      <c r="CN50" s="77"/>
      <c r="CO50" s="77"/>
      <c r="CP50" s="77"/>
      <c r="CQ50" s="77"/>
      <c r="CR50" s="77"/>
      <c r="CS50" s="78"/>
      <c r="CU50" s="102"/>
      <c r="CV50" s="102"/>
      <c r="CW50" s="102"/>
      <c r="CX50" s="102"/>
      <c r="CY50" s="102"/>
    </row>
    <row r="51" spans="1:103" s="72" customFormat="1" ht="20.25" customHeight="1">
      <c r="B51" s="101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77"/>
      <c r="BQ51" s="77"/>
      <c r="BR51" s="77"/>
      <c r="BS51" s="77"/>
      <c r="BT51" s="77"/>
      <c r="BU51" s="77"/>
      <c r="BV51" s="77"/>
      <c r="BW51" s="77"/>
      <c r="BX51" s="77"/>
      <c r="BY51" s="77"/>
      <c r="BZ51" s="77"/>
      <c r="CA51" s="77"/>
      <c r="CB51" s="77"/>
      <c r="CC51" s="77"/>
      <c r="CD51" s="77"/>
      <c r="CE51" s="77"/>
      <c r="CF51" s="77"/>
      <c r="CG51" s="77"/>
      <c r="CH51" s="77"/>
      <c r="CI51" s="77"/>
      <c r="CJ51" s="77"/>
      <c r="CK51" s="77"/>
      <c r="CL51" s="77"/>
      <c r="CM51" s="77"/>
      <c r="CN51" s="77"/>
      <c r="CO51" s="77"/>
      <c r="CP51" s="77"/>
      <c r="CQ51" s="77"/>
      <c r="CR51" s="77"/>
      <c r="CS51" s="78"/>
      <c r="CU51" s="102"/>
      <c r="CV51" s="102"/>
      <c r="CW51" s="102"/>
      <c r="CX51" s="102"/>
      <c r="CY51" s="102"/>
    </row>
    <row r="52" spans="1:103" ht="20.25" customHeight="1">
      <c r="B52" s="471" t="s">
        <v>28</v>
      </c>
      <c r="C52" s="471" t="s">
        <v>29</v>
      </c>
      <c r="D52" s="485" t="s">
        <v>123</v>
      </c>
      <c r="E52" s="486"/>
      <c r="F52" s="486"/>
      <c r="G52" s="486"/>
      <c r="H52" s="486"/>
      <c r="I52" s="486"/>
      <c r="J52" s="486"/>
      <c r="K52" s="487"/>
      <c r="L52" s="481" t="s">
        <v>126</v>
      </c>
      <c r="M52" s="343"/>
      <c r="N52" s="467" t="s">
        <v>31</v>
      </c>
      <c r="O52" s="467" t="s">
        <v>32</v>
      </c>
      <c r="P52" s="467" t="s">
        <v>33</v>
      </c>
      <c r="Q52" s="467" t="s">
        <v>34</v>
      </c>
      <c r="R52" s="339"/>
      <c r="S52" s="339"/>
      <c r="T52" s="339"/>
      <c r="U52" s="339"/>
      <c r="V52" s="339"/>
      <c r="W52" s="339"/>
      <c r="X52" s="339"/>
      <c r="Y52" s="339"/>
      <c r="Z52" s="339"/>
      <c r="AA52" s="339"/>
      <c r="AB52" s="339"/>
      <c r="AC52" s="339"/>
      <c r="AD52" s="339"/>
      <c r="AE52" s="339"/>
      <c r="AF52" s="339"/>
      <c r="AG52" s="339"/>
      <c r="AH52" s="339"/>
      <c r="AI52" s="343"/>
      <c r="AJ52" s="343"/>
      <c r="AK52" s="343"/>
      <c r="AL52" s="343"/>
      <c r="AM52" s="343"/>
      <c r="AN52" s="343"/>
      <c r="AO52" s="343"/>
      <c r="AP52" s="343"/>
      <c r="AQ52" s="343"/>
      <c r="AR52" s="343"/>
      <c r="AS52" s="339"/>
      <c r="AT52" s="339"/>
      <c r="AU52" s="339"/>
      <c r="AV52" s="339"/>
      <c r="AW52" s="339"/>
      <c r="AX52" s="339"/>
      <c r="AY52" s="339"/>
      <c r="AZ52" s="339"/>
      <c r="BA52" s="339"/>
      <c r="BB52" s="339"/>
      <c r="BC52" s="339"/>
      <c r="BD52" s="343"/>
      <c r="BE52" s="343"/>
      <c r="BF52" s="343"/>
      <c r="BG52" s="343"/>
      <c r="BH52" s="343"/>
      <c r="BI52" s="343"/>
      <c r="BJ52" s="343"/>
      <c r="BK52" s="343"/>
      <c r="BL52" s="343"/>
      <c r="BM52" s="343"/>
      <c r="BN52" s="343"/>
      <c r="BO52" s="343"/>
      <c r="BP52" s="470"/>
      <c r="BQ52" s="315"/>
      <c r="BR52" s="467"/>
      <c r="BS52" s="467"/>
      <c r="BT52" s="467"/>
      <c r="BU52" s="467"/>
      <c r="BV52" s="315"/>
      <c r="BW52" s="72"/>
      <c r="BX52" s="72"/>
      <c r="BY52" s="72"/>
      <c r="BZ52" s="72"/>
      <c r="CA52" s="72"/>
      <c r="CB52" s="72"/>
      <c r="CC52" s="72"/>
      <c r="CD52" s="72"/>
      <c r="CE52" s="72"/>
      <c r="CF52" s="72"/>
      <c r="CG52" s="72"/>
      <c r="CH52" s="72"/>
      <c r="CI52" s="72"/>
      <c r="CJ52" s="72"/>
      <c r="CK52" s="72"/>
      <c r="CL52" s="72"/>
      <c r="CM52" s="72"/>
      <c r="CN52" s="72"/>
      <c r="CO52" s="72"/>
      <c r="CP52" s="72"/>
      <c r="CQ52" s="75"/>
      <c r="CR52" s="75"/>
      <c r="CS52" s="75"/>
      <c r="CU52" s="75"/>
      <c r="CV52" s="75"/>
      <c r="CW52" s="75"/>
      <c r="CX52" s="75"/>
      <c r="CY52" s="75"/>
    </row>
    <row r="53" spans="1:103" s="82" customFormat="1" ht="24.95" customHeight="1">
      <c r="A53" s="81"/>
      <c r="B53" s="472"/>
      <c r="C53" s="472"/>
      <c r="D53" s="425" t="s">
        <v>223</v>
      </c>
      <c r="E53" s="482" t="s">
        <v>224</v>
      </c>
      <c r="F53" s="483"/>
      <c r="G53" s="483"/>
      <c r="H53" s="483"/>
      <c r="I53" s="483"/>
      <c r="J53" s="484"/>
      <c r="K53" s="426" t="s">
        <v>225</v>
      </c>
      <c r="L53" s="481"/>
      <c r="M53" s="343"/>
      <c r="N53" s="467"/>
      <c r="O53" s="467"/>
      <c r="P53" s="467"/>
      <c r="Q53" s="467"/>
      <c r="R53" s="339"/>
      <c r="S53" s="339"/>
      <c r="T53" s="339"/>
      <c r="U53" s="339"/>
      <c r="V53" s="339"/>
      <c r="W53" s="339"/>
      <c r="X53" s="339"/>
      <c r="Y53" s="339"/>
      <c r="Z53" s="339"/>
      <c r="AA53" s="339"/>
      <c r="AB53" s="339"/>
      <c r="AC53" s="339"/>
      <c r="AD53" s="339"/>
      <c r="AE53" s="339"/>
      <c r="AF53" s="339"/>
      <c r="AG53" s="339"/>
      <c r="AH53" s="339"/>
      <c r="AI53" s="343"/>
      <c r="AJ53" s="343"/>
      <c r="AK53" s="343"/>
      <c r="AL53" s="343"/>
      <c r="AM53" s="343"/>
      <c r="AN53" s="343"/>
      <c r="AO53" s="343"/>
      <c r="AP53" s="343"/>
      <c r="AQ53" s="343"/>
      <c r="AR53" s="343"/>
      <c r="AS53" s="339"/>
      <c r="AT53" s="339"/>
      <c r="AU53" s="339"/>
      <c r="AV53" s="339"/>
      <c r="AW53" s="339"/>
      <c r="AX53" s="339"/>
      <c r="AY53" s="339"/>
      <c r="AZ53" s="339"/>
      <c r="BA53" s="339"/>
      <c r="BB53" s="339"/>
      <c r="BC53" s="339"/>
      <c r="BD53" s="343"/>
      <c r="BE53" s="343"/>
      <c r="BF53" s="343"/>
      <c r="BG53" s="343"/>
      <c r="BH53" s="343"/>
      <c r="BI53" s="343"/>
      <c r="BJ53" s="343"/>
      <c r="BK53" s="343"/>
      <c r="BL53" s="343"/>
      <c r="BM53" s="343"/>
      <c r="BN53" s="343"/>
      <c r="BO53" s="343"/>
      <c r="BP53" s="470"/>
      <c r="BQ53" s="315"/>
      <c r="BR53" s="467"/>
      <c r="BS53" s="467"/>
      <c r="BT53" s="467"/>
      <c r="BU53" s="467"/>
      <c r="BV53" s="315"/>
      <c r="BW53" s="81"/>
      <c r="BX53" s="81"/>
      <c r="BY53" s="81"/>
      <c r="BZ53" s="81"/>
      <c r="CA53" s="81"/>
      <c r="CB53" s="81"/>
      <c r="CC53" s="81"/>
      <c r="CD53" s="81"/>
      <c r="CE53" s="81"/>
      <c r="CF53" s="81"/>
      <c r="CG53" s="81"/>
      <c r="CH53" s="81"/>
      <c r="CI53" s="81"/>
      <c r="CJ53" s="81"/>
      <c r="CK53" s="81"/>
      <c r="CL53" s="81"/>
      <c r="CM53" s="81"/>
      <c r="CN53" s="81"/>
      <c r="CO53" s="81"/>
      <c r="CP53" s="81"/>
    </row>
    <row r="54" spans="1:103" ht="30" customHeight="1">
      <c r="B54" s="473"/>
      <c r="C54" s="473"/>
      <c r="D54" s="427" t="s">
        <v>141</v>
      </c>
      <c r="E54" s="379" t="s">
        <v>149</v>
      </c>
      <c r="F54" s="379" t="s">
        <v>150</v>
      </c>
      <c r="G54" s="379" t="s">
        <v>154</v>
      </c>
      <c r="H54" s="379" t="s">
        <v>175</v>
      </c>
      <c r="I54" s="379" t="s">
        <v>176</v>
      </c>
      <c r="J54" s="379" t="s">
        <v>177</v>
      </c>
      <c r="K54" s="406" t="s">
        <v>152</v>
      </c>
      <c r="L54" s="481"/>
      <c r="M54" s="339"/>
      <c r="N54" s="467"/>
      <c r="O54" s="467"/>
      <c r="P54" s="467"/>
      <c r="Q54" s="467"/>
      <c r="R54" s="339"/>
      <c r="S54" s="339"/>
      <c r="T54" s="339"/>
      <c r="U54" s="339"/>
      <c r="V54" s="339"/>
      <c r="W54" s="339"/>
      <c r="X54" s="339"/>
      <c r="Y54" s="339"/>
      <c r="Z54" s="339"/>
      <c r="AA54" s="339"/>
      <c r="AB54" s="339"/>
      <c r="AC54" s="339"/>
      <c r="AD54" s="339"/>
      <c r="AE54" s="339"/>
      <c r="AF54" s="339"/>
      <c r="AG54" s="339"/>
      <c r="AH54" s="339"/>
      <c r="AI54" s="348"/>
      <c r="AJ54" s="348"/>
      <c r="AK54" s="348"/>
      <c r="AL54" s="348"/>
      <c r="AM54" s="348"/>
      <c r="AN54" s="348"/>
      <c r="AO54" s="348"/>
      <c r="AP54" s="348"/>
      <c r="AQ54" s="348"/>
      <c r="AR54" s="348"/>
      <c r="AS54" s="339"/>
      <c r="AT54" s="339"/>
      <c r="AU54" s="339"/>
      <c r="AV54" s="339"/>
      <c r="AW54" s="339"/>
      <c r="AX54" s="339"/>
      <c r="AY54" s="339"/>
      <c r="AZ54" s="339"/>
      <c r="BA54" s="339"/>
      <c r="BB54" s="339"/>
      <c r="BC54" s="339"/>
      <c r="BD54" s="348"/>
      <c r="BE54" s="348"/>
      <c r="BF54" s="348"/>
      <c r="BG54" s="348"/>
      <c r="BH54" s="348"/>
      <c r="BI54" s="348"/>
      <c r="BJ54" s="348"/>
      <c r="BK54" s="348"/>
      <c r="BL54" s="348"/>
      <c r="BM54" s="348"/>
      <c r="BN54" s="339"/>
      <c r="BO54" s="339"/>
      <c r="BP54" s="470"/>
      <c r="BQ54" s="315"/>
      <c r="BR54" s="467"/>
      <c r="BS54" s="467"/>
      <c r="BT54" s="467"/>
      <c r="BU54" s="467"/>
      <c r="BV54" s="315"/>
      <c r="BW54" s="72"/>
      <c r="BX54" s="72"/>
      <c r="BY54" s="72"/>
      <c r="BZ54" s="72"/>
      <c r="CA54" s="72"/>
      <c r="CB54" s="72"/>
      <c r="CC54" s="72"/>
      <c r="CD54" s="72"/>
      <c r="CE54" s="72"/>
      <c r="CF54" s="72"/>
      <c r="CG54" s="72"/>
      <c r="CH54" s="72"/>
      <c r="CI54" s="72"/>
      <c r="CJ54" s="72"/>
      <c r="CK54" s="72"/>
      <c r="CL54" s="72"/>
      <c r="CM54" s="72"/>
      <c r="CN54" s="72"/>
      <c r="CO54" s="72"/>
      <c r="CP54" s="72"/>
      <c r="CQ54" s="75"/>
      <c r="CR54" s="75"/>
      <c r="CS54" s="75"/>
      <c r="CU54" s="75"/>
      <c r="CV54" s="75"/>
      <c r="CW54" s="75"/>
      <c r="CX54" s="75"/>
      <c r="CY54" s="75"/>
    </row>
    <row r="55" spans="1:103" ht="24.95" customHeight="1">
      <c r="B55" s="340" t="s">
        <v>24</v>
      </c>
      <c r="C55" s="338"/>
      <c r="D55" s="388"/>
      <c r="E55" s="388"/>
      <c r="F55" s="380"/>
      <c r="G55" s="380"/>
      <c r="H55" s="380"/>
      <c r="I55" s="380"/>
      <c r="J55" s="394"/>
      <c r="K55" s="431"/>
      <c r="L55" s="341"/>
      <c r="M55" s="78"/>
      <c r="N55" s="7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2"/>
      <c r="BD55" s="78"/>
      <c r="BE55" s="78"/>
      <c r="BF55" s="78"/>
      <c r="BG55" s="78"/>
      <c r="BH55" s="78"/>
      <c r="BI55" s="78"/>
      <c r="BJ55" s="78"/>
      <c r="BK55" s="78"/>
      <c r="BL55" s="78"/>
      <c r="BM55" s="357"/>
      <c r="BN55" s="357"/>
      <c r="BO55" s="357"/>
      <c r="BP55" s="316"/>
      <c r="BQ55" s="102"/>
      <c r="BR55" s="72"/>
      <c r="BS55" s="102"/>
      <c r="BT55" s="102"/>
      <c r="BU55" s="102"/>
      <c r="BV55" s="102"/>
      <c r="BW55" s="72"/>
      <c r="BX55" s="72"/>
      <c r="BY55" s="72"/>
      <c r="BZ55" s="72"/>
      <c r="CA55" s="72"/>
      <c r="CB55" s="72"/>
      <c r="CC55" s="72"/>
      <c r="CD55" s="72"/>
      <c r="CE55" s="72"/>
      <c r="CF55" s="72"/>
      <c r="CG55" s="72"/>
      <c r="CH55" s="72"/>
      <c r="CI55" s="72"/>
      <c r="CJ55" s="72"/>
      <c r="CK55" s="72"/>
      <c r="CL55" s="72"/>
      <c r="CM55" s="72"/>
      <c r="CN55" s="72"/>
      <c r="CO55" s="72"/>
      <c r="CP55" s="72"/>
      <c r="CQ55" s="75"/>
      <c r="CR55" s="75"/>
      <c r="CS55" s="75"/>
      <c r="CU55" s="75"/>
      <c r="CV55" s="75"/>
      <c r="CW55" s="75"/>
      <c r="CX55" s="75"/>
      <c r="CY55" s="75"/>
    </row>
    <row r="56" spans="1:103" ht="20.25" customHeight="1">
      <c r="B56" s="278" t="s">
        <v>25</v>
      </c>
      <c r="C56" s="87"/>
      <c r="D56" s="296"/>
      <c r="E56" s="296"/>
      <c r="F56" s="89"/>
      <c r="G56" s="89"/>
      <c r="H56" s="89"/>
      <c r="I56" s="89"/>
      <c r="J56" s="395"/>
      <c r="K56" s="407"/>
      <c r="L56" s="111"/>
      <c r="M56" s="78"/>
      <c r="N56" s="302">
        <v>10</v>
      </c>
      <c r="O56" s="302">
        <v>10</v>
      </c>
      <c r="P56" s="302">
        <v>10</v>
      </c>
      <c r="Q56" s="302">
        <v>0</v>
      </c>
      <c r="R56" s="302"/>
      <c r="S56" s="302"/>
      <c r="T56" s="302"/>
      <c r="U56" s="302"/>
      <c r="V56" s="302"/>
      <c r="W56" s="302"/>
      <c r="X56" s="302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302"/>
      <c r="AT56" s="302"/>
      <c r="AU56" s="302"/>
      <c r="AV56" s="302"/>
      <c r="AW56" s="302"/>
      <c r="AX56" s="302"/>
      <c r="AY56" s="302"/>
      <c r="AZ56" s="302"/>
      <c r="BA56" s="302"/>
      <c r="BB56" s="302"/>
      <c r="BC56" s="302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316"/>
      <c r="BQ56" s="302"/>
      <c r="BR56" s="302"/>
      <c r="BS56" s="302"/>
      <c r="BT56" s="302"/>
      <c r="BU56" s="302"/>
      <c r="BV56" s="302"/>
      <c r="BW56" s="72"/>
      <c r="BX56" s="72"/>
      <c r="BY56" s="72"/>
      <c r="BZ56" s="72"/>
      <c r="CA56" s="72"/>
      <c r="CB56" s="72"/>
      <c r="CC56" s="72"/>
      <c r="CD56" s="72"/>
      <c r="CE56" s="72"/>
      <c r="CF56" s="72"/>
      <c r="CG56" s="72"/>
      <c r="CH56" s="72"/>
      <c r="CI56" s="72"/>
      <c r="CJ56" s="72"/>
      <c r="CK56" s="72"/>
      <c r="CL56" s="72"/>
      <c r="CM56" s="72"/>
      <c r="CN56" s="72"/>
      <c r="CO56" s="72"/>
      <c r="CP56" s="72"/>
      <c r="CQ56" s="75"/>
      <c r="CR56" s="75"/>
      <c r="CS56" s="75"/>
      <c r="CU56" s="75"/>
      <c r="CV56" s="75"/>
      <c r="CW56" s="75"/>
      <c r="CX56" s="75"/>
      <c r="CY56" s="75"/>
    </row>
    <row r="57" spans="1:103" ht="20.25" customHeight="1">
      <c r="B57" s="279" t="s">
        <v>180</v>
      </c>
      <c r="C57" s="90" t="s">
        <v>35</v>
      </c>
      <c r="D57" s="362">
        <f>500+D62*$N$56+D63*$N$56*9+$P$56</f>
        <v>600</v>
      </c>
      <c r="E57" s="362">
        <f>80+E62*$N$56+E63*$N$56*9+$P$56</f>
        <v>110</v>
      </c>
      <c r="F57" s="360">
        <f>90+F62*$N$56+F63*$N$56*9+$P$56</f>
        <v>100</v>
      </c>
      <c r="G57" s="360">
        <f>100+G62*$N$56+G63*$N$56*9+$P$56</f>
        <v>110</v>
      </c>
      <c r="H57" s="360">
        <f>190+H62*$N$56+H63*$N$56*9+$P$56</f>
        <v>200</v>
      </c>
      <c r="I57" s="360">
        <f>90+I62*$N$56+I63*$N$56*9+$P$56</f>
        <v>100</v>
      </c>
      <c r="J57" s="396">
        <f>90+J62*$N$56+J63*$N$56*9+$P$56</f>
        <v>100</v>
      </c>
      <c r="K57" s="273">
        <f>60+K62*$N$56+K63*$N$56*9+$P$56</f>
        <v>70</v>
      </c>
      <c r="L57" s="110">
        <f>SUM(D57:K57)</f>
        <v>1390</v>
      </c>
      <c r="M57" s="331"/>
      <c r="N57" s="331"/>
      <c r="O57" s="331"/>
      <c r="P57" s="331"/>
      <c r="Q57" s="331"/>
      <c r="R57" s="331"/>
      <c r="S57" s="331"/>
      <c r="T57" s="331"/>
      <c r="U57" s="331"/>
      <c r="V57" s="331"/>
      <c r="W57" s="331"/>
      <c r="X57" s="331"/>
      <c r="Y57" s="331"/>
      <c r="Z57" s="331"/>
      <c r="AA57" s="331"/>
      <c r="AB57" s="331"/>
      <c r="AC57" s="331"/>
      <c r="AD57" s="331"/>
      <c r="AE57" s="331"/>
      <c r="AF57" s="331"/>
      <c r="AG57" s="331"/>
      <c r="AH57" s="331"/>
      <c r="AI57" s="331"/>
      <c r="AJ57" s="331"/>
      <c r="AK57" s="331"/>
      <c r="AL57" s="331"/>
      <c r="AM57" s="331"/>
      <c r="AN57" s="331"/>
      <c r="AO57" s="331"/>
      <c r="AP57" s="331"/>
      <c r="AQ57" s="331"/>
      <c r="AR57" s="331"/>
      <c r="AS57" s="331"/>
      <c r="AT57" s="331"/>
      <c r="AU57" s="331"/>
      <c r="AV57" s="331"/>
      <c r="AW57" s="331"/>
      <c r="AX57" s="331"/>
      <c r="AY57" s="331"/>
      <c r="AZ57" s="331"/>
      <c r="BA57" s="331"/>
      <c r="BB57" s="331"/>
      <c r="BC57" s="331"/>
      <c r="BD57" s="331"/>
      <c r="BE57" s="331"/>
      <c r="BF57" s="331"/>
      <c r="BG57" s="331"/>
      <c r="BH57" s="331"/>
      <c r="BI57" s="331"/>
      <c r="BJ57" s="331"/>
      <c r="BK57" s="331"/>
      <c r="BL57" s="331"/>
      <c r="BM57" s="331"/>
      <c r="BN57" s="331"/>
      <c r="BO57" s="331"/>
      <c r="BP57" s="316"/>
      <c r="BQ57" s="102"/>
      <c r="BR57" s="102"/>
      <c r="BS57" s="102"/>
      <c r="BT57" s="102"/>
      <c r="BU57" s="102"/>
      <c r="BV57" s="102"/>
      <c r="BW57" s="72"/>
      <c r="BX57" s="72"/>
      <c r="BY57" s="72"/>
      <c r="BZ57" s="72"/>
      <c r="CA57" s="72"/>
      <c r="CB57" s="72"/>
      <c r="CC57" s="72"/>
      <c r="CD57" s="72"/>
      <c r="CE57" s="72"/>
      <c r="CF57" s="72"/>
      <c r="CG57" s="72"/>
      <c r="CH57" s="72"/>
      <c r="CI57" s="72"/>
      <c r="CJ57" s="72"/>
      <c r="CK57" s="72"/>
      <c r="CL57" s="72"/>
      <c r="CM57" s="72"/>
      <c r="CN57" s="72"/>
      <c r="CO57" s="72"/>
      <c r="CP57" s="72"/>
      <c r="CQ57" s="75"/>
      <c r="CR57" s="75"/>
      <c r="CS57" s="75"/>
      <c r="CU57" s="75"/>
      <c r="CV57" s="75"/>
      <c r="CW57" s="75"/>
      <c r="CX57" s="75"/>
      <c r="CY57" s="75"/>
    </row>
    <row r="58" spans="1:103" ht="20.25" customHeight="1">
      <c r="B58" s="280" t="s">
        <v>22</v>
      </c>
      <c r="C58" s="87"/>
      <c r="D58" s="389"/>
      <c r="E58" s="389"/>
      <c r="F58" s="91"/>
      <c r="G58" s="91"/>
      <c r="H58" s="91"/>
      <c r="I58" s="91"/>
      <c r="J58" s="397"/>
      <c r="K58" s="329"/>
      <c r="L58" s="111"/>
      <c r="M58" s="331"/>
      <c r="N58" s="331"/>
      <c r="O58" s="331"/>
      <c r="P58" s="331"/>
      <c r="Q58" s="331"/>
      <c r="R58" s="331"/>
      <c r="S58" s="331"/>
      <c r="T58" s="331"/>
      <c r="U58" s="331"/>
      <c r="V58" s="331"/>
      <c r="W58" s="331"/>
      <c r="X58" s="331"/>
      <c r="Y58" s="331"/>
      <c r="Z58" s="331"/>
      <c r="AA58" s="331"/>
      <c r="AB58" s="331"/>
      <c r="AC58" s="331"/>
      <c r="AD58" s="331"/>
      <c r="AE58" s="331"/>
      <c r="AF58" s="331"/>
      <c r="AG58" s="331"/>
      <c r="AH58" s="331"/>
      <c r="AI58" s="331"/>
      <c r="AJ58" s="331"/>
      <c r="AK58" s="331"/>
      <c r="AL58" s="331"/>
      <c r="AM58" s="331"/>
      <c r="AN58" s="331"/>
      <c r="AO58" s="331"/>
      <c r="AP58" s="331"/>
      <c r="AQ58" s="331"/>
      <c r="AR58" s="331"/>
      <c r="AS58" s="331"/>
      <c r="AT58" s="331"/>
      <c r="AU58" s="331"/>
      <c r="AV58" s="331"/>
      <c r="AW58" s="331"/>
      <c r="AX58" s="331"/>
      <c r="AY58" s="331"/>
      <c r="AZ58" s="331"/>
      <c r="BA58" s="331"/>
      <c r="BB58" s="331"/>
      <c r="BC58" s="331"/>
      <c r="BD58" s="331"/>
      <c r="BE58" s="331"/>
      <c r="BF58" s="331"/>
      <c r="BG58" s="331"/>
      <c r="BH58" s="331"/>
      <c r="BI58" s="331"/>
      <c r="BJ58" s="331"/>
      <c r="BK58" s="331"/>
      <c r="BL58" s="331"/>
      <c r="BM58" s="331"/>
      <c r="BN58" s="331"/>
      <c r="BO58" s="331"/>
      <c r="BP58" s="316"/>
      <c r="BQ58" s="102"/>
      <c r="BR58" s="102"/>
      <c r="BS58" s="102"/>
      <c r="BT58" s="102"/>
      <c r="BU58" s="102"/>
      <c r="BV58" s="102"/>
      <c r="BW58" s="72"/>
      <c r="BX58" s="72"/>
      <c r="BY58" s="72"/>
      <c r="BZ58" s="72"/>
      <c r="CA58" s="72"/>
      <c r="CB58" s="72"/>
      <c r="CC58" s="72"/>
      <c r="CD58" s="72"/>
      <c r="CE58" s="72"/>
      <c r="CF58" s="72"/>
      <c r="CG58" s="72"/>
      <c r="CH58" s="72"/>
      <c r="CI58" s="72"/>
      <c r="CJ58" s="72"/>
      <c r="CK58" s="72"/>
      <c r="CL58" s="72"/>
      <c r="CM58" s="72"/>
      <c r="CN58" s="72"/>
      <c r="CO58" s="72"/>
      <c r="CP58" s="72"/>
      <c r="CQ58" s="75"/>
      <c r="CR58" s="75"/>
      <c r="CS58" s="75"/>
      <c r="CU58" s="75"/>
      <c r="CV58" s="75"/>
      <c r="CW58" s="75"/>
      <c r="CX58" s="75"/>
      <c r="CY58" s="75"/>
    </row>
    <row r="59" spans="1:103" ht="20.25" customHeight="1">
      <c r="B59" s="281" t="s">
        <v>127</v>
      </c>
      <c r="C59" s="90" t="s">
        <v>35</v>
      </c>
      <c r="D59" s="362">
        <f t="shared" ref="D59:J59" si="14">+((SUM(D62:D76)-D63)*$O$56+D63*$O$56*9+$Q$56*2+D57)</f>
        <v>860</v>
      </c>
      <c r="E59" s="362">
        <f t="shared" si="14"/>
        <v>200</v>
      </c>
      <c r="F59" s="360">
        <f t="shared" si="14"/>
        <v>180</v>
      </c>
      <c r="G59" s="360">
        <f t="shared" si="14"/>
        <v>480</v>
      </c>
      <c r="H59" s="360">
        <f t="shared" si="14"/>
        <v>380</v>
      </c>
      <c r="I59" s="360">
        <f t="shared" si="14"/>
        <v>110</v>
      </c>
      <c r="J59" s="396">
        <f t="shared" si="14"/>
        <v>110</v>
      </c>
      <c r="K59" s="273">
        <f>+(K61*$O$56+$Q$56*2+K57)</f>
        <v>80</v>
      </c>
      <c r="L59" s="110">
        <f>SUM(D59:K59)</f>
        <v>2400</v>
      </c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W59" s="331"/>
      <c r="X59" s="331"/>
      <c r="Y59" s="331"/>
      <c r="Z59" s="331"/>
      <c r="AA59" s="331"/>
      <c r="AB59" s="331"/>
      <c r="AC59" s="331"/>
      <c r="AD59" s="331"/>
      <c r="AE59" s="331"/>
      <c r="AF59" s="331"/>
      <c r="AG59" s="331"/>
      <c r="AH59" s="331"/>
      <c r="AI59" s="331"/>
      <c r="AJ59" s="331"/>
      <c r="AK59" s="331"/>
      <c r="AL59" s="331"/>
      <c r="AM59" s="331"/>
      <c r="AN59" s="331"/>
      <c r="AO59" s="331"/>
      <c r="AP59" s="331"/>
      <c r="AQ59" s="331"/>
      <c r="AR59" s="331"/>
      <c r="AS59" s="331"/>
      <c r="AT59" s="331"/>
      <c r="AU59" s="331"/>
      <c r="AV59" s="331"/>
      <c r="AW59" s="331"/>
      <c r="AX59" s="331"/>
      <c r="AY59" s="331"/>
      <c r="AZ59" s="331"/>
      <c r="BA59" s="331"/>
      <c r="BB59" s="331"/>
      <c r="BC59" s="331"/>
      <c r="BD59" s="331"/>
      <c r="BE59" s="331"/>
      <c r="BF59" s="331"/>
      <c r="BG59" s="331"/>
      <c r="BH59" s="331"/>
      <c r="BI59" s="331"/>
      <c r="BJ59" s="331"/>
      <c r="BK59" s="331"/>
      <c r="BL59" s="331"/>
      <c r="BM59" s="331"/>
      <c r="BN59" s="331"/>
      <c r="BO59" s="331"/>
      <c r="BP59" s="316"/>
      <c r="BQ59" s="102"/>
      <c r="BR59" s="102"/>
      <c r="BS59" s="102"/>
      <c r="BT59" s="102"/>
      <c r="BU59" s="102"/>
      <c r="BV59" s="102"/>
      <c r="BW59" s="72"/>
      <c r="BX59" s="72"/>
      <c r="BY59" s="72"/>
      <c r="BZ59" s="72"/>
      <c r="CA59" s="72"/>
      <c r="CB59" s="72"/>
      <c r="CC59" s="72"/>
      <c r="CD59" s="72"/>
      <c r="CE59" s="72"/>
      <c r="CF59" s="72"/>
      <c r="CG59" s="72"/>
      <c r="CH59" s="72"/>
      <c r="CI59" s="72"/>
      <c r="CJ59" s="72"/>
      <c r="CK59" s="72"/>
      <c r="CL59" s="72"/>
      <c r="CM59" s="72"/>
      <c r="CN59" s="72"/>
      <c r="CO59" s="72"/>
      <c r="CP59" s="72"/>
      <c r="CQ59" s="75"/>
      <c r="CR59" s="75"/>
      <c r="CS59" s="75"/>
      <c r="CU59" s="75"/>
      <c r="CV59" s="75"/>
      <c r="CW59" s="75"/>
      <c r="CX59" s="75"/>
      <c r="CY59" s="75"/>
    </row>
    <row r="60" spans="1:103" ht="20.25" customHeight="1">
      <c r="B60" s="92" t="s">
        <v>23</v>
      </c>
      <c r="C60" s="93"/>
      <c r="D60" s="390"/>
      <c r="E60" s="390"/>
      <c r="F60" s="94"/>
      <c r="G60" s="94"/>
      <c r="H60" s="94"/>
      <c r="I60" s="94"/>
      <c r="J60" s="398"/>
      <c r="K60" s="330"/>
      <c r="L60" s="111"/>
      <c r="M60" s="332"/>
      <c r="N60" s="332"/>
      <c r="O60" s="332"/>
      <c r="P60" s="332"/>
      <c r="Q60" s="332"/>
      <c r="R60" s="332"/>
      <c r="S60" s="332"/>
      <c r="T60" s="332"/>
      <c r="U60" s="332"/>
      <c r="V60" s="332"/>
      <c r="W60" s="332"/>
      <c r="X60" s="332"/>
      <c r="Y60" s="332"/>
      <c r="Z60" s="332"/>
      <c r="AA60" s="332"/>
      <c r="AB60" s="332"/>
      <c r="AC60" s="332"/>
      <c r="AD60" s="332"/>
      <c r="AE60" s="332"/>
      <c r="AF60" s="332"/>
      <c r="AG60" s="332"/>
      <c r="AH60" s="332"/>
      <c r="AI60" s="332"/>
      <c r="AJ60" s="332"/>
      <c r="AK60" s="332"/>
      <c r="AL60" s="332"/>
      <c r="AM60" s="332"/>
      <c r="AN60" s="332"/>
      <c r="AO60" s="332"/>
      <c r="AP60" s="332"/>
      <c r="AQ60" s="332"/>
      <c r="AR60" s="332"/>
      <c r="AS60" s="332"/>
      <c r="AT60" s="332"/>
      <c r="AU60" s="332"/>
      <c r="AV60" s="332"/>
      <c r="AW60" s="332"/>
      <c r="AX60" s="332"/>
      <c r="AY60" s="332"/>
      <c r="AZ60" s="332"/>
      <c r="BA60" s="332"/>
      <c r="BB60" s="332"/>
      <c r="BC60" s="332"/>
      <c r="BD60" s="332"/>
      <c r="BE60" s="332"/>
      <c r="BF60" s="332"/>
      <c r="BG60" s="332"/>
      <c r="BH60" s="332"/>
      <c r="BI60" s="332"/>
      <c r="BJ60" s="332"/>
      <c r="BK60" s="332"/>
      <c r="BL60" s="332"/>
      <c r="BM60" s="332"/>
      <c r="BN60" s="332"/>
      <c r="BO60" s="332"/>
      <c r="BP60" s="316"/>
      <c r="BQ60" s="102"/>
      <c r="BR60" s="102"/>
      <c r="BS60" s="102"/>
      <c r="BT60" s="102"/>
      <c r="BU60" s="102"/>
      <c r="BV60" s="102"/>
      <c r="BW60" s="72"/>
      <c r="BX60" s="72"/>
      <c r="BY60" s="72"/>
      <c r="BZ60" s="72"/>
      <c r="CA60" s="72"/>
      <c r="CB60" s="72"/>
      <c r="CC60" s="72"/>
      <c r="CD60" s="72"/>
      <c r="CE60" s="72"/>
      <c r="CF60" s="72"/>
      <c r="CG60" s="72"/>
      <c r="CH60" s="72"/>
      <c r="CI60" s="72"/>
      <c r="CJ60" s="72"/>
      <c r="CK60" s="72"/>
      <c r="CL60" s="72"/>
      <c r="CM60" s="72"/>
      <c r="CN60" s="72"/>
      <c r="CO60" s="72"/>
      <c r="CP60" s="72"/>
      <c r="CQ60" s="75"/>
      <c r="CR60" s="75"/>
      <c r="CS60" s="75"/>
      <c r="CU60" s="75"/>
      <c r="CV60" s="75"/>
      <c r="CW60" s="75"/>
      <c r="CX60" s="75"/>
      <c r="CY60" s="75"/>
    </row>
    <row r="61" spans="1:103" ht="20.25" customHeight="1">
      <c r="B61" s="281" t="s">
        <v>44</v>
      </c>
      <c r="C61" s="90" t="s">
        <v>36</v>
      </c>
      <c r="D61" s="362">
        <f t="shared" ref="D61:J61" si="15">SUM(D62:D92)-D63+D63*9</f>
        <v>87</v>
      </c>
      <c r="E61" s="362">
        <f t="shared" si="15"/>
        <v>9</v>
      </c>
      <c r="F61" s="360">
        <f t="shared" si="15"/>
        <v>15</v>
      </c>
      <c r="G61" s="360">
        <f t="shared" si="15"/>
        <v>37</v>
      </c>
      <c r="H61" s="360">
        <f t="shared" si="15"/>
        <v>24</v>
      </c>
      <c r="I61" s="360">
        <f t="shared" si="15"/>
        <v>6</v>
      </c>
      <c r="J61" s="396">
        <f t="shared" si="15"/>
        <v>5</v>
      </c>
      <c r="K61" s="273">
        <v>1</v>
      </c>
      <c r="L61" s="110">
        <f>SUM(D61:K61)</f>
        <v>184</v>
      </c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/>
      <c r="X61" s="331"/>
      <c r="Y61" s="331"/>
      <c r="Z61" s="331"/>
      <c r="AA61" s="331"/>
      <c r="AB61" s="331"/>
      <c r="AC61" s="331"/>
      <c r="AD61" s="331"/>
      <c r="AE61" s="331"/>
      <c r="AF61" s="331"/>
      <c r="AG61" s="331"/>
      <c r="AH61" s="331"/>
      <c r="AI61" s="331"/>
      <c r="AJ61" s="331"/>
      <c r="AK61" s="331"/>
      <c r="AL61" s="331"/>
      <c r="AM61" s="331"/>
      <c r="AN61" s="331"/>
      <c r="AO61" s="331"/>
      <c r="AP61" s="331"/>
      <c r="AQ61" s="331"/>
      <c r="AR61" s="331"/>
      <c r="AS61" s="331"/>
      <c r="AT61" s="331"/>
      <c r="AU61" s="331"/>
      <c r="AV61" s="331"/>
      <c r="AW61" s="331"/>
      <c r="AX61" s="331"/>
      <c r="AY61" s="331"/>
      <c r="AZ61" s="331"/>
      <c r="BA61" s="331"/>
      <c r="BB61" s="331"/>
      <c r="BC61" s="331"/>
      <c r="BD61" s="331"/>
      <c r="BE61" s="331"/>
      <c r="BF61" s="331"/>
      <c r="BG61" s="331"/>
      <c r="BH61" s="331"/>
      <c r="BI61" s="331"/>
      <c r="BJ61" s="331"/>
      <c r="BK61" s="331"/>
      <c r="BL61" s="331"/>
      <c r="BM61" s="331"/>
      <c r="BN61" s="331"/>
      <c r="BO61" s="331"/>
      <c r="BP61" s="316"/>
      <c r="BQ61" s="102"/>
      <c r="BR61" s="102"/>
      <c r="BS61" s="102"/>
      <c r="BT61" s="102"/>
      <c r="BU61" s="102"/>
      <c r="BV61" s="102"/>
      <c r="BW61" s="72"/>
      <c r="BX61" s="72"/>
      <c r="BY61" s="72"/>
      <c r="BZ61" s="72"/>
      <c r="CA61" s="72"/>
      <c r="CB61" s="72"/>
      <c r="CC61" s="72"/>
      <c r="CD61" s="72"/>
      <c r="CE61" s="72"/>
      <c r="CF61" s="72"/>
      <c r="CG61" s="72"/>
      <c r="CH61" s="72"/>
      <c r="CI61" s="72"/>
      <c r="CJ61" s="72"/>
      <c r="CK61" s="72"/>
      <c r="CL61" s="72"/>
      <c r="CM61" s="72"/>
      <c r="CN61" s="72"/>
      <c r="CO61" s="72"/>
      <c r="CP61" s="72"/>
      <c r="CQ61" s="75"/>
      <c r="CR61" s="75"/>
      <c r="CS61" s="75"/>
      <c r="CU61" s="75"/>
      <c r="CV61" s="75"/>
      <c r="CW61" s="75"/>
      <c r="CX61" s="75"/>
      <c r="CY61" s="75"/>
    </row>
    <row r="62" spans="1:103" ht="20.25" customHeight="1">
      <c r="B62" s="281" t="s">
        <v>253</v>
      </c>
      <c r="C62" s="95" t="s">
        <v>36</v>
      </c>
      <c r="D62" s="362"/>
      <c r="E62" s="362">
        <v>2</v>
      </c>
      <c r="F62" s="360"/>
      <c r="G62" s="360"/>
      <c r="H62" s="360"/>
      <c r="I62" s="360"/>
      <c r="J62" s="396"/>
      <c r="K62" s="273"/>
      <c r="L62" s="110">
        <f>SUM(D62:K62)</f>
        <v>2</v>
      </c>
      <c r="M62" s="331"/>
      <c r="N62" s="331"/>
      <c r="O62" s="331"/>
      <c r="P62" s="331"/>
      <c r="Q62" s="331"/>
      <c r="R62" s="331"/>
      <c r="S62" s="331"/>
      <c r="T62" s="331"/>
      <c r="U62" s="331"/>
      <c r="V62" s="331"/>
      <c r="W62" s="331"/>
      <c r="X62" s="331"/>
      <c r="Y62" s="331"/>
      <c r="Z62" s="331"/>
      <c r="AA62" s="331"/>
      <c r="AB62" s="331"/>
      <c r="AC62" s="331"/>
      <c r="AD62" s="331"/>
      <c r="AE62" s="331"/>
      <c r="AF62" s="331"/>
      <c r="AG62" s="331"/>
      <c r="AH62" s="331"/>
      <c r="AI62" s="331"/>
      <c r="AJ62" s="331"/>
      <c r="AK62" s="331"/>
      <c r="AL62" s="331"/>
      <c r="AM62" s="331"/>
      <c r="AN62" s="331"/>
      <c r="AO62" s="331"/>
      <c r="AP62" s="331"/>
      <c r="AQ62" s="331"/>
      <c r="AR62" s="331"/>
      <c r="AS62" s="331"/>
      <c r="AT62" s="331"/>
      <c r="AU62" s="331"/>
      <c r="AV62" s="331"/>
      <c r="AW62" s="331"/>
      <c r="AX62" s="331"/>
      <c r="AY62" s="331"/>
      <c r="AZ62" s="331"/>
      <c r="BA62" s="331"/>
      <c r="BB62" s="331"/>
      <c r="BC62" s="331"/>
      <c r="BD62" s="331"/>
      <c r="BE62" s="331"/>
      <c r="BF62" s="331"/>
      <c r="BG62" s="331"/>
      <c r="BH62" s="331"/>
      <c r="BI62" s="331"/>
      <c r="BJ62" s="331"/>
      <c r="BK62" s="331"/>
      <c r="BL62" s="331"/>
      <c r="BM62" s="331"/>
      <c r="BN62" s="331"/>
      <c r="BO62" s="331"/>
      <c r="BP62" s="316"/>
      <c r="BQ62" s="102"/>
      <c r="BR62" s="102"/>
      <c r="BS62" s="102"/>
      <c r="BT62" s="102"/>
      <c r="BU62" s="102"/>
      <c r="BV62" s="102"/>
      <c r="BW62" s="72"/>
      <c r="BX62" s="72"/>
      <c r="BY62" s="72"/>
      <c r="BZ62" s="72"/>
      <c r="CA62" s="72"/>
      <c r="CB62" s="72"/>
      <c r="CC62" s="72"/>
      <c r="CD62" s="72"/>
      <c r="CE62" s="72"/>
      <c r="CF62" s="72"/>
      <c r="CG62" s="72"/>
      <c r="CH62" s="72"/>
      <c r="CI62" s="72"/>
      <c r="CJ62" s="72"/>
      <c r="CK62" s="72"/>
      <c r="CL62" s="72"/>
      <c r="CM62" s="72"/>
      <c r="CN62" s="72"/>
      <c r="CO62" s="72"/>
      <c r="CP62" s="72"/>
      <c r="CQ62" s="75"/>
      <c r="CR62" s="75"/>
      <c r="CS62" s="75"/>
      <c r="CU62" s="75"/>
      <c r="CV62" s="75"/>
      <c r="CW62" s="75"/>
      <c r="CX62" s="75"/>
      <c r="CY62" s="75"/>
    </row>
    <row r="63" spans="1:103" ht="20.25" customHeight="1">
      <c r="B63" s="281" t="s">
        <v>254</v>
      </c>
      <c r="C63" s="95" t="s">
        <v>36</v>
      </c>
      <c r="D63" s="362">
        <v>1</v>
      </c>
      <c r="E63" s="362"/>
      <c r="F63" s="360"/>
      <c r="G63" s="360"/>
      <c r="H63" s="360"/>
      <c r="I63" s="360"/>
      <c r="J63" s="396"/>
      <c r="K63" s="273"/>
      <c r="L63" s="110">
        <f>SUM(D63:K63)</f>
        <v>1</v>
      </c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W63" s="331"/>
      <c r="X63" s="331"/>
      <c r="Y63" s="331"/>
      <c r="Z63" s="331"/>
      <c r="AA63" s="331"/>
      <c r="AB63" s="331"/>
      <c r="AC63" s="331"/>
      <c r="AD63" s="331"/>
      <c r="AE63" s="331"/>
      <c r="AF63" s="331"/>
      <c r="AG63" s="331"/>
      <c r="AH63" s="331"/>
      <c r="AI63" s="331"/>
      <c r="AJ63" s="331"/>
      <c r="AK63" s="331"/>
      <c r="AL63" s="331"/>
      <c r="AM63" s="331"/>
      <c r="AN63" s="331"/>
      <c r="AO63" s="331"/>
      <c r="AP63" s="331"/>
      <c r="AQ63" s="331"/>
      <c r="AR63" s="331"/>
      <c r="AS63" s="331"/>
      <c r="AT63" s="331"/>
      <c r="AU63" s="331"/>
      <c r="AV63" s="331"/>
      <c r="AW63" s="331"/>
      <c r="AX63" s="331"/>
      <c r="AY63" s="331"/>
      <c r="AZ63" s="331"/>
      <c r="BA63" s="331"/>
      <c r="BB63" s="331"/>
      <c r="BC63" s="331"/>
      <c r="BD63" s="331"/>
      <c r="BE63" s="331"/>
      <c r="BF63" s="331"/>
      <c r="BG63" s="331"/>
      <c r="BH63" s="331"/>
      <c r="BI63" s="331"/>
      <c r="BJ63" s="331"/>
      <c r="BK63" s="331"/>
      <c r="BL63" s="331"/>
      <c r="BM63" s="331"/>
      <c r="BN63" s="331"/>
      <c r="BO63" s="331"/>
      <c r="BP63" s="316"/>
      <c r="BQ63" s="102"/>
      <c r="BR63" s="102"/>
      <c r="BS63" s="102"/>
      <c r="BT63" s="102"/>
      <c r="BU63" s="102"/>
      <c r="BV63" s="10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  <c r="CI63" s="72"/>
      <c r="CJ63" s="72"/>
      <c r="CK63" s="72"/>
      <c r="CL63" s="72"/>
      <c r="CM63" s="72"/>
      <c r="CN63" s="72"/>
      <c r="CO63" s="72"/>
      <c r="CP63" s="72"/>
      <c r="CQ63" s="75"/>
      <c r="CR63" s="75"/>
      <c r="CS63" s="75"/>
      <c r="CU63" s="75"/>
      <c r="CV63" s="75"/>
      <c r="CW63" s="75"/>
      <c r="CX63" s="75"/>
      <c r="CY63" s="75"/>
    </row>
    <row r="64" spans="1:103" ht="20.25" customHeight="1">
      <c r="B64" s="281" t="s">
        <v>252</v>
      </c>
      <c r="C64" s="95" t="s">
        <v>36</v>
      </c>
      <c r="D64" s="362"/>
      <c r="E64" s="362"/>
      <c r="F64" s="360">
        <v>8</v>
      </c>
      <c r="G64" s="360"/>
      <c r="H64" s="360"/>
      <c r="I64" s="360"/>
      <c r="J64" s="396"/>
      <c r="K64" s="273"/>
      <c r="L64" s="110">
        <f>SUM(D64:K64)</f>
        <v>8</v>
      </c>
      <c r="M64" s="331"/>
      <c r="N64" s="331"/>
      <c r="O64" s="331"/>
      <c r="P64" s="331"/>
      <c r="Q64" s="331"/>
      <c r="R64" s="331"/>
      <c r="S64" s="331"/>
      <c r="T64" s="331"/>
      <c r="U64" s="331"/>
      <c r="V64" s="331"/>
      <c r="W64" s="331"/>
      <c r="X64" s="331"/>
      <c r="Y64" s="331"/>
      <c r="Z64" s="331"/>
      <c r="AA64" s="331"/>
      <c r="AB64" s="331"/>
      <c r="AC64" s="331"/>
      <c r="AD64" s="331"/>
      <c r="AE64" s="331"/>
      <c r="AF64" s="331"/>
      <c r="AG64" s="331"/>
      <c r="AH64" s="331"/>
      <c r="AI64" s="331"/>
      <c r="AJ64" s="331"/>
      <c r="AK64" s="331"/>
      <c r="AL64" s="331"/>
      <c r="AM64" s="331"/>
      <c r="AN64" s="331"/>
      <c r="AO64" s="331"/>
      <c r="AP64" s="331"/>
      <c r="AQ64" s="331"/>
      <c r="AR64" s="331"/>
      <c r="AS64" s="331"/>
      <c r="AT64" s="331"/>
      <c r="AU64" s="331"/>
      <c r="AV64" s="331"/>
      <c r="AW64" s="331"/>
      <c r="AX64" s="331"/>
      <c r="AY64" s="331"/>
      <c r="AZ64" s="331"/>
      <c r="BA64" s="331"/>
      <c r="BB64" s="331"/>
      <c r="BC64" s="331"/>
      <c r="BD64" s="331"/>
      <c r="BE64" s="331"/>
      <c r="BF64" s="331"/>
      <c r="BG64" s="331"/>
      <c r="BH64" s="331"/>
      <c r="BI64" s="331"/>
      <c r="BJ64" s="331"/>
      <c r="BK64" s="331"/>
      <c r="BL64" s="331"/>
      <c r="BM64" s="331"/>
      <c r="BN64" s="331"/>
      <c r="BO64" s="331"/>
      <c r="BP64" s="316"/>
      <c r="BQ64" s="102"/>
      <c r="BR64" s="102"/>
      <c r="BS64" s="102"/>
      <c r="BT64" s="102"/>
      <c r="BU64" s="102"/>
      <c r="BV64" s="102"/>
      <c r="BW64" s="72"/>
      <c r="BX64" s="72"/>
      <c r="BY64" s="72"/>
      <c r="BZ64" s="72"/>
      <c r="CA64" s="72"/>
      <c r="CB64" s="72"/>
      <c r="CC64" s="72"/>
      <c r="CD64" s="72"/>
      <c r="CE64" s="72"/>
      <c r="CF64" s="72"/>
      <c r="CG64" s="72"/>
      <c r="CH64" s="72"/>
      <c r="CI64" s="72"/>
      <c r="CJ64" s="72"/>
      <c r="CK64" s="72"/>
      <c r="CL64" s="72"/>
      <c r="CM64" s="72"/>
      <c r="CN64" s="72"/>
      <c r="CO64" s="72"/>
      <c r="CP64" s="72"/>
      <c r="CQ64" s="75"/>
      <c r="CR64" s="75"/>
      <c r="CS64" s="75"/>
      <c r="CU64" s="75"/>
      <c r="CV64" s="75"/>
      <c r="CW64" s="75"/>
      <c r="CX64" s="75"/>
      <c r="CY64" s="75"/>
    </row>
    <row r="65" spans="2:103" ht="20.25" customHeight="1">
      <c r="B65" s="281" t="s">
        <v>255</v>
      </c>
      <c r="C65" s="95" t="s">
        <v>36</v>
      </c>
      <c r="D65" s="362"/>
      <c r="E65" s="362"/>
      <c r="F65" s="360"/>
      <c r="G65" s="360"/>
      <c r="H65" s="360"/>
      <c r="I65" s="360">
        <v>1</v>
      </c>
      <c r="J65" s="396">
        <v>1</v>
      </c>
      <c r="K65" s="273"/>
      <c r="L65" s="110">
        <f>SUM(D65:K65)</f>
        <v>2</v>
      </c>
      <c r="M65" s="331"/>
      <c r="N65" s="331"/>
      <c r="O65" s="331"/>
      <c r="P65" s="331"/>
      <c r="Q65" s="331"/>
      <c r="R65" s="331"/>
      <c r="S65" s="331"/>
      <c r="T65" s="331"/>
      <c r="U65" s="331"/>
      <c r="V65" s="331"/>
      <c r="W65" s="331"/>
      <c r="X65" s="331"/>
      <c r="Y65" s="331"/>
      <c r="Z65" s="331"/>
      <c r="AA65" s="331"/>
      <c r="AB65" s="331"/>
      <c r="AC65" s="331"/>
      <c r="AD65" s="331"/>
      <c r="AE65" s="331"/>
      <c r="AF65" s="331"/>
      <c r="AG65" s="331"/>
      <c r="AH65" s="331"/>
      <c r="AI65" s="331"/>
      <c r="AJ65" s="331"/>
      <c r="AK65" s="331"/>
      <c r="AL65" s="331"/>
      <c r="AM65" s="331"/>
      <c r="AN65" s="331"/>
      <c r="AO65" s="331"/>
      <c r="AP65" s="331"/>
      <c r="AQ65" s="331"/>
      <c r="AR65" s="331"/>
      <c r="AS65" s="331"/>
      <c r="AT65" s="331"/>
      <c r="AU65" s="331"/>
      <c r="AV65" s="331"/>
      <c r="AW65" s="331"/>
      <c r="AX65" s="331"/>
      <c r="AY65" s="331"/>
      <c r="AZ65" s="331"/>
      <c r="BA65" s="331"/>
      <c r="BB65" s="331"/>
      <c r="BC65" s="331"/>
      <c r="BD65" s="331"/>
      <c r="BE65" s="331"/>
      <c r="BF65" s="331"/>
      <c r="BG65" s="331"/>
      <c r="BH65" s="331"/>
      <c r="BI65" s="331"/>
      <c r="BJ65" s="331"/>
      <c r="BK65" s="331"/>
      <c r="BL65" s="331"/>
      <c r="BM65" s="331"/>
      <c r="BN65" s="331"/>
      <c r="BO65" s="331"/>
      <c r="BP65" s="316"/>
      <c r="BQ65" s="102"/>
      <c r="BR65" s="102"/>
      <c r="BS65" s="102"/>
      <c r="BT65" s="102"/>
      <c r="BU65" s="102"/>
      <c r="BV65" s="102"/>
      <c r="BW65" s="72"/>
      <c r="BX65" s="72"/>
      <c r="BY65" s="72"/>
      <c r="BZ65" s="72"/>
      <c r="CA65" s="72"/>
      <c r="CB65" s="72"/>
      <c r="CC65" s="72"/>
      <c r="CD65" s="72"/>
      <c r="CE65" s="72"/>
      <c r="CF65" s="72"/>
      <c r="CG65" s="72"/>
      <c r="CH65" s="72"/>
      <c r="CI65" s="72"/>
      <c r="CJ65" s="72"/>
      <c r="CK65" s="72"/>
      <c r="CL65" s="72"/>
      <c r="CM65" s="72"/>
      <c r="CN65" s="72"/>
      <c r="CO65" s="72"/>
      <c r="CP65" s="72"/>
      <c r="CQ65" s="75"/>
      <c r="CR65" s="75"/>
      <c r="CS65" s="75"/>
      <c r="CU65" s="75"/>
      <c r="CV65" s="75"/>
      <c r="CW65" s="75"/>
      <c r="CX65" s="75"/>
      <c r="CY65" s="75"/>
    </row>
    <row r="66" spans="2:103" ht="20.25" customHeight="1">
      <c r="B66" s="280" t="s">
        <v>112</v>
      </c>
      <c r="C66" s="96"/>
      <c r="D66" s="399"/>
      <c r="E66" s="428"/>
      <c r="F66" s="298"/>
      <c r="G66" s="298"/>
      <c r="H66" s="298"/>
      <c r="I66" s="298"/>
      <c r="J66" s="400"/>
      <c r="K66" s="391"/>
      <c r="L66" s="112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  <c r="AA66" s="358"/>
      <c r="AB66" s="358"/>
      <c r="AC66" s="358"/>
      <c r="AD66" s="358"/>
      <c r="AE66" s="358"/>
      <c r="AF66" s="358"/>
      <c r="AG66" s="358"/>
      <c r="AH66" s="358"/>
      <c r="AI66" s="358"/>
      <c r="AJ66" s="358"/>
      <c r="AK66" s="358"/>
      <c r="AL66" s="358"/>
      <c r="AM66" s="358"/>
      <c r="AN66" s="358"/>
      <c r="AO66" s="358"/>
      <c r="AP66" s="358"/>
      <c r="AQ66" s="358"/>
      <c r="AR66" s="358"/>
      <c r="AS66" s="358"/>
      <c r="AT66" s="358"/>
      <c r="AU66" s="358"/>
      <c r="AV66" s="358"/>
      <c r="AW66" s="358"/>
      <c r="AX66" s="358"/>
      <c r="AY66" s="358"/>
      <c r="AZ66" s="358"/>
      <c r="BA66" s="358"/>
      <c r="BB66" s="358"/>
      <c r="BC66" s="358"/>
      <c r="BD66" s="358"/>
      <c r="BE66" s="358"/>
      <c r="BF66" s="358"/>
      <c r="BG66" s="358"/>
      <c r="BH66" s="358"/>
      <c r="BI66" s="358"/>
      <c r="BJ66" s="358"/>
      <c r="BK66" s="358"/>
      <c r="BL66" s="358"/>
      <c r="BM66" s="358"/>
      <c r="BN66" s="358"/>
      <c r="BO66" s="358"/>
      <c r="BP66" s="359"/>
      <c r="BQ66" s="102"/>
      <c r="BR66" s="102"/>
      <c r="BS66" s="102"/>
      <c r="BT66" s="102"/>
      <c r="BU66" s="102"/>
      <c r="BV66" s="102"/>
      <c r="BW66" s="72"/>
      <c r="BX66" s="72"/>
      <c r="BY66" s="72"/>
      <c r="BZ66" s="72"/>
      <c r="CA66" s="72"/>
      <c r="CB66" s="72"/>
      <c r="CC66" s="72"/>
      <c r="CD66" s="72"/>
      <c r="CE66" s="72"/>
      <c r="CF66" s="72"/>
      <c r="CG66" s="72"/>
      <c r="CH66" s="72"/>
      <c r="CI66" s="72"/>
      <c r="CJ66" s="72"/>
      <c r="CK66" s="72"/>
      <c r="CL66" s="72"/>
      <c r="CM66" s="72"/>
      <c r="CN66" s="72"/>
      <c r="CO66" s="72"/>
      <c r="CP66" s="72"/>
      <c r="CQ66" s="75"/>
      <c r="CR66" s="75"/>
      <c r="CS66" s="75"/>
      <c r="CU66" s="75"/>
      <c r="CV66" s="75"/>
      <c r="CW66" s="75"/>
      <c r="CX66" s="75"/>
      <c r="CY66" s="75"/>
    </row>
    <row r="67" spans="2:103" ht="20.25" customHeight="1">
      <c r="B67" s="386" t="s">
        <v>226</v>
      </c>
      <c r="C67" s="303" t="s">
        <v>36</v>
      </c>
      <c r="D67" s="401"/>
      <c r="E67" s="429"/>
      <c r="F67" s="304"/>
      <c r="G67" s="304"/>
      <c r="H67" s="304">
        <v>1</v>
      </c>
      <c r="I67" s="304"/>
      <c r="J67" s="402"/>
      <c r="K67" s="392"/>
      <c r="L67" s="110">
        <f t="shared" ref="L67:L92" si="16">SUM(D67:K67)</f>
        <v>1</v>
      </c>
      <c r="M67" s="356"/>
      <c r="N67" s="356"/>
      <c r="O67" s="356"/>
      <c r="P67" s="356"/>
      <c r="Q67" s="356"/>
      <c r="R67" s="356"/>
      <c r="S67" s="356"/>
      <c r="T67" s="356"/>
      <c r="U67" s="356"/>
      <c r="V67" s="356"/>
      <c r="W67" s="356"/>
      <c r="X67" s="356"/>
      <c r="Y67" s="356"/>
      <c r="Z67" s="356"/>
      <c r="AA67" s="356"/>
      <c r="AB67" s="356"/>
      <c r="AC67" s="356"/>
      <c r="AD67" s="356"/>
      <c r="AE67" s="356"/>
      <c r="AF67" s="356"/>
      <c r="AG67" s="356"/>
      <c r="AH67" s="356"/>
      <c r="AI67" s="356"/>
      <c r="AJ67" s="356"/>
      <c r="AK67" s="356"/>
      <c r="AL67" s="356"/>
      <c r="AM67" s="356"/>
      <c r="AN67" s="356"/>
      <c r="AO67" s="356"/>
      <c r="AP67" s="356"/>
      <c r="AQ67" s="356"/>
      <c r="AR67" s="356"/>
      <c r="AS67" s="356"/>
      <c r="AT67" s="356"/>
      <c r="AU67" s="356"/>
      <c r="AV67" s="356"/>
      <c r="AW67" s="356"/>
      <c r="AX67" s="356"/>
      <c r="AY67" s="356"/>
      <c r="AZ67" s="356"/>
      <c r="BA67" s="356"/>
      <c r="BB67" s="356"/>
      <c r="BC67" s="356"/>
      <c r="BD67" s="356"/>
      <c r="BE67" s="356"/>
      <c r="BF67" s="356"/>
      <c r="BG67" s="356"/>
      <c r="BH67" s="356"/>
      <c r="BI67" s="356"/>
      <c r="BJ67" s="356"/>
      <c r="BK67" s="356"/>
      <c r="BL67" s="356"/>
      <c r="BM67" s="356"/>
      <c r="BN67" s="356"/>
      <c r="BO67" s="356"/>
      <c r="BP67" s="316"/>
      <c r="BQ67" s="102"/>
      <c r="BR67" s="102"/>
      <c r="BS67" s="102"/>
      <c r="BT67" s="102"/>
      <c r="BU67" s="102"/>
      <c r="BV67" s="102"/>
      <c r="BW67" s="72"/>
      <c r="BX67" s="72"/>
      <c r="BY67" s="72"/>
      <c r="BZ67" s="72"/>
      <c r="CA67" s="72"/>
      <c r="CB67" s="72"/>
      <c r="CC67" s="72"/>
      <c r="CD67" s="72"/>
      <c r="CE67" s="72"/>
      <c r="CF67" s="72"/>
      <c r="CG67" s="72"/>
      <c r="CH67" s="72"/>
      <c r="CI67" s="72"/>
      <c r="CJ67" s="72"/>
      <c r="CK67" s="72"/>
      <c r="CL67" s="72"/>
      <c r="CM67" s="72"/>
      <c r="CN67" s="72"/>
      <c r="CO67" s="72"/>
      <c r="CP67" s="72"/>
      <c r="CQ67" s="75"/>
      <c r="CR67" s="75"/>
      <c r="CS67" s="75"/>
      <c r="CU67" s="75"/>
      <c r="CV67" s="75"/>
      <c r="CW67" s="75"/>
      <c r="CX67" s="75"/>
      <c r="CY67" s="75"/>
    </row>
    <row r="68" spans="2:103" ht="20.25" customHeight="1">
      <c r="B68" s="386" t="s">
        <v>227</v>
      </c>
      <c r="C68" s="303" t="s">
        <v>36</v>
      </c>
      <c r="D68" s="401"/>
      <c r="E68" s="429">
        <v>1</v>
      </c>
      <c r="F68" s="304"/>
      <c r="G68" s="304"/>
      <c r="H68" s="304">
        <v>3</v>
      </c>
      <c r="I68" s="304"/>
      <c r="J68" s="402"/>
      <c r="K68" s="392"/>
      <c r="L68" s="110">
        <f t="shared" si="16"/>
        <v>4</v>
      </c>
      <c r="M68" s="356"/>
      <c r="N68" s="356"/>
      <c r="O68" s="356"/>
      <c r="P68" s="356"/>
      <c r="Q68" s="356"/>
      <c r="R68" s="356"/>
      <c r="S68" s="356"/>
      <c r="T68" s="356"/>
      <c r="U68" s="356"/>
      <c r="V68" s="356"/>
      <c r="W68" s="356"/>
      <c r="X68" s="356"/>
      <c r="Y68" s="356"/>
      <c r="Z68" s="356"/>
      <c r="AA68" s="356"/>
      <c r="AB68" s="356"/>
      <c r="AC68" s="356"/>
      <c r="AD68" s="356"/>
      <c r="AE68" s="356"/>
      <c r="AF68" s="356"/>
      <c r="AG68" s="356"/>
      <c r="AH68" s="356"/>
      <c r="AI68" s="356"/>
      <c r="AJ68" s="356"/>
      <c r="AK68" s="356"/>
      <c r="AL68" s="356"/>
      <c r="AM68" s="356"/>
      <c r="AN68" s="356"/>
      <c r="AO68" s="356"/>
      <c r="AP68" s="356"/>
      <c r="AQ68" s="356"/>
      <c r="AR68" s="356"/>
      <c r="AS68" s="356"/>
      <c r="AT68" s="356"/>
      <c r="AU68" s="356"/>
      <c r="AV68" s="356"/>
      <c r="AW68" s="356"/>
      <c r="AX68" s="356"/>
      <c r="AY68" s="356"/>
      <c r="AZ68" s="356"/>
      <c r="BA68" s="356"/>
      <c r="BB68" s="356"/>
      <c r="BC68" s="356"/>
      <c r="BD68" s="356"/>
      <c r="BE68" s="356"/>
      <c r="BF68" s="356"/>
      <c r="BG68" s="356"/>
      <c r="BH68" s="356"/>
      <c r="BI68" s="356"/>
      <c r="BJ68" s="356"/>
      <c r="BK68" s="356"/>
      <c r="BL68" s="356"/>
      <c r="BM68" s="356"/>
      <c r="BN68" s="356"/>
      <c r="BO68" s="356"/>
      <c r="BP68" s="316"/>
      <c r="BQ68" s="102"/>
      <c r="BR68" s="102"/>
      <c r="BS68" s="102"/>
      <c r="BT68" s="102"/>
      <c r="BU68" s="102"/>
      <c r="BV68" s="102"/>
      <c r="BW68" s="72"/>
      <c r="BX68" s="72"/>
      <c r="BY68" s="72"/>
      <c r="BZ68" s="72"/>
      <c r="CA68" s="72"/>
      <c r="CB68" s="72"/>
      <c r="CC68" s="72"/>
      <c r="CD68" s="72"/>
      <c r="CE68" s="72"/>
      <c r="CF68" s="72"/>
      <c r="CG68" s="72"/>
      <c r="CH68" s="72"/>
      <c r="CI68" s="72"/>
      <c r="CJ68" s="72"/>
      <c r="CK68" s="72"/>
      <c r="CL68" s="72"/>
      <c r="CM68" s="72"/>
      <c r="CN68" s="72"/>
      <c r="CO68" s="72"/>
      <c r="CP68" s="72"/>
      <c r="CQ68" s="75"/>
      <c r="CR68" s="75"/>
      <c r="CS68" s="75"/>
      <c r="CU68" s="75"/>
      <c r="CV68" s="75"/>
      <c r="CW68" s="75"/>
      <c r="CX68" s="75"/>
      <c r="CY68" s="75"/>
    </row>
    <row r="69" spans="2:103" ht="20.25" customHeight="1">
      <c r="B69" s="386" t="s">
        <v>228</v>
      </c>
      <c r="C69" s="303" t="s">
        <v>36</v>
      </c>
      <c r="D69" s="401"/>
      <c r="E69" s="429"/>
      <c r="F69" s="304"/>
      <c r="G69" s="304"/>
      <c r="H69" s="304">
        <v>1</v>
      </c>
      <c r="I69" s="304"/>
      <c r="J69" s="402"/>
      <c r="K69" s="392"/>
      <c r="L69" s="110">
        <f t="shared" si="16"/>
        <v>1</v>
      </c>
      <c r="M69" s="356"/>
      <c r="N69" s="356"/>
      <c r="O69" s="356"/>
      <c r="P69" s="356"/>
      <c r="Q69" s="356"/>
      <c r="R69" s="356"/>
      <c r="S69" s="356"/>
      <c r="T69" s="356"/>
      <c r="U69" s="356"/>
      <c r="V69" s="356"/>
      <c r="W69" s="356"/>
      <c r="X69" s="356"/>
      <c r="Y69" s="356"/>
      <c r="Z69" s="356"/>
      <c r="AA69" s="356"/>
      <c r="AB69" s="356"/>
      <c r="AC69" s="356"/>
      <c r="AD69" s="356"/>
      <c r="AE69" s="356"/>
      <c r="AF69" s="356"/>
      <c r="AG69" s="356"/>
      <c r="AH69" s="356"/>
      <c r="AI69" s="356"/>
      <c r="AJ69" s="356"/>
      <c r="AK69" s="356"/>
      <c r="AL69" s="356"/>
      <c r="AM69" s="356"/>
      <c r="AN69" s="356"/>
      <c r="AO69" s="356"/>
      <c r="AP69" s="356"/>
      <c r="AQ69" s="356"/>
      <c r="AR69" s="356"/>
      <c r="AS69" s="356"/>
      <c r="AT69" s="356"/>
      <c r="AU69" s="356"/>
      <c r="AV69" s="356"/>
      <c r="AW69" s="356"/>
      <c r="AX69" s="356"/>
      <c r="AY69" s="356"/>
      <c r="AZ69" s="356"/>
      <c r="BA69" s="356"/>
      <c r="BB69" s="356"/>
      <c r="BC69" s="356"/>
      <c r="BD69" s="356"/>
      <c r="BE69" s="356"/>
      <c r="BF69" s="356"/>
      <c r="BG69" s="356"/>
      <c r="BH69" s="356"/>
      <c r="BI69" s="356"/>
      <c r="BJ69" s="356"/>
      <c r="BK69" s="356"/>
      <c r="BL69" s="356"/>
      <c r="BM69" s="356"/>
      <c r="BN69" s="356"/>
      <c r="BO69" s="356"/>
      <c r="BP69" s="316"/>
      <c r="BQ69" s="102"/>
      <c r="BR69" s="102"/>
      <c r="BS69" s="102"/>
      <c r="BT69" s="102"/>
      <c r="BU69" s="102"/>
      <c r="BV69" s="102"/>
      <c r="BW69" s="72"/>
      <c r="BX69" s="72"/>
      <c r="BY69" s="72"/>
      <c r="BZ69" s="72"/>
      <c r="CA69" s="72"/>
      <c r="CB69" s="72"/>
      <c r="CC69" s="72"/>
      <c r="CD69" s="72"/>
      <c r="CE69" s="72"/>
      <c r="CF69" s="72"/>
      <c r="CG69" s="72"/>
      <c r="CH69" s="72"/>
      <c r="CI69" s="72"/>
      <c r="CJ69" s="72"/>
      <c r="CK69" s="72"/>
      <c r="CL69" s="72"/>
      <c r="CM69" s="72"/>
      <c r="CN69" s="72"/>
      <c r="CO69" s="72"/>
      <c r="CP69" s="72"/>
      <c r="CQ69" s="75"/>
      <c r="CR69" s="75"/>
      <c r="CS69" s="75"/>
      <c r="CU69" s="75"/>
      <c r="CV69" s="75"/>
      <c r="CW69" s="75"/>
      <c r="CX69" s="75"/>
      <c r="CY69" s="75"/>
    </row>
    <row r="70" spans="2:103" ht="20.25" customHeight="1">
      <c r="B70" s="386" t="s">
        <v>229</v>
      </c>
      <c r="C70" s="303" t="s">
        <v>36</v>
      </c>
      <c r="D70" s="403"/>
      <c r="E70" s="430"/>
      <c r="F70" s="323"/>
      <c r="G70" s="323">
        <v>35</v>
      </c>
      <c r="H70" s="323"/>
      <c r="I70" s="323"/>
      <c r="J70" s="404"/>
      <c r="K70" s="393"/>
      <c r="L70" s="110">
        <f t="shared" si="16"/>
        <v>35</v>
      </c>
      <c r="M70" s="356"/>
      <c r="N70" s="356"/>
      <c r="O70" s="356"/>
      <c r="P70" s="356"/>
      <c r="Q70" s="356"/>
      <c r="R70" s="356"/>
      <c r="S70" s="356"/>
      <c r="T70" s="356"/>
      <c r="U70" s="356"/>
      <c r="V70" s="356"/>
      <c r="W70" s="356"/>
      <c r="X70" s="356"/>
      <c r="Y70" s="356"/>
      <c r="Z70" s="356"/>
      <c r="AA70" s="356"/>
      <c r="AB70" s="356"/>
      <c r="AC70" s="356"/>
      <c r="AD70" s="356"/>
      <c r="AE70" s="356"/>
      <c r="AF70" s="356"/>
      <c r="AG70" s="356"/>
      <c r="AH70" s="356"/>
      <c r="AI70" s="356"/>
      <c r="AJ70" s="356"/>
      <c r="AK70" s="356"/>
      <c r="AL70" s="356"/>
      <c r="AM70" s="356"/>
      <c r="AN70" s="356"/>
      <c r="AO70" s="356"/>
      <c r="AP70" s="356"/>
      <c r="AQ70" s="356"/>
      <c r="AR70" s="356"/>
      <c r="AS70" s="356"/>
      <c r="AT70" s="356"/>
      <c r="AU70" s="356"/>
      <c r="AV70" s="356"/>
      <c r="AW70" s="356"/>
      <c r="AX70" s="356"/>
      <c r="AY70" s="356"/>
      <c r="AZ70" s="356"/>
      <c r="BA70" s="356"/>
      <c r="BB70" s="356"/>
      <c r="BC70" s="356"/>
      <c r="BD70" s="356"/>
      <c r="BE70" s="356"/>
      <c r="BF70" s="356"/>
      <c r="BG70" s="356"/>
      <c r="BH70" s="356"/>
      <c r="BI70" s="356"/>
      <c r="BJ70" s="356"/>
      <c r="BK70" s="356"/>
      <c r="BL70" s="356"/>
      <c r="BM70" s="356"/>
      <c r="BN70" s="356"/>
      <c r="BO70" s="356"/>
      <c r="BP70" s="316"/>
      <c r="BQ70" s="102"/>
      <c r="BR70" s="102"/>
      <c r="BS70" s="102"/>
      <c r="BT70" s="102"/>
      <c r="BU70" s="102"/>
      <c r="BV70" s="102"/>
      <c r="BW70" s="72"/>
      <c r="BX70" s="72"/>
      <c r="BY70" s="72"/>
      <c r="BZ70" s="72"/>
      <c r="CA70" s="72"/>
      <c r="CB70" s="72"/>
      <c r="CC70" s="72"/>
      <c r="CD70" s="72"/>
      <c r="CE70" s="72"/>
      <c r="CF70" s="72"/>
      <c r="CG70" s="72"/>
      <c r="CH70" s="72"/>
      <c r="CI70" s="72"/>
      <c r="CJ70" s="72"/>
      <c r="CK70" s="72"/>
      <c r="CL70" s="72"/>
      <c r="CM70" s="72"/>
      <c r="CN70" s="72"/>
      <c r="CO70" s="72"/>
      <c r="CP70" s="72"/>
      <c r="CQ70" s="75"/>
      <c r="CR70" s="75"/>
      <c r="CS70" s="75"/>
      <c r="CU70" s="75"/>
      <c r="CV70" s="75"/>
      <c r="CW70" s="75"/>
      <c r="CX70" s="75"/>
      <c r="CY70" s="75"/>
    </row>
    <row r="71" spans="2:103" ht="20.25" customHeight="1">
      <c r="B71" s="386" t="s">
        <v>230</v>
      </c>
      <c r="C71" s="303" t="s">
        <v>36</v>
      </c>
      <c r="D71" s="403"/>
      <c r="E71" s="430"/>
      <c r="F71" s="323"/>
      <c r="G71" s="323">
        <v>2</v>
      </c>
      <c r="H71" s="323"/>
      <c r="I71" s="323"/>
      <c r="J71" s="404"/>
      <c r="K71" s="393"/>
      <c r="L71" s="110">
        <f t="shared" si="16"/>
        <v>2</v>
      </c>
      <c r="M71" s="356"/>
      <c r="N71" s="356"/>
      <c r="O71" s="356"/>
      <c r="P71" s="356"/>
      <c r="Q71" s="356"/>
      <c r="R71" s="356"/>
      <c r="S71" s="356"/>
      <c r="T71" s="356"/>
      <c r="U71" s="356"/>
      <c r="V71" s="356"/>
      <c r="W71" s="356"/>
      <c r="X71" s="356"/>
      <c r="Y71" s="356"/>
      <c r="Z71" s="356"/>
      <c r="AA71" s="356"/>
      <c r="AB71" s="356"/>
      <c r="AC71" s="356"/>
      <c r="AD71" s="356"/>
      <c r="AE71" s="356"/>
      <c r="AF71" s="356"/>
      <c r="AG71" s="356"/>
      <c r="AH71" s="356"/>
      <c r="AI71" s="356"/>
      <c r="AJ71" s="356"/>
      <c r="AK71" s="356"/>
      <c r="AL71" s="356"/>
      <c r="AM71" s="356"/>
      <c r="AN71" s="356"/>
      <c r="AO71" s="356"/>
      <c r="AP71" s="356"/>
      <c r="AQ71" s="356"/>
      <c r="AR71" s="356"/>
      <c r="AS71" s="356"/>
      <c r="AT71" s="356"/>
      <c r="AU71" s="356"/>
      <c r="AV71" s="356"/>
      <c r="AW71" s="356"/>
      <c r="AX71" s="356"/>
      <c r="AY71" s="356"/>
      <c r="AZ71" s="356"/>
      <c r="BA71" s="356"/>
      <c r="BB71" s="356"/>
      <c r="BC71" s="356"/>
      <c r="BD71" s="356"/>
      <c r="BE71" s="356"/>
      <c r="BF71" s="356"/>
      <c r="BG71" s="356"/>
      <c r="BH71" s="356"/>
      <c r="BI71" s="356"/>
      <c r="BJ71" s="356"/>
      <c r="BK71" s="356"/>
      <c r="BL71" s="356"/>
      <c r="BM71" s="356"/>
      <c r="BN71" s="356"/>
      <c r="BO71" s="356"/>
      <c r="BP71" s="316"/>
      <c r="BQ71" s="102"/>
      <c r="BR71" s="102"/>
      <c r="BS71" s="102"/>
      <c r="BT71" s="102"/>
      <c r="BU71" s="102"/>
      <c r="BV71" s="102"/>
      <c r="BW71" s="72"/>
      <c r="BX71" s="72"/>
      <c r="BY71" s="72"/>
      <c r="BZ71" s="72"/>
      <c r="CA71" s="72"/>
      <c r="CB71" s="72"/>
      <c r="CC71" s="72"/>
      <c r="CD71" s="72"/>
      <c r="CE71" s="72"/>
      <c r="CF71" s="72"/>
      <c r="CG71" s="72"/>
      <c r="CH71" s="72"/>
      <c r="CI71" s="72"/>
      <c r="CJ71" s="72"/>
      <c r="CK71" s="72"/>
      <c r="CL71" s="72"/>
      <c r="CM71" s="72"/>
      <c r="CN71" s="72"/>
      <c r="CO71" s="72"/>
      <c r="CP71" s="72"/>
      <c r="CQ71" s="75"/>
      <c r="CR71" s="75"/>
      <c r="CS71" s="75"/>
      <c r="CU71" s="75"/>
      <c r="CV71" s="75"/>
      <c r="CW71" s="75"/>
      <c r="CX71" s="75"/>
      <c r="CY71" s="75"/>
    </row>
    <row r="72" spans="2:103" ht="20.25" customHeight="1">
      <c r="B72" s="386" t="s">
        <v>231</v>
      </c>
      <c r="C72" s="303" t="s">
        <v>36</v>
      </c>
      <c r="D72" s="403">
        <v>16</v>
      </c>
      <c r="E72" s="430"/>
      <c r="F72" s="323"/>
      <c r="G72" s="323"/>
      <c r="H72" s="323">
        <v>4</v>
      </c>
      <c r="I72" s="323"/>
      <c r="J72" s="404"/>
      <c r="K72" s="393"/>
      <c r="L72" s="110">
        <f t="shared" si="16"/>
        <v>20</v>
      </c>
      <c r="M72" s="356"/>
      <c r="N72" s="356"/>
      <c r="O72" s="356"/>
      <c r="P72" s="356"/>
      <c r="Q72" s="356"/>
      <c r="R72" s="356"/>
      <c r="S72" s="356"/>
      <c r="T72" s="356"/>
      <c r="U72" s="356"/>
      <c r="V72" s="356"/>
      <c r="W72" s="356"/>
      <c r="X72" s="356"/>
      <c r="Y72" s="356"/>
      <c r="Z72" s="356"/>
      <c r="AA72" s="356"/>
      <c r="AB72" s="356"/>
      <c r="AC72" s="356"/>
      <c r="AD72" s="356"/>
      <c r="AE72" s="356"/>
      <c r="AF72" s="356"/>
      <c r="AG72" s="356"/>
      <c r="AH72" s="356"/>
      <c r="AI72" s="356"/>
      <c r="AJ72" s="356"/>
      <c r="AK72" s="356"/>
      <c r="AL72" s="356"/>
      <c r="AM72" s="356"/>
      <c r="AN72" s="356"/>
      <c r="AO72" s="356"/>
      <c r="AP72" s="356"/>
      <c r="AQ72" s="356"/>
      <c r="AR72" s="356"/>
      <c r="AS72" s="356"/>
      <c r="AT72" s="356"/>
      <c r="AU72" s="356"/>
      <c r="AV72" s="356"/>
      <c r="AW72" s="356"/>
      <c r="AX72" s="356"/>
      <c r="AY72" s="356"/>
      <c r="AZ72" s="356"/>
      <c r="BA72" s="356"/>
      <c r="BB72" s="356"/>
      <c r="BC72" s="356"/>
      <c r="BD72" s="356"/>
      <c r="BE72" s="356"/>
      <c r="BF72" s="356"/>
      <c r="BG72" s="356"/>
      <c r="BH72" s="356"/>
      <c r="BI72" s="356"/>
      <c r="BJ72" s="356"/>
      <c r="BK72" s="356"/>
      <c r="BL72" s="356"/>
      <c r="BM72" s="356"/>
      <c r="BN72" s="356"/>
      <c r="BO72" s="356"/>
      <c r="BP72" s="316"/>
      <c r="BQ72" s="102"/>
      <c r="BR72" s="102"/>
      <c r="BS72" s="102"/>
      <c r="BT72" s="102"/>
      <c r="BU72" s="102"/>
      <c r="BV72" s="102"/>
      <c r="BW72" s="72"/>
      <c r="BX72" s="72"/>
      <c r="BY72" s="72"/>
      <c r="BZ72" s="72"/>
      <c r="CA72" s="72"/>
      <c r="CB72" s="72"/>
      <c r="CC72" s="72"/>
      <c r="CD72" s="72"/>
      <c r="CE72" s="72"/>
      <c r="CF72" s="72"/>
      <c r="CG72" s="72"/>
      <c r="CH72" s="72"/>
      <c r="CI72" s="72"/>
      <c r="CJ72" s="72"/>
      <c r="CK72" s="72"/>
      <c r="CL72" s="72"/>
      <c r="CM72" s="72"/>
      <c r="CN72" s="72"/>
      <c r="CO72" s="72"/>
      <c r="CP72" s="72"/>
      <c r="CQ72" s="75"/>
      <c r="CR72" s="75"/>
      <c r="CS72" s="75"/>
      <c r="CU72" s="75"/>
      <c r="CV72" s="75"/>
      <c r="CW72" s="75"/>
      <c r="CX72" s="75"/>
      <c r="CY72" s="75"/>
    </row>
    <row r="73" spans="2:103" ht="20.25" customHeight="1">
      <c r="B73" s="386" t="s">
        <v>232</v>
      </c>
      <c r="C73" s="303" t="s">
        <v>36</v>
      </c>
      <c r="D73" s="403"/>
      <c r="E73" s="430">
        <v>2</v>
      </c>
      <c r="F73" s="323"/>
      <c r="G73" s="323"/>
      <c r="H73" s="323">
        <v>9</v>
      </c>
      <c r="I73" s="323"/>
      <c r="J73" s="404"/>
      <c r="K73" s="393"/>
      <c r="L73" s="110">
        <f t="shared" si="16"/>
        <v>11</v>
      </c>
      <c r="M73" s="356"/>
      <c r="N73" s="356"/>
      <c r="O73" s="356"/>
      <c r="P73" s="356"/>
      <c r="Q73" s="356"/>
      <c r="R73" s="356"/>
      <c r="S73" s="356"/>
      <c r="T73" s="356"/>
      <c r="U73" s="356"/>
      <c r="V73" s="356"/>
      <c r="W73" s="356"/>
      <c r="X73" s="356"/>
      <c r="Y73" s="356"/>
      <c r="Z73" s="356"/>
      <c r="AA73" s="356"/>
      <c r="AB73" s="356"/>
      <c r="AC73" s="356"/>
      <c r="AD73" s="356"/>
      <c r="AE73" s="356"/>
      <c r="AF73" s="356"/>
      <c r="AG73" s="356"/>
      <c r="AH73" s="356"/>
      <c r="AI73" s="356"/>
      <c r="AJ73" s="356"/>
      <c r="AK73" s="356"/>
      <c r="AL73" s="356"/>
      <c r="AM73" s="356"/>
      <c r="AN73" s="356"/>
      <c r="AO73" s="356"/>
      <c r="AP73" s="356"/>
      <c r="AQ73" s="356"/>
      <c r="AR73" s="356"/>
      <c r="AS73" s="356"/>
      <c r="AT73" s="356"/>
      <c r="AU73" s="356"/>
      <c r="AV73" s="356"/>
      <c r="AW73" s="356"/>
      <c r="AX73" s="356"/>
      <c r="AY73" s="356"/>
      <c r="AZ73" s="356"/>
      <c r="BA73" s="356"/>
      <c r="BB73" s="356"/>
      <c r="BC73" s="356"/>
      <c r="BD73" s="356"/>
      <c r="BE73" s="356"/>
      <c r="BF73" s="356"/>
      <c r="BG73" s="356"/>
      <c r="BH73" s="356"/>
      <c r="BI73" s="356"/>
      <c r="BJ73" s="356"/>
      <c r="BK73" s="356"/>
      <c r="BL73" s="356"/>
      <c r="BM73" s="356"/>
      <c r="BN73" s="356"/>
      <c r="BO73" s="356"/>
      <c r="BP73" s="316"/>
      <c r="BQ73" s="102"/>
      <c r="BR73" s="102"/>
      <c r="BS73" s="102"/>
      <c r="BT73" s="102"/>
      <c r="BU73" s="102"/>
      <c r="BV73" s="102"/>
      <c r="BW73" s="72"/>
      <c r="BX73" s="72"/>
      <c r="BY73" s="72"/>
      <c r="BZ73" s="72"/>
      <c r="CA73" s="72"/>
      <c r="CB73" s="72"/>
      <c r="CC73" s="72"/>
      <c r="CD73" s="72"/>
      <c r="CE73" s="72"/>
      <c r="CF73" s="72"/>
      <c r="CG73" s="72"/>
      <c r="CH73" s="72"/>
      <c r="CI73" s="72"/>
      <c r="CJ73" s="72"/>
      <c r="CK73" s="72"/>
      <c r="CL73" s="72"/>
      <c r="CM73" s="72"/>
      <c r="CN73" s="72"/>
      <c r="CO73" s="72"/>
      <c r="CP73" s="72"/>
      <c r="CQ73" s="75"/>
      <c r="CR73" s="75"/>
      <c r="CS73" s="75"/>
      <c r="CU73" s="75"/>
      <c r="CV73" s="75"/>
      <c r="CW73" s="75"/>
      <c r="CX73" s="75"/>
      <c r="CY73" s="75"/>
    </row>
    <row r="74" spans="2:103" ht="20.25" customHeight="1">
      <c r="B74" s="386" t="s">
        <v>233</v>
      </c>
      <c r="C74" s="303" t="s">
        <v>36</v>
      </c>
      <c r="D74" s="403"/>
      <c r="E74" s="430">
        <v>2</v>
      </c>
      <c r="F74" s="323"/>
      <c r="G74" s="323"/>
      <c r="H74" s="323"/>
      <c r="I74" s="323"/>
      <c r="J74" s="404"/>
      <c r="K74" s="393"/>
      <c r="L74" s="110">
        <f t="shared" si="16"/>
        <v>2</v>
      </c>
      <c r="M74" s="356"/>
      <c r="N74" s="356"/>
      <c r="O74" s="356"/>
      <c r="P74" s="356"/>
      <c r="Q74" s="356"/>
      <c r="R74" s="356"/>
      <c r="S74" s="356"/>
      <c r="T74" s="356"/>
      <c r="U74" s="356"/>
      <c r="V74" s="356"/>
      <c r="W74" s="356"/>
      <c r="X74" s="356"/>
      <c r="Y74" s="356"/>
      <c r="Z74" s="356"/>
      <c r="AA74" s="356"/>
      <c r="AB74" s="356"/>
      <c r="AC74" s="356"/>
      <c r="AD74" s="356"/>
      <c r="AE74" s="356"/>
      <c r="AF74" s="356"/>
      <c r="AG74" s="356"/>
      <c r="AH74" s="356"/>
      <c r="AI74" s="356"/>
      <c r="AJ74" s="356"/>
      <c r="AK74" s="356"/>
      <c r="AL74" s="356"/>
      <c r="AM74" s="356"/>
      <c r="AN74" s="356"/>
      <c r="AO74" s="356"/>
      <c r="AP74" s="356"/>
      <c r="AQ74" s="356"/>
      <c r="AR74" s="356"/>
      <c r="AS74" s="356"/>
      <c r="AT74" s="356"/>
      <c r="AU74" s="356"/>
      <c r="AV74" s="356"/>
      <c r="AW74" s="356"/>
      <c r="AX74" s="356"/>
      <c r="AY74" s="356"/>
      <c r="AZ74" s="356"/>
      <c r="BA74" s="356"/>
      <c r="BB74" s="356"/>
      <c r="BC74" s="356"/>
      <c r="BD74" s="356"/>
      <c r="BE74" s="356"/>
      <c r="BF74" s="356"/>
      <c r="BG74" s="356"/>
      <c r="BH74" s="356"/>
      <c r="BI74" s="356"/>
      <c r="BJ74" s="356"/>
      <c r="BK74" s="356"/>
      <c r="BL74" s="356"/>
      <c r="BM74" s="356"/>
      <c r="BN74" s="356"/>
      <c r="BO74" s="356"/>
      <c r="BP74" s="316"/>
      <c r="BQ74" s="102"/>
      <c r="BR74" s="102"/>
      <c r="BS74" s="102"/>
      <c r="BT74" s="102"/>
      <c r="BU74" s="102"/>
      <c r="BV74" s="102"/>
      <c r="BW74" s="72"/>
      <c r="BX74" s="72"/>
      <c r="BY74" s="72"/>
      <c r="BZ74" s="72"/>
      <c r="CA74" s="72"/>
      <c r="CB74" s="72"/>
      <c r="CC74" s="72"/>
      <c r="CD74" s="72"/>
      <c r="CE74" s="72"/>
      <c r="CF74" s="72"/>
      <c r="CG74" s="72"/>
      <c r="CH74" s="72"/>
      <c r="CI74" s="72"/>
      <c r="CJ74" s="72"/>
      <c r="CK74" s="72"/>
      <c r="CL74" s="72"/>
      <c r="CM74" s="72"/>
      <c r="CN74" s="72"/>
      <c r="CO74" s="72"/>
      <c r="CP74" s="72"/>
      <c r="CQ74" s="75"/>
      <c r="CR74" s="75"/>
      <c r="CS74" s="75"/>
      <c r="CU74" s="75"/>
      <c r="CV74" s="75"/>
      <c r="CW74" s="75"/>
      <c r="CX74" s="75"/>
      <c r="CY74" s="75"/>
    </row>
    <row r="75" spans="2:103" ht="20.25" customHeight="1">
      <c r="B75" s="386" t="s">
        <v>234</v>
      </c>
      <c r="C75" s="303" t="s">
        <v>36</v>
      </c>
      <c r="D75" s="403">
        <v>1</v>
      </c>
      <c r="E75" s="430"/>
      <c r="F75" s="323"/>
      <c r="G75" s="323"/>
      <c r="H75" s="323"/>
      <c r="I75" s="323"/>
      <c r="J75" s="404"/>
      <c r="K75" s="393"/>
      <c r="L75" s="110">
        <f t="shared" si="16"/>
        <v>1</v>
      </c>
      <c r="M75" s="356"/>
      <c r="N75" s="356"/>
      <c r="O75" s="356"/>
      <c r="P75" s="356"/>
      <c r="Q75" s="356"/>
      <c r="R75" s="356"/>
      <c r="S75" s="356"/>
      <c r="T75" s="356"/>
      <c r="U75" s="356"/>
      <c r="V75" s="356"/>
      <c r="W75" s="356"/>
      <c r="X75" s="356"/>
      <c r="Y75" s="356"/>
      <c r="Z75" s="356"/>
      <c r="AA75" s="356"/>
      <c r="AB75" s="356"/>
      <c r="AC75" s="356"/>
      <c r="AD75" s="356"/>
      <c r="AE75" s="356"/>
      <c r="AF75" s="356"/>
      <c r="AG75" s="356"/>
      <c r="AH75" s="356"/>
      <c r="AI75" s="356"/>
      <c r="AJ75" s="356"/>
      <c r="AK75" s="356"/>
      <c r="AL75" s="356"/>
      <c r="AM75" s="356"/>
      <c r="AN75" s="356"/>
      <c r="AO75" s="356"/>
      <c r="AP75" s="356"/>
      <c r="AQ75" s="356"/>
      <c r="AR75" s="356"/>
      <c r="AS75" s="356"/>
      <c r="AT75" s="356"/>
      <c r="AU75" s="356"/>
      <c r="AV75" s="356"/>
      <c r="AW75" s="356"/>
      <c r="AX75" s="356"/>
      <c r="AY75" s="356"/>
      <c r="AZ75" s="356"/>
      <c r="BA75" s="356"/>
      <c r="BB75" s="356"/>
      <c r="BC75" s="356"/>
      <c r="BD75" s="356"/>
      <c r="BE75" s="356"/>
      <c r="BF75" s="356"/>
      <c r="BG75" s="356"/>
      <c r="BH75" s="356"/>
      <c r="BI75" s="356"/>
      <c r="BJ75" s="356"/>
      <c r="BK75" s="356"/>
      <c r="BL75" s="356"/>
      <c r="BM75" s="356"/>
      <c r="BN75" s="356"/>
      <c r="BO75" s="356"/>
      <c r="BP75" s="316"/>
      <c r="BQ75" s="102"/>
      <c r="BR75" s="102"/>
      <c r="BS75" s="102"/>
      <c r="BT75" s="102"/>
      <c r="BU75" s="102"/>
      <c r="BV75" s="102"/>
      <c r="BW75" s="72"/>
      <c r="BX75" s="72"/>
      <c r="BY75" s="72"/>
      <c r="BZ75" s="72"/>
      <c r="CA75" s="72"/>
      <c r="CB75" s="72"/>
      <c r="CC75" s="72"/>
      <c r="CD75" s="72"/>
      <c r="CE75" s="72"/>
      <c r="CF75" s="72"/>
      <c r="CG75" s="72"/>
      <c r="CH75" s="72"/>
      <c r="CI75" s="72"/>
      <c r="CJ75" s="72"/>
      <c r="CK75" s="72"/>
      <c r="CL75" s="72"/>
      <c r="CM75" s="72"/>
      <c r="CN75" s="72"/>
      <c r="CO75" s="72"/>
      <c r="CP75" s="72"/>
      <c r="CQ75" s="75"/>
      <c r="CR75" s="75"/>
      <c r="CS75" s="75"/>
      <c r="CU75" s="75"/>
      <c r="CV75" s="75"/>
      <c r="CW75" s="75"/>
      <c r="CX75" s="75"/>
      <c r="CY75" s="75"/>
    </row>
    <row r="76" spans="2:103" ht="20.25" customHeight="1">
      <c r="B76" s="386" t="s">
        <v>235</v>
      </c>
      <c r="C76" s="303" t="s">
        <v>36</v>
      </c>
      <c r="D76" s="403"/>
      <c r="E76" s="430">
        <v>2</v>
      </c>
      <c r="F76" s="323"/>
      <c r="G76" s="323"/>
      <c r="H76" s="323"/>
      <c r="I76" s="323"/>
      <c r="J76" s="404"/>
      <c r="K76" s="393"/>
      <c r="L76" s="110">
        <f t="shared" si="16"/>
        <v>2</v>
      </c>
      <c r="M76" s="356"/>
      <c r="N76" s="356"/>
      <c r="O76" s="356"/>
      <c r="P76" s="356"/>
      <c r="Q76" s="356"/>
      <c r="R76" s="356"/>
      <c r="S76" s="356"/>
      <c r="T76" s="356"/>
      <c r="U76" s="356"/>
      <c r="V76" s="356"/>
      <c r="W76" s="356"/>
      <c r="X76" s="356"/>
      <c r="Y76" s="356"/>
      <c r="Z76" s="356"/>
      <c r="AA76" s="356"/>
      <c r="AB76" s="356"/>
      <c r="AC76" s="356"/>
      <c r="AD76" s="356"/>
      <c r="AE76" s="356"/>
      <c r="AF76" s="356"/>
      <c r="AG76" s="356"/>
      <c r="AH76" s="356"/>
      <c r="AI76" s="356"/>
      <c r="AJ76" s="356"/>
      <c r="AK76" s="356"/>
      <c r="AL76" s="356"/>
      <c r="AM76" s="356"/>
      <c r="AN76" s="356"/>
      <c r="AO76" s="356"/>
      <c r="AP76" s="356"/>
      <c r="AQ76" s="356"/>
      <c r="AR76" s="356"/>
      <c r="AS76" s="356"/>
      <c r="AT76" s="356"/>
      <c r="AU76" s="356"/>
      <c r="AV76" s="356"/>
      <c r="AW76" s="356"/>
      <c r="AX76" s="356"/>
      <c r="AY76" s="356"/>
      <c r="AZ76" s="356"/>
      <c r="BA76" s="356"/>
      <c r="BB76" s="356"/>
      <c r="BC76" s="356"/>
      <c r="BD76" s="356"/>
      <c r="BE76" s="356"/>
      <c r="BF76" s="356"/>
      <c r="BG76" s="356"/>
      <c r="BH76" s="356"/>
      <c r="BI76" s="356"/>
      <c r="BJ76" s="356"/>
      <c r="BK76" s="356"/>
      <c r="BL76" s="356"/>
      <c r="BM76" s="356"/>
      <c r="BN76" s="356"/>
      <c r="BO76" s="356"/>
      <c r="BP76" s="316"/>
      <c r="BQ76" s="102"/>
      <c r="BR76" s="102"/>
      <c r="BS76" s="102"/>
      <c r="BT76" s="102"/>
      <c r="BU76" s="102"/>
      <c r="BV76" s="102"/>
      <c r="BW76" s="72"/>
      <c r="BX76" s="72"/>
      <c r="BY76" s="72"/>
      <c r="BZ76" s="72"/>
      <c r="CA76" s="72"/>
      <c r="CB76" s="72"/>
      <c r="CC76" s="72"/>
      <c r="CD76" s="72"/>
      <c r="CE76" s="72"/>
      <c r="CF76" s="72"/>
      <c r="CG76" s="72"/>
      <c r="CH76" s="72"/>
      <c r="CI76" s="72"/>
      <c r="CJ76" s="72"/>
      <c r="CK76" s="72"/>
      <c r="CL76" s="72"/>
      <c r="CM76" s="72"/>
      <c r="CN76" s="72"/>
      <c r="CO76" s="72"/>
      <c r="CP76" s="72"/>
      <c r="CQ76" s="75"/>
      <c r="CR76" s="75"/>
      <c r="CS76" s="75"/>
      <c r="CU76" s="75"/>
      <c r="CV76" s="75"/>
      <c r="CW76" s="75"/>
      <c r="CX76" s="75"/>
      <c r="CY76" s="75"/>
    </row>
    <row r="77" spans="2:103" ht="20.25" customHeight="1">
      <c r="B77" s="310" t="s">
        <v>236</v>
      </c>
      <c r="C77" s="303" t="s">
        <v>36</v>
      </c>
      <c r="D77" s="403">
        <v>2</v>
      </c>
      <c r="E77" s="430"/>
      <c r="F77" s="323"/>
      <c r="G77" s="323"/>
      <c r="H77" s="323"/>
      <c r="I77" s="323"/>
      <c r="J77" s="404"/>
      <c r="K77" s="393"/>
      <c r="L77" s="110">
        <f t="shared" si="16"/>
        <v>2</v>
      </c>
      <c r="M77" s="356"/>
      <c r="N77" s="356"/>
      <c r="O77" s="356"/>
      <c r="P77" s="356"/>
      <c r="Q77" s="356"/>
      <c r="R77" s="356"/>
      <c r="S77" s="356"/>
      <c r="T77" s="356"/>
      <c r="U77" s="356"/>
      <c r="V77" s="356"/>
      <c r="W77" s="356"/>
      <c r="X77" s="356"/>
      <c r="Y77" s="356"/>
      <c r="Z77" s="356"/>
      <c r="AA77" s="356"/>
      <c r="AB77" s="356"/>
      <c r="AC77" s="356"/>
      <c r="AD77" s="356"/>
      <c r="AE77" s="356"/>
      <c r="AF77" s="356"/>
      <c r="AG77" s="356"/>
      <c r="AH77" s="356"/>
      <c r="AI77" s="356"/>
      <c r="AJ77" s="356"/>
      <c r="AK77" s="356"/>
      <c r="AL77" s="356"/>
      <c r="AM77" s="356"/>
      <c r="AN77" s="356"/>
      <c r="AO77" s="356"/>
      <c r="AP77" s="356"/>
      <c r="AQ77" s="356"/>
      <c r="AR77" s="356"/>
      <c r="AS77" s="356"/>
      <c r="AT77" s="356"/>
      <c r="AU77" s="356"/>
      <c r="AV77" s="356"/>
      <c r="AW77" s="356"/>
      <c r="AX77" s="356"/>
      <c r="AY77" s="356"/>
      <c r="AZ77" s="356"/>
      <c r="BA77" s="356"/>
      <c r="BB77" s="356"/>
      <c r="BC77" s="356"/>
      <c r="BD77" s="356"/>
      <c r="BE77" s="356"/>
      <c r="BF77" s="356"/>
      <c r="BG77" s="356"/>
      <c r="BH77" s="356"/>
      <c r="BI77" s="356"/>
      <c r="BJ77" s="356"/>
      <c r="BK77" s="356"/>
      <c r="BL77" s="356"/>
      <c r="BM77" s="356"/>
      <c r="BN77" s="356"/>
      <c r="BO77" s="356"/>
      <c r="BP77" s="316"/>
      <c r="BQ77" s="102"/>
      <c r="BR77" s="102"/>
      <c r="BS77" s="102"/>
      <c r="BT77" s="102"/>
      <c r="BU77" s="102"/>
      <c r="BV77" s="102"/>
      <c r="BW77" s="72"/>
      <c r="BX77" s="72"/>
      <c r="BY77" s="72"/>
      <c r="BZ77" s="72"/>
      <c r="CA77" s="72"/>
      <c r="CB77" s="72"/>
      <c r="CC77" s="72"/>
      <c r="CD77" s="72"/>
      <c r="CE77" s="72"/>
      <c r="CF77" s="72"/>
      <c r="CG77" s="72"/>
      <c r="CH77" s="72"/>
      <c r="CI77" s="72"/>
      <c r="CJ77" s="72"/>
      <c r="CK77" s="72"/>
      <c r="CL77" s="72"/>
      <c r="CM77" s="72"/>
      <c r="CN77" s="72"/>
      <c r="CO77" s="72"/>
      <c r="CP77" s="72"/>
      <c r="CQ77" s="75"/>
      <c r="CR77" s="75"/>
      <c r="CS77" s="75"/>
      <c r="CU77" s="75"/>
      <c r="CV77" s="75"/>
      <c r="CW77" s="75"/>
      <c r="CX77" s="75"/>
      <c r="CY77" s="75"/>
    </row>
    <row r="78" spans="2:103" ht="20.25" customHeight="1">
      <c r="B78" s="310" t="s">
        <v>237</v>
      </c>
      <c r="C78" s="303" t="s">
        <v>36</v>
      </c>
      <c r="D78" s="403"/>
      <c r="E78" s="430"/>
      <c r="F78" s="323"/>
      <c r="G78" s="323"/>
      <c r="H78" s="323"/>
      <c r="I78" s="323">
        <v>4</v>
      </c>
      <c r="J78" s="404">
        <v>3</v>
      </c>
      <c r="K78" s="393"/>
      <c r="L78" s="110">
        <f t="shared" si="16"/>
        <v>7</v>
      </c>
      <c r="M78" s="356"/>
      <c r="N78" s="356"/>
      <c r="O78" s="356"/>
      <c r="P78" s="356"/>
      <c r="Q78" s="356"/>
      <c r="R78" s="356"/>
      <c r="S78" s="356"/>
      <c r="T78" s="356"/>
      <c r="U78" s="356"/>
      <c r="V78" s="356"/>
      <c r="W78" s="356"/>
      <c r="X78" s="356"/>
      <c r="Y78" s="356"/>
      <c r="Z78" s="356"/>
      <c r="AA78" s="356"/>
      <c r="AB78" s="356"/>
      <c r="AC78" s="356"/>
      <c r="AD78" s="356"/>
      <c r="AE78" s="356"/>
      <c r="AF78" s="356"/>
      <c r="AG78" s="356"/>
      <c r="AH78" s="356"/>
      <c r="AI78" s="356"/>
      <c r="AJ78" s="356"/>
      <c r="AK78" s="356"/>
      <c r="AL78" s="356"/>
      <c r="AM78" s="356"/>
      <c r="AN78" s="356"/>
      <c r="AO78" s="356"/>
      <c r="AP78" s="356"/>
      <c r="AQ78" s="356"/>
      <c r="AR78" s="356"/>
      <c r="AS78" s="356"/>
      <c r="AT78" s="356"/>
      <c r="AU78" s="356"/>
      <c r="AV78" s="356"/>
      <c r="AW78" s="356"/>
      <c r="AX78" s="356"/>
      <c r="AY78" s="356"/>
      <c r="AZ78" s="356"/>
      <c r="BA78" s="356"/>
      <c r="BB78" s="356"/>
      <c r="BC78" s="356"/>
      <c r="BD78" s="356"/>
      <c r="BE78" s="356"/>
      <c r="BF78" s="356"/>
      <c r="BG78" s="356"/>
      <c r="BH78" s="356"/>
      <c r="BI78" s="356"/>
      <c r="BJ78" s="356"/>
      <c r="BK78" s="356"/>
      <c r="BL78" s="356"/>
      <c r="BM78" s="356"/>
      <c r="BN78" s="356"/>
      <c r="BO78" s="356"/>
      <c r="BP78" s="316"/>
      <c r="BQ78" s="102"/>
      <c r="BR78" s="102"/>
      <c r="BS78" s="102"/>
      <c r="BT78" s="102"/>
      <c r="BU78" s="102"/>
      <c r="BV78" s="102"/>
      <c r="BW78" s="72"/>
      <c r="BX78" s="72"/>
      <c r="BY78" s="72"/>
      <c r="BZ78" s="72"/>
      <c r="CA78" s="72"/>
      <c r="CB78" s="72"/>
      <c r="CC78" s="72"/>
      <c r="CD78" s="72"/>
      <c r="CE78" s="72"/>
      <c r="CF78" s="72"/>
      <c r="CG78" s="72"/>
      <c r="CH78" s="72"/>
      <c r="CI78" s="72"/>
      <c r="CJ78" s="72"/>
      <c r="CK78" s="72"/>
      <c r="CL78" s="72"/>
      <c r="CM78" s="72"/>
      <c r="CN78" s="72"/>
      <c r="CO78" s="72"/>
      <c r="CP78" s="72"/>
      <c r="CQ78" s="75"/>
      <c r="CR78" s="75"/>
      <c r="CS78" s="75"/>
      <c r="CU78" s="75"/>
      <c r="CV78" s="75"/>
      <c r="CW78" s="75"/>
      <c r="CX78" s="75"/>
      <c r="CY78" s="75"/>
    </row>
    <row r="79" spans="2:103" ht="20.25" customHeight="1">
      <c r="B79" s="310" t="s">
        <v>238</v>
      </c>
      <c r="C79" s="303" t="s">
        <v>36</v>
      </c>
      <c r="D79" s="403"/>
      <c r="E79" s="430"/>
      <c r="F79" s="323"/>
      <c r="G79" s="323"/>
      <c r="H79" s="323"/>
      <c r="I79" s="323">
        <v>1</v>
      </c>
      <c r="J79" s="404">
        <v>1</v>
      </c>
      <c r="K79" s="393"/>
      <c r="L79" s="110">
        <f t="shared" si="16"/>
        <v>2</v>
      </c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  <c r="Z79" s="356"/>
      <c r="AA79" s="356"/>
      <c r="AB79" s="356"/>
      <c r="AC79" s="356"/>
      <c r="AD79" s="356"/>
      <c r="AE79" s="356"/>
      <c r="AF79" s="356"/>
      <c r="AG79" s="356"/>
      <c r="AH79" s="356"/>
      <c r="AI79" s="356"/>
      <c r="AJ79" s="356"/>
      <c r="AK79" s="356"/>
      <c r="AL79" s="356"/>
      <c r="AM79" s="356"/>
      <c r="AN79" s="356"/>
      <c r="AO79" s="356"/>
      <c r="AP79" s="356"/>
      <c r="AQ79" s="356"/>
      <c r="AR79" s="356"/>
      <c r="AS79" s="356"/>
      <c r="AT79" s="356"/>
      <c r="AU79" s="356"/>
      <c r="AV79" s="356"/>
      <c r="AW79" s="356"/>
      <c r="AX79" s="356"/>
      <c r="AY79" s="356"/>
      <c r="AZ79" s="356"/>
      <c r="BA79" s="356"/>
      <c r="BB79" s="356"/>
      <c r="BC79" s="356"/>
      <c r="BD79" s="356"/>
      <c r="BE79" s="356"/>
      <c r="BF79" s="356"/>
      <c r="BG79" s="356"/>
      <c r="BH79" s="356"/>
      <c r="BI79" s="356"/>
      <c r="BJ79" s="356"/>
      <c r="BK79" s="356"/>
      <c r="BL79" s="356"/>
      <c r="BM79" s="356"/>
      <c r="BN79" s="356"/>
      <c r="BO79" s="356"/>
      <c r="BP79" s="316"/>
      <c r="BQ79" s="102"/>
      <c r="BR79" s="102"/>
      <c r="BS79" s="102"/>
      <c r="BT79" s="102"/>
      <c r="BU79" s="102"/>
      <c r="BV79" s="102"/>
      <c r="BW79" s="72"/>
      <c r="BX79" s="72"/>
      <c r="BY79" s="72"/>
      <c r="BZ79" s="72"/>
      <c r="CA79" s="72"/>
      <c r="CB79" s="72"/>
      <c r="CC79" s="72"/>
      <c r="CD79" s="72"/>
      <c r="CE79" s="72"/>
      <c r="CF79" s="72"/>
      <c r="CG79" s="72"/>
      <c r="CH79" s="72"/>
      <c r="CI79" s="72"/>
      <c r="CJ79" s="72"/>
      <c r="CK79" s="72"/>
      <c r="CL79" s="72"/>
      <c r="CM79" s="72"/>
      <c r="CN79" s="72"/>
      <c r="CO79" s="72"/>
      <c r="CP79" s="72"/>
      <c r="CQ79" s="75"/>
      <c r="CR79" s="75"/>
      <c r="CS79" s="75"/>
      <c r="CU79" s="75"/>
      <c r="CV79" s="75"/>
      <c r="CW79" s="75"/>
      <c r="CX79" s="75"/>
      <c r="CY79" s="75"/>
    </row>
    <row r="80" spans="2:103" ht="20.25" customHeight="1">
      <c r="B80" s="310" t="s">
        <v>239</v>
      </c>
      <c r="C80" s="303" t="s">
        <v>36</v>
      </c>
      <c r="D80" s="403"/>
      <c r="E80" s="403"/>
      <c r="F80" s="323">
        <v>2</v>
      </c>
      <c r="G80" s="323"/>
      <c r="H80" s="323"/>
      <c r="I80" s="323"/>
      <c r="J80" s="404"/>
      <c r="K80" s="393"/>
      <c r="L80" s="110">
        <f t="shared" si="16"/>
        <v>2</v>
      </c>
      <c r="M80" s="356"/>
      <c r="N80" s="356"/>
      <c r="O80" s="356"/>
      <c r="P80" s="356"/>
      <c r="Q80" s="356"/>
      <c r="R80" s="356"/>
      <c r="S80" s="356"/>
      <c r="T80" s="356"/>
      <c r="U80" s="356"/>
      <c r="V80" s="356"/>
      <c r="W80" s="356"/>
      <c r="X80" s="356"/>
      <c r="Y80" s="356"/>
      <c r="Z80" s="356"/>
      <c r="AA80" s="356"/>
      <c r="AB80" s="356"/>
      <c r="AC80" s="356"/>
      <c r="AD80" s="356"/>
      <c r="AE80" s="356"/>
      <c r="AF80" s="356"/>
      <c r="AG80" s="356"/>
      <c r="AH80" s="356"/>
      <c r="AI80" s="356"/>
      <c r="AJ80" s="356"/>
      <c r="AK80" s="356"/>
      <c r="AL80" s="356"/>
      <c r="AM80" s="356"/>
      <c r="AN80" s="356"/>
      <c r="AO80" s="356"/>
      <c r="AP80" s="356"/>
      <c r="AQ80" s="356"/>
      <c r="AR80" s="356"/>
      <c r="AS80" s="356"/>
      <c r="AT80" s="356"/>
      <c r="AU80" s="356"/>
      <c r="AV80" s="356"/>
      <c r="AW80" s="356"/>
      <c r="AX80" s="356"/>
      <c r="AY80" s="356"/>
      <c r="AZ80" s="356"/>
      <c r="BA80" s="356"/>
      <c r="BB80" s="356"/>
      <c r="BC80" s="356"/>
      <c r="BD80" s="356"/>
      <c r="BE80" s="356"/>
      <c r="BF80" s="356"/>
      <c r="BG80" s="356"/>
      <c r="BH80" s="356"/>
      <c r="BI80" s="356"/>
      <c r="BJ80" s="356"/>
      <c r="BK80" s="356"/>
      <c r="BL80" s="356"/>
      <c r="BM80" s="356"/>
      <c r="BN80" s="356"/>
      <c r="BO80" s="356"/>
      <c r="BP80" s="316"/>
      <c r="BQ80" s="102"/>
      <c r="BR80" s="102"/>
      <c r="BS80" s="102"/>
      <c r="BT80" s="102"/>
      <c r="BU80" s="102"/>
      <c r="BV80" s="102"/>
      <c r="BW80" s="72"/>
      <c r="BX80" s="72"/>
      <c r="BY80" s="72"/>
      <c r="BZ80" s="72"/>
      <c r="CA80" s="72"/>
      <c r="CB80" s="72"/>
      <c r="CC80" s="72"/>
      <c r="CD80" s="72"/>
      <c r="CE80" s="72"/>
      <c r="CF80" s="72"/>
      <c r="CG80" s="72"/>
      <c r="CH80" s="72"/>
      <c r="CI80" s="72"/>
      <c r="CJ80" s="72"/>
      <c r="CK80" s="72"/>
      <c r="CL80" s="72"/>
      <c r="CM80" s="72"/>
      <c r="CN80" s="72"/>
      <c r="CO80" s="72"/>
      <c r="CP80" s="72"/>
      <c r="CQ80" s="75"/>
      <c r="CR80" s="75"/>
      <c r="CS80" s="75"/>
      <c r="CU80" s="75"/>
      <c r="CV80" s="75"/>
      <c r="CW80" s="75"/>
      <c r="CX80" s="75"/>
      <c r="CY80" s="75"/>
    </row>
    <row r="81" spans="2:103" ht="20.25" customHeight="1">
      <c r="B81" s="310" t="s">
        <v>240</v>
      </c>
      <c r="C81" s="303" t="s">
        <v>36</v>
      </c>
      <c r="D81" s="403"/>
      <c r="E81" s="403"/>
      <c r="F81" s="323">
        <v>1</v>
      </c>
      <c r="G81" s="323"/>
      <c r="H81" s="323"/>
      <c r="I81" s="323"/>
      <c r="J81" s="404"/>
      <c r="K81" s="393"/>
      <c r="L81" s="110">
        <f t="shared" si="16"/>
        <v>1</v>
      </c>
      <c r="M81" s="356"/>
      <c r="N81" s="356"/>
      <c r="O81" s="356"/>
      <c r="P81" s="356"/>
      <c r="Q81" s="356"/>
      <c r="R81" s="356"/>
      <c r="S81" s="356"/>
      <c r="T81" s="356"/>
      <c r="U81" s="356"/>
      <c r="V81" s="356"/>
      <c r="W81" s="356"/>
      <c r="X81" s="356"/>
      <c r="Y81" s="356"/>
      <c r="Z81" s="356"/>
      <c r="AA81" s="356"/>
      <c r="AB81" s="356"/>
      <c r="AC81" s="356"/>
      <c r="AD81" s="356"/>
      <c r="AE81" s="356"/>
      <c r="AF81" s="356"/>
      <c r="AG81" s="356"/>
      <c r="AH81" s="356"/>
      <c r="AI81" s="356"/>
      <c r="AJ81" s="356"/>
      <c r="AK81" s="356"/>
      <c r="AL81" s="356"/>
      <c r="AM81" s="356"/>
      <c r="AN81" s="356"/>
      <c r="AO81" s="356"/>
      <c r="AP81" s="356"/>
      <c r="AQ81" s="356"/>
      <c r="AR81" s="356"/>
      <c r="AS81" s="356"/>
      <c r="AT81" s="356"/>
      <c r="AU81" s="356"/>
      <c r="AV81" s="356"/>
      <c r="AW81" s="356"/>
      <c r="AX81" s="356"/>
      <c r="AY81" s="356"/>
      <c r="AZ81" s="356"/>
      <c r="BA81" s="356"/>
      <c r="BB81" s="356"/>
      <c r="BC81" s="356"/>
      <c r="BD81" s="356"/>
      <c r="BE81" s="356"/>
      <c r="BF81" s="356"/>
      <c r="BG81" s="356"/>
      <c r="BH81" s="356"/>
      <c r="BI81" s="356"/>
      <c r="BJ81" s="356"/>
      <c r="BK81" s="356"/>
      <c r="BL81" s="356"/>
      <c r="BM81" s="356"/>
      <c r="BN81" s="356"/>
      <c r="BO81" s="356"/>
      <c r="BP81" s="316"/>
      <c r="BQ81" s="102"/>
      <c r="BR81" s="102"/>
      <c r="BS81" s="102"/>
      <c r="BT81" s="102"/>
      <c r="BU81" s="102"/>
      <c r="BV81" s="102"/>
      <c r="BW81" s="72"/>
      <c r="BX81" s="72"/>
      <c r="BY81" s="72"/>
      <c r="BZ81" s="72"/>
      <c r="CA81" s="72"/>
      <c r="CB81" s="72"/>
      <c r="CC81" s="72"/>
      <c r="CD81" s="72"/>
      <c r="CE81" s="72"/>
      <c r="CF81" s="72"/>
      <c r="CG81" s="72"/>
      <c r="CH81" s="72"/>
      <c r="CI81" s="72"/>
      <c r="CJ81" s="72"/>
      <c r="CK81" s="72"/>
      <c r="CL81" s="72"/>
      <c r="CM81" s="72"/>
      <c r="CN81" s="72"/>
      <c r="CO81" s="72"/>
      <c r="CP81" s="72"/>
      <c r="CQ81" s="75"/>
      <c r="CR81" s="75"/>
      <c r="CS81" s="75"/>
      <c r="CU81" s="75"/>
      <c r="CV81" s="75"/>
      <c r="CW81" s="75"/>
      <c r="CX81" s="75"/>
      <c r="CY81" s="75"/>
    </row>
    <row r="82" spans="2:103" ht="20.25" customHeight="1">
      <c r="B82" s="310" t="s">
        <v>241</v>
      </c>
      <c r="C82" s="303" t="s">
        <v>36</v>
      </c>
      <c r="D82" s="403"/>
      <c r="E82" s="403"/>
      <c r="F82" s="323">
        <v>1</v>
      </c>
      <c r="G82" s="323"/>
      <c r="H82" s="323"/>
      <c r="I82" s="323"/>
      <c r="J82" s="404"/>
      <c r="K82" s="393"/>
      <c r="L82" s="110">
        <f t="shared" si="16"/>
        <v>1</v>
      </c>
      <c r="M82" s="356"/>
      <c r="N82" s="356"/>
      <c r="O82" s="356"/>
      <c r="P82" s="356"/>
      <c r="Q82" s="356"/>
      <c r="R82" s="356"/>
      <c r="S82" s="356"/>
      <c r="T82" s="356"/>
      <c r="U82" s="356"/>
      <c r="V82" s="356"/>
      <c r="W82" s="356"/>
      <c r="X82" s="356"/>
      <c r="Y82" s="356"/>
      <c r="Z82" s="356"/>
      <c r="AA82" s="356"/>
      <c r="AB82" s="356"/>
      <c r="AC82" s="356"/>
      <c r="AD82" s="356"/>
      <c r="AE82" s="356"/>
      <c r="AF82" s="356"/>
      <c r="AG82" s="356"/>
      <c r="AH82" s="356"/>
      <c r="AI82" s="356"/>
      <c r="AJ82" s="356"/>
      <c r="AK82" s="356"/>
      <c r="AL82" s="356"/>
      <c r="AM82" s="356"/>
      <c r="AN82" s="356"/>
      <c r="AO82" s="356"/>
      <c r="AP82" s="356"/>
      <c r="AQ82" s="356"/>
      <c r="AR82" s="356"/>
      <c r="AS82" s="356"/>
      <c r="AT82" s="356"/>
      <c r="AU82" s="356"/>
      <c r="AV82" s="356"/>
      <c r="AW82" s="356"/>
      <c r="AX82" s="356"/>
      <c r="AY82" s="356"/>
      <c r="AZ82" s="356"/>
      <c r="BA82" s="356"/>
      <c r="BB82" s="356"/>
      <c r="BC82" s="356"/>
      <c r="BD82" s="356"/>
      <c r="BE82" s="356"/>
      <c r="BF82" s="356"/>
      <c r="BG82" s="356"/>
      <c r="BH82" s="356"/>
      <c r="BI82" s="356"/>
      <c r="BJ82" s="356"/>
      <c r="BK82" s="356"/>
      <c r="BL82" s="356"/>
      <c r="BM82" s="356"/>
      <c r="BN82" s="356"/>
      <c r="BO82" s="356"/>
      <c r="BP82" s="316"/>
      <c r="BQ82" s="102"/>
      <c r="BR82" s="102"/>
      <c r="BS82" s="102"/>
      <c r="BT82" s="102"/>
      <c r="BU82" s="102"/>
      <c r="BV82" s="102"/>
      <c r="BW82" s="72"/>
      <c r="BX82" s="72"/>
      <c r="BY82" s="72"/>
      <c r="BZ82" s="72"/>
      <c r="CA82" s="72"/>
      <c r="CB82" s="72"/>
      <c r="CC82" s="72"/>
      <c r="CD82" s="72"/>
      <c r="CE82" s="72"/>
      <c r="CF82" s="72"/>
      <c r="CG82" s="72"/>
      <c r="CH82" s="72"/>
      <c r="CI82" s="72"/>
      <c r="CJ82" s="72"/>
      <c r="CK82" s="72"/>
      <c r="CL82" s="72"/>
      <c r="CM82" s="72"/>
      <c r="CN82" s="72"/>
      <c r="CO82" s="72"/>
      <c r="CP82" s="72"/>
      <c r="CQ82" s="75"/>
      <c r="CR82" s="75"/>
      <c r="CS82" s="75"/>
      <c r="CU82" s="75"/>
      <c r="CV82" s="75"/>
      <c r="CW82" s="75"/>
      <c r="CX82" s="75"/>
      <c r="CY82" s="75"/>
    </row>
    <row r="83" spans="2:103" ht="20.25" customHeight="1">
      <c r="B83" s="310" t="s">
        <v>242</v>
      </c>
      <c r="C83" s="303" t="s">
        <v>36</v>
      </c>
      <c r="D83" s="403"/>
      <c r="E83" s="430"/>
      <c r="F83" s="323">
        <v>1</v>
      </c>
      <c r="G83" s="323"/>
      <c r="H83" s="323"/>
      <c r="I83" s="323"/>
      <c r="J83" s="404"/>
      <c r="K83" s="393"/>
      <c r="L83" s="110">
        <f t="shared" si="16"/>
        <v>1</v>
      </c>
      <c r="M83" s="356"/>
      <c r="N83" s="356"/>
      <c r="O83" s="356"/>
      <c r="P83" s="356"/>
      <c r="Q83" s="356"/>
      <c r="R83" s="356"/>
      <c r="S83" s="356"/>
      <c r="T83" s="356"/>
      <c r="U83" s="356"/>
      <c r="V83" s="356"/>
      <c r="W83" s="356"/>
      <c r="X83" s="356"/>
      <c r="Y83" s="356"/>
      <c r="Z83" s="356"/>
      <c r="AA83" s="356"/>
      <c r="AB83" s="356"/>
      <c r="AC83" s="356"/>
      <c r="AD83" s="356"/>
      <c r="AE83" s="356"/>
      <c r="AF83" s="356"/>
      <c r="AG83" s="356"/>
      <c r="AH83" s="356"/>
      <c r="AI83" s="356"/>
      <c r="AJ83" s="356"/>
      <c r="AK83" s="356"/>
      <c r="AL83" s="356"/>
      <c r="AM83" s="356"/>
      <c r="AN83" s="356"/>
      <c r="AO83" s="356"/>
      <c r="AP83" s="356"/>
      <c r="AQ83" s="356"/>
      <c r="AR83" s="356"/>
      <c r="AS83" s="356"/>
      <c r="AT83" s="356"/>
      <c r="AU83" s="356"/>
      <c r="AV83" s="356"/>
      <c r="AW83" s="356"/>
      <c r="AX83" s="356"/>
      <c r="AY83" s="356"/>
      <c r="AZ83" s="356"/>
      <c r="BA83" s="356"/>
      <c r="BB83" s="356"/>
      <c r="BC83" s="356"/>
      <c r="BD83" s="356"/>
      <c r="BE83" s="356"/>
      <c r="BF83" s="356"/>
      <c r="BG83" s="356"/>
      <c r="BH83" s="356"/>
      <c r="BI83" s="356"/>
      <c r="BJ83" s="356"/>
      <c r="BK83" s="356"/>
      <c r="BL83" s="356"/>
      <c r="BM83" s="356"/>
      <c r="BN83" s="356"/>
      <c r="BO83" s="356"/>
      <c r="BP83" s="316"/>
      <c r="BQ83" s="102"/>
      <c r="BR83" s="102"/>
      <c r="BS83" s="102"/>
      <c r="BT83" s="102"/>
      <c r="BU83" s="102"/>
      <c r="BV83" s="102"/>
      <c r="BW83" s="72"/>
      <c r="BX83" s="72"/>
      <c r="BY83" s="72"/>
      <c r="BZ83" s="72"/>
      <c r="CA83" s="72"/>
      <c r="CB83" s="72"/>
      <c r="CC83" s="72"/>
      <c r="CD83" s="72"/>
      <c r="CE83" s="72"/>
      <c r="CF83" s="72"/>
      <c r="CG83" s="72"/>
      <c r="CH83" s="72"/>
      <c r="CI83" s="72"/>
      <c r="CJ83" s="72"/>
      <c r="CK83" s="72"/>
      <c r="CL83" s="72"/>
      <c r="CM83" s="72"/>
      <c r="CN83" s="72"/>
      <c r="CO83" s="72"/>
      <c r="CP83" s="72"/>
      <c r="CQ83" s="75"/>
      <c r="CR83" s="75"/>
      <c r="CS83" s="75"/>
      <c r="CU83" s="75"/>
      <c r="CV83" s="75"/>
      <c r="CW83" s="75"/>
      <c r="CX83" s="75"/>
      <c r="CY83" s="75"/>
    </row>
    <row r="84" spans="2:103" ht="20.25" customHeight="1">
      <c r="B84" s="310" t="s">
        <v>243</v>
      </c>
      <c r="C84" s="303" t="s">
        <v>36</v>
      </c>
      <c r="D84" s="403"/>
      <c r="E84" s="430"/>
      <c r="F84" s="323">
        <v>1</v>
      </c>
      <c r="G84" s="323"/>
      <c r="H84" s="323"/>
      <c r="I84" s="323"/>
      <c r="J84" s="404"/>
      <c r="K84" s="393"/>
      <c r="L84" s="110">
        <f t="shared" si="16"/>
        <v>1</v>
      </c>
      <c r="M84" s="356"/>
      <c r="N84" s="356"/>
      <c r="O84" s="356"/>
      <c r="P84" s="356"/>
      <c r="Q84" s="356"/>
      <c r="R84" s="356"/>
      <c r="S84" s="356"/>
      <c r="T84" s="356"/>
      <c r="U84" s="356"/>
      <c r="V84" s="356"/>
      <c r="W84" s="356"/>
      <c r="X84" s="356"/>
      <c r="Y84" s="356"/>
      <c r="Z84" s="356"/>
      <c r="AA84" s="356"/>
      <c r="AB84" s="356"/>
      <c r="AC84" s="356"/>
      <c r="AD84" s="356"/>
      <c r="AE84" s="356"/>
      <c r="AF84" s="356"/>
      <c r="AG84" s="356"/>
      <c r="AH84" s="356"/>
      <c r="AI84" s="356"/>
      <c r="AJ84" s="356"/>
      <c r="AK84" s="356"/>
      <c r="AL84" s="356"/>
      <c r="AM84" s="356"/>
      <c r="AN84" s="356"/>
      <c r="AO84" s="356"/>
      <c r="AP84" s="356"/>
      <c r="AQ84" s="356"/>
      <c r="AR84" s="356"/>
      <c r="AS84" s="356"/>
      <c r="AT84" s="356"/>
      <c r="AU84" s="356"/>
      <c r="AV84" s="356"/>
      <c r="AW84" s="356"/>
      <c r="AX84" s="356"/>
      <c r="AY84" s="356"/>
      <c r="AZ84" s="356"/>
      <c r="BA84" s="356"/>
      <c r="BB84" s="356"/>
      <c r="BC84" s="356"/>
      <c r="BD84" s="356"/>
      <c r="BE84" s="356"/>
      <c r="BF84" s="356"/>
      <c r="BG84" s="356"/>
      <c r="BH84" s="356"/>
      <c r="BI84" s="356"/>
      <c r="BJ84" s="356"/>
      <c r="BK84" s="356"/>
      <c r="BL84" s="356"/>
      <c r="BM84" s="356"/>
      <c r="BN84" s="356"/>
      <c r="BO84" s="356"/>
      <c r="BP84" s="316"/>
      <c r="BQ84" s="102"/>
      <c r="BR84" s="102"/>
      <c r="BS84" s="102"/>
      <c r="BT84" s="102"/>
      <c r="BU84" s="102"/>
      <c r="BV84" s="102"/>
      <c r="BW84" s="72"/>
      <c r="BX84" s="72"/>
      <c r="BY84" s="72"/>
      <c r="BZ84" s="72"/>
      <c r="CA84" s="72"/>
      <c r="CB84" s="72"/>
      <c r="CC84" s="72"/>
      <c r="CD84" s="72"/>
      <c r="CE84" s="72"/>
      <c r="CF84" s="72"/>
      <c r="CG84" s="72"/>
      <c r="CH84" s="72"/>
      <c r="CI84" s="72"/>
      <c r="CJ84" s="72"/>
      <c r="CK84" s="72"/>
      <c r="CL84" s="72"/>
      <c r="CM84" s="72"/>
      <c r="CN84" s="72"/>
      <c r="CO84" s="72"/>
      <c r="CP84" s="72"/>
      <c r="CQ84" s="75"/>
      <c r="CR84" s="75"/>
      <c r="CS84" s="75"/>
      <c r="CU84" s="75"/>
      <c r="CV84" s="75"/>
      <c r="CW84" s="75"/>
      <c r="CX84" s="75"/>
      <c r="CY84" s="75"/>
    </row>
    <row r="85" spans="2:103" ht="20.25" customHeight="1">
      <c r="B85" s="310" t="s">
        <v>244</v>
      </c>
      <c r="C85" s="322" t="s">
        <v>36</v>
      </c>
      <c r="D85" s="403"/>
      <c r="E85" s="430"/>
      <c r="F85" s="323">
        <v>1</v>
      </c>
      <c r="G85" s="323"/>
      <c r="H85" s="323"/>
      <c r="I85" s="323"/>
      <c r="J85" s="404"/>
      <c r="K85" s="393"/>
      <c r="L85" s="110">
        <f t="shared" si="16"/>
        <v>1</v>
      </c>
      <c r="M85" s="356"/>
      <c r="N85" s="356"/>
      <c r="O85" s="356"/>
      <c r="P85" s="356"/>
      <c r="Q85" s="356"/>
      <c r="R85" s="356"/>
      <c r="S85" s="356"/>
      <c r="T85" s="356"/>
      <c r="U85" s="356"/>
      <c r="V85" s="356"/>
      <c r="W85" s="356"/>
      <c r="X85" s="356"/>
      <c r="Y85" s="356"/>
      <c r="Z85" s="356"/>
      <c r="AA85" s="356"/>
      <c r="AB85" s="356"/>
      <c r="AC85" s="356"/>
      <c r="AD85" s="356"/>
      <c r="AE85" s="356"/>
      <c r="AF85" s="356"/>
      <c r="AG85" s="356"/>
      <c r="AH85" s="356"/>
      <c r="AI85" s="356"/>
      <c r="AJ85" s="356"/>
      <c r="AK85" s="356"/>
      <c r="AL85" s="356"/>
      <c r="AM85" s="356"/>
      <c r="AN85" s="356"/>
      <c r="AO85" s="356"/>
      <c r="AP85" s="356"/>
      <c r="AQ85" s="356"/>
      <c r="AR85" s="356"/>
      <c r="AS85" s="356"/>
      <c r="AT85" s="356"/>
      <c r="AU85" s="356"/>
      <c r="AV85" s="356"/>
      <c r="AW85" s="356"/>
      <c r="AX85" s="356"/>
      <c r="AY85" s="356"/>
      <c r="AZ85" s="356"/>
      <c r="BA85" s="356"/>
      <c r="BB85" s="356"/>
      <c r="BC85" s="356"/>
      <c r="BD85" s="356"/>
      <c r="BE85" s="356"/>
      <c r="BF85" s="356"/>
      <c r="BG85" s="356"/>
      <c r="BH85" s="356"/>
      <c r="BI85" s="356"/>
      <c r="BJ85" s="356"/>
      <c r="BK85" s="356"/>
      <c r="BL85" s="356"/>
      <c r="BM85" s="356"/>
      <c r="BN85" s="356"/>
      <c r="BO85" s="356"/>
      <c r="BP85" s="316"/>
      <c r="BQ85" s="102"/>
      <c r="BR85" s="102"/>
      <c r="BS85" s="102"/>
      <c r="BT85" s="102"/>
      <c r="BU85" s="102"/>
      <c r="BV85" s="102"/>
      <c r="BW85" s="72"/>
      <c r="BX85" s="72"/>
      <c r="BY85" s="72"/>
      <c r="BZ85" s="72"/>
      <c r="CA85" s="72"/>
      <c r="CB85" s="72"/>
      <c r="CC85" s="72"/>
      <c r="CD85" s="72"/>
      <c r="CE85" s="72"/>
      <c r="CF85" s="72"/>
      <c r="CG85" s="72"/>
      <c r="CH85" s="72"/>
      <c r="CI85" s="72"/>
      <c r="CJ85" s="72"/>
      <c r="CK85" s="72"/>
      <c r="CL85" s="72"/>
      <c r="CM85" s="72"/>
      <c r="CN85" s="72"/>
      <c r="CO85" s="72"/>
      <c r="CP85" s="72"/>
      <c r="CQ85" s="75"/>
      <c r="CR85" s="75"/>
      <c r="CS85" s="75"/>
      <c r="CU85" s="75"/>
      <c r="CV85" s="75"/>
      <c r="CW85" s="75"/>
      <c r="CX85" s="75"/>
      <c r="CY85" s="75"/>
    </row>
    <row r="86" spans="2:103" ht="20.25" customHeight="1">
      <c r="B86" s="310" t="s">
        <v>245</v>
      </c>
      <c r="C86" s="322" t="s">
        <v>36</v>
      </c>
      <c r="D86" s="403">
        <v>17</v>
      </c>
      <c r="E86" s="430"/>
      <c r="F86" s="323"/>
      <c r="G86" s="323"/>
      <c r="H86" s="323"/>
      <c r="I86" s="323"/>
      <c r="J86" s="404"/>
      <c r="K86" s="393"/>
      <c r="L86" s="110">
        <f t="shared" si="16"/>
        <v>17</v>
      </c>
      <c r="M86" s="356"/>
      <c r="N86" s="356"/>
      <c r="O86" s="356"/>
      <c r="P86" s="356"/>
      <c r="Q86" s="356"/>
      <c r="R86" s="356"/>
      <c r="S86" s="356"/>
      <c r="T86" s="356"/>
      <c r="U86" s="356"/>
      <c r="V86" s="356"/>
      <c r="W86" s="356"/>
      <c r="X86" s="356"/>
      <c r="Y86" s="356"/>
      <c r="Z86" s="356"/>
      <c r="AA86" s="356"/>
      <c r="AB86" s="356"/>
      <c r="AC86" s="356"/>
      <c r="AD86" s="356"/>
      <c r="AE86" s="356"/>
      <c r="AF86" s="356"/>
      <c r="AG86" s="356"/>
      <c r="AH86" s="356"/>
      <c r="AI86" s="356"/>
      <c r="AJ86" s="356"/>
      <c r="AK86" s="356"/>
      <c r="AL86" s="356"/>
      <c r="AM86" s="356"/>
      <c r="AN86" s="356"/>
      <c r="AO86" s="356"/>
      <c r="AP86" s="356"/>
      <c r="AQ86" s="356"/>
      <c r="AR86" s="356"/>
      <c r="AS86" s="356"/>
      <c r="AT86" s="356"/>
      <c r="AU86" s="356"/>
      <c r="AV86" s="356"/>
      <c r="AW86" s="356"/>
      <c r="AX86" s="356"/>
      <c r="AY86" s="356"/>
      <c r="AZ86" s="356"/>
      <c r="BA86" s="356"/>
      <c r="BB86" s="356"/>
      <c r="BC86" s="356"/>
      <c r="BD86" s="356"/>
      <c r="BE86" s="356"/>
      <c r="BF86" s="356"/>
      <c r="BG86" s="356"/>
      <c r="BH86" s="356"/>
      <c r="BI86" s="356"/>
      <c r="BJ86" s="356"/>
      <c r="BK86" s="356"/>
      <c r="BL86" s="356"/>
      <c r="BM86" s="356"/>
      <c r="BN86" s="356"/>
      <c r="BO86" s="356"/>
      <c r="BP86" s="316"/>
      <c r="BQ86" s="102"/>
      <c r="BR86" s="102"/>
      <c r="BS86" s="102"/>
      <c r="BT86" s="102"/>
      <c r="BU86" s="102"/>
      <c r="BV86" s="102"/>
      <c r="BW86" s="72"/>
      <c r="BX86" s="72"/>
      <c r="BY86" s="72"/>
      <c r="BZ86" s="72"/>
      <c r="CA86" s="72"/>
      <c r="CB86" s="72"/>
      <c r="CC86" s="72"/>
      <c r="CD86" s="72"/>
      <c r="CE86" s="72"/>
      <c r="CF86" s="72"/>
      <c r="CG86" s="72"/>
      <c r="CH86" s="72"/>
      <c r="CI86" s="72"/>
      <c r="CJ86" s="72"/>
      <c r="CK86" s="72"/>
      <c r="CL86" s="72"/>
      <c r="CM86" s="72"/>
      <c r="CN86" s="72"/>
      <c r="CO86" s="72"/>
      <c r="CP86" s="72"/>
      <c r="CQ86" s="75"/>
      <c r="CR86" s="75"/>
      <c r="CS86" s="75"/>
      <c r="CU86" s="75"/>
      <c r="CV86" s="75"/>
      <c r="CW86" s="75"/>
      <c r="CX86" s="75"/>
      <c r="CY86" s="75"/>
    </row>
    <row r="87" spans="2:103" ht="20.25" customHeight="1">
      <c r="B87" s="310" t="s">
        <v>246</v>
      </c>
      <c r="C87" s="322" t="s">
        <v>36</v>
      </c>
      <c r="D87" s="403">
        <v>11</v>
      </c>
      <c r="E87" s="430"/>
      <c r="F87" s="323"/>
      <c r="G87" s="323"/>
      <c r="H87" s="323"/>
      <c r="I87" s="323"/>
      <c r="J87" s="404"/>
      <c r="K87" s="393"/>
      <c r="L87" s="110">
        <f t="shared" si="16"/>
        <v>11</v>
      </c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56"/>
      <c r="Z87" s="356"/>
      <c r="AA87" s="356"/>
      <c r="AB87" s="356"/>
      <c r="AC87" s="356"/>
      <c r="AD87" s="356"/>
      <c r="AE87" s="356"/>
      <c r="AF87" s="356"/>
      <c r="AG87" s="356"/>
      <c r="AH87" s="356"/>
      <c r="AI87" s="356"/>
      <c r="AJ87" s="356"/>
      <c r="AK87" s="356"/>
      <c r="AL87" s="356"/>
      <c r="AM87" s="356"/>
      <c r="AN87" s="356"/>
      <c r="AO87" s="356"/>
      <c r="AP87" s="356"/>
      <c r="AQ87" s="356"/>
      <c r="AR87" s="356"/>
      <c r="AS87" s="356"/>
      <c r="AT87" s="356"/>
      <c r="AU87" s="356"/>
      <c r="AV87" s="356"/>
      <c r="AW87" s="356"/>
      <c r="AX87" s="356"/>
      <c r="AY87" s="356"/>
      <c r="AZ87" s="356"/>
      <c r="BA87" s="356"/>
      <c r="BB87" s="356"/>
      <c r="BC87" s="356"/>
      <c r="BD87" s="356"/>
      <c r="BE87" s="356"/>
      <c r="BF87" s="356"/>
      <c r="BG87" s="356"/>
      <c r="BH87" s="356"/>
      <c r="BI87" s="356"/>
      <c r="BJ87" s="356"/>
      <c r="BK87" s="356"/>
      <c r="BL87" s="356"/>
      <c r="BM87" s="356"/>
      <c r="BN87" s="356"/>
      <c r="BO87" s="356"/>
      <c r="BP87" s="316"/>
      <c r="BQ87" s="102"/>
      <c r="BR87" s="102"/>
      <c r="BS87" s="102"/>
      <c r="BT87" s="102"/>
      <c r="BU87" s="102"/>
      <c r="BV87" s="102"/>
      <c r="BW87" s="72"/>
      <c r="BX87" s="72"/>
      <c r="BY87" s="72"/>
      <c r="BZ87" s="72"/>
      <c r="CA87" s="72"/>
      <c r="CB87" s="72"/>
      <c r="CC87" s="72"/>
      <c r="CD87" s="72"/>
      <c r="CE87" s="72"/>
      <c r="CF87" s="72"/>
      <c r="CG87" s="72"/>
      <c r="CH87" s="72"/>
      <c r="CI87" s="72"/>
      <c r="CJ87" s="72"/>
      <c r="CK87" s="72"/>
      <c r="CL87" s="72"/>
      <c r="CM87" s="72"/>
      <c r="CN87" s="72"/>
      <c r="CO87" s="72"/>
      <c r="CP87" s="72"/>
      <c r="CQ87" s="75"/>
      <c r="CR87" s="75"/>
      <c r="CS87" s="75"/>
      <c r="CU87" s="75"/>
      <c r="CV87" s="75"/>
      <c r="CW87" s="75"/>
      <c r="CX87" s="75"/>
      <c r="CY87" s="75"/>
    </row>
    <row r="88" spans="2:103" ht="20.25" customHeight="1">
      <c r="B88" s="310" t="s">
        <v>247</v>
      </c>
      <c r="C88" s="322" t="s">
        <v>36</v>
      </c>
      <c r="D88" s="403">
        <v>28</v>
      </c>
      <c r="E88" s="430"/>
      <c r="F88" s="323"/>
      <c r="G88" s="323"/>
      <c r="H88" s="323"/>
      <c r="I88" s="323"/>
      <c r="J88" s="404"/>
      <c r="K88" s="393"/>
      <c r="L88" s="110">
        <f t="shared" si="16"/>
        <v>28</v>
      </c>
      <c r="M88" s="356"/>
      <c r="N88" s="356"/>
      <c r="O88" s="356"/>
      <c r="P88" s="356"/>
      <c r="Q88" s="356"/>
      <c r="R88" s="356"/>
      <c r="S88" s="356"/>
      <c r="T88" s="356"/>
      <c r="U88" s="356"/>
      <c r="V88" s="356"/>
      <c r="W88" s="356"/>
      <c r="X88" s="356"/>
      <c r="Y88" s="356"/>
      <c r="Z88" s="356"/>
      <c r="AA88" s="356"/>
      <c r="AB88" s="356"/>
      <c r="AC88" s="356"/>
      <c r="AD88" s="356"/>
      <c r="AE88" s="356"/>
      <c r="AF88" s="356"/>
      <c r="AG88" s="356"/>
      <c r="AH88" s="356"/>
      <c r="AI88" s="356"/>
      <c r="AJ88" s="356"/>
      <c r="AK88" s="356"/>
      <c r="AL88" s="356"/>
      <c r="AM88" s="356"/>
      <c r="AN88" s="356"/>
      <c r="AO88" s="356"/>
      <c r="AP88" s="356"/>
      <c r="AQ88" s="356"/>
      <c r="AR88" s="356"/>
      <c r="AS88" s="356"/>
      <c r="AT88" s="356"/>
      <c r="AU88" s="356"/>
      <c r="AV88" s="356"/>
      <c r="AW88" s="356"/>
      <c r="AX88" s="356"/>
      <c r="AY88" s="356"/>
      <c r="AZ88" s="356"/>
      <c r="BA88" s="356"/>
      <c r="BB88" s="356"/>
      <c r="BC88" s="356"/>
      <c r="BD88" s="356"/>
      <c r="BE88" s="356"/>
      <c r="BF88" s="356"/>
      <c r="BG88" s="356"/>
      <c r="BH88" s="356"/>
      <c r="BI88" s="356"/>
      <c r="BJ88" s="356"/>
      <c r="BK88" s="356"/>
      <c r="BL88" s="356"/>
      <c r="BM88" s="356"/>
      <c r="BN88" s="356"/>
      <c r="BO88" s="356"/>
      <c r="BP88" s="316"/>
      <c r="BQ88" s="102"/>
      <c r="BR88" s="102"/>
      <c r="BS88" s="102"/>
      <c r="BT88" s="102"/>
      <c r="BU88" s="102"/>
      <c r="BV88" s="102"/>
      <c r="BW88" s="72"/>
      <c r="BX88" s="72"/>
      <c r="BY88" s="72"/>
      <c r="BZ88" s="72"/>
      <c r="CA88" s="72"/>
      <c r="CB88" s="72"/>
      <c r="CC88" s="72"/>
      <c r="CD88" s="72"/>
      <c r="CE88" s="72"/>
      <c r="CF88" s="72"/>
      <c r="CG88" s="72"/>
      <c r="CH88" s="72"/>
      <c r="CI88" s="72"/>
      <c r="CJ88" s="72"/>
      <c r="CK88" s="72"/>
      <c r="CL88" s="72"/>
      <c r="CM88" s="72"/>
      <c r="CN88" s="72"/>
      <c r="CO88" s="72"/>
      <c r="CP88" s="72"/>
      <c r="CQ88" s="75"/>
      <c r="CR88" s="75"/>
      <c r="CS88" s="75"/>
      <c r="CU88" s="75"/>
      <c r="CV88" s="75"/>
      <c r="CW88" s="75"/>
      <c r="CX88" s="75"/>
      <c r="CY88" s="75"/>
    </row>
    <row r="89" spans="2:103" ht="20.25" customHeight="1">
      <c r="B89" s="310" t="s">
        <v>248</v>
      </c>
      <c r="C89" s="322" t="s">
        <v>36</v>
      </c>
      <c r="D89" s="403">
        <v>1</v>
      </c>
      <c r="E89" s="430"/>
      <c r="F89" s="323"/>
      <c r="G89" s="323"/>
      <c r="H89" s="323"/>
      <c r="I89" s="323"/>
      <c r="J89" s="404"/>
      <c r="K89" s="393"/>
      <c r="L89" s="110">
        <f t="shared" si="16"/>
        <v>1</v>
      </c>
      <c r="M89" s="356"/>
      <c r="N89" s="356"/>
      <c r="O89" s="356"/>
      <c r="P89" s="356"/>
      <c r="Q89" s="356"/>
      <c r="R89" s="356"/>
      <c r="S89" s="356"/>
      <c r="T89" s="356"/>
      <c r="U89" s="356"/>
      <c r="V89" s="356"/>
      <c r="W89" s="356"/>
      <c r="X89" s="356"/>
      <c r="Y89" s="356"/>
      <c r="Z89" s="356"/>
      <c r="AA89" s="356"/>
      <c r="AB89" s="356"/>
      <c r="AC89" s="356"/>
      <c r="AD89" s="356"/>
      <c r="AE89" s="356"/>
      <c r="AF89" s="356"/>
      <c r="AG89" s="356"/>
      <c r="AH89" s="356"/>
      <c r="AI89" s="356"/>
      <c r="AJ89" s="356"/>
      <c r="AK89" s="356"/>
      <c r="AL89" s="356"/>
      <c r="AM89" s="356"/>
      <c r="AN89" s="356"/>
      <c r="AO89" s="356"/>
      <c r="AP89" s="356"/>
      <c r="AQ89" s="356"/>
      <c r="AR89" s="356"/>
      <c r="AS89" s="356"/>
      <c r="AT89" s="356"/>
      <c r="AU89" s="356"/>
      <c r="AV89" s="356"/>
      <c r="AW89" s="356"/>
      <c r="AX89" s="356"/>
      <c r="AY89" s="356"/>
      <c r="AZ89" s="356"/>
      <c r="BA89" s="356"/>
      <c r="BB89" s="356"/>
      <c r="BC89" s="356"/>
      <c r="BD89" s="356"/>
      <c r="BE89" s="356"/>
      <c r="BF89" s="356"/>
      <c r="BG89" s="356"/>
      <c r="BH89" s="356"/>
      <c r="BI89" s="356"/>
      <c r="BJ89" s="356"/>
      <c r="BK89" s="356"/>
      <c r="BL89" s="356"/>
      <c r="BM89" s="356"/>
      <c r="BN89" s="356"/>
      <c r="BO89" s="356"/>
      <c r="BP89" s="316"/>
      <c r="BQ89" s="102"/>
      <c r="BR89" s="102"/>
      <c r="BS89" s="102"/>
      <c r="BT89" s="102"/>
      <c r="BU89" s="102"/>
      <c r="BV89" s="102"/>
      <c r="BW89" s="72"/>
      <c r="BX89" s="72"/>
      <c r="BY89" s="72"/>
      <c r="BZ89" s="72"/>
      <c r="CA89" s="72"/>
      <c r="CB89" s="72"/>
      <c r="CC89" s="72"/>
      <c r="CD89" s="72"/>
      <c r="CE89" s="72"/>
      <c r="CF89" s="72"/>
      <c r="CG89" s="72"/>
      <c r="CH89" s="72"/>
      <c r="CI89" s="72"/>
      <c r="CJ89" s="72"/>
      <c r="CK89" s="72"/>
      <c r="CL89" s="72"/>
      <c r="CM89" s="72"/>
      <c r="CN89" s="72"/>
      <c r="CO89" s="72"/>
      <c r="CP89" s="72"/>
      <c r="CQ89" s="75"/>
      <c r="CR89" s="75"/>
      <c r="CS89" s="75"/>
      <c r="CU89" s="75"/>
      <c r="CV89" s="75"/>
      <c r="CW89" s="75"/>
      <c r="CX89" s="75"/>
      <c r="CY89" s="75"/>
    </row>
    <row r="90" spans="2:103" ht="20.25" customHeight="1">
      <c r="B90" s="310" t="s">
        <v>249</v>
      </c>
      <c r="C90" s="322" t="s">
        <v>36</v>
      </c>
      <c r="D90" s="403">
        <v>1</v>
      </c>
      <c r="E90" s="430"/>
      <c r="F90" s="323"/>
      <c r="G90" s="323"/>
      <c r="H90" s="323"/>
      <c r="I90" s="323"/>
      <c r="J90" s="404"/>
      <c r="K90" s="393"/>
      <c r="L90" s="110">
        <f t="shared" si="16"/>
        <v>1</v>
      </c>
      <c r="M90" s="356"/>
      <c r="N90" s="356"/>
      <c r="O90" s="356"/>
      <c r="P90" s="356"/>
      <c r="Q90" s="356"/>
      <c r="R90" s="356"/>
      <c r="S90" s="356"/>
      <c r="T90" s="356"/>
      <c r="U90" s="356"/>
      <c r="V90" s="356"/>
      <c r="W90" s="356"/>
      <c r="X90" s="356"/>
      <c r="Y90" s="356"/>
      <c r="Z90" s="356"/>
      <c r="AA90" s="356"/>
      <c r="AB90" s="356"/>
      <c r="AC90" s="356"/>
      <c r="AD90" s="356"/>
      <c r="AE90" s="356"/>
      <c r="AF90" s="356"/>
      <c r="AG90" s="356"/>
      <c r="AH90" s="356"/>
      <c r="AI90" s="356"/>
      <c r="AJ90" s="356"/>
      <c r="AK90" s="356"/>
      <c r="AL90" s="356"/>
      <c r="AM90" s="356"/>
      <c r="AN90" s="356"/>
      <c r="AO90" s="356"/>
      <c r="AP90" s="356"/>
      <c r="AQ90" s="356"/>
      <c r="AR90" s="356"/>
      <c r="AS90" s="356"/>
      <c r="AT90" s="356"/>
      <c r="AU90" s="356"/>
      <c r="AV90" s="356"/>
      <c r="AW90" s="356"/>
      <c r="AX90" s="356"/>
      <c r="AY90" s="356"/>
      <c r="AZ90" s="356"/>
      <c r="BA90" s="356"/>
      <c r="BB90" s="356"/>
      <c r="BC90" s="356"/>
      <c r="BD90" s="356"/>
      <c r="BE90" s="356"/>
      <c r="BF90" s="356"/>
      <c r="BG90" s="356"/>
      <c r="BH90" s="356"/>
      <c r="BI90" s="356"/>
      <c r="BJ90" s="356"/>
      <c r="BK90" s="356"/>
      <c r="BL90" s="356"/>
      <c r="BM90" s="356"/>
      <c r="BN90" s="356"/>
      <c r="BO90" s="356"/>
      <c r="BP90" s="316"/>
      <c r="BQ90" s="102"/>
      <c r="BR90" s="102"/>
      <c r="BS90" s="102"/>
      <c r="BT90" s="102"/>
      <c r="BU90" s="102"/>
      <c r="BV90" s="102"/>
      <c r="BW90" s="72"/>
      <c r="BX90" s="72"/>
      <c r="BY90" s="72"/>
      <c r="BZ90" s="72"/>
      <c r="CA90" s="72"/>
      <c r="CB90" s="72"/>
      <c r="CC90" s="72"/>
      <c r="CD90" s="72"/>
      <c r="CE90" s="72"/>
      <c r="CF90" s="72"/>
      <c r="CG90" s="72"/>
      <c r="CH90" s="72"/>
      <c r="CI90" s="72"/>
      <c r="CJ90" s="72"/>
      <c r="CK90" s="72"/>
      <c r="CL90" s="72"/>
      <c r="CM90" s="72"/>
      <c r="CN90" s="72"/>
      <c r="CO90" s="72"/>
      <c r="CP90" s="72"/>
      <c r="CQ90" s="75"/>
      <c r="CR90" s="75"/>
      <c r="CS90" s="75"/>
      <c r="CU90" s="75"/>
      <c r="CV90" s="75"/>
      <c r="CW90" s="75"/>
      <c r="CX90" s="75"/>
      <c r="CY90" s="75"/>
    </row>
    <row r="91" spans="2:103" ht="20.25" customHeight="1">
      <c r="B91" s="310" t="s">
        <v>250</v>
      </c>
      <c r="C91" s="322" t="s">
        <v>36</v>
      </c>
      <c r="D91" s="403">
        <v>1</v>
      </c>
      <c r="E91" s="430"/>
      <c r="F91" s="323"/>
      <c r="G91" s="323"/>
      <c r="H91" s="323"/>
      <c r="I91" s="323"/>
      <c r="J91" s="404"/>
      <c r="K91" s="393"/>
      <c r="L91" s="110">
        <f t="shared" si="16"/>
        <v>1</v>
      </c>
      <c r="M91" s="356"/>
      <c r="N91" s="356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56"/>
      <c r="Z91" s="356"/>
      <c r="AA91" s="356"/>
      <c r="AB91" s="356"/>
      <c r="AC91" s="356"/>
      <c r="AD91" s="356"/>
      <c r="AE91" s="356"/>
      <c r="AF91" s="356"/>
      <c r="AG91" s="356"/>
      <c r="AH91" s="356"/>
      <c r="AI91" s="356"/>
      <c r="AJ91" s="356"/>
      <c r="AK91" s="356"/>
      <c r="AL91" s="356"/>
      <c r="AM91" s="356"/>
      <c r="AN91" s="356"/>
      <c r="AO91" s="356"/>
      <c r="AP91" s="356"/>
      <c r="AQ91" s="356"/>
      <c r="AR91" s="356"/>
      <c r="AS91" s="356"/>
      <c r="AT91" s="356"/>
      <c r="AU91" s="356"/>
      <c r="AV91" s="356"/>
      <c r="AW91" s="356"/>
      <c r="AX91" s="356"/>
      <c r="AY91" s="356"/>
      <c r="AZ91" s="356"/>
      <c r="BA91" s="356"/>
      <c r="BB91" s="356"/>
      <c r="BC91" s="356"/>
      <c r="BD91" s="356"/>
      <c r="BE91" s="356"/>
      <c r="BF91" s="356"/>
      <c r="BG91" s="356"/>
      <c r="BH91" s="356"/>
      <c r="BI91" s="356"/>
      <c r="BJ91" s="356"/>
      <c r="BK91" s="356"/>
      <c r="BL91" s="356"/>
      <c r="BM91" s="356"/>
      <c r="BN91" s="356"/>
      <c r="BO91" s="356"/>
      <c r="BP91" s="316"/>
      <c r="BQ91" s="102"/>
      <c r="BR91" s="102"/>
      <c r="BS91" s="102"/>
      <c r="BT91" s="102"/>
      <c r="BU91" s="102"/>
      <c r="BV91" s="102"/>
      <c r="BW91" s="72"/>
      <c r="BX91" s="72"/>
      <c r="BY91" s="72"/>
      <c r="BZ91" s="72"/>
      <c r="CA91" s="72"/>
      <c r="CB91" s="72"/>
      <c r="CC91" s="72"/>
      <c r="CD91" s="72"/>
      <c r="CE91" s="72"/>
      <c r="CF91" s="72"/>
      <c r="CG91" s="72"/>
      <c r="CH91" s="72"/>
      <c r="CI91" s="72"/>
      <c r="CJ91" s="72"/>
      <c r="CK91" s="72"/>
      <c r="CL91" s="72"/>
      <c r="CM91" s="72"/>
      <c r="CN91" s="72"/>
      <c r="CO91" s="72"/>
      <c r="CP91" s="72"/>
      <c r="CQ91" s="75"/>
      <c r="CR91" s="75"/>
      <c r="CS91" s="75"/>
      <c r="CU91" s="75"/>
      <c r="CV91" s="75"/>
      <c r="CW91" s="75"/>
      <c r="CX91" s="75"/>
      <c r="CY91" s="75"/>
    </row>
    <row r="92" spans="2:103" ht="20.25" customHeight="1">
      <c r="B92" s="310" t="s">
        <v>251</v>
      </c>
      <c r="C92" s="322" t="s">
        <v>36</v>
      </c>
      <c r="D92" s="403"/>
      <c r="E92" s="430"/>
      <c r="F92" s="323"/>
      <c r="G92" s="323"/>
      <c r="H92" s="323">
        <v>6</v>
      </c>
      <c r="I92" s="323"/>
      <c r="J92" s="404"/>
      <c r="K92" s="393"/>
      <c r="L92" s="110">
        <f t="shared" si="16"/>
        <v>6</v>
      </c>
      <c r="M92" s="356"/>
      <c r="N92" s="356"/>
      <c r="O92" s="356"/>
      <c r="P92" s="356"/>
      <c r="Q92" s="356"/>
      <c r="R92" s="356"/>
      <c r="S92" s="356"/>
      <c r="T92" s="356"/>
      <c r="U92" s="356"/>
      <c r="V92" s="356"/>
      <c r="W92" s="356"/>
      <c r="X92" s="356"/>
      <c r="Y92" s="356"/>
      <c r="Z92" s="356"/>
      <c r="AA92" s="356"/>
      <c r="AB92" s="356"/>
      <c r="AC92" s="356"/>
      <c r="AD92" s="356"/>
      <c r="AE92" s="356"/>
      <c r="AF92" s="356"/>
      <c r="AG92" s="356"/>
      <c r="AH92" s="356"/>
      <c r="AI92" s="356"/>
      <c r="AJ92" s="356"/>
      <c r="AK92" s="356"/>
      <c r="AL92" s="356"/>
      <c r="AM92" s="356"/>
      <c r="AN92" s="356"/>
      <c r="AO92" s="356"/>
      <c r="AP92" s="356"/>
      <c r="AQ92" s="356"/>
      <c r="AR92" s="356"/>
      <c r="AS92" s="356"/>
      <c r="AT92" s="356"/>
      <c r="AU92" s="356"/>
      <c r="AV92" s="356"/>
      <c r="AW92" s="356"/>
      <c r="AX92" s="356"/>
      <c r="AY92" s="356"/>
      <c r="AZ92" s="356"/>
      <c r="BA92" s="356"/>
      <c r="BB92" s="356"/>
      <c r="BC92" s="356"/>
      <c r="BD92" s="356"/>
      <c r="BE92" s="356"/>
      <c r="BF92" s="356"/>
      <c r="BG92" s="356"/>
      <c r="BH92" s="356"/>
      <c r="BI92" s="356"/>
      <c r="BJ92" s="356"/>
      <c r="BK92" s="356"/>
      <c r="BL92" s="356"/>
      <c r="BM92" s="356"/>
      <c r="BN92" s="356"/>
      <c r="BO92" s="356"/>
      <c r="BP92" s="316"/>
      <c r="BQ92" s="102"/>
      <c r="BR92" s="102"/>
      <c r="BS92" s="102"/>
      <c r="BT92" s="102"/>
      <c r="BU92" s="102"/>
      <c r="BV92" s="102"/>
      <c r="BW92" s="72"/>
      <c r="BX92" s="72"/>
      <c r="BY92" s="72"/>
      <c r="BZ92" s="72"/>
      <c r="CA92" s="72"/>
      <c r="CB92" s="72"/>
      <c r="CC92" s="72"/>
      <c r="CD92" s="72"/>
      <c r="CE92" s="72"/>
      <c r="CF92" s="72"/>
      <c r="CG92" s="72"/>
      <c r="CH92" s="72"/>
      <c r="CI92" s="72"/>
      <c r="CJ92" s="72"/>
      <c r="CK92" s="72"/>
      <c r="CL92" s="72"/>
      <c r="CM92" s="72"/>
      <c r="CN92" s="72"/>
      <c r="CO92" s="72"/>
      <c r="CP92" s="72"/>
      <c r="CQ92" s="75"/>
      <c r="CR92" s="75"/>
      <c r="CS92" s="75"/>
      <c r="CU92" s="75"/>
      <c r="CV92" s="75"/>
      <c r="CW92" s="75"/>
      <c r="CX92" s="75"/>
      <c r="CY92" s="75"/>
    </row>
    <row r="93" spans="2:103" ht="20.25" customHeight="1">
      <c r="B93" s="282"/>
      <c r="C93" s="97"/>
      <c r="D93" s="297"/>
      <c r="E93" s="98"/>
      <c r="F93" s="99"/>
      <c r="G93" s="99"/>
      <c r="H93" s="99"/>
      <c r="I93" s="99"/>
      <c r="J93" s="405"/>
      <c r="K93" s="274"/>
      <c r="L93" s="113"/>
      <c r="M93" s="317"/>
      <c r="N93" s="317"/>
      <c r="O93" s="317"/>
      <c r="P93" s="317"/>
      <c r="Q93" s="317"/>
      <c r="R93" s="317"/>
      <c r="S93" s="317"/>
      <c r="T93" s="317"/>
      <c r="U93" s="317"/>
      <c r="V93" s="317"/>
      <c r="W93" s="317"/>
      <c r="X93" s="317"/>
      <c r="Y93" s="317"/>
      <c r="Z93" s="317"/>
      <c r="AA93" s="317"/>
      <c r="AB93" s="317"/>
      <c r="AC93" s="317"/>
      <c r="AD93" s="317"/>
      <c r="AE93" s="317"/>
      <c r="AF93" s="317"/>
      <c r="AG93" s="317"/>
      <c r="AH93" s="317"/>
      <c r="AI93" s="317"/>
      <c r="AJ93" s="317"/>
      <c r="AK93" s="317"/>
      <c r="AL93" s="317"/>
      <c r="AM93" s="317"/>
      <c r="AN93" s="317"/>
      <c r="AO93" s="317"/>
      <c r="AP93" s="317"/>
      <c r="AQ93" s="317"/>
      <c r="AR93" s="317"/>
      <c r="AS93" s="317"/>
      <c r="AT93" s="317"/>
      <c r="AU93" s="317"/>
      <c r="AV93" s="317"/>
      <c r="AW93" s="317"/>
      <c r="AX93" s="317"/>
      <c r="AY93" s="317"/>
      <c r="AZ93" s="317"/>
      <c r="BA93" s="317"/>
      <c r="BB93" s="317"/>
      <c r="BC93" s="317"/>
      <c r="BD93" s="317"/>
      <c r="BE93" s="317"/>
      <c r="BF93" s="317"/>
      <c r="BG93" s="317"/>
      <c r="BH93" s="317"/>
      <c r="BI93" s="317"/>
      <c r="BJ93" s="317"/>
      <c r="BK93" s="317"/>
      <c r="BL93" s="317"/>
      <c r="BM93" s="317"/>
      <c r="BN93" s="317"/>
      <c r="BO93" s="317"/>
      <c r="BP93" s="359"/>
      <c r="BQ93" s="102"/>
      <c r="BR93" s="102"/>
      <c r="BS93" s="102"/>
      <c r="BT93" s="102"/>
      <c r="BU93" s="102"/>
      <c r="BV93" s="102"/>
      <c r="BW93" s="72"/>
      <c r="BX93" s="72"/>
      <c r="BY93" s="72"/>
      <c r="BZ93" s="72"/>
      <c r="CA93" s="72"/>
      <c r="CB93" s="72"/>
      <c r="CC93" s="72"/>
      <c r="CD93" s="72"/>
      <c r="CE93" s="72"/>
      <c r="CF93" s="72"/>
      <c r="CG93" s="72"/>
      <c r="CH93" s="72"/>
      <c r="CI93" s="72"/>
      <c r="CJ93" s="72"/>
      <c r="CK93" s="72"/>
      <c r="CL93" s="72"/>
      <c r="CM93" s="72"/>
      <c r="CN93" s="72"/>
      <c r="CO93" s="72"/>
      <c r="CP93" s="72"/>
      <c r="CQ93" s="75"/>
      <c r="CR93" s="75"/>
      <c r="CS93" s="75"/>
      <c r="CU93" s="75"/>
      <c r="CV93" s="75"/>
      <c r="CW93" s="75"/>
      <c r="CX93" s="75"/>
      <c r="CY93" s="75"/>
    </row>
    <row r="94" spans="2:103" s="72" customFormat="1" ht="20.25" customHeight="1">
      <c r="B94" s="101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77"/>
      <c r="BQ94" s="77"/>
      <c r="BR94" s="77"/>
      <c r="BS94" s="77"/>
      <c r="BT94" s="77"/>
      <c r="BU94" s="77"/>
      <c r="BV94" s="77"/>
      <c r="BW94" s="77"/>
      <c r="BX94" s="77"/>
      <c r="BY94" s="77"/>
      <c r="BZ94" s="77"/>
      <c r="CA94" s="77"/>
      <c r="CB94" s="77"/>
      <c r="CC94" s="77"/>
      <c r="CD94" s="77"/>
      <c r="CE94" s="77"/>
      <c r="CF94" s="77"/>
      <c r="CG94" s="77"/>
      <c r="CH94" s="77"/>
      <c r="CI94" s="77"/>
      <c r="CJ94" s="77"/>
      <c r="CK94" s="77"/>
      <c r="CL94" s="77"/>
      <c r="CM94" s="77"/>
      <c r="CN94" s="77"/>
      <c r="CO94" s="77"/>
      <c r="CP94" s="77"/>
      <c r="CQ94" s="77"/>
      <c r="CR94" s="77"/>
      <c r="CS94" s="78"/>
      <c r="CU94" s="102"/>
      <c r="CV94" s="102"/>
      <c r="CW94" s="102"/>
      <c r="CX94" s="102"/>
      <c r="CY94" s="102"/>
    </row>
    <row r="95" spans="2:103" s="72" customFormat="1" ht="20.25" customHeight="1">
      <c r="B95" s="471" t="s">
        <v>28</v>
      </c>
      <c r="C95" s="471" t="s">
        <v>29</v>
      </c>
      <c r="D95" s="471" t="s">
        <v>123</v>
      </c>
      <c r="E95" s="475" t="s">
        <v>116</v>
      </c>
      <c r="F95" s="317"/>
      <c r="G95" s="467" t="s">
        <v>31</v>
      </c>
      <c r="H95" s="467" t="s">
        <v>32</v>
      </c>
      <c r="I95" s="467" t="s">
        <v>117</v>
      </c>
      <c r="J95" s="467" t="s">
        <v>34</v>
      </c>
      <c r="K95" s="339"/>
      <c r="L95" s="339"/>
      <c r="M95" s="339"/>
      <c r="N95" s="339"/>
      <c r="O95" s="339"/>
      <c r="P95" s="339"/>
      <c r="Q95" s="339"/>
      <c r="R95" s="339"/>
      <c r="S95" s="339"/>
      <c r="T95" s="339"/>
      <c r="U95" s="339"/>
      <c r="V95" s="339"/>
      <c r="W95" s="339"/>
      <c r="X95" s="339"/>
      <c r="Y95" s="339"/>
      <c r="Z95" s="339"/>
      <c r="AA95" s="315"/>
      <c r="AB95" s="315"/>
      <c r="AC95" s="315"/>
      <c r="AD95" s="315"/>
      <c r="AE95" s="315"/>
      <c r="AF95" s="315"/>
      <c r="AG95" s="315"/>
      <c r="AH95" s="315"/>
      <c r="AI95" s="315"/>
      <c r="AJ95" s="315"/>
      <c r="AK95" s="339"/>
      <c r="AL95" s="339"/>
      <c r="AM95" s="339"/>
      <c r="AN95" s="339"/>
      <c r="AO95" s="339"/>
      <c r="AP95" s="339"/>
      <c r="AQ95" s="339"/>
      <c r="AR95" s="339"/>
      <c r="AS95" s="339"/>
      <c r="AT95" s="339"/>
      <c r="AU95" s="339"/>
      <c r="AV95" s="480"/>
      <c r="AW95" s="315"/>
      <c r="AX95" s="315"/>
      <c r="AY95" s="315"/>
      <c r="AZ95" s="315"/>
      <c r="BA95" s="315"/>
      <c r="BB95" s="315"/>
      <c r="BC95" s="315"/>
      <c r="BD95" s="315"/>
      <c r="BE95" s="467"/>
      <c r="BF95" s="467"/>
      <c r="BG95" s="467"/>
      <c r="BH95" s="46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7"/>
      <c r="BT95" s="77"/>
      <c r="BU95" s="77"/>
      <c r="BV95" s="77"/>
      <c r="BW95" s="77"/>
      <c r="BX95" s="77"/>
      <c r="BY95" s="77"/>
      <c r="BZ95" s="77"/>
      <c r="CA95" s="77"/>
      <c r="CB95" s="77"/>
      <c r="CC95" s="77"/>
      <c r="CD95" s="77"/>
      <c r="CE95" s="77"/>
      <c r="CF95" s="77"/>
      <c r="CG95" s="78"/>
      <c r="CI95" s="102"/>
      <c r="CJ95" s="102"/>
      <c r="CK95" s="102"/>
      <c r="CL95" s="102"/>
      <c r="CM95" s="102"/>
    </row>
    <row r="96" spans="2:103" s="72" customFormat="1" ht="15" customHeight="1">
      <c r="B96" s="472"/>
      <c r="C96" s="472"/>
      <c r="D96" s="472"/>
      <c r="E96" s="476"/>
      <c r="F96" s="339"/>
      <c r="G96" s="467"/>
      <c r="H96" s="467"/>
      <c r="I96" s="467"/>
      <c r="J96" s="467"/>
      <c r="K96" s="339"/>
      <c r="L96" s="339"/>
      <c r="M96" s="339"/>
      <c r="N96" s="339"/>
      <c r="O96" s="339"/>
      <c r="P96" s="339"/>
      <c r="Q96" s="339"/>
      <c r="R96" s="339"/>
      <c r="S96" s="339"/>
      <c r="T96" s="339"/>
      <c r="U96" s="339"/>
      <c r="V96" s="339"/>
      <c r="W96" s="339"/>
      <c r="X96" s="339"/>
      <c r="Y96" s="339"/>
      <c r="Z96" s="339"/>
      <c r="AA96" s="315"/>
      <c r="AB96" s="315"/>
      <c r="AC96" s="315"/>
      <c r="AD96" s="315"/>
      <c r="AE96" s="315"/>
      <c r="AF96" s="315"/>
      <c r="AG96" s="315"/>
      <c r="AH96" s="315"/>
      <c r="AI96" s="315"/>
      <c r="AJ96" s="315"/>
      <c r="AK96" s="339"/>
      <c r="AL96" s="339"/>
      <c r="AM96" s="339"/>
      <c r="AN96" s="339"/>
      <c r="AO96" s="339"/>
      <c r="AP96" s="339"/>
      <c r="AQ96" s="339"/>
      <c r="AR96" s="339"/>
      <c r="AS96" s="339"/>
      <c r="AT96" s="339"/>
      <c r="AU96" s="339"/>
      <c r="AV96" s="480"/>
      <c r="AW96" s="315"/>
      <c r="AX96" s="315"/>
      <c r="AY96" s="315"/>
      <c r="AZ96" s="315"/>
      <c r="BA96" s="315"/>
      <c r="BB96" s="315"/>
      <c r="BC96" s="315"/>
      <c r="BD96" s="315"/>
      <c r="BE96" s="467"/>
      <c r="BF96" s="467"/>
      <c r="BG96" s="467"/>
      <c r="BH96" s="467"/>
      <c r="BI96" s="77"/>
      <c r="BJ96" s="77"/>
      <c r="BK96" s="77"/>
      <c r="BL96" s="77"/>
      <c r="BM96" s="77"/>
      <c r="BN96" s="77"/>
      <c r="BO96" s="77"/>
      <c r="BP96" s="77"/>
      <c r="BQ96" s="77"/>
      <c r="BR96" s="77"/>
      <c r="BS96" s="77"/>
      <c r="BT96" s="77"/>
      <c r="BU96" s="77"/>
      <c r="BV96" s="77"/>
      <c r="BW96" s="77"/>
      <c r="BX96" s="77"/>
      <c r="BY96" s="77"/>
      <c r="BZ96" s="77"/>
      <c r="CA96" s="77"/>
      <c r="CB96" s="77"/>
      <c r="CC96" s="77"/>
      <c r="CD96" s="77"/>
      <c r="CE96" s="77"/>
      <c r="CF96" s="77"/>
      <c r="CG96" s="78"/>
      <c r="CI96" s="102"/>
      <c r="CJ96" s="102"/>
      <c r="CK96" s="102"/>
      <c r="CL96" s="102"/>
      <c r="CM96" s="102"/>
    </row>
    <row r="97" spans="2:103" s="72" customFormat="1" ht="15" customHeight="1">
      <c r="B97" s="473"/>
      <c r="C97" s="473"/>
      <c r="D97" s="473"/>
      <c r="E97" s="477"/>
      <c r="F97" s="339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315"/>
      <c r="AB97" s="315"/>
      <c r="AC97" s="315"/>
      <c r="AD97" s="315"/>
      <c r="AE97" s="315"/>
      <c r="AF97" s="315"/>
      <c r="AG97" s="315"/>
      <c r="AH97" s="315"/>
      <c r="AI97" s="315"/>
      <c r="AJ97" s="315"/>
      <c r="AK97" s="103"/>
      <c r="AL97" s="103"/>
      <c r="AM97" s="103"/>
      <c r="AN97" s="103"/>
      <c r="AO97" s="103"/>
      <c r="AP97" s="103"/>
      <c r="AQ97" s="103"/>
      <c r="AR97" s="103"/>
      <c r="AS97" s="103"/>
      <c r="AT97" s="103"/>
      <c r="AU97" s="103"/>
      <c r="AV97" s="480"/>
      <c r="AW97" s="315"/>
      <c r="AX97" s="315"/>
      <c r="AY97" s="315"/>
      <c r="AZ97" s="315"/>
      <c r="BA97" s="315"/>
      <c r="BB97" s="315"/>
      <c r="BC97" s="315"/>
      <c r="BD97" s="315"/>
      <c r="BE97" s="103"/>
      <c r="BF97" s="103"/>
      <c r="BG97" s="103"/>
      <c r="BH97" s="103"/>
      <c r="BI97" s="77"/>
      <c r="BJ97" s="77"/>
      <c r="BK97" s="77"/>
      <c r="BL97" s="77"/>
      <c r="BM97" s="77"/>
      <c r="BN97" s="77"/>
      <c r="BO97" s="77"/>
      <c r="BP97" s="77"/>
      <c r="BQ97" s="77"/>
      <c r="BR97" s="77"/>
      <c r="BS97" s="77"/>
      <c r="BT97" s="77"/>
      <c r="BU97" s="77"/>
      <c r="BV97" s="77"/>
      <c r="BW97" s="77"/>
      <c r="BX97" s="77"/>
      <c r="BY97" s="77"/>
      <c r="BZ97" s="77"/>
      <c r="CA97" s="77"/>
      <c r="CB97" s="77"/>
      <c r="CC97" s="77"/>
      <c r="CD97" s="77"/>
      <c r="CE97" s="77"/>
      <c r="CF97" s="77"/>
      <c r="CG97" s="78"/>
      <c r="CI97" s="102"/>
      <c r="CJ97" s="102"/>
      <c r="CK97" s="102"/>
      <c r="CL97" s="102"/>
      <c r="CM97" s="102"/>
    </row>
    <row r="98" spans="2:103" ht="24.95" customHeight="1">
      <c r="B98" s="277" t="s">
        <v>174</v>
      </c>
      <c r="C98" s="83"/>
      <c r="D98" s="424"/>
      <c r="E98" s="85"/>
      <c r="F98" s="77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02"/>
      <c r="AV98" s="78"/>
      <c r="AW98" s="78"/>
      <c r="AX98" s="78"/>
      <c r="AY98" s="78"/>
      <c r="AZ98" s="78"/>
      <c r="BA98" s="78"/>
      <c r="BB98" s="78"/>
      <c r="BC98" s="78"/>
      <c r="BD98" s="78"/>
      <c r="BE98" s="102"/>
      <c r="BF98" s="102"/>
      <c r="BG98" s="102"/>
      <c r="BH98" s="102"/>
      <c r="BP98" s="77"/>
      <c r="BQ98" s="77"/>
      <c r="BR98" s="77"/>
      <c r="BS98" s="77"/>
      <c r="BT98" s="77"/>
      <c r="BU98" s="77"/>
      <c r="BV98" s="77"/>
      <c r="BW98" s="77"/>
      <c r="BX98" s="77"/>
      <c r="BY98" s="77"/>
      <c r="BZ98" s="77"/>
      <c r="CA98" s="77"/>
      <c r="CG98" s="78"/>
      <c r="CH98" s="75"/>
      <c r="CI98" s="76"/>
      <c r="CJ98" s="76"/>
      <c r="CK98" s="76"/>
      <c r="CL98" s="76"/>
      <c r="CM98" s="76"/>
      <c r="CN98" s="75"/>
      <c r="CO98" s="75"/>
      <c r="CP98" s="75"/>
      <c r="CQ98" s="75"/>
      <c r="CR98" s="75"/>
      <c r="CS98" s="75"/>
      <c r="CU98" s="75"/>
      <c r="CV98" s="75"/>
      <c r="CW98" s="75"/>
      <c r="CX98" s="75"/>
      <c r="CY98" s="75"/>
    </row>
    <row r="99" spans="2:103" ht="20.25" customHeight="1">
      <c r="B99" s="278" t="s">
        <v>118</v>
      </c>
      <c r="C99" s="87"/>
      <c r="D99" s="88"/>
      <c r="E99" s="86"/>
      <c r="F99" s="78"/>
      <c r="G99" s="302">
        <v>10</v>
      </c>
      <c r="H99" s="302">
        <v>10</v>
      </c>
      <c r="I99" s="302">
        <v>10</v>
      </c>
      <c r="J99" s="302">
        <v>0</v>
      </c>
      <c r="K99" s="302"/>
      <c r="L99" s="302"/>
      <c r="M99" s="302"/>
      <c r="N99" s="302"/>
      <c r="O99" s="302"/>
      <c r="P99" s="302"/>
      <c r="Q99" s="302"/>
      <c r="R99" s="302"/>
      <c r="S99" s="302"/>
      <c r="T99" s="302"/>
      <c r="U99" s="302"/>
      <c r="V99" s="302"/>
      <c r="W99" s="302"/>
      <c r="X99" s="302"/>
      <c r="Y99" s="302"/>
      <c r="Z99" s="302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302"/>
      <c r="AL99" s="302"/>
      <c r="AM99" s="302"/>
      <c r="AN99" s="302"/>
      <c r="AO99" s="302"/>
      <c r="AP99" s="302"/>
      <c r="AQ99" s="302"/>
      <c r="AR99" s="302"/>
      <c r="AS99" s="302"/>
      <c r="AT99" s="302"/>
      <c r="AU99" s="302"/>
      <c r="AV99" s="78"/>
      <c r="AW99" s="78"/>
      <c r="AX99" s="78"/>
      <c r="AY99" s="78"/>
      <c r="AZ99" s="78"/>
      <c r="BA99" s="78"/>
      <c r="BB99" s="78"/>
      <c r="BC99" s="78"/>
      <c r="BD99" s="78"/>
      <c r="BE99" s="302"/>
      <c r="BF99" s="302"/>
      <c r="BG99" s="302"/>
      <c r="BH99" s="302"/>
      <c r="BP99" s="77"/>
      <c r="BQ99" s="77"/>
      <c r="BR99" s="77"/>
      <c r="BS99" s="77"/>
      <c r="BT99" s="77"/>
      <c r="BU99" s="77"/>
      <c r="BV99" s="77"/>
      <c r="BW99" s="77"/>
      <c r="BX99" s="77"/>
      <c r="BY99" s="77"/>
      <c r="BZ99" s="77"/>
      <c r="CA99" s="77"/>
      <c r="CG99" s="78"/>
      <c r="CH99" s="75"/>
      <c r="CI99" s="76"/>
      <c r="CJ99" s="76"/>
      <c r="CK99" s="76"/>
      <c r="CL99" s="76"/>
      <c r="CM99" s="76"/>
      <c r="CN99" s="75"/>
      <c r="CO99" s="75"/>
      <c r="CP99" s="75"/>
      <c r="CQ99" s="75"/>
      <c r="CR99" s="75"/>
      <c r="CS99" s="75"/>
      <c r="CU99" s="75"/>
      <c r="CV99" s="75"/>
      <c r="CW99" s="75"/>
      <c r="CX99" s="75"/>
      <c r="CY99" s="75"/>
    </row>
    <row r="100" spans="2:103" ht="20.25" customHeight="1">
      <c r="B100" s="363" t="s">
        <v>170</v>
      </c>
      <c r="C100" s="90" t="s">
        <v>35</v>
      </c>
      <c r="D100" s="362">
        <f>D102*10</f>
        <v>180</v>
      </c>
      <c r="E100" s="110">
        <f>SUM(D100:D100)</f>
        <v>180</v>
      </c>
      <c r="F100" s="331"/>
      <c r="G100" s="331"/>
      <c r="H100" s="331"/>
      <c r="I100" s="331"/>
      <c r="J100" s="331"/>
      <c r="K100" s="331"/>
      <c r="L100" s="331"/>
      <c r="M100" s="331"/>
      <c r="N100" s="331"/>
      <c r="O100" s="331"/>
      <c r="P100" s="331"/>
      <c r="Q100" s="331"/>
      <c r="R100" s="331"/>
      <c r="S100" s="331"/>
      <c r="T100" s="331"/>
      <c r="U100" s="331"/>
      <c r="V100" s="331"/>
      <c r="W100" s="331"/>
      <c r="X100" s="331"/>
      <c r="Y100" s="331"/>
      <c r="Z100" s="331"/>
      <c r="AA100" s="316"/>
      <c r="AB100" s="316"/>
      <c r="AC100" s="316"/>
      <c r="AD100" s="316"/>
      <c r="AE100" s="316"/>
      <c r="AF100" s="316"/>
      <c r="AG100" s="316"/>
      <c r="AH100" s="316"/>
      <c r="AI100" s="316"/>
      <c r="AJ100" s="316"/>
      <c r="AK100" s="331"/>
      <c r="AL100" s="331"/>
      <c r="AM100" s="331"/>
      <c r="AN100" s="331"/>
      <c r="AO100" s="331"/>
      <c r="AP100" s="331"/>
      <c r="AQ100" s="331"/>
      <c r="AR100" s="331"/>
      <c r="AS100" s="331"/>
      <c r="AT100" s="331"/>
      <c r="AU100" s="331"/>
      <c r="AV100" s="316"/>
      <c r="AW100" s="316"/>
      <c r="AX100" s="316"/>
      <c r="AY100" s="316"/>
      <c r="AZ100" s="316"/>
      <c r="BA100" s="316"/>
      <c r="BB100" s="316"/>
      <c r="BC100" s="316"/>
      <c r="BD100" s="316"/>
      <c r="BE100" s="102"/>
      <c r="BF100" s="102"/>
      <c r="BG100" s="102"/>
      <c r="BH100" s="102"/>
      <c r="BP100" s="77"/>
      <c r="BQ100" s="77"/>
      <c r="BR100" s="77"/>
      <c r="BS100" s="77"/>
      <c r="BT100" s="77"/>
      <c r="BU100" s="77"/>
      <c r="BV100" s="77"/>
      <c r="BW100" s="77"/>
      <c r="BX100" s="77"/>
      <c r="BY100" s="77"/>
      <c r="BZ100" s="77"/>
      <c r="CA100" s="77"/>
      <c r="CG100" s="78"/>
      <c r="CH100" s="75"/>
      <c r="CI100" s="76"/>
      <c r="CJ100" s="76"/>
      <c r="CK100" s="76"/>
      <c r="CL100" s="76"/>
      <c r="CM100" s="76"/>
      <c r="CN100" s="75"/>
      <c r="CO100" s="75"/>
      <c r="CP100" s="75"/>
      <c r="CQ100" s="75"/>
      <c r="CR100" s="75"/>
      <c r="CS100" s="75"/>
      <c r="CU100" s="75"/>
      <c r="CV100" s="75"/>
      <c r="CW100" s="75"/>
      <c r="CX100" s="75"/>
      <c r="CY100" s="75"/>
    </row>
    <row r="101" spans="2:103" ht="20.25" customHeight="1">
      <c r="B101" s="280" t="s">
        <v>124</v>
      </c>
      <c r="C101" s="87"/>
      <c r="D101" s="88"/>
      <c r="E101" s="111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316"/>
      <c r="AB101" s="316"/>
      <c r="AC101" s="316"/>
      <c r="AD101" s="316"/>
      <c r="AE101" s="316"/>
      <c r="AF101" s="316"/>
      <c r="AG101" s="316"/>
      <c r="AH101" s="316"/>
      <c r="AI101" s="316"/>
      <c r="AJ101" s="316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316"/>
      <c r="AW101" s="316"/>
      <c r="AX101" s="316"/>
      <c r="AY101" s="316"/>
      <c r="AZ101" s="316"/>
      <c r="BA101" s="316"/>
      <c r="BB101" s="316"/>
      <c r="BC101" s="316"/>
      <c r="BD101" s="316"/>
      <c r="BE101" s="102"/>
      <c r="BF101" s="102"/>
      <c r="BG101" s="102"/>
      <c r="BH101" s="102"/>
      <c r="BP101" s="77"/>
      <c r="BQ101" s="77"/>
      <c r="BR101" s="77"/>
      <c r="BS101" s="77"/>
      <c r="BT101" s="77"/>
      <c r="BU101" s="77"/>
      <c r="BV101" s="77"/>
      <c r="BW101" s="77"/>
      <c r="BX101" s="77"/>
      <c r="BY101" s="77"/>
      <c r="BZ101" s="77"/>
      <c r="CA101" s="77"/>
      <c r="CG101" s="78"/>
      <c r="CH101" s="75"/>
      <c r="CI101" s="76"/>
      <c r="CJ101" s="76"/>
      <c r="CK101" s="76"/>
      <c r="CL101" s="76"/>
      <c r="CM101" s="76"/>
      <c r="CN101" s="75"/>
      <c r="CO101" s="75"/>
      <c r="CP101" s="75"/>
      <c r="CQ101" s="75"/>
      <c r="CR101" s="75"/>
      <c r="CS101" s="75"/>
      <c r="CU101" s="75"/>
      <c r="CV101" s="75"/>
      <c r="CW101" s="75"/>
      <c r="CX101" s="75"/>
      <c r="CY101" s="75"/>
    </row>
    <row r="102" spans="2:103" ht="20.25" customHeight="1">
      <c r="B102" s="386" t="s">
        <v>278</v>
      </c>
      <c r="C102" s="303" t="s">
        <v>36</v>
      </c>
      <c r="D102" s="275">
        <f>SUM(D103:D109)</f>
        <v>18</v>
      </c>
      <c r="E102" s="110">
        <f t="shared" ref="E102:E109" si="17">SUM(D102:D102)</f>
        <v>18</v>
      </c>
      <c r="F102" s="331"/>
      <c r="G102" s="331"/>
      <c r="H102" s="331"/>
      <c r="I102" s="331"/>
      <c r="J102" s="331"/>
      <c r="K102" s="331"/>
      <c r="L102" s="331"/>
      <c r="M102" s="331"/>
      <c r="N102" s="331"/>
      <c r="O102" s="331"/>
      <c r="P102" s="331"/>
      <c r="Q102" s="331"/>
      <c r="R102" s="331"/>
      <c r="S102" s="331"/>
      <c r="T102" s="331"/>
      <c r="U102" s="331"/>
      <c r="V102" s="331"/>
      <c r="W102" s="331"/>
      <c r="X102" s="331"/>
      <c r="Y102" s="331"/>
      <c r="Z102" s="331"/>
      <c r="AA102" s="316"/>
      <c r="AB102" s="316"/>
      <c r="AC102" s="316"/>
      <c r="AD102" s="316"/>
      <c r="AE102" s="316"/>
      <c r="AF102" s="316"/>
      <c r="AG102" s="316"/>
      <c r="AH102" s="316"/>
      <c r="AI102" s="316"/>
      <c r="AJ102" s="316"/>
      <c r="AK102" s="331"/>
      <c r="AL102" s="331"/>
      <c r="AM102" s="331"/>
      <c r="AN102" s="331"/>
      <c r="AO102" s="331"/>
      <c r="AP102" s="331"/>
      <c r="AQ102" s="331"/>
      <c r="AR102" s="331"/>
      <c r="AS102" s="331"/>
      <c r="AT102" s="331"/>
      <c r="AU102" s="331"/>
      <c r="AV102" s="316"/>
      <c r="AW102" s="316"/>
      <c r="AX102" s="316"/>
      <c r="AY102" s="316"/>
      <c r="AZ102" s="316"/>
      <c r="BA102" s="316"/>
      <c r="BB102" s="316"/>
      <c r="BC102" s="316"/>
      <c r="BD102" s="316"/>
      <c r="BE102" s="102"/>
      <c r="BF102" s="102"/>
      <c r="BG102" s="102"/>
      <c r="BH102" s="102"/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77"/>
      <c r="CA102" s="77"/>
      <c r="CG102" s="78"/>
      <c r="CH102" s="75"/>
      <c r="CI102" s="76"/>
      <c r="CJ102" s="76"/>
      <c r="CK102" s="76"/>
      <c r="CL102" s="76"/>
      <c r="CM102" s="76"/>
      <c r="CN102" s="75"/>
      <c r="CO102" s="75"/>
      <c r="CP102" s="75"/>
      <c r="CQ102" s="75"/>
      <c r="CR102" s="75"/>
      <c r="CS102" s="75"/>
      <c r="CU102" s="75"/>
      <c r="CV102" s="75"/>
      <c r="CW102" s="75"/>
      <c r="CX102" s="75"/>
      <c r="CY102" s="75"/>
    </row>
    <row r="103" spans="2:103" ht="20.25" customHeight="1">
      <c r="B103" s="283" t="s">
        <v>206</v>
      </c>
      <c r="C103" s="303" t="s">
        <v>36</v>
      </c>
      <c r="D103" s="275">
        <v>5</v>
      </c>
      <c r="E103" s="110">
        <f t="shared" si="17"/>
        <v>5</v>
      </c>
      <c r="F103" s="331"/>
      <c r="G103" s="331"/>
      <c r="H103" s="331"/>
      <c r="I103" s="331"/>
      <c r="J103" s="331"/>
      <c r="K103" s="331"/>
      <c r="L103" s="331"/>
      <c r="M103" s="331"/>
      <c r="N103" s="331"/>
      <c r="O103" s="331"/>
      <c r="P103" s="331"/>
      <c r="Q103" s="331"/>
      <c r="R103" s="331"/>
      <c r="S103" s="331"/>
      <c r="T103" s="331"/>
      <c r="U103" s="331"/>
      <c r="V103" s="331"/>
      <c r="W103" s="331"/>
      <c r="X103" s="331"/>
      <c r="Y103" s="331"/>
      <c r="Z103" s="331"/>
      <c r="AA103" s="316"/>
      <c r="AB103" s="316"/>
      <c r="AC103" s="316"/>
      <c r="AD103" s="316"/>
      <c r="AE103" s="316"/>
      <c r="AF103" s="316"/>
      <c r="AG103" s="316"/>
      <c r="AH103" s="316"/>
      <c r="AI103" s="316"/>
      <c r="AJ103" s="316"/>
      <c r="AK103" s="331"/>
      <c r="AL103" s="331"/>
      <c r="AM103" s="331"/>
      <c r="AN103" s="331"/>
      <c r="AO103" s="331"/>
      <c r="AP103" s="331"/>
      <c r="AQ103" s="331"/>
      <c r="AR103" s="331"/>
      <c r="AS103" s="331"/>
      <c r="AT103" s="331"/>
      <c r="AU103" s="331"/>
      <c r="AV103" s="316"/>
      <c r="AW103" s="316"/>
      <c r="AX103" s="316"/>
      <c r="AY103" s="316"/>
      <c r="AZ103" s="316"/>
      <c r="BA103" s="316"/>
      <c r="BB103" s="316"/>
      <c r="BC103" s="316"/>
      <c r="BD103" s="316"/>
      <c r="BE103" s="102"/>
      <c r="BF103" s="102"/>
      <c r="BG103" s="102"/>
      <c r="BH103" s="102"/>
      <c r="BP103" s="77"/>
      <c r="BQ103" s="77"/>
      <c r="BR103" s="77"/>
      <c r="BS103" s="77"/>
      <c r="BT103" s="77"/>
      <c r="BU103" s="77"/>
      <c r="BV103" s="77"/>
      <c r="BW103" s="77"/>
      <c r="BX103" s="77"/>
      <c r="BY103" s="77"/>
      <c r="BZ103" s="77"/>
      <c r="CA103" s="77"/>
      <c r="CG103" s="78"/>
      <c r="CH103" s="75"/>
      <c r="CI103" s="76"/>
      <c r="CJ103" s="76"/>
      <c r="CK103" s="76"/>
      <c r="CL103" s="76"/>
      <c r="CM103" s="76"/>
      <c r="CN103" s="75"/>
      <c r="CO103" s="75"/>
      <c r="CP103" s="75"/>
      <c r="CQ103" s="75"/>
      <c r="CR103" s="75"/>
      <c r="CS103" s="75"/>
      <c r="CU103" s="75"/>
      <c r="CV103" s="75"/>
      <c r="CW103" s="75"/>
      <c r="CX103" s="75"/>
      <c r="CY103" s="75"/>
    </row>
    <row r="104" spans="2:103" ht="20.25" customHeight="1">
      <c r="B104" s="283" t="s">
        <v>208</v>
      </c>
      <c r="C104" s="303" t="s">
        <v>36</v>
      </c>
      <c r="D104" s="275">
        <v>3</v>
      </c>
      <c r="E104" s="110">
        <f t="shared" si="17"/>
        <v>3</v>
      </c>
      <c r="F104" s="331"/>
      <c r="G104" s="331"/>
      <c r="H104" s="331"/>
      <c r="I104" s="331"/>
      <c r="J104" s="331"/>
      <c r="K104" s="331"/>
      <c r="L104" s="331"/>
      <c r="M104" s="331"/>
      <c r="N104" s="331"/>
      <c r="O104" s="331"/>
      <c r="P104" s="331"/>
      <c r="Q104" s="331"/>
      <c r="R104" s="331"/>
      <c r="S104" s="331"/>
      <c r="T104" s="331"/>
      <c r="U104" s="331"/>
      <c r="V104" s="331"/>
      <c r="W104" s="331"/>
      <c r="X104" s="331"/>
      <c r="Y104" s="331"/>
      <c r="Z104" s="331"/>
      <c r="AA104" s="316"/>
      <c r="AB104" s="316"/>
      <c r="AC104" s="316"/>
      <c r="AD104" s="316"/>
      <c r="AE104" s="316"/>
      <c r="AF104" s="316"/>
      <c r="AG104" s="316"/>
      <c r="AH104" s="316"/>
      <c r="AI104" s="316"/>
      <c r="AJ104" s="316"/>
      <c r="AK104" s="331"/>
      <c r="AL104" s="331"/>
      <c r="AM104" s="331"/>
      <c r="AN104" s="331"/>
      <c r="AO104" s="331"/>
      <c r="AP104" s="331"/>
      <c r="AQ104" s="331"/>
      <c r="AR104" s="331"/>
      <c r="AS104" s="331"/>
      <c r="AT104" s="331"/>
      <c r="AU104" s="331"/>
      <c r="AV104" s="316"/>
      <c r="AW104" s="316"/>
      <c r="AX104" s="316"/>
      <c r="AY104" s="316"/>
      <c r="AZ104" s="316"/>
      <c r="BA104" s="316"/>
      <c r="BB104" s="316"/>
      <c r="BC104" s="316"/>
      <c r="BD104" s="316"/>
      <c r="BE104" s="102"/>
      <c r="BF104" s="102"/>
      <c r="BG104" s="102"/>
      <c r="BH104" s="102"/>
      <c r="BP104" s="77"/>
      <c r="BQ104" s="77"/>
      <c r="BR104" s="77"/>
      <c r="BS104" s="77"/>
      <c r="BT104" s="77"/>
      <c r="BU104" s="77"/>
      <c r="BV104" s="77"/>
      <c r="BW104" s="77"/>
      <c r="BX104" s="77"/>
      <c r="BY104" s="77"/>
      <c r="BZ104" s="77"/>
      <c r="CA104" s="77"/>
      <c r="CG104" s="78"/>
      <c r="CH104" s="75"/>
      <c r="CI104" s="76"/>
      <c r="CJ104" s="76"/>
      <c r="CK104" s="76"/>
      <c r="CL104" s="76"/>
      <c r="CM104" s="76"/>
      <c r="CN104" s="75"/>
      <c r="CO104" s="75"/>
      <c r="CP104" s="75"/>
      <c r="CQ104" s="75"/>
      <c r="CR104" s="75"/>
      <c r="CS104" s="75"/>
      <c r="CU104" s="75"/>
      <c r="CV104" s="75"/>
      <c r="CW104" s="75"/>
      <c r="CX104" s="75"/>
      <c r="CY104" s="75"/>
    </row>
    <row r="105" spans="2:103" ht="20.25" customHeight="1">
      <c r="B105" s="283" t="s">
        <v>207</v>
      </c>
      <c r="C105" s="303" t="s">
        <v>36</v>
      </c>
      <c r="D105" s="275">
        <v>4</v>
      </c>
      <c r="E105" s="110">
        <f t="shared" si="17"/>
        <v>4</v>
      </c>
      <c r="F105" s="331"/>
      <c r="G105" s="331"/>
      <c r="H105" s="331"/>
      <c r="I105" s="331"/>
      <c r="J105" s="331"/>
      <c r="K105" s="331"/>
      <c r="L105" s="331"/>
      <c r="M105" s="331"/>
      <c r="N105" s="331"/>
      <c r="O105" s="331"/>
      <c r="P105" s="331"/>
      <c r="Q105" s="331"/>
      <c r="R105" s="331"/>
      <c r="S105" s="331"/>
      <c r="T105" s="331"/>
      <c r="U105" s="331"/>
      <c r="V105" s="331"/>
      <c r="W105" s="331"/>
      <c r="X105" s="331"/>
      <c r="Y105" s="331"/>
      <c r="Z105" s="331"/>
      <c r="AA105" s="316"/>
      <c r="AB105" s="316"/>
      <c r="AC105" s="316"/>
      <c r="AD105" s="316"/>
      <c r="AE105" s="316"/>
      <c r="AF105" s="316"/>
      <c r="AG105" s="316"/>
      <c r="AH105" s="316"/>
      <c r="AI105" s="316"/>
      <c r="AJ105" s="316"/>
      <c r="AK105" s="331"/>
      <c r="AL105" s="331"/>
      <c r="AM105" s="331"/>
      <c r="AN105" s="331"/>
      <c r="AO105" s="331"/>
      <c r="AP105" s="331"/>
      <c r="AQ105" s="331"/>
      <c r="AR105" s="331"/>
      <c r="AS105" s="331"/>
      <c r="AT105" s="331"/>
      <c r="AU105" s="331"/>
      <c r="AV105" s="316"/>
      <c r="AW105" s="316"/>
      <c r="AX105" s="316"/>
      <c r="AY105" s="316"/>
      <c r="AZ105" s="316"/>
      <c r="BA105" s="316"/>
      <c r="BB105" s="316"/>
      <c r="BC105" s="316"/>
      <c r="BD105" s="316"/>
      <c r="BE105" s="102"/>
      <c r="BF105" s="102"/>
      <c r="BG105" s="102"/>
      <c r="BH105" s="102"/>
      <c r="BP105" s="77"/>
      <c r="BQ105" s="77"/>
      <c r="BR105" s="77"/>
      <c r="BS105" s="77"/>
      <c r="BT105" s="77"/>
      <c r="BU105" s="77"/>
      <c r="BV105" s="77"/>
      <c r="BW105" s="77"/>
      <c r="BX105" s="77"/>
      <c r="BY105" s="77"/>
      <c r="BZ105" s="77"/>
      <c r="CA105" s="77"/>
      <c r="CG105" s="78"/>
      <c r="CH105" s="75"/>
      <c r="CI105" s="76"/>
      <c r="CJ105" s="76"/>
      <c r="CK105" s="76"/>
      <c r="CL105" s="76"/>
      <c r="CM105" s="76"/>
      <c r="CN105" s="75"/>
      <c r="CO105" s="75"/>
      <c r="CP105" s="75"/>
      <c r="CQ105" s="75"/>
      <c r="CR105" s="75"/>
      <c r="CS105" s="75"/>
      <c r="CU105" s="75"/>
      <c r="CV105" s="75"/>
      <c r="CW105" s="75"/>
      <c r="CX105" s="75"/>
      <c r="CY105" s="75"/>
    </row>
    <row r="106" spans="2:103" ht="20.25" customHeight="1">
      <c r="B106" s="283" t="s">
        <v>209</v>
      </c>
      <c r="C106" s="303" t="s">
        <v>36</v>
      </c>
      <c r="D106" s="275">
        <v>1</v>
      </c>
      <c r="E106" s="110">
        <f t="shared" si="17"/>
        <v>1</v>
      </c>
      <c r="F106" s="331"/>
      <c r="G106" s="331"/>
      <c r="H106" s="331"/>
      <c r="I106" s="331"/>
      <c r="J106" s="331"/>
      <c r="K106" s="331"/>
      <c r="L106" s="331"/>
      <c r="M106" s="331"/>
      <c r="N106" s="331"/>
      <c r="O106" s="331"/>
      <c r="P106" s="331"/>
      <c r="Q106" s="331"/>
      <c r="R106" s="331"/>
      <c r="S106" s="331"/>
      <c r="T106" s="331"/>
      <c r="U106" s="331"/>
      <c r="V106" s="331"/>
      <c r="W106" s="331"/>
      <c r="X106" s="331"/>
      <c r="Y106" s="331"/>
      <c r="Z106" s="331"/>
      <c r="AA106" s="316"/>
      <c r="AB106" s="316"/>
      <c r="AC106" s="316"/>
      <c r="AD106" s="316"/>
      <c r="AE106" s="316"/>
      <c r="AF106" s="316"/>
      <c r="AG106" s="316"/>
      <c r="AH106" s="316"/>
      <c r="AI106" s="316"/>
      <c r="AJ106" s="316"/>
      <c r="AK106" s="331"/>
      <c r="AL106" s="331"/>
      <c r="AM106" s="331"/>
      <c r="AN106" s="331"/>
      <c r="AO106" s="331"/>
      <c r="AP106" s="331"/>
      <c r="AQ106" s="331"/>
      <c r="AR106" s="331"/>
      <c r="AS106" s="331"/>
      <c r="AT106" s="331"/>
      <c r="AU106" s="331"/>
      <c r="AV106" s="316"/>
      <c r="AW106" s="316"/>
      <c r="AX106" s="316"/>
      <c r="AY106" s="316"/>
      <c r="AZ106" s="316"/>
      <c r="BA106" s="316"/>
      <c r="BB106" s="316"/>
      <c r="BC106" s="316"/>
      <c r="BD106" s="316"/>
      <c r="BE106" s="102"/>
      <c r="BF106" s="102"/>
      <c r="BG106" s="102"/>
      <c r="BH106" s="102"/>
      <c r="BP106" s="77"/>
      <c r="BQ106" s="77"/>
      <c r="BR106" s="77"/>
      <c r="BS106" s="77"/>
      <c r="BT106" s="77"/>
      <c r="BU106" s="77"/>
      <c r="BV106" s="77"/>
      <c r="BW106" s="77"/>
      <c r="BX106" s="77"/>
      <c r="BY106" s="77"/>
      <c r="BZ106" s="77"/>
      <c r="CA106" s="77"/>
      <c r="CG106" s="78"/>
      <c r="CH106" s="75"/>
      <c r="CI106" s="76"/>
      <c r="CJ106" s="76"/>
      <c r="CK106" s="76"/>
      <c r="CL106" s="76"/>
      <c r="CM106" s="76"/>
      <c r="CN106" s="75"/>
      <c r="CO106" s="75"/>
      <c r="CP106" s="75"/>
      <c r="CQ106" s="75"/>
      <c r="CR106" s="75"/>
      <c r="CS106" s="75"/>
      <c r="CU106" s="75"/>
      <c r="CV106" s="75"/>
      <c r="CW106" s="75"/>
      <c r="CX106" s="75"/>
      <c r="CY106" s="75"/>
    </row>
    <row r="107" spans="2:103" ht="20.25" customHeight="1">
      <c r="B107" s="283" t="s">
        <v>210</v>
      </c>
      <c r="C107" s="303" t="s">
        <v>36</v>
      </c>
      <c r="D107" s="275">
        <v>3</v>
      </c>
      <c r="E107" s="110">
        <f t="shared" si="17"/>
        <v>3</v>
      </c>
      <c r="F107" s="331"/>
      <c r="G107" s="331"/>
      <c r="H107" s="331"/>
      <c r="I107" s="331"/>
      <c r="J107" s="331"/>
      <c r="K107" s="331"/>
      <c r="L107" s="331"/>
      <c r="M107" s="331"/>
      <c r="N107" s="331"/>
      <c r="O107" s="331"/>
      <c r="P107" s="331"/>
      <c r="Q107" s="331"/>
      <c r="R107" s="331"/>
      <c r="S107" s="331"/>
      <c r="T107" s="331"/>
      <c r="U107" s="331"/>
      <c r="V107" s="331"/>
      <c r="W107" s="331"/>
      <c r="X107" s="331"/>
      <c r="Y107" s="331"/>
      <c r="Z107" s="331"/>
      <c r="AA107" s="316"/>
      <c r="AB107" s="316"/>
      <c r="AC107" s="316"/>
      <c r="AD107" s="316"/>
      <c r="AE107" s="316"/>
      <c r="AF107" s="316"/>
      <c r="AG107" s="316"/>
      <c r="AH107" s="316"/>
      <c r="AI107" s="316"/>
      <c r="AJ107" s="316"/>
      <c r="AK107" s="331"/>
      <c r="AL107" s="331"/>
      <c r="AM107" s="331"/>
      <c r="AN107" s="331"/>
      <c r="AO107" s="331"/>
      <c r="AP107" s="331"/>
      <c r="AQ107" s="331"/>
      <c r="AR107" s="331"/>
      <c r="AS107" s="331"/>
      <c r="AT107" s="331"/>
      <c r="AU107" s="331"/>
      <c r="AV107" s="316"/>
      <c r="AW107" s="316"/>
      <c r="AX107" s="316"/>
      <c r="AY107" s="316"/>
      <c r="AZ107" s="316"/>
      <c r="BA107" s="316"/>
      <c r="BB107" s="316"/>
      <c r="BC107" s="316"/>
      <c r="BD107" s="316"/>
      <c r="BE107" s="102"/>
      <c r="BF107" s="102"/>
      <c r="BG107" s="102"/>
      <c r="BH107" s="102"/>
      <c r="BP107" s="77"/>
      <c r="BQ107" s="77"/>
      <c r="BR107" s="77"/>
      <c r="BS107" s="77"/>
      <c r="BT107" s="77"/>
      <c r="BU107" s="77"/>
      <c r="BV107" s="77"/>
      <c r="BW107" s="77"/>
      <c r="BX107" s="77"/>
      <c r="BY107" s="77"/>
      <c r="BZ107" s="77"/>
      <c r="CA107" s="77"/>
      <c r="CG107" s="78"/>
      <c r="CH107" s="75"/>
      <c r="CI107" s="76"/>
      <c r="CJ107" s="76"/>
      <c r="CK107" s="76"/>
      <c r="CL107" s="76"/>
      <c r="CM107" s="76"/>
      <c r="CN107" s="75"/>
      <c r="CO107" s="75"/>
      <c r="CP107" s="75"/>
      <c r="CQ107" s="75"/>
      <c r="CR107" s="75"/>
      <c r="CS107" s="75"/>
      <c r="CU107" s="75"/>
      <c r="CV107" s="75"/>
      <c r="CW107" s="75"/>
      <c r="CX107" s="75"/>
      <c r="CY107" s="75"/>
    </row>
    <row r="108" spans="2:103" ht="20.25" customHeight="1">
      <c r="B108" s="283" t="s">
        <v>211</v>
      </c>
      <c r="C108" s="303" t="s">
        <v>36</v>
      </c>
      <c r="D108" s="275">
        <v>1</v>
      </c>
      <c r="E108" s="110">
        <f t="shared" si="17"/>
        <v>1</v>
      </c>
      <c r="F108" s="331"/>
      <c r="G108" s="331"/>
      <c r="H108" s="331"/>
      <c r="I108" s="331"/>
      <c r="J108" s="331"/>
      <c r="K108" s="331"/>
      <c r="L108" s="331"/>
      <c r="M108" s="331"/>
      <c r="N108" s="331"/>
      <c r="O108" s="331"/>
      <c r="P108" s="331"/>
      <c r="Q108" s="331"/>
      <c r="R108" s="331"/>
      <c r="S108" s="331"/>
      <c r="T108" s="331"/>
      <c r="U108" s="331"/>
      <c r="V108" s="331"/>
      <c r="W108" s="331"/>
      <c r="X108" s="331"/>
      <c r="Y108" s="331"/>
      <c r="Z108" s="331"/>
      <c r="AA108" s="316"/>
      <c r="AB108" s="316"/>
      <c r="AC108" s="316"/>
      <c r="AD108" s="316"/>
      <c r="AE108" s="316"/>
      <c r="AF108" s="316"/>
      <c r="AG108" s="316"/>
      <c r="AH108" s="316"/>
      <c r="AI108" s="316"/>
      <c r="AJ108" s="316"/>
      <c r="AK108" s="331"/>
      <c r="AL108" s="331"/>
      <c r="AM108" s="331"/>
      <c r="AN108" s="331"/>
      <c r="AO108" s="331"/>
      <c r="AP108" s="331"/>
      <c r="AQ108" s="331"/>
      <c r="AR108" s="331"/>
      <c r="AS108" s="331"/>
      <c r="AT108" s="331"/>
      <c r="AU108" s="331"/>
      <c r="AV108" s="316"/>
      <c r="AW108" s="316"/>
      <c r="AX108" s="316"/>
      <c r="AY108" s="316"/>
      <c r="AZ108" s="316"/>
      <c r="BA108" s="316"/>
      <c r="BB108" s="316"/>
      <c r="BC108" s="316"/>
      <c r="BD108" s="316"/>
      <c r="BE108" s="102"/>
      <c r="BF108" s="102"/>
      <c r="BG108" s="102"/>
      <c r="BH108" s="102"/>
      <c r="BP108" s="77"/>
      <c r="BQ108" s="77"/>
      <c r="BR108" s="77"/>
      <c r="BS108" s="77"/>
      <c r="BT108" s="77"/>
      <c r="BU108" s="77"/>
      <c r="BV108" s="77"/>
      <c r="BW108" s="77"/>
      <c r="BX108" s="77"/>
      <c r="BY108" s="77"/>
      <c r="BZ108" s="77"/>
      <c r="CA108" s="77"/>
      <c r="CG108" s="78"/>
      <c r="CH108" s="75"/>
      <c r="CI108" s="76"/>
      <c r="CJ108" s="76"/>
      <c r="CK108" s="76"/>
      <c r="CL108" s="76"/>
      <c r="CM108" s="76"/>
      <c r="CN108" s="75"/>
      <c r="CO108" s="75"/>
      <c r="CP108" s="75"/>
      <c r="CQ108" s="75"/>
      <c r="CR108" s="75"/>
      <c r="CS108" s="75"/>
      <c r="CU108" s="75"/>
      <c r="CV108" s="75"/>
      <c r="CW108" s="75"/>
      <c r="CX108" s="75"/>
      <c r="CY108" s="75"/>
    </row>
    <row r="109" spans="2:103" ht="20.25" customHeight="1">
      <c r="B109" s="283" t="s">
        <v>212</v>
      </c>
      <c r="C109" s="303" t="s">
        <v>36</v>
      </c>
      <c r="D109" s="275">
        <v>1</v>
      </c>
      <c r="E109" s="110">
        <f t="shared" si="17"/>
        <v>1</v>
      </c>
      <c r="F109" s="331"/>
      <c r="G109" s="331"/>
      <c r="H109" s="331"/>
      <c r="I109" s="331"/>
      <c r="J109" s="331"/>
      <c r="K109" s="331"/>
      <c r="L109" s="331"/>
      <c r="M109" s="331"/>
      <c r="N109" s="331"/>
      <c r="O109" s="331"/>
      <c r="P109" s="331"/>
      <c r="Q109" s="331"/>
      <c r="R109" s="331"/>
      <c r="S109" s="331"/>
      <c r="T109" s="331"/>
      <c r="U109" s="331"/>
      <c r="V109" s="331"/>
      <c r="W109" s="331"/>
      <c r="X109" s="331"/>
      <c r="Y109" s="331"/>
      <c r="Z109" s="331"/>
      <c r="AA109" s="316"/>
      <c r="AB109" s="316"/>
      <c r="AC109" s="316"/>
      <c r="AD109" s="316"/>
      <c r="AE109" s="316"/>
      <c r="AF109" s="316"/>
      <c r="AG109" s="316"/>
      <c r="AH109" s="316"/>
      <c r="AI109" s="316"/>
      <c r="AJ109" s="316"/>
      <c r="AK109" s="331"/>
      <c r="AL109" s="331"/>
      <c r="AM109" s="331"/>
      <c r="AN109" s="331"/>
      <c r="AO109" s="331"/>
      <c r="AP109" s="331"/>
      <c r="AQ109" s="331"/>
      <c r="AR109" s="331"/>
      <c r="AS109" s="331"/>
      <c r="AT109" s="331"/>
      <c r="AU109" s="331"/>
      <c r="AV109" s="316"/>
      <c r="AW109" s="316"/>
      <c r="AX109" s="316"/>
      <c r="AY109" s="316"/>
      <c r="AZ109" s="316"/>
      <c r="BA109" s="316"/>
      <c r="BB109" s="316"/>
      <c r="BC109" s="316"/>
      <c r="BD109" s="316"/>
      <c r="BE109" s="102"/>
      <c r="BF109" s="102"/>
      <c r="BG109" s="102"/>
      <c r="BH109" s="102"/>
      <c r="BP109" s="77"/>
      <c r="BQ109" s="77"/>
      <c r="BR109" s="77"/>
      <c r="BS109" s="77"/>
      <c r="BT109" s="77"/>
      <c r="BU109" s="77"/>
      <c r="BV109" s="77"/>
      <c r="BW109" s="77"/>
      <c r="BX109" s="77"/>
      <c r="BY109" s="77"/>
      <c r="BZ109" s="77"/>
      <c r="CA109" s="77"/>
      <c r="CG109" s="78"/>
      <c r="CH109" s="75"/>
      <c r="CI109" s="76"/>
      <c r="CJ109" s="76"/>
      <c r="CK109" s="76"/>
      <c r="CL109" s="76"/>
      <c r="CM109" s="76"/>
      <c r="CN109" s="75"/>
      <c r="CO109" s="75"/>
      <c r="CP109" s="75"/>
      <c r="CQ109" s="75"/>
      <c r="CR109" s="75"/>
      <c r="CS109" s="75"/>
      <c r="CU109" s="75"/>
      <c r="CV109" s="75"/>
      <c r="CW109" s="75"/>
      <c r="CX109" s="75"/>
      <c r="CY109" s="75"/>
    </row>
    <row r="110" spans="2:103" ht="20.25" customHeight="1">
      <c r="B110" s="282"/>
      <c r="C110" s="97"/>
      <c r="D110" s="98"/>
      <c r="E110" s="100"/>
      <c r="F110" s="317"/>
      <c r="G110" s="317"/>
      <c r="H110" s="317"/>
      <c r="I110" s="317"/>
      <c r="J110" s="317"/>
      <c r="K110" s="317"/>
      <c r="L110" s="317"/>
      <c r="M110" s="317"/>
      <c r="N110" s="317"/>
      <c r="O110" s="317"/>
      <c r="P110" s="317"/>
      <c r="Q110" s="317"/>
      <c r="R110" s="317"/>
      <c r="S110" s="317"/>
      <c r="T110" s="317"/>
      <c r="U110" s="317"/>
      <c r="V110" s="317"/>
      <c r="W110" s="317"/>
      <c r="X110" s="317"/>
      <c r="Y110" s="317"/>
      <c r="Z110" s="317"/>
      <c r="AA110" s="317"/>
      <c r="AB110" s="317"/>
      <c r="AC110" s="317"/>
      <c r="AD110" s="317"/>
      <c r="AE110" s="317"/>
      <c r="AF110" s="317"/>
      <c r="AG110" s="317"/>
      <c r="AH110" s="317"/>
      <c r="AI110" s="317"/>
      <c r="AJ110" s="317"/>
      <c r="AK110" s="317"/>
      <c r="AL110" s="317"/>
      <c r="AM110" s="317"/>
      <c r="AN110" s="317"/>
      <c r="AO110" s="317"/>
      <c r="AP110" s="317"/>
      <c r="AQ110" s="317"/>
      <c r="AR110" s="317"/>
      <c r="AS110" s="317"/>
      <c r="AT110" s="317"/>
      <c r="AU110" s="317"/>
      <c r="AV110" s="317"/>
      <c r="AW110" s="317"/>
      <c r="AX110" s="317"/>
      <c r="AY110" s="317"/>
      <c r="AZ110" s="317"/>
      <c r="BA110" s="317"/>
      <c r="BB110" s="317"/>
      <c r="BC110" s="317"/>
      <c r="BD110" s="317"/>
      <c r="BE110" s="102"/>
      <c r="BF110" s="102"/>
      <c r="BG110" s="102"/>
      <c r="BH110" s="102"/>
      <c r="BP110" s="77"/>
      <c r="BQ110" s="77"/>
      <c r="BR110" s="77"/>
      <c r="BS110" s="77"/>
      <c r="BT110" s="77"/>
      <c r="BU110" s="77"/>
      <c r="BV110" s="77"/>
      <c r="BW110" s="77"/>
      <c r="BX110" s="77"/>
      <c r="BY110" s="77"/>
      <c r="BZ110" s="77"/>
      <c r="CA110" s="77"/>
      <c r="CG110" s="78"/>
      <c r="CH110" s="75"/>
      <c r="CI110" s="76"/>
      <c r="CJ110" s="76"/>
      <c r="CK110" s="76"/>
      <c r="CL110" s="76"/>
      <c r="CM110" s="76"/>
      <c r="CN110" s="75"/>
      <c r="CO110" s="75"/>
      <c r="CP110" s="75"/>
      <c r="CQ110" s="75"/>
      <c r="CR110" s="75"/>
      <c r="CS110" s="75"/>
      <c r="CU110" s="75"/>
      <c r="CV110" s="75"/>
      <c r="CW110" s="75"/>
      <c r="CX110" s="75"/>
      <c r="CY110" s="75"/>
    </row>
    <row r="111" spans="2:103" s="72" customFormat="1" ht="20.25" customHeight="1">
      <c r="B111" s="101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  <c r="BM111" s="77"/>
      <c r="BN111" s="77"/>
      <c r="BO111" s="77"/>
      <c r="BP111" s="77"/>
      <c r="BQ111" s="77"/>
      <c r="BR111" s="77"/>
      <c r="BS111" s="77"/>
      <c r="BT111" s="77"/>
      <c r="BU111" s="77"/>
      <c r="BV111" s="77"/>
      <c r="BW111" s="77"/>
      <c r="BX111" s="77"/>
      <c r="BY111" s="77"/>
      <c r="BZ111" s="77"/>
      <c r="CA111" s="77"/>
      <c r="CB111" s="77"/>
      <c r="CC111" s="77"/>
      <c r="CD111" s="77"/>
      <c r="CE111" s="77"/>
      <c r="CF111" s="77"/>
      <c r="CG111" s="78"/>
      <c r="CI111" s="102"/>
      <c r="CJ111" s="102"/>
      <c r="CK111" s="102"/>
      <c r="CL111" s="102"/>
      <c r="CM111" s="102"/>
    </row>
  </sheetData>
  <mergeCells count="46">
    <mergeCell ref="G95:G96"/>
    <mergeCell ref="H95:H96"/>
    <mergeCell ref="AV95:AV97"/>
    <mergeCell ref="B52:B54"/>
    <mergeCell ref="C52:C54"/>
    <mergeCell ref="B95:B97"/>
    <mergeCell ref="C95:C97"/>
    <mergeCell ref="L52:L54"/>
    <mergeCell ref="N52:N54"/>
    <mergeCell ref="D95:D97"/>
    <mergeCell ref="E53:J53"/>
    <mergeCell ref="D52:K52"/>
    <mergeCell ref="Q52:Q54"/>
    <mergeCell ref="O52:O54"/>
    <mergeCell ref="P52:P54"/>
    <mergeCell ref="I95:I96"/>
    <mergeCell ref="J95:J96"/>
    <mergeCell ref="E95:E97"/>
    <mergeCell ref="BY6:BY7"/>
    <mergeCell ref="BZ6:BZ7"/>
    <mergeCell ref="D6:BG6"/>
    <mergeCell ref="BH6:BH8"/>
    <mergeCell ref="BI6:BQ6"/>
    <mergeCell ref="BR6:BR8"/>
    <mergeCell ref="BS6:BT6"/>
    <mergeCell ref="BU6:BU8"/>
    <mergeCell ref="BW6:BW7"/>
    <mergeCell ref="BX6:BX7"/>
    <mergeCell ref="BT7:BT8"/>
    <mergeCell ref="AM7:AV7"/>
    <mergeCell ref="AW7:AZ7"/>
    <mergeCell ref="BA7:BG7"/>
    <mergeCell ref="D7:V7"/>
    <mergeCell ref="W7:AL7"/>
    <mergeCell ref="BT52:BT54"/>
    <mergeCell ref="BU52:BU54"/>
    <mergeCell ref="BP52:BP54"/>
    <mergeCell ref="B6:B8"/>
    <mergeCell ref="C6:C8"/>
    <mergeCell ref="BE95:BE96"/>
    <mergeCell ref="BF95:BF96"/>
    <mergeCell ref="BG95:BG96"/>
    <mergeCell ref="BH95:BH96"/>
    <mergeCell ref="BS7:BS8"/>
    <mergeCell ref="BR52:BR54"/>
    <mergeCell ref="BS52:BS54"/>
  </mergeCells>
  <phoneticPr fontId="29" type="noConversion"/>
  <pageMargins left="0.7" right="0.7" top="0.75" bottom="0.75" header="0.3" footer="0.3"/>
  <pageSetup paperSize="9"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0BCBC5-52BD-4EAC-A588-12648F60134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SUMMARY</vt:lpstr>
      <vt:lpstr>BREAKDOWN (BUILDING)</vt:lpstr>
      <vt:lpstr>BREAKDOWN (SITE)</vt:lpstr>
      <vt:lpstr>TAKEOFF DETAIL</vt:lpstr>
      <vt:lpstr>'BREAKDOWN (BUILDING)'!Print_Area</vt:lpstr>
      <vt:lpstr>'BREAKDOWN (SITE)'!Print_Area</vt:lpstr>
      <vt:lpstr>SUMMARY!Print_Area</vt:lpstr>
      <vt:lpstr>'TAKEOFF DETAIL'!Print_Area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DejiMart</dc:creator>
  <cp:lastModifiedBy>Michael Bongolan Bongolan</cp:lastModifiedBy>
  <cp:lastPrinted>2024-02-09T07:46:50Z</cp:lastPrinted>
  <dcterms:created xsi:type="dcterms:W3CDTF">2023-03-05T14:34:45Z</dcterms:created>
  <dcterms:modified xsi:type="dcterms:W3CDTF">2025-11-12T18:05:08Z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{BE0BCBC5-52BD-4EAC-A588-12648F601341}</vt:lpwstr>
  </property>
</Properties>
</file>