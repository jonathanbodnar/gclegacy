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5864927-my.sharepoint.com/personal/jake_gclegacyconstruction_com/Documents/Active GCLC Projects/Blank PM Forms/"/>
    </mc:Choice>
  </mc:AlternateContent>
  <xr:revisionPtr revIDLastSave="296" documentId="8_{D7663412-2047-4540-973C-A6BF558B7CF6}" xr6:coauthVersionLast="47" xr6:coauthVersionMax="47" xr10:uidLastSave="{69B49D95-55B2-45C1-8568-14F8BE627D61}"/>
  <bookViews>
    <workbookView xWindow="-108" yWindow="-108" windowWidth="23256" windowHeight="12456" xr2:uid="{23146320-9C78-4FEC-AACB-77DB30990C5B}"/>
  </bookViews>
  <sheets>
    <sheet name="Sheet1" sheetId="1" r:id="rId1"/>
  </sheets>
  <definedNames>
    <definedName name="_xlnm.Print_Area" localSheetId="0">Sheet1!$A$1:$J$33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3" i="1"/>
  <c r="B17" i="1"/>
  <c r="J26" i="1"/>
  <c r="B27" i="1"/>
  <c r="B14" i="1"/>
  <c r="B13" i="1"/>
  <c r="L11" i="1"/>
  <c r="B9" i="1"/>
  <c r="B15" i="1"/>
  <c r="B23" i="1"/>
  <c r="B24" i="1"/>
  <c r="B25" i="1"/>
  <c r="B26" i="1"/>
  <c r="B7" i="1"/>
  <c r="B8" i="1"/>
  <c r="B10" i="1"/>
  <c r="B11" i="1"/>
  <c r="B12" i="1"/>
  <c r="B16" i="1"/>
  <c r="B18" i="1"/>
  <c r="B6" i="1"/>
  <c r="B19" i="1" l="1"/>
  <c r="B20" i="1"/>
  <c r="B21" i="1"/>
  <c r="B28" i="1"/>
  <c r="B29" i="1"/>
  <c r="F31" i="1" l="1"/>
  <c r="C31" i="1"/>
  <c r="D31" i="1" l="1"/>
  <c r="B31" i="1" l="1"/>
</calcChain>
</file>

<file path=xl/sharedStrings.xml><?xml version="1.0" encoding="utf-8"?>
<sst xmlns="http://schemas.openxmlformats.org/spreadsheetml/2006/main" count="67" uniqueCount="53">
  <si>
    <t>Scope</t>
  </si>
  <si>
    <t>Price</t>
  </si>
  <si>
    <t>Sub Bid</t>
  </si>
  <si>
    <t>Actual</t>
  </si>
  <si>
    <t>Travel</t>
  </si>
  <si>
    <t>Project Coordination</t>
  </si>
  <si>
    <t>Regulatory Requirements</t>
  </si>
  <si>
    <t>Profit</t>
  </si>
  <si>
    <t>Overhead</t>
  </si>
  <si>
    <t>Concrete Installation</t>
  </si>
  <si>
    <t xml:space="preserve">$13/ 1200 sqft  </t>
  </si>
  <si>
    <t>Cutting and Boring</t>
  </si>
  <si>
    <t>Demo</t>
  </si>
  <si>
    <t xml:space="preserve">Aiden </t>
  </si>
  <si>
    <t>Interior Rough Carpentry</t>
  </si>
  <si>
    <t>Finish Carpentry Installation</t>
  </si>
  <si>
    <t>Casework Installation</t>
  </si>
  <si>
    <t>Tile Wall Finish Installation</t>
  </si>
  <si>
    <t>Ceiling Installation</t>
  </si>
  <si>
    <t>Wall Finish</t>
  </si>
  <si>
    <t>Painting and Coating</t>
  </si>
  <si>
    <t>Exterior Specialty</t>
  </si>
  <si>
    <t>Masonary</t>
  </si>
  <si>
    <t xml:space="preserve">Thin Brick </t>
  </si>
  <si>
    <t>Interior Specialty Installation</t>
  </si>
  <si>
    <t>Baffles</t>
  </si>
  <si>
    <t>Facility Water Distribution Installation</t>
  </si>
  <si>
    <t>Dumpsters</t>
  </si>
  <si>
    <t>HVAC Air Distribution Installation</t>
  </si>
  <si>
    <t xml:space="preserve">MNS HVAC </t>
  </si>
  <si>
    <t>Storage</t>
  </si>
  <si>
    <t>Electrical Distribution Installation</t>
  </si>
  <si>
    <t>GCL Electrical</t>
  </si>
  <si>
    <t>Deliveries</t>
  </si>
  <si>
    <t>General Conditions</t>
  </si>
  <si>
    <t>Cleaning</t>
  </si>
  <si>
    <t>Doors and Frames Installation</t>
  </si>
  <si>
    <t>Porta John</t>
  </si>
  <si>
    <t>Resilient Flooring Installation</t>
  </si>
  <si>
    <t>EG Central</t>
  </si>
  <si>
    <t>Foodservice Equipment Installation</t>
  </si>
  <si>
    <t>Items</t>
  </si>
  <si>
    <t>Artwork and Furnishings Installation</t>
  </si>
  <si>
    <t>Plaster and Gypsum Board Installation</t>
  </si>
  <si>
    <t>Resilient Flooring Material</t>
  </si>
  <si>
    <t>Misc</t>
  </si>
  <si>
    <t xml:space="preserve">LL Requirments- design allowence per plans </t>
  </si>
  <si>
    <t>Change Order #1</t>
  </si>
  <si>
    <t>Total:</t>
  </si>
  <si>
    <t>Profit/Overhead</t>
  </si>
  <si>
    <t>Awarded Sub Bids</t>
  </si>
  <si>
    <t>Bids</t>
  </si>
  <si>
    <t>Change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</si>
</sst>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44" fontId="0" fillId="0" borderId="1" xfId="1" applyFont="1" applyFill="1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164" fontId="1" fillId="0" borderId="1" xfId="0" applyNumberFormat="1" applyFont="1" applyBorder="1" applyAlignment="1">
      <alignment horizontal="center" wrapText="1"/>
    </xf>
    <xf numFmtId="0" fontId="4" fillId="3" borderId="0" xfId="0" applyFont="1" applyFill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8" fontId="5" fillId="0" borderId="0" xfId="0" applyNumberFormat="1" applyFont="1"/>
    <xf numFmtId="0" fontId="5" fillId="0" borderId="0" xfId="0" applyFont="1" applyAlignment="1">
      <alignment horizontal="center"/>
    </xf>
    <xf numFmtId="8" fontId="5" fillId="0" borderId="0" xfId="0" applyNumberFormat="1" applyFont="1" applyAlignment="1">
      <alignment horizontal="center"/>
    </xf>
    <xf numFmtId="8" fontId="6" fillId="0" borderId="0" xfId="0" applyNumberFormat="1" applyFont="1"/>
    <xf numFmtId="0" fontId="0" fillId="0" borderId="4" xfId="0" applyBorder="1"/>
    <xf numFmtId="3" fontId="0" fillId="0" borderId="0" xfId="0" applyNumberFormat="1"/>
    <xf numFmtId="164" fontId="0" fillId="2" borderId="0" xfId="0" applyNumberFormat="1" applyFill="1"/>
    <xf numFmtId="0" fontId="0" fillId="0" borderId="1" xfId="0" applyBorder="1" applyAlignment="1">
      <alignment wrapText="1"/>
    </xf>
    <xf numFmtId="164" fontId="0" fillId="4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741E-196F-4A88-AFA6-6507A9551D5B}">
  <sheetPr>
    <pageSetUpPr fitToPage="1"/>
  </sheetPr>
  <dimension ref="A1:L48"/>
  <sheetViews>
    <sheetView tabSelected="1" topLeftCell="A26" zoomScale="85" zoomScaleNormal="110" workbookViewId="0">
      <selection activeCell="B37" sqref="B37"/>
    </sheetView>
  </sheetViews>
  <sheetFormatPr defaultRowHeight="14.45"/>
  <cols>
    <col min="1" max="1" width="36.42578125" customWidth="1"/>
    <col min="2" max="2" width="14" style="2" customWidth="1"/>
    <col min="3" max="3" width="16.28515625" style="1" customWidth="1"/>
    <col min="4" max="4" width="10.5703125" customWidth="1"/>
    <col min="5" max="5" width="21.140625" customWidth="1"/>
    <col min="6" max="6" width="12.42578125" customWidth="1"/>
    <col min="7" max="7" width="13.140625" customWidth="1"/>
    <col min="8" max="8" width="9.140625" customWidth="1"/>
    <col min="9" max="9" width="10.28515625" customWidth="1"/>
    <col min="10" max="10" width="17.5703125" customWidth="1"/>
    <col min="12" max="12" width="21.7109375" customWidth="1"/>
  </cols>
  <sheetData>
    <row r="1" spans="1:12" ht="14.65" customHeight="1">
      <c r="A1" s="3" t="s">
        <v>0</v>
      </c>
      <c r="B1" s="24" t="s">
        <v>1</v>
      </c>
      <c r="C1" s="5" t="s">
        <v>2</v>
      </c>
      <c r="D1" s="15" t="s">
        <v>3</v>
      </c>
      <c r="E1" s="6"/>
      <c r="F1" s="15" t="s">
        <v>4</v>
      </c>
      <c r="G1" s="6"/>
      <c r="H1" s="6"/>
      <c r="I1" s="6"/>
      <c r="J1" s="6"/>
    </row>
    <row r="2" spans="1:12" ht="14.65" customHeight="1">
      <c r="A2" s="7" t="s">
        <v>5</v>
      </c>
      <c r="B2" s="37">
        <v>26000</v>
      </c>
      <c r="C2" s="8"/>
      <c r="D2" s="8"/>
      <c r="E2" s="6"/>
      <c r="F2" s="13"/>
      <c r="G2" s="6"/>
      <c r="H2" s="6"/>
      <c r="I2" s="6"/>
      <c r="J2" s="6"/>
    </row>
    <row r="3" spans="1:12" ht="14.65" customHeight="1">
      <c r="A3" s="7" t="s">
        <v>6</v>
      </c>
      <c r="B3" s="37">
        <v>43091.65</v>
      </c>
      <c r="C3" s="8"/>
      <c r="D3" s="8"/>
      <c r="E3" s="6"/>
      <c r="F3" s="13"/>
      <c r="G3" s="6"/>
      <c r="H3" s="6"/>
      <c r="I3" s="6"/>
      <c r="J3" s="6"/>
    </row>
    <row r="4" spans="1:12" ht="14.65" customHeight="1">
      <c r="A4" s="7" t="s">
        <v>7</v>
      </c>
      <c r="B4" s="37">
        <v>27981.599999999999</v>
      </c>
      <c r="C4" s="8"/>
      <c r="D4" s="8"/>
      <c r="E4" s="6"/>
      <c r="F4" s="13"/>
      <c r="G4" s="6"/>
      <c r="H4" s="6"/>
      <c r="I4" s="6"/>
      <c r="J4" s="6"/>
    </row>
    <row r="5" spans="1:12" ht="14.65" customHeight="1">
      <c r="A5" s="7" t="s">
        <v>8</v>
      </c>
      <c r="B5" s="37">
        <v>27981.599999999999</v>
      </c>
      <c r="C5" s="8"/>
      <c r="D5" s="8"/>
      <c r="E5" s="6"/>
      <c r="F5" s="13"/>
      <c r="G5" s="6"/>
      <c r="H5" s="6"/>
      <c r="I5" s="6"/>
      <c r="J5" s="6"/>
    </row>
    <row r="6" spans="1:12" ht="14.65" customHeight="1">
      <c r="A6" s="7" t="s">
        <v>9</v>
      </c>
      <c r="B6" s="37">
        <f>SUM(C6*1.06)</f>
        <v>16536</v>
      </c>
      <c r="C6" s="38">
        <v>15600</v>
      </c>
      <c r="D6" s="8"/>
      <c r="E6" s="36"/>
      <c r="F6" s="14"/>
      <c r="G6" s="36" t="s">
        <v>10</v>
      </c>
      <c r="H6" s="6"/>
      <c r="I6" s="6"/>
      <c r="J6" s="6"/>
    </row>
    <row r="7" spans="1:12" ht="14.65" customHeight="1">
      <c r="A7" s="7" t="s">
        <v>11</v>
      </c>
      <c r="B7" s="38">
        <f t="shared" ref="B7:B18" si="0">SUM(C7*1.06)</f>
        <v>0</v>
      </c>
      <c r="C7" s="8"/>
      <c r="D7" s="8"/>
      <c r="E7" s="6"/>
      <c r="F7" s="14"/>
      <c r="G7" s="6"/>
      <c r="H7" s="6"/>
      <c r="I7" s="6"/>
      <c r="J7" s="6"/>
    </row>
    <row r="8" spans="1:12" ht="14.65" customHeight="1">
      <c r="A8" s="7" t="s">
        <v>12</v>
      </c>
      <c r="B8" s="37">
        <f t="shared" si="0"/>
        <v>20352</v>
      </c>
      <c r="C8" s="8">
        <v>19200</v>
      </c>
      <c r="D8" s="8"/>
      <c r="E8" s="8" t="s">
        <v>13</v>
      </c>
      <c r="F8" s="14"/>
      <c r="G8" s="6"/>
      <c r="H8" s="6"/>
      <c r="I8" s="6"/>
      <c r="J8" s="6"/>
    </row>
    <row r="9" spans="1:12" s="18" customFormat="1" ht="14.65" customHeight="1">
      <c r="A9" s="7" t="s">
        <v>14</v>
      </c>
      <c r="B9" s="37">
        <f t="shared" si="0"/>
        <v>41972.82</v>
      </c>
      <c r="C9" s="8">
        <v>39597</v>
      </c>
      <c r="D9" s="8"/>
      <c r="E9" s="8" t="s">
        <v>13</v>
      </c>
      <c r="F9" s="17"/>
      <c r="G9" s="16"/>
      <c r="H9" s="16"/>
      <c r="I9" s="16"/>
      <c r="J9" s="16"/>
    </row>
    <row r="10" spans="1:12" ht="14.65" customHeight="1">
      <c r="A10" s="7" t="s">
        <v>15</v>
      </c>
      <c r="B10" s="37">
        <f t="shared" si="0"/>
        <v>8649.6</v>
      </c>
      <c r="C10" s="8">
        <v>8160</v>
      </c>
      <c r="D10" s="8"/>
      <c r="E10" s="8" t="s">
        <v>13</v>
      </c>
      <c r="F10" s="14"/>
      <c r="G10" s="6"/>
      <c r="H10" s="6"/>
      <c r="I10" s="6"/>
      <c r="J10" s="6"/>
    </row>
    <row r="11" spans="1:12" s="18" customFormat="1" ht="14.65" customHeight="1">
      <c r="A11" s="7" t="s">
        <v>16</v>
      </c>
      <c r="B11" s="37">
        <f t="shared" si="0"/>
        <v>7950</v>
      </c>
      <c r="C11" s="8">
        <v>7500</v>
      </c>
      <c r="D11" s="8"/>
      <c r="E11" s="8" t="s">
        <v>13</v>
      </c>
      <c r="F11" s="19"/>
      <c r="G11" s="16"/>
      <c r="H11" s="16"/>
      <c r="I11" s="16"/>
      <c r="J11" s="16"/>
      <c r="L11" s="35" t="e">
        <f>SUM(C9,C10,C11,C12,#REF!,C13,C15,C23,C25,C26,C27,C8,C18)</f>
        <v>#REF!</v>
      </c>
    </row>
    <row r="12" spans="1:12" ht="14.65" customHeight="1">
      <c r="A12" s="7" t="s">
        <v>17</v>
      </c>
      <c r="B12" s="37">
        <f t="shared" si="0"/>
        <v>21554.04</v>
      </c>
      <c r="C12" s="8">
        <v>20334</v>
      </c>
      <c r="D12" s="8"/>
      <c r="E12" s="8" t="s">
        <v>13</v>
      </c>
      <c r="F12" s="14"/>
      <c r="G12" s="6"/>
      <c r="H12" s="6"/>
      <c r="I12" s="6"/>
      <c r="J12" s="6"/>
    </row>
    <row r="13" spans="1:12" ht="14.65" customHeight="1">
      <c r="A13" s="7" t="s">
        <v>18</v>
      </c>
      <c r="B13" s="37">
        <f>SUM(C13*1.06)</f>
        <v>5342.4000000000005</v>
      </c>
      <c r="C13" s="8">
        <v>5040</v>
      </c>
      <c r="D13" s="8"/>
      <c r="E13" s="8" t="s">
        <v>13</v>
      </c>
      <c r="F13" s="14"/>
      <c r="G13" s="6"/>
      <c r="H13" s="6"/>
      <c r="I13" s="6"/>
      <c r="J13" s="6"/>
      <c r="L13" s="2"/>
    </row>
    <row r="14" spans="1:12" ht="14.65" customHeight="1">
      <c r="A14" s="7" t="s">
        <v>19</v>
      </c>
      <c r="B14" s="37">
        <f>SUM(C14*1.06)</f>
        <v>8904</v>
      </c>
      <c r="C14" s="1">
        <v>8400</v>
      </c>
      <c r="D14" s="8"/>
      <c r="E14" s="8" t="s">
        <v>13</v>
      </c>
      <c r="F14" s="14"/>
      <c r="G14" s="6"/>
      <c r="H14" s="6"/>
      <c r="I14" s="6"/>
      <c r="J14" s="6"/>
    </row>
    <row r="15" spans="1:12" ht="14.65" customHeight="1">
      <c r="A15" s="7" t="s">
        <v>20</v>
      </c>
      <c r="B15" s="37">
        <f t="shared" si="0"/>
        <v>18764.120000000003</v>
      </c>
      <c r="C15" s="8">
        <v>17702</v>
      </c>
      <c r="D15" s="8"/>
      <c r="E15" s="8" t="s">
        <v>13</v>
      </c>
      <c r="F15" s="14"/>
      <c r="G15" s="6"/>
      <c r="H15" s="6"/>
      <c r="I15" s="6"/>
      <c r="J15" s="6"/>
    </row>
    <row r="16" spans="1:12" ht="14.65" customHeight="1">
      <c r="A16" s="7" t="s">
        <v>21</v>
      </c>
      <c r="B16" s="38">
        <f t="shared" si="0"/>
        <v>0</v>
      </c>
      <c r="C16" s="8"/>
      <c r="D16" s="8"/>
      <c r="E16" s="6"/>
      <c r="F16" s="14"/>
      <c r="G16" s="6"/>
      <c r="H16" s="6"/>
      <c r="I16" s="6"/>
      <c r="J16" s="6"/>
    </row>
    <row r="17" spans="1:12" ht="14.65" customHeight="1">
      <c r="A17" s="7" t="s">
        <v>22</v>
      </c>
      <c r="B17" s="37">
        <f t="shared" si="0"/>
        <v>41458.720000000001</v>
      </c>
      <c r="C17" s="8">
        <v>39112</v>
      </c>
      <c r="D17" s="8"/>
      <c r="E17" s="33" t="s">
        <v>23</v>
      </c>
      <c r="F17" s="14"/>
      <c r="G17" s="6"/>
      <c r="H17" s="6"/>
      <c r="I17" s="6"/>
      <c r="J17" s="6"/>
    </row>
    <row r="18" spans="1:12" ht="14.25" customHeight="1">
      <c r="A18" s="7" t="s">
        <v>24</v>
      </c>
      <c r="B18" s="37">
        <f t="shared" si="0"/>
        <v>8162</v>
      </c>
      <c r="C18" s="8">
        <v>7700</v>
      </c>
      <c r="D18" s="8" t="s">
        <v>13</v>
      </c>
      <c r="E18" s="33" t="s">
        <v>25</v>
      </c>
      <c r="F18" s="14"/>
      <c r="G18" s="6"/>
      <c r="H18" s="6"/>
      <c r="I18" s="6"/>
      <c r="J18" s="6"/>
      <c r="L18" s="2"/>
    </row>
    <row r="19" spans="1:12" ht="14.85" customHeight="1">
      <c r="A19" s="7" t="s">
        <v>26</v>
      </c>
      <c r="B19" s="37">
        <f>SUM(C19)</f>
        <v>76401</v>
      </c>
      <c r="C19" s="8">
        <v>76401</v>
      </c>
      <c r="D19" s="8"/>
      <c r="E19" s="6"/>
      <c r="F19" s="14"/>
      <c r="G19" s="6"/>
      <c r="H19" s="6"/>
      <c r="I19" s="6" t="s">
        <v>27</v>
      </c>
      <c r="J19" s="6">
        <v>7000</v>
      </c>
    </row>
    <row r="20" spans="1:12" ht="14.65" customHeight="1">
      <c r="A20" s="7" t="s">
        <v>28</v>
      </c>
      <c r="B20" s="37">
        <f>SUM(C20)</f>
        <v>42000</v>
      </c>
      <c r="C20" s="8">
        <v>42000</v>
      </c>
      <c r="D20" s="8"/>
      <c r="E20" s="6" t="s">
        <v>29</v>
      </c>
      <c r="F20" s="14"/>
      <c r="G20" s="6"/>
      <c r="H20" s="6"/>
      <c r="I20" s="6" t="s">
        <v>30</v>
      </c>
      <c r="J20" s="6">
        <v>5000</v>
      </c>
    </row>
    <row r="21" spans="1:12" s="18" customFormat="1" ht="14.65" customHeight="1">
      <c r="A21" s="7" t="s">
        <v>31</v>
      </c>
      <c r="B21" s="37">
        <f t="shared" ref="B21" si="1">SUM(C21)</f>
        <v>42570</v>
      </c>
      <c r="C21" s="8">
        <v>42570</v>
      </c>
      <c r="D21" s="8"/>
      <c r="E21" s="6" t="s">
        <v>32</v>
      </c>
      <c r="F21" s="19"/>
      <c r="G21" s="6"/>
      <c r="H21" s="6"/>
      <c r="I21" s="6" t="s">
        <v>33</v>
      </c>
      <c r="J21" s="6">
        <v>4000</v>
      </c>
    </row>
    <row r="22" spans="1:12" s="18" customFormat="1" ht="14.65" customHeight="1">
      <c r="A22" s="7" t="s">
        <v>34</v>
      </c>
      <c r="B22" s="37">
        <v>26000</v>
      </c>
      <c r="C22" s="8"/>
      <c r="D22" s="8"/>
      <c r="E22" s="6"/>
      <c r="F22" s="19"/>
      <c r="G22" s="6"/>
      <c r="H22" s="6"/>
      <c r="I22" s="6" t="s">
        <v>35</v>
      </c>
      <c r="J22" s="6">
        <v>3500</v>
      </c>
    </row>
    <row r="23" spans="1:12" ht="14.65" customHeight="1">
      <c r="A23" s="7" t="s">
        <v>36</v>
      </c>
      <c r="B23" s="37">
        <f t="shared" ref="B23:B27" si="2">SUM(C23*1.06)</f>
        <v>1908</v>
      </c>
      <c r="C23" s="8">
        <v>1800</v>
      </c>
      <c r="D23" s="8" t="s">
        <v>13</v>
      </c>
      <c r="E23" s="6"/>
      <c r="F23" s="14"/>
      <c r="G23" s="6"/>
      <c r="H23" s="6"/>
      <c r="I23" s="6" t="s">
        <v>37</v>
      </c>
      <c r="J23" s="6">
        <v>500</v>
      </c>
    </row>
    <row r="24" spans="1:12" ht="14.65" customHeight="1">
      <c r="A24" s="7" t="s">
        <v>38</v>
      </c>
      <c r="B24" s="37">
        <f t="shared" si="2"/>
        <v>9540</v>
      </c>
      <c r="C24" s="8">
        <v>9000</v>
      </c>
      <c r="D24" s="8" t="s">
        <v>39</v>
      </c>
      <c r="E24" s="6"/>
      <c r="F24" s="14"/>
      <c r="G24" s="6"/>
      <c r="H24" s="23"/>
      <c r="I24" s="6" t="s">
        <v>4</v>
      </c>
      <c r="J24" s="6">
        <v>4000</v>
      </c>
    </row>
    <row r="25" spans="1:12" ht="14.65" customHeight="1">
      <c r="A25" s="7" t="s">
        <v>40</v>
      </c>
      <c r="B25" s="37">
        <f t="shared" si="2"/>
        <v>4102.2</v>
      </c>
      <c r="C25" s="8">
        <v>3870</v>
      </c>
      <c r="D25" s="8" t="s">
        <v>13</v>
      </c>
      <c r="E25" s="6"/>
      <c r="F25" s="14"/>
      <c r="G25" s="6"/>
      <c r="H25" s="6"/>
      <c r="I25" s="6" t="s">
        <v>41</v>
      </c>
      <c r="J25" s="6">
        <v>2000</v>
      </c>
      <c r="L25" s="34"/>
    </row>
    <row r="26" spans="1:12" ht="14.65" customHeight="1">
      <c r="A26" s="7" t="s">
        <v>42</v>
      </c>
      <c r="B26" s="37">
        <f t="shared" si="2"/>
        <v>3773.6000000000004</v>
      </c>
      <c r="C26" s="8">
        <v>3560</v>
      </c>
      <c r="D26" s="8" t="s">
        <v>13</v>
      </c>
      <c r="E26" s="6"/>
      <c r="F26" s="14"/>
      <c r="G26" s="6"/>
      <c r="H26" s="6"/>
      <c r="I26" s="6"/>
      <c r="J26" s="20">
        <f>SUM(J19:J25)</f>
        <v>26000</v>
      </c>
    </row>
    <row r="27" spans="1:12" ht="14.65" customHeight="1">
      <c r="A27" s="7" t="s">
        <v>43</v>
      </c>
      <c r="B27" s="37">
        <f>SUM(C27*1.06)</f>
        <v>12720</v>
      </c>
      <c r="C27" s="8">
        <v>12000</v>
      </c>
      <c r="D27" s="8"/>
      <c r="E27" s="6"/>
      <c r="F27" s="14"/>
      <c r="G27" s="6"/>
      <c r="H27" s="6"/>
      <c r="I27" s="6"/>
      <c r="J27" s="6"/>
    </row>
    <row r="28" spans="1:12" ht="15">
      <c r="A28" s="7" t="s">
        <v>44</v>
      </c>
      <c r="B28" s="38">
        <f>SUM(C28)</f>
        <v>10700</v>
      </c>
      <c r="C28" s="8">
        <v>10700</v>
      </c>
      <c r="D28" s="8"/>
      <c r="E28" s="6"/>
      <c r="F28" s="14"/>
      <c r="G28" s="6"/>
      <c r="H28" s="6"/>
      <c r="I28" s="6"/>
      <c r="J28" s="6"/>
    </row>
    <row r="29" spans="1:12" ht="30.75">
      <c r="A29" s="7" t="s">
        <v>45</v>
      </c>
      <c r="B29" s="37">
        <f>SUM(C29)</f>
        <v>11000</v>
      </c>
      <c r="C29" s="8">
        <v>11000</v>
      </c>
      <c r="D29" s="8"/>
      <c r="E29" s="36" t="s">
        <v>46</v>
      </c>
      <c r="F29" s="14"/>
      <c r="G29" s="6"/>
      <c r="H29" s="6"/>
      <c r="I29" s="6"/>
      <c r="J29" s="6"/>
    </row>
    <row r="30" spans="1:12">
      <c r="A30" s="7" t="s">
        <v>47</v>
      </c>
      <c r="B30" s="9"/>
      <c r="C30" s="8"/>
      <c r="D30" s="8"/>
      <c r="E30" s="6"/>
      <c r="F30" s="13"/>
      <c r="G30" s="6"/>
      <c r="H30" s="6"/>
      <c r="I30" s="6"/>
      <c r="J30" s="6"/>
    </row>
    <row r="31" spans="1:12">
      <c r="A31" s="10" t="s">
        <v>48</v>
      </c>
      <c r="B31" s="11">
        <f>SUM(B2:B29)</f>
        <v>565415.35</v>
      </c>
      <c r="C31" s="5">
        <f>SUM(C2:C29)</f>
        <v>401246</v>
      </c>
      <c r="D31" s="4">
        <f>SUM(D2:D30)</f>
        <v>0</v>
      </c>
      <c r="E31" s="6"/>
      <c r="F31" s="20">
        <f>SUM(F2:F30)</f>
        <v>0</v>
      </c>
      <c r="G31" s="6"/>
      <c r="H31" s="6"/>
      <c r="I31" s="6"/>
      <c r="J31" s="6"/>
    </row>
    <row r="32" spans="1:12">
      <c r="A32" s="6"/>
      <c r="B32" s="12"/>
      <c r="C32" s="9"/>
      <c r="D32" s="6"/>
      <c r="E32" s="6"/>
      <c r="F32" s="6"/>
      <c r="G32" s="6"/>
      <c r="H32" s="6"/>
      <c r="I32" s="6"/>
      <c r="J32" s="6"/>
    </row>
    <row r="33" spans="1:10">
      <c r="A33" s="6"/>
      <c r="B33" s="11"/>
      <c r="C33" s="9"/>
      <c r="D33" s="6"/>
      <c r="E33" s="6">
        <f>466360*0.06</f>
        <v>27981.599999999999</v>
      </c>
      <c r="F33" s="6" t="s">
        <v>49</v>
      </c>
      <c r="G33" s="6"/>
      <c r="H33" s="6"/>
      <c r="I33" s="6"/>
      <c r="J33" s="6"/>
    </row>
    <row r="34" spans="1:10">
      <c r="E34" s="6">
        <f>522323*0.0825</f>
        <v>43091.647499999999</v>
      </c>
      <c r="F34" s="21" t="s">
        <v>6</v>
      </c>
      <c r="G34" s="22"/>
    </row>
    <row r="36" spans="1:10">
      <c r="A36" s="25" t="s">
        <v>50</v>
      </c>
      <c r="B36" s="28" t="s">
        <v>51</v>
      </c>
      <c r="C36" s="27" t="s">
        <v>3</v>
      </c>
      <c r="D36" s="28" t="s">
        <v>52</v>
      </c>
    </row>
    <row r="37" spans="1:10" ht="15">
      <c r="A37" s="26"/>
      <c r="B37" s="29"/>
      <c r="C37" s="30"/>
      <c r="D37" s="31"/>
    </row>
    <row r="38" spans="1:10" ht="15">
      <c r="A38" s="26"/>
      <c r="C38" s="30"/>
      <c r="D38" s="30"/>
    </row>
    <row r="39" spans="1:10">
      <c r="A39" s="26"/>
      <c r="B39" s="29"/>
      <c r="C39" s="31"/>
      <c r="D39" s="30"/>
    </row>
    <row r="40" spans="1:10">
      <c r="A40" s="26"/>
      <c r="B40" s="29"/>
      <c r="C40" s="31"/>
      <c r="D40" s="31"/>
    </row>
    <row r="41" spans="1:10">
      <c r="A41" s="26"/>
      <c r="B41" s="29"/>
      <c r="C41" s="31"/>
      <c r="D41" s="30"/>
    </row>
    <row r="42" spans="1:10">
      <c r="A42" s="26"/>
      <c r="B42" s="29"/>
      <c r="C42" s="31"/>
      <c r="D42" s="30"/>
    </row>
    <row r="43" spans="1:10">
      <c r="A43" s="26"/>
      <c r="B43" s="29"/>
      <c r="C43" s="31"/>
      <c r="D43" s="30"/>
    </row>
    <row r="44" spans="1:10">
      <c r="A44" s="26"/>
      <c r="B44" s="32"/>
      <c r="C44" s="30"/>
      <c r="D44" s="30"/>
    </row>
    <row r="45" spans="1:10">
      <c r="A45" s="26"/>
      <c r="B45" s="29"/>
      <c r="C45" s="31"/>
      <c r="D45" s="30"/>
    </row>
    <row r="46" spans="1:10">
      <c r="A46" s="26"/>
      <c r="B46" s="26"/>
      <c r="C46" s="30"/>
      <c r="D46" s="30"/>
    </row>
    <row r="47" spans="1:10">
      <c r="A47" s="26"/>
      <c r="B47" s="29"/>
      <c r="C47" s="31"/>
      <c r="D47" s="31"/>
    </row>
    <row r="48" spans="1:10" ht="15"/>
  </sheetData>
  <pageMargins left="0.7" right="0.7" top="0.75" bottom="0.75" header="0.3" footer="0.3"/>
  <pageSetup scale="76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Grosswiler</dc:creator>
  <cp:keywords/>
  <dc:description/>
  <cp:lastModifiedBy>Hayden St. John</cp:lastModifiedBy>
  <cp:revision/>
  <dcterms:created xsi:type="dcterms:W3CDTF">2021-11-30T05:44:03Z</dcterms:created>
  <dcterms:modified xsi:type="dcterms:W3CDTF">2025-11-12T20:23:44Z</dcterms:modified>
  <cp:category/>
  <cp:contentStatus/>
</cp:coreProperties>
</file>