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etorgft5864927-my.sharepoint.com/personal/jake_gclegacyconstruction_com/Documents/Active GCLC Projects/Starbucks #6212 - University Park Village - Ft. Worth, TX/Estimating/"/>
    </mc:Choice>
  </mc:AlternateContent>
  <xr:revisionPtr revIDLastSave="0" documentId="8_{A237BA18-4D74-4E23-A793-3333FD635311}" xr6:coauthVersionLast="47" xr6:coauthVersionMax="47" xr10:uidLastSave="{00000000-0000-0000-0000-000000000000}"/>
  <bookViews>
    <workbookView xWindow="768" yWindow="768" windowWidth="17280" windowHeight="8880" firstSheet="1" activeTab="5" xr2:uid="{00000000-000D-0000-FFFF-FFFF00000000}"/>
  </bookViews>
  <sheets>
    <sheet name="NOTES" sheetId="1" r:id="rId1"/>
    <sheet name="SUMMARY" sheetId="2" r:id="rId2"/>
    <sheet name="Item Breakdown" sheetId="3" r:id="rId3"/>
    <sheet name="Flooring &amp; Tile" sheetId="4" r:id="rId4"/>
    <sheet name="FDI" sheetId="5" r:id="rId5"/>
    <sheet name="Landscaping" sheetId="6" r:id="rId6"/>
    <sheet name="Opening" sheetId="7" r:id="rId7"/>
    <sheet name="Millwork &amp; Interior Trim" sheetId="8" r:id="rId8"/>
    <sheet name="Specialties" sheetId="9" r:id="rId9"/>
    <sheet name="Wood Framing" sheetId="10" r:id="rId10"/>
    <sheet name="Interior Painting &amp; Finishes" sheetId="11" r:id="rId11"/>
    <sheet name="HM Frame Door" sheetId="12" state="hidden" r:id="rId12"/>
    <sheet name="Exterior Siding" sheetId="13" r:id="rId13"/>
    <sheet name="Exterior Painting" sheetId="14" r:id="rId14"/>
  </sheets>
  <definedNames>
    <definedName name="adsf">#REF!</definedName>
    <definedName name="BID_FORM">#REF!</definedName>
    <definedName name="Build">#REF!</definedName>
    <definedName name="DBSUM">#REF!</definedName>
    <definedName name="FIRST_">#REF!</definedName>
    <definedName name="LOOPSUM">#REF!</definedName>
    <definedName name="Print_Area_MI">#REF!</definedName>
    <definedName name="qweqwe">#REF!</definedName>
    <definedName name="RECOMPARE">#REF!</definedName>
    <definedName name="RESTART">#REF!</definedName>
    <definedName name="SBINS">#REF!</definedName>
    <definedName name="SBRID">#REF!</definedName>
    <definedName name="SCONT">#REF!</definedName>
    <definedName name="SECOND_">#REF!</definedName>
    <definedName name="SELEC">#REF!</definedName>
    <definedName name="SEQUP">#REF!</definedName>
    <definedName name="SEXCV">#REF!</definedName>
    <definedName name="SEXCVA">#REF!</definedName>
    <definedName name="SEXCVB">#REF!</definedName>
    <definedName name="SEXTW">#REF!</definedName>
    <definedName name="sf">#REF!</definedName>
    <definedName name="SFARM">#REF!</definedName>
    <definedName name="SFEE_">#REF!</definedName>
    <definedName name="SFINS">#REF!</definedName>
    <definedName name="SFLOO">#REF!</definedName>
    <definedName name="SFPRT">#REF!</definedName>
    <definedName name="SGENC">#REF!</definedName>
    <definedName name="SHVAC">#REF!</definedName>
    <definedName name="SPERM">#REF!</definedName>
    <definedName name="SPLBG">#REF!</definedName>
    <definedName name="SRFWP">#REF!</definedName>
    <definedName name="SRFWPA">#REF!</definedName>
    <definedName name="SRFWPB">#REF!</definedName>
    <definedName name="SSCON">#REF!</definedName>
    <definedName name="SSERV">#REF!</definedName>
    <definedName name="SSITE">#REF!</definedName>
    <definedName name="SSPEC">#REF!</definedName>
    <definedName name="SSTRU">#REF!</definedName>
    <definedName name="SSTRUA">#REF!</definedName>
    <definedName name="SSTRUB">#REF!</definedName>
    <definedName name="SubcontractorTable" localSheetId="2">'Item Breakdown'!$B$2886:$C$2939</definedName>
    <definedName name="SubcontractorTable">#REF!</definedName>
    <definedName name="SUMMARY">#REF!</definedName>
    <definedName name="SVERT">#REF!</definedName>
    <definedName name="SYSBORDER">#REF!</definedName>
    <definedName name="SYSTEMSPRINT">#REF!</definedName>
    <definedName name="TOTALSUM">#REF!</definedName>
    <definedName name="TRADEBORDER">#REF!</definedName>
    <definedName name="TRADEPRINT">#REF!</definedName>
    <definedName name="Unit">#REF!</definedName>
    <definedName name="Unit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C14" i="14"/>
  <c r="C16" i="14" s="1"/>
  <c r="F13" i="14"/>
  <c r="C13" i="14"/>
  <c r="H13" i="14" s="1"/>
  <c r="C11" i="14"/>
  <c r="H9" i="14"/>
  <c r="C9" i="14"/>
  <c r="D27" i="13"/>
  <c r="C27" i="13"/>
  <c r="B27" i="13"/>
  <c r="D21" i="13"/>
  <c r="I21" i="13" s="1"/>
  <c r="I17" i="13"/>
  <c r="H17" i="13"/>
  <c r="G17" i="13"/>
  <c r="E17" i="13"/>
  <c r="I16" i="13"/>
  <c r="H16" i="13"/>
  <c r="G16" i="13"/>
  <c r="J16" i="13" s="1"/>
  <c r="J17" i="13" s="1"/>
  <c r="F16" i="13"/>
  <c r="F17" i="13" s="1"/>
  <c r="I14" i="13"/>
  <c r="F14" i="13"/>
  <c r="E14" i="13"/>
  <c r="J13" i="13"/>
  <c r="J14" i="13" s="1"/>
  <c r="I13" i="13"/>
  <c r="H13" i="13"/>
  <c r="H14" i="13" s="1"/>
  <c r="G13" i="13"/>
  <c r="G14" i="13" s="1"/>
  <c r="F13" i="13"/>
  <c r="H7" i="12"/>
  <c r="F7" i="12"/>
  <c r="H6" i="12"/>
  <c r="F6" i="12"/>
  <c r="H5" i="12"/>
  <c r="F5" i="12"/>
  <c r="J110" i="11"/>
  <c r="G110" i="11"/>
  <c r="D110" i="11"/>
  <c r="F110" i="11" s="1"/>
  <c r="K110" i="11" s="1"/>
  <c r="G273" i="3" s="1"/>
  <c r="J107" i="11"/>
  <c r="K107" i="11" s="1"/>
  <c r="G270" i="3" s="1"/>
  <c r="G107" i="11"/>
  <c r="F107" i="11"/>
  <c r="D107" i="11"/>
  <c r="J106" i="11"/>
  <c r="K106" i="11" s="1"/>
  <c r="G269" i="3" s="1"/>
  <c r="G106" i="11"/>
  <c r="F106" i="11"/>
  <c r="D106" i="11"/>
  <c r="J105" i="11"/>
  <c r="G105" i="11"/>
  <c r="F105" i="11"/>
  <c r="K105" i="11" s="1"/>
  <c r="D105" i="11"/>
  <c r="J102" i="11"/>
  <c r="G102" i="11"/>
  <c r="D102" i="11"/>
  <c r="F102" i="11" s="1"/>
  <c r="K102" i="11" s="1"/>
  <c r="J101" i="11"/>
  <c r="K101" i="11" s="1"/>
  <c r="G264" i="3" s="1"/>
  <c r="G101" i="11"/>
  <c r="F101" i="11"/>
  <c r="D101" i="11"/>
  <c r="J98" i="11"/>
  <c r="G98" i="11"/>
  <c r="F98" i="11"/>
  <c r="E261" i="3" s="1"/>
  <c r="I261" i="3" s="1"/>
  <c r="J261" i="3" s="1"/>
  <c r="D98" i="11"/>
  <c r="J97" i="11"/>
  <c r="G97" i="11"/>
  <c r="J96" i="11"/>
  <c r="G96" i="11"/>
  <c r="J95" i="11"/>
  <c r="G95" i="11"/>
  <c r="F95" i="11"/>
  <c r="D95" i="11"/>
  <c r="J94" i="11"/>
  <c r="G94" i="11"/>
  <c r="F94" i="11"/>
  <c r="J93" i="11"/>
  <c r="G93" i="11"/>
  <c r="J90" i="11"/>
  <c r="G90" i="11"/>
  <c r="J89" i="11"/>
  <c r="G89" i="11"/>
  <c r="F89" i="11"/>
  <c r="E252" i="3" s="1"/>
  <c r="I252" i="3" s="1"/>
  <c r="J252" i="3" s="1"/>
  <c r="D89" i="11"/>
  <c r="J85" i="11"/>
  <c r="K85" i="11" s="1"/>
  <c r="G85" i="11"/>
  <c r="F85" i="11"/>
  <c r="D85" i="11"/>
  <c r="J84" i="11"/>
  <c r="G84" i="11"/>
  <c r="J80" i="11"/>
  <c r="G80" i="11"/>
  <c r="J79" i="11"/>
  <c r="G79" i="11"/>
  <c r="D79" i="11"/>
  <c r="F79" i="11" s="1"/>
  <c r="J78" i="11"/>
  <c r="G78" i="11"/>
  <c r="F237" i="3" s="1"/>
  <c r="J77" i="11"/>
  <c r="G77" i="11"/>
  <c r="J76" i="11"/>
  <c r="G76" i="11"/>
  <c r="D76" i="11"/>
  <c r="D78" i="11" s="1"/>
  <c r="F78" i="11" s="1"/>
  <c r="E237" i="3" s="1"/>
  <c r="I237" i="3" s="1"/>
  <c r="J237" i="3" s="1"/>
  <c r="J75" i="11"/>
  <c r="K75" i="11" s="1"/>
  <c r="G234" i="3" s="1"/>
  <c r="G75" i="11"/>
  <c r="D75" i="11"/>
  <c r="F75" i="11" s="1"/>
  <c r="J74" i="11"/>
  <c r="K74" i="11" s="1"/>
  <c r="G74" i="11"/>
  <c r="F74" i="11"/>
  <c r="D74" i="11"/>
  <c r="J73" i="11"/>
  <c r="G73" i="11"/>
  <c r="J72" i="11"/>
  <c r="G72" i="11"/>
  <c r="J71" i="11"/>
  <c r="K71" i="11" s="1"/>
  <c r="G71" i="11"/>
  <c r="J70" i="11"/>
  <c r="G70" i="11"/>
  <c r="F229" i="3" s="1"/>
  <c r="J69" i="11"/>
  <c r="G69" i="11"/>
  <c r="D69" i="11"/>
  <c r="F69" i="11" s="1"/>
  <c r="J68" i="11"/>
  <c r="G68" i="11"/>
  <c r="J67" i="11"/>
  <c r="E67" i="11"/>
  <c r="G67" i="11" s="1"/>
  <c r="D67" i="11"/>
  <c r="F67" i="11" s="1"/>
  <c r="K67" i="11" s="1"/>
  <c r="C62" i="11"/>
  <c r="C61" i="11"/>
  <c r="C57" i="11"/>
  <c r="C55" i="11"/>
  <c r="C53" i="11"/>
  <c r="C43" i="11"/>
  <c r="D97" i="11" s="1"/>
  <c r="F97" i="11" s="1"/>
  <c r="K97" i="11" s="1"/>
  <c r="G260" i="3" s="1"/>
  <c r="C42" i="11"/>
  <c r="C41" i="11"/>
  <c r="D96" i="11" s="1"/>
  <c r="F96" i="11" s="1"/>
  <c r="K96" i="11" s="1"/>
  <c r="C40" i="11"/>
  <c r="D93" i="11" s="1"/>
  <c r="F93" i="11" s="1"/>
  <c r="K93" i="11" s="1"/>
  <c r="G256" i="3" s="1"/>
  <c r="C38" i="11"/>
  <c r="D94" i="11" s="1"/>
  <c r="C37" i="11"/>
  <c r="C31" i="11"/>
  <c r="D73" i="11" s="1"/>
  <c r="F73" i="11" s="1"/>
  <c r="E232" i="3" s="1"/>
  <c r="I232" i="3" s="1"/>
  <c r="J232" i="3" s="1"/>
  <c r="C30" i="11"/>
  <c r="C29" i="11"/>
  <c r="C28" i="11"/>
  <c r="C27" i="11"/>
  <c r="C26" i="11"/>
  <c r="C25" i="11"/>
  <c r="D72" i="11" s="1"/>
  <c r="F72" i="11" s="1"/>
  <c r="K72" i="11" s="1"/>
  <c r="C24" i="11"/>
  <c r="C23" i="11"/>
  <c r="D71" i="11" s="1"/>
  <c r="F71" i="11" s="1"/>
  <c r="E230" i="3" s="1"/>
  <c r="C22" i="11"/>
  <c r="D70" i="11" s="1"/>
  <c r="F70" i="11" s="1"/>
  <c r="E229" i="3" s="1"/>
  <c r="I229" i="3" s="1"/>
  <c r="J229" i="3" s="1"/>
  <c r="C21" i="11"/>
  <c r="C20" i="11"/>
  <c r="C19" i="11"/>
  <c r="D68" i="11" s="1"/>
  <c r="F68" i="11" s="1"/>
  <c r="C18" i="11"/>
  <c r="C17" i="11"/>
  <c r="C16" i="11"/>
  <c r="C15" i="11"/>
  <c r="C14" i="11"/>
  <c r="C13" i="11"/>
  <c r="D39" i="10"/>
  <c r="C32" i="10"/>
  <c r="E30" i="10"/>
  <c r="E29" i="10"/>
  <c r="E32" i="10" s="1"/>
  <c r="D42" i="10" s="1"/>
  <c r="E463" i="3" s="1"/>
  <c r="I463" i="3" s="1"/>
  <c r="J463" i="3" s="1"/>
  <c r="H23" i="10"/>
  <c r="D40" i="10" s="1"/>
  <c r="E461" i="3" s="1"/>
  <c r="I461" i="3" s="1"/>
  <c r="J461" i="3" s="1"/>
  <c r="G23" i="10"/>
  <c r="D41" i="10" s="1"/>
  <c r="E462" i="3" s="1"/>
  <c r="I462" i="3" s="1"/>
  <c r="J462" i="3" s="1"/>
  <c r="E23" i="10"/>
  <c r="D38" i="10" s="1"/>
  <c r="C23" i="10"/>
  <c r="H21" i="10"/>
  <c r="F20" i="10"/>
  <c r="F23" i="10" s="1"/>
  <c r="G19" i="10"/>
  <c r="G18" i="10"/>
  <c r="G17" i="10"/>
  <c r="B86" i="9"/>
  <c r="G81" i="9"/>
  <c r="I81" i="9" s="1"/>
  <c r="G80" i="9"/>
  <c r="I80" i="9" s="1"/>
  <c r="E451" i="3" s="1"/>
  <c r="G451" i="3" s="1"/>
  <c r="I79" i="9"/>
  <c r="G79" i="9"/>
  <c r="I76" i="9"/>
  <c r="E447" i="3" s="1"/>
  <c r="G76" i="9"/>
  <c r="G75" i="9"/>
  <c r="I75" i="9" s="1"/>
  <c r="E446" i="3" s="1"/>
  <c r="I74" i="9"/>
  <c r="E445" i="3" s="1"/>
  <c r="G74" i="9"/>
  <c r="I73" i="9"/>
  <c r="E444" i="3" s="1"/>
  <c r="G73" i="9"/>
  <c r="G72" i="9"/>
  <c r="I72" i="9" s="1"/>
  <c r="G71" i="9"/>
  <c r="I71" i="9" s="1"/>
  <c r="G70" i="9"/>
  <c r="I70" i="9" s="1"/>
  <c r="G69" i="9"/>
  <c r="I69" i="9" s="1"/>
  <c r="G68" i="9"/>
  <c r="I68" i="9" s="1"/>
  <c r="I67" i="9"/>
  <c r="G67" i="9"/>
  <c r="I66" i="9"/>
  <c r="E437" i="3" s="1"/>
  <c r="G66" i="9"/>
  <c r="I65" i="9"/>
  <c r="E436" i="3" s="1"/>
  <c r="G65" i="9"/>
  <c r="I64" i="9"/>
  <c r="G64" i="9"/>
  <c r="G63" i="9"/>
  <c r="I63" i="9" s="1"/>
  <c r="E434" i="3" s="1"/>
  <c r="G62" i="9"/>
  <c r="I62" i="9" s="1"/>
  <c r="E433" i="3" s="1"/>
  <c r="G61" i="9"/>
  <c r="I61" i="9" s="1"/>
  <c r="E432" i="3" s="1"/>
  <c r="I432" i="3" s="1"/>
  <c r="J432" i="3" s="1"/>
  <c r="G60" i="9"/>
  <c r="I60" i="9" s="1"/>
  <c r="E431" i="3" s="1"/>
  <c r="I431" i="3" s="1"/>
  <c r="J431" i="3" s="1"/>
  <c r="G59" i="9"/>
  <c r="I59" i="9" s="1"/>
  <c r="E430" i="3" s="1"/>
  <c r="I430" i="3" s="1"/>
  <c r="J430" i="3" s="1"/>
  <c r="G58" i="9"/>
  <c r="I58" i="9" s="1"/>
  <c r="E429" i="3" s="1"/>
  <c r="I57" i="9"/>
  <c r="G57" i="9"/>
  <c r="I56" i="9"/>
  <c r="G56" i="9"/>
  <c r="G55" i="9"/>
  <c r="I55" i="9" s="1"/>
  <c r="E426" i="3" s="1"/>
  <c r="I54" i="9"/>
  <c r="E425" i="3" s="1"/>
  <c r="I425" i="3" s="1"/>
  <c r="J425" i="3" s="1"/>
  <c r="G54" i="9"/>
  <c r="G53" i="9"/>
  <c r="I53" i="9" s="1"/>
  <c r="E424" i="3" s="1"/>
  <c r="G52" i="9"/>
  <c r="I52" i="9" s="1"/>
  <c r="G51" i="9"/>
  <c r="I51" i="9" s="1"/>
  <c r="G50" i="9"/>
  <c r="I50" i="9" s="1"/>
  <c r="E421" i="3" s="1"/>
  <c r="G49" i="9"/>
  <c r="I49" i="9" s="1"/>
  <c r="G48" i="9"/>
  <c r="I48" i="9" s="1"/>
  <c r="I47" i="9"/>
  <c r="G47" i="9"/>
  <c r="I46" i="9"/>
  <c r="E417" i="3" s="1"/>
  <c r="G417" i="3" s="1"/>
  <c r="G46" i="9"/>
  <c r="I45" i="9"/>
  <c r="G45" i="9"/>
  <c r="I44" i="9"/>
  <c r="G44" i="9"/>
  <c r="G43" i="9"/>
  <c r="I43" i="9" s="1"/>
  <c r="E414" i="3" s="1"/>
  <c r="G42" i="9"/>
  <c r="I42" i="9" s="1"/>
  <c r="E413" i="3" s="1"/>
  <c r="G39" i="9"/>
  <c r="I39" i="9" s="1"/>
  <c r="E410" i="3" s="1"/>
  <c r="G410" i="3" s="1"/>
  <c r="G38" i="9"/>
  <c r="I38" i="9" s="1"/>
  <c r="G37" i="9"/>
  <c r="I37" i="9" s="1"/>
  <c r="G34" i="9"/>
  <c r="I34" i="9" s="1"/>
  <c r="I31" i="9"/>
  <c r="G31" i="9"/>
  <c r="I30" i="9"/>
  <c r="E401" i="3" s="1"/>
  <c r="G30" i="9"/>
  <c r="G29" i="9"/>
  <c r="I29" i="9" s="1"/>
  <c r="I26" i="9"/>
  <c r="E397" i="3" s="1"/>
  <c r="G26" i="9"/>
  <c r="I25" i="9"/>
  <c r="E396" i="3" s="1"/>
  <c r="I396" i="3" s="1"/>
  <c r="J396" i="3" s="1"/>
  <c r="G25" i="9"/>
  <c r="G24" i="9"/>
  <c r="I24" i="9" s="1"/>
  <c r="E395" i="3" s="1"/>
  <c r="G23" i="9"/>
  <c r="I23" i="9" s="1"/>
  <c r="G20" i="9"/>
  <c r="I20" i="9" s="1"/>
  <c r="G19" i="9"/>
  <c r="I19" i="9" s="1"/>
  <c r="G18" i="9"/>
  <c r="I18" i="9" s="1"/>
  <c r="I17" i="9"/>
  <c r="G17" i="9"/>
  <c r="I16" i="9"/>
  <c r="E387" i="3" s="1"/>
  <c r="I387" i="3" s="1"/>
  <c r="J387" i="3" s="1"/>
  <c r="G16" i="9"/>
  <c r="I15" i="9"/>
  <c r="G15" i="9"/>
  <c r="I14" i="9"/>
  <c r="E385" i="3" s="1"/>
  <c r="G14" i="9"/>
  <c r="G13" i="9"/>
  <c r="I13" i="9" s="1"/>
  <c r="E384" i="3" s="1"/>
  <c r="I12" i="9"/>
  <c r="G12" i="9"/>
  <c r="G11" i="9"/>
  <c r="I11" i="9" s="1"/>
  <c r="E382" i="3" s="1"/>
  <c r="G382" i="3" s="1"/>
  <c r="G10" i="9"/>
  <c r="I10" i="9" s="1"/>
  <c r="E381" i="3" s="1"/>
  <c r="G9" i="9"/>
  <c r="I9" i="9" s="1"/>
  <c r="E380" i="3" s="1"/>
  <c r="I88" i="8"/>
  <c r="I87" i="8"/>
  <c r="I86" i="8"/>
  <c r="I85" i="8"/>
  <c r="I84" i="8"/>
  <c r="I83" i="8"/>
  <c r="I82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E331" i="3" s="1"/>
  <c r="I331" i="3" s="1"/>
  <c r="J331" i="3" s="1"/>
  <c r="I22" i="8"/>
  <c r="I21" i="8"/>
  <c r="I20" i="8"/>
  <c r="I19" i="8"/>
  <c r="I18" i="8"/>
  <c r="E326" i="3" s="1"/>
  <c r="I326" i="3" s="1"/>
  <c r="J17" i="8"/>
  <c r="I17" i="8"/>
  <c r="I41" i="7"/>
  <c r="I40" i="7"/>
  <c r="I39" i="7"/>
  <c r="I38" i="7"/>
  <c r="I37" i="7"/>
  <c r="I36" i="7"/>
  <c r="I35" i="7"/>
  <c r="I32" i="7"/>
  <c r="I31" i="7"/>
  <c r="I29" i="7"/>
  <c r="I28" i="7"/>
  <c r="I27" i="7"/>
  <c r="I26" i="7"/>
  <c r="E303" i="3" s="1"/>
  <c r="I303" i="3" s="1"/>
  <c r="I25" i="7"/>
  <c r="I24" i="7"/>
  <c r="I20" i="7"/>
  <c r="I17" i="7"/>
  <c r="E294" i="3" s="1"/>
  <c r="J143" i="5"/>
  <c r="F143" i="5"/>
  <c r="B143" i="5"/>
  <c r="F142" i="5"/>
  <c r="J142" i="5" s="1"/>
  <c r="B142" i="5"/>
  <c r="J141" i="5"/>
  <c r="F141" i="5"/>
  <c r="E141" i="5"/>
  <c r="B141" i="5"/>
  <c r="B140" i="5"/>
  <c r="C176" i="3" s="1"/>
  <c r="J138" i="5"/>
  <c r="H138" i="5"/>
  <c r="J137" i="5"/>
  <c r="H137" i="5"/>
  <c r="J136" i="5"/>
  <c r="H136" i="5"/>
  <c r="C136" i="5"/>
  <c r="J133" i="5"/>
  <c r="H133" i="5"/>
  <c r="J132" i="5"/>
  <c r="H132" i="5"/>
  <c r="J131" i="5"/>
  <c r="H131" i="5"/>
  <c r="J128" i="5"/>
  <c r="H128" i="5"/>
  <c r="J127" i="5"/>
  <c r="H127" i="5"/>
  <c r="J124" i="5"/>
  <c r="H124" i="5"/>
  <c r="E124" i="5"/>
  <c r="I124" i="5" s="1"/>
  <c r="J123" i="5"/>
  <c r="H123" i="5"/>
  <c r="J122" i="5"/>
  <c r="H122" i="5"/>
  <c r="J121" i="5"/>
  <c r="H121" i="5"/>
  <c r="J118" i="5"/>
  <c r="H118" i="5"/>
  <c r="J117" i="5"/>
  <c r="H117" i="5"/>
  <c r="J116" i="5"/>
  <c r="H116" i="5"/>
  <c r="J113" i="5"/>
  <c r="H113" i="5"/>
  <c r="E113" i="5"/>
  <c r="J112" i="5"/>
  <c r="H112" i="5"/>
  <c r="J111" i="5"/>
  <c r="H111" i="5"/>
  <c r="J108" i="5"/>
  <c r="H108" i="5"/>
  <c r="J107" i="5"/>
  <c r="H107" i="5"/>
  <c r="J106" i="5"/>
  <c r="H106" i="5"/>
  <c r="C106" i="5"/>
  <c r="J103" i="5"/>
  <c r="H103" i="5"/>
  <c r="C103" i="5"/>
  <c r="G103" i="5" s="1"/>
  <c r="J102" i="5"/>
  <c r="H102" i="5"/>
  <c r="J101" i="5"/>
  <c r="H101" i="5"/>
  <c r="J98" i="5"/>
  <c r="H98" i="5"/>
  <c r="C98" i="5"/>
  <c r="E98" i="5" s="1"/>
  <c r="M97" i="5"/>
  <c r="G133" i="3" s="1"/>
  <c r="J97" i="5"/>
  <c r="H97" i="5"/>
  <c r="G97" i="5"/>
  <c r="C97" i="5"/>
  <c r="E97" i="5" s="1"/>
  <c r="I97" i="5" s="1"/>
  <c r="J94" i="5"/>
  <c r="H94" i="5"/>
  <c r="J93" i="5"/>
  <c r="H93" i="5"/>
  <c r="J92" i="5"/>
  <c r="H92" i="5"/>
  <c r="J89" i="5"/>
  <c r="H89" i="5"/>
  <c r="J88" i="5"/>
  <c r="H88" i="5"/>
  <c r="J85" i="5"/>
  <c r="H85" i="5"/>
  <c r="J84" i="5"/>
  <c r="H84" i="5"/>
  <c r="J83" i="5"/>
  <c r="H83" i="5"/>
  <c r="C83" i="5"/>
  <c r="J80" i="5"/>
  <c r="H80" i="5"/>
  <c r="J79" i="5"/>
  <c r="H79" i="5"/>
  <c r="J78" i="5"/>
  <c r="H78" i="5"/>
  <c r="J74" i="5"/>
  <c r="H74" i="5"/>
  <c r="J73" i="5"/>
  <c r="H73" i="5"/>
  <c r="J72" i="5"/>
  <c r="H72" i="5"/>
  <c r="J71" i="5"/>
  <c r="H71" i="5"/>
  <c r="C71" i="5"/>
  <c r="E71" i="5" s="1"/>
  <c r="I71" i="5" s="1"/>
  <c r="J70" i="5"/>
  <c r="H70" i="5"/>
  <c r="H67" i="5"/>
  <c r="H66" i="5"/>
  <c r="H65" i="5"/>
  <c r="B65" i="5"/>
  <c r="C191" i="3" s="1"/>
  <c r="M62" i="5"/>
  <c r="G188" i="3" s="1"/>
  <c r="H62" i="5"/>
  <c r="C62" i="5"/>
  <c r="G62" i="5" s="1"/>
  <c r="B62" i="5"/>
  <c r="H61" i="5"/>
  <c r="H60" i="5"/>
  <c r="G55" i="5"/>
  <c r="F55" i="5"/>
  <c r="G54" i="5"/>
  <c r="D54" i="5"/>
  <c r="F54" i="5" s="1"/>
  <c r="G53" i="5"/>
  <c r="D53" i="5"/>
  <c r="G50" i="5"/>
  <c r="D50" i="5"/>
  <c r="F50" i="5" s="1"/>
  <c r="G49" i="5"/>
  <c r="G48" i="5"/>
  <c r="D48" i="5"/>
  <c r="D49" i="5" s="1"/>
  <c r="I40" i="5"/>
  <c r="B66" i="5" s="1"/>
  <c r="C192" i="3" s="1"/>
  <c r="J39" i="5"/>
  <c r="I39" i="5"/>
  <c r="P38" i="5"/>
  <c r="L38" i="5"/>
  <c r="C124" i="5" s="1"/>
  <c r="G124" i="5" s="1"/>
  <c r="I38" i="5"/>
  <c r="P37" i="5"/>
  <c r="J37" i="5"/>
  <c r="E37" i="5"/>
  <c r="J36" i="5"/>
  <c r="F36" i="5"/>
  <c r="D36" i="5"/>
  <c r="J35" i="5"/>
  <c r="F35" i="5"/>
  <c r="D35" i="5"/>
  <c r="O35" i="5" s="1"/>
  <c r="O38" i="5" s="1"/>
  <c r="C138" i="5" s="1"/>
  <c r="E138" i="5" s="1"/>
  <c r="I138" i="5" s="1"/>
  <c r="N34" i="5"/>
  <c r="N38" i="5" s="1"/>
  <c r="C131" i="5" s="1"/>
  <c r="E34" i="5"/>
  <c r="J34" i="5" s="1"/>
  <c r="M33" i="5"/>
  <c r="E33" i="5"/>
  <c r="J33" i="5" s="1"/>
  <c r="M32" i="5"/>
  <c r="M38" i="5" s="1"/>
  <c r="C127" i="5" s="1"/>
  <c r="E32" i="5"/>
  <c r="J32" i="5" s="1"/>
  <c r="L31" i="5"/>
  <c r="K31" i="5"/>
  <c r="K38" i="5" s="1"/>
  <c r="C121" i="5" s="1"/>
  <c r="J31" i="5"/>
  <c r="E31" i="5"/>
  <c r="J30" i="5"/>
  <c r="Q24" i="5"/>
  <c r="O24" i="5"/>
  <c r="P24" i="5" s="1"/>
  <c r="O23" i="5"/>
  <c r="Y22" i="5"/>
  <c r="X22" i="5"/>
  <c r="V22" i="5"/>
  <c r="C92" i="5" s="1"/>
  <c r="T22" i="5"/>
  <c r="S22" i="5"/>
  <c r="C80" i="5" s="1"/>
  <c r="O22" i="5"/>
  <c r="P22" i="5" s="1"/>
  <c r="Q21" i="5"/>
  <c r="P21" i="5"/>
  <c r="Q20" i="5"/>
  <c r="P20" i="5"/>
  <c r="Q19" i="5"/>
  <c r="P19" i="5"/>
  <c r="AB18" i="5"/>
  <c r="AA18" i="5"/>
  <c r="Q18" i="5"/>
  <c r="P18" i="5"/>
  <c r="AB17" i="5"/>
  <c r="AA17" i="5"/>
  <c r="AA22" i="5" s="1"/>
  <c r="C116" i="5" s="1"/>
  <c r="Q17" i="5"/>
  <c r="P17" i="5"/>
  <c r="AB16" i="5"/>
  <c r="C113" i="5" s="1"/>
  <c r="G113" i="5" s="1"/>
  <c r="Z16" i="5"/>
  <c r="Z22" i="5" s="1"/>
  <c r="C111" i="5" s="1"/>
  <c r="Q16" i="5"/>
  <c r="P16" i="5"/>
  <c r="Y15" i="5"/>
  <c r="Q15" i="5"/>
  <c r="P15" i="5"/>
  <c r="W14" i="5"/>
  <c r="U14" i="5"/>
  <c r="U22" i="5" s="1"/>
  <c r="C101" i="5" s="1"/>
  <c r="Q14" i="5"/>
  <c r="P14" i="5"/>
  <c r="W13" i="5"/>
  <c r="V13" i="5"/>
  <c r="Q13" i="5"/>
  <c r="P13" i="5"/>
  <c r="X12" i="5"/>
  <c r="Q12" i="5"/>
  <c r="P12" i="5"/>
  <c r="T11" i="5"/>
  <c r="Q11" i="5"/>
  <c r="P11" i="5"/>
  <c r="W10" i="5"/>
  <c r="W22" i="5" s="1"/>
  <c r="C94" i="5" s="1"/>
  <c r="V10" i="5"/>
  <c r="Q10" i="5"/>
  <c r="P10" i="5"/>
  <c r="V9" i="5"/>
  <c r="C88" i="5" s="1"/>
  <c r="Q9" i="5"/>
  <c r="P9" i="5"/>
  <c r="T8" i="5"/>
  <c r="Q8" i="5"/>
  <c r="P8" i="5"/>
  <c r="S7" i="5"/>
  <c r="R7" i="5"/>
  <c r="R22" i="5" s="1"/>
  <c r="C78" i="5" s="1"/>
  <c r="G78" i="5" s="1"/>
  <c r="Q7" i="5"/>
  <c r="P7" i="5"/>
  <c r="K17" i="4"/>
  <c r="G17" i="4"/>
  <c r="E17" i="4"/>
  <c r="K16" i="4"/>
  <c r="G218" i="3" s="1"/>
  <c r="E16" i="4"/>
  <c r="G16" i="4" s="1"/>
  <c r="K15" i="4"/>
  <c r="E15" i="4"/>
  <c r="G15" i="4" s="1"/>
  <c r="K14" i="4"/>
  <c r="G216" i="3" s="1"/>
  <c r="E14" i="4"/>
  <c r="G14" i="4" s="1"/>
  <c r="K13" i="4"/>
  <c r="E13" i="4"/>
  <c r="G13" i="4" s="1"/>
  <c r="K12" i="4"/>
  <c r="G12" i="4"/>
  <c r="E12" i="4"/>
  <c r="K11" i="4"/>
  <c r="G213" i="3" s="1"/>
  <c r="E11" i="4"/>
  <c r="G11" i="4" s="1"/>
  <c r="K10" i="4"/>
  <c r="G210" i="3" s="1"/>
  <c r="E10" i="4"/>
  <c r="G10" i="4" s="1"/>
  <c r="K9" i="4"/>
  <c r="G9" i="4"/>
  <c r="E9" i="4"/>
  <c r="K8" i="4"/>
  <c r="E8" i="4"/>
  <c r="G8" i="4" s="1"/>
  <c r="K7" i="4"/>
  <c r="E7" i="4"/>
  <c r="G7" i="4" s="1"/>
  <c r="D464" i="3"/>
  <c r="G463" i="3"/>
  <c r="F463" i="3"/>
  <c r="D463" i="3"/>
  <c r="C463" i="3"/>
  <c r="G462" i="3"/>
  <c r="F462" i="3"/>
  <c r="D462" i="3"/>
  <c r="C462" i="3"/>
  <c r="G461" i="3"/>
  <c r="F461" i="3"/>
  <c r="D461" i="3"/>
  <c r="C461" i="3"/>
  <c r="G460" i="3"/>
  <c r="F460" i="3"/>
  <c r="E460" i="3"/>
  <c r="I460" i="3" s="1"/>
  <c r="J460" i="3" s="1"/>
  <c r="D460" i="3"/>
  <c r="C460" i="3"/>
  <c r="G459" i="3"/>
  <c r="F459" i="3"/>
  <c r="E459" i="3"/>
  <c r="I459" i="3" s="1"/>
  <c r="D459" i="3"/>
  <c r="C459" i="3"/>
  <c r="C458" i="3"/>
  <c r="D453" i="3"/>
  <c r="F452" i="3"/>
  <c r="E452" i="3"/>
  <c r="I452" i="3" s="1"/>
  <c r="J452" i="3" s="1"/>
  <c r="C452" i="3"/>
  <c r="I451" i="3"/>
  <c r="J451" i="3" s="1"/>
  <c r="F451" i="3"/>
  <c r="C451" i="3"/>
  <c r="I450" i="3"/>
  <c r="J450" i="3" s="1"/>
  <c r="G450" i="3"/>
  <c r="F450" i="3"/>
  <c r="E450" i="3"/>
  <c r="D450" i="3"/>
  <c r="C450" i="3"/>
  <c r="C449" i="3"/>
  <c r="F447" i="3"/>
  <c r="D447" i="3"/>
  <c r="C447" i="3"/>
  <c r="I446" i="3"/>
  <c r="J446" i="3" s="1"/>
  <c r="G446" i="3"/>
  <c r="F446" i="3"/>
  <c r="D446" i="3"/>
  <c r="C446" i="3"/>
  <c r="F445" i="3"/>
  <c r="D445" i="3"/>
  <c r="C445" i="3"/>
  <c r="F444" i="3"/>
  <c r="D444" i="3"/>
  <c r="C444" i="3"/>
  <c r="I443" i="3"/>
  <c r="J443" i="3" s="1"/>
  <c r="G443" i="3"/>
  <c r="F443" i="3"/>
  <c r="E443" i="3"/>
  <c r="D443" i="3"/>
  <c r="C443" i="3"/>
  <c r="F442" i="3"/>
  <c r="E442" i="3"/>
  <c r="I442" i="3" s="1"/>
  <c r="J442" i="3" s="1"/>
  <c r="D442" i="3"/>
  <c r="C442" i="3"/>
  <c r="I441" i="3"/>
  <c r="J441" i="3" s="1"/>
  <c r="G441" i="3"/>
  <c r="F441" i="3"/>
  <c r="E441" i="3"/>
  <c r="D441" i="3"/>
  <c r="C441" i="3"/>
  <c r="J440" i="3"/>
  <c r="I440" i="3"/>
  <c r="G440" i="3"/>
  <c r="F440" i="3"/>
  <c r="E440" i="3"/>
  <c r="D440" i="3"/>
  <c r="C440" i="3"/>
  <c r="F439" i="3"/>
  <c r="E439" i="3"/>
  <c r="I439" i="3" s="1"/>
  <c r="J439" i="3" s="1"/>
  <c r="D439" i="3"/>
  <c r="C439" i="3"/>
  <c r="G438" i="3"/>
  <c r="F438" i="3"/>
  <c r="E438" i="3"/>
  <c r="I438" i="3" s="1"/>
  <c r="J438" i="3" s="1"/>
  <c r="D438" i="3"/>
  <c r="C438" i="3"/>
  <c r="I437" i="3"/>
  <c r="J437" i="3" s="1"/>
  <c r="G437" i="3"/>
  <c r="F437" i="3"/>
  <c r="D437" i="3"/>
  <c r="C437" i="3"/>
  <c r="I436" i="3"/>
  <c r="J436" i="3" s="1"/>
  <c r="G436" i="3"/>
  <c r="F436" i="3"/>
  <c r="D436" i="3"/>
  <c r="C436" i="3"/>
  <c r="G435" i="3"/>
  <c r="F435" i="3"/>
  <c r="E435" i="3"/>
  <c r="I435" i="3" s="1"/>
  <c r="J435" i="3" s="1"/>
  <c r="D435" i="3"/>
  <c r="C435" i="3"/>
  <c r="I434" i="3"/>
  <c r="J434" i="3" s="1"/>
  <c r="G434" i="3"/>
  <c r="F434" i="3"/>
  <c r="D434" i="3"/>
  <c r="C434" i="3"/>
  <c r="F433" i="3"/>
  <c r="D433" i="3"/>
  <c r="C433" i="3"/>
  <c r="F432" i="3"/>
  <c r="D432" i="3"/>
  <c r="C432" i="3"/>
  <c r="F431" i="3"/>
  <c r="D431" i="3"/>
  <c r="C431" i="3"/>
  <c r="F430" i="3"/>
  <c r="C430" i="3"/>
  <c r="F429" i="3"/>
  <c r="D429" i="3"/>
  <c r="C429" i="3"/>
  <c r="I428" i="3"/>
  <c r="J428" i="3" s="1"/>
  <c r="G428" i="3"/>
  <c r="F428" i="3"/>
  <c r="E428" i="3"/>
  <c r="D428" i="3"/>
  <c r="C428" i="3"/>
  <c r="F427" i="3"/>
  <c r="E427" i="3"/>
  <c r="G427" i="3" s="1"/>
  <c r="D427" i="3"/>
  <c r="C427" i="3"/>
  <c r="F426" i="3"/>
  <c r="C426" i="3"/>
  <c r="F425" i="3"/>
  <c r="D425" i="3"/>
  <c r="C425" i="3"/>
  <c r="F424" i="3"/>
  <c r="D424" i="3"/>
  <c r="C424" i="3"/>
  <c r="F423" i="3"/>
  <c r="E423" i="3"/>
  <c r="D423" i="3"/>
  <c r="C423" i="3"/>
  <c r="F422" i="3"/>
  <c r="E422" i="3"/>
  <c r="I422" i="3" s="1"/>
  <c r="J422" i="3" s="1"/>
  <c r="D422" i="3"/>
  <c r="C422" i="3"/>
  <c r="F421" i="3"/>
  <c r="D421" i="3"/>
  <c r="C421" i="3"/>
  <c r="I420" i="3"/>
  <c r="J420" i="3" s="1"/>
  <c r="F420" i="3"/>
  <c r="E420" i="3"/>
  <c r="G420" i="3" s="1"/>
  <c r="D420" i="3"/>
  <c r="C420" i="3"/>
  <c r="I419" i="3"/>
  <c r="J419" i="3" s="1"/>
  <c r="F419" i="3"/>
  <c r="E419" i="3"/>
  <c r="G419" i="3" s="1"/>
  <c r="D419" i="3"/>
  <c r="C419" i="3"/>
  <c r="F418" i="3"/>
  <c r="E418" i="3"/>
  <c r="I418" i="3" s="1"/>
  <c r="J418" i="3" s="1"/>
  <c r="D418" i="3"/>
  <c r="C418" i="3"/>
  <c r="I417" i="3"/>
  <c r="J417" i="3" s="1"/>
  <c r="F417" i="3"/>
  <c r="D417" i="3"/>
  <c r="C417" i="3"/>
  <c r="F416" i="3"/>
  <c r="E416" i="3"/>
  <c r="I416" i="3" s="1"/>
  <c r="J416" i="3" s="1"/>
  <c r="D416" i="3"/>
  <c r="C416" i="3"/>
  <c r="F415" i="3"/>
  <c r="E415" i="3"/>
  <c r="I415" i="3" s="1"/>
  <c r="J415" i="3" s="1"/>
  <c r="D415" i="3"/>
  <c r="C415" i="3"/>
  <c r="F414" i="3"/>
  <c r="D414" i="3"/>
  <c r="C414" i="3"/>
  <c r="I413" i="3"/>
  <c r="J413" i="3" s="1"/>
  <c r="G413" i="3"/>
  <c r="F413" i="3"/>
  <c r="D413" i="3"/>
  <c r="C413" i="3"/>
  <c r="C412" i="3"/>
  <c r="F410" i="3"/>
  <c r="D410" i="3"/>
  <c r="C410" i="3"/>
  <c r="F409" i="3"/>
  <c r="E409" i="3"/>
  <c r="G409" i="3" s="1"/>
  <c r="D409" i="3"/>
  <c r="C409" i="3"/>
  <c r="F408" i="3"/>
  <c r="E408" i="3"/>
  <c r="G408" i="3" s="1"/>
  <c r="D408" i="3"/>
  <c r="C408" i="3"/>
  <c r="C407" i="3"/>
  <c r="F405" i="3"/>
  <c r="E405" i="3"/>
  <c r="I405" i="3" s="1"/>
  <c r="J405" i="3" s="1"/>
  <c r="C405" i="3"/>
  <c r="C404" i="3"/>
  <c r="J402" i="3"/>
  <c r="G402" i="3"/>
  <c r="F402" i="3"/>
  <c r="E402" i="3"/>
  <c r="I402" i="3" s="1"/>
  <c r="D402" i="3"/>
  <c r="C402" i="3"/>
  <c r="J401" i="3"/>
  <c r="I401" i="3"/>
  <c r="G401" i="3"/>
  <c r="F401" i="3"/>
  <c r="D401" i="3"/>
  <c r="C401" i="3"/>
  <c r="F400" i="3"/>
  <c r="E400" i="3"/>
  <c r="D400" i="3"/>
  <c r="C400" i="3"/>
  <c r="C399" i="3"/>
  <c r="F397" i="3"/>
  <c r="C397" i="3"/>
  <c r="F396" i="3"/>
  <c r="C396" i="3"/>
  <c r="J395" i="3"/>
  <c r="I395" i="3"/>
  <c r="F395" i="3"/>
  <c r="C395" i="3"/>
  <c r="I394" i="3"/>
  <c r="J394" i="3" s="1"/>
  <c r="G394" i="3"/>
  <c r="F394" i="3"/>
  <c r="E394" i="3"/>
  <c r="D394" i="3"/>
  <c r="C394" i="3"/>
  <c r="C393" i="3"/>
  <c r="F391" i="3"/>
  <c r="E391" i="3"/>
  <c r="C391" i="3"/>
  <c r="I390" i="3"/>
  <c r="J390" i="3" s="1"/>
  <c r="G390" i="3"/>
  <c r="F390" i="3"/>
  <c r="E390" i="3"/>
  <c r="C390" i="3"/>
  <c r="I389" i="3"/>
  <c r="J389" i="3" s="1"/>
  <c r="G389" i="3"/>
  <c r="F389" i="3"/>
  <c r="E389" i="3"/>
  <c r="C389" i="3"/>
  <c r="F388" i="3"/>
  <c r="E388" i="3"/>
  <c r="C388" i="3"/>
  <c r="F387" i="3"/>
  <c r="C387" i="3"/>
  <c r="F386" i="3"/>
  <c r="E386" i="3"/>
  <c r="D386" i="3"/>
  <c r="C386" i="3"/>
  <c r="F385" i="3"/>
  <c r="C385" i="3"/>
  <c r="I384" i="3"/>
  <c r="J384" i="3" s="1"/>
  <c r="G384" i="3"/>
  <c r="F384" i="3"/>
  <c r="C384" i="3"/>
  <c r="F383" i="3"/>
  <c r="E383" i="3"/>
  <c r="I383" i="3" s="1"/>
  <c r="J383" i="3" s="1"/>
  <c r="C383" i="3"/>
  <c r="I382" i="3"/>
  <c r="J382" i="3" s="1"/>
  <c r="F382" i="3"/>
  <c r="C382" i="3"/>
  <c r="J381" i="3"/>
  <c r="I381" i="3"/>
  <c r="G381" i="3"/>
  <c r="F381" i="3"/>
  <c r="D381" i="3"/>
  <c r="C381" i="3"/>
  <c r="F380" i="3"/>
  <c r="D380" i="3"/>
  <c r="C380" i="3"/>
  <c r="C379" i="3"/>
  <c r="D374" i="3"/>
  <c r="I373" i="3"/>
  <c r="J373" i="3" s="1"/>
  <c r="F373" i="3"/>
  <c r="E373" i="3"/>
  <c r="C373" i="3"/>
  <c r="F372" i="3"/>
  <c r="E372" i="3"/>
  <c r="I372" i="3" s="1"/>
  <c r="J372" i="3" s="1"/>
  <c r="C372" i="3"/>
  <c r="J371" i="3"/>
  <c r="I371" i="3"/>
  <c r="F371" i="3"/>
  <c r="E371" i="3"/>
  <c r="C371" i="3"/>
  <c r="I370" i="3"/>
  <c r="J370" i="3" s="1"/>
  <c r="F370" i="3"/>
  <c r="E370" i="3"/>
  <c r="C370" i="3"/>
  <c r="F369" i="3"/>
  <c r="E369" i="3"/>
  <c r="I369" i="3" s="1"/>
  <c r="J369" i="3" s="1"/>
  <c r="C369" i="3"/>
  <c r="F368" i="3"/>
  <c r="E368" i="3"/>
  <c r="I368" i="3" s="1"/>
  <c r="J368" i="3" s="1"/>
  <c r="C368" i="3"/>
  <c r="J367" i="3"/>
  <c r="I367" i="3"/>
  <c r="F367" i="3"/>
  <c r="E367" i="3"/>
  <c r="C367" i="3"/>
  <c r="I366" i="3"/>
  <c r="J366" i="3" s="1"/>
  <c r="F366" i="3"/>
  <c r="E366" i="3"/>
  <c r="C366" i="3"/>
  <c r="F365" i="3"/>
  <c r="E365" i="3"/>
  <c r="I365" i="3" s="1"/>
  <c r="J365" i="3" s="1"/>
  <c r="C365" i="3"/>
  <c r="F364" i="3"/>
  <c r="E364" i="3"/>
  <c r="I364" i="3" s="1"/>
  <c r="J364" i="3" s="1"/>
  <c r="C364" i="3"/>
  <c r="J363" i="3"/>
  <c r="I363" i="3"/>
  <c r="F363" i="3"/>
  <c r="E363" i="3"/>
  <c r="C363" i="3"/>
  <c r="I362" i="3"/>
  <c r="J362" i="3" s="1"/>
  <c r="F362" i="3"/>
  <c r="E362" i="3"/>
  <c r="C362" i="3"/>
  <c r="I361" i="3"/>
  <c r="J361" i="3" s="1"/>
  <c r="F361" i="3"/>
  <c r="E361" i="3"/>
  <c r="C361" i="3"/>
  <c r="F360" i="3"/>
  <c r="E360" i="3"/>
  <c r="I360" i="3" s="1"/>
  <c r="J360" i="3" s="1"/>
  <c r="C360" i="3"/>
  <c r="C359" i="3"/>
  <c r="C358" i="3"/>
  <c r="F356" i="3"/>
  <c r="E356" i="3"/>
  <c r="I356" i="3" s="1"/>
  <c r="J356" i="3" s="1"/>
  <c r="C356" i="3"/>
  <c r="I355" i="3"/>
  <c r="J355" i="3" s="1"/>
  <c r="F355" i="3"/>
  <c r="E355" i="3"/>
  <c r="C355" i="3"/>
  <c r="F354" i="3"/>
  <c r="E354" i="3"/>
  <c r="I354" i="3" s="1"/>
  <c r="J354" i="3" s="1"/>
  <c r="C354" i="3"/>
  <c r="F353" i="3"/>
  <c r="E353" i="3"/>
  <c r="I353" i="3" s="1"/>
  <c r="J353" i="3" s="1"/>
  <c r="C353" i="3"/>
  <c r="C352" i="3"/>
  <c r="I350" i="3"/>
  <c r="J350" i="3" s="1"/>
  <c r="F350" i="3"/>
  <c r="E350" i="3"/>
  <c r="C350" i="3"/>
  <c r="I349" i="3"/>
  <c r="J349" i="3" s="1"/>
  <c r="F349" i="3"/>
  <c r="E349" i="3"/>
  <c r="C349" i="3"/>
  <c r="F348" i="3"/>
  <c r="E348" i="3"/>
  <c r="I348" i="3" s="1"/>
  <c r="J348" i="3" s="1"/>
  <c r="C348" i="3"/>
  <c r="F347" i="3"/>
  <c r="E347" i="3"/>
  <c r="I347" i="3" s="1"/>
  <c r="J347" i="3" s="1"/>
  <c r="C347" i="3"/>
  <c r="F346" i="3"/>
  <c r="E346" i="3"/>
  <c r="I346" i="3" s="1"/>
  <c r="J346" i="3" s="1"/>
  <c r="C346" i="3"/>
  <c r="J345" i="3"/>
  <c r="I345" i="3"/>
  <c r="F345" i="3"/>
  <c r="E345" i="3"/>
  <c r="C345" i="3"/>
  <c r="F344" i="3"/>
  <c r="E344" i="3"/>
  <c r="I344" i="3" s="1"/>
  <c r="J344" i="3" s="1"/>
  <c r="C344" i="3"/>
  <c r="F343" i="3"/>
  <c r="E343" i="3"/>
  <c r="I343" i="3" s="1"/>
  <c r="J343" i="3" s="1"/>
  <c r="C343" i="3"/>
  <c r="F342" i="3"/>
  <c r="E342" i="3"/>
  <c r="I342" i="3" s="1"/>
  <c r="J342" i="3" s="1"/>
  <c r="C342" i="3"/>
  <c r="I341" i="3"/>
  <c r="J341" i="3" s="1"/>
  <c r="F341" i="3"/>
  <c r="E341" i="3"/>
  <c r="C341" i="3"/>
  <c r="F340" i="3"/>
  <c r="E340" i="3"/>
  <c r="I340" i="3" s="1"/>
  <c r="J340" i="3" s="1"/>
  <c r="C340" i="3"/>
  <c r="J339" i="3"/>
  <c r="I339" i="3"/>
  <c r="F339" i="3"/>
  <c r="E339" i="3"/>
  <c r="C339" i="3"/>
  <c r="F338" i="3"/>
  <c r="E338" i="3"/>
  <c r="I338" i="3" s="1"/>
  <c r="J338" i="3" s="1"/>
  <c r="C338" i="3"/>
  <c r="J337" i="3"/>
  <c r="F337" i="3"/>
  <c r="E337" i="3"/>
  <c r="I337" i="3" s="1"/>
  <c r="C337" i="3"/>
  <c r="F336" i="3"/>
  <c r="E336" i="3"/>
  <c r="I336" i="3" s="1"/>
  <c r="J336" i="3" s="1"/>
  <c r="C336" i="3"/>
  <c r="I335" i="3"/>
  <c r="J335" i="3" s="1"/>
  <c r="F335" i="3"/>
  <c r="E335" i="3"/>
  <c r="C335" i="3"/>
  <c r="F334" i="3"/>
  <c r="E334" i="3"/>
  <c r="I334" i="3" s="1"/>
  <c r="J334" i="3" s="1"/>
  <c r="C334" i="3"/>
  <c r="F333" i="3"/>
  <c r="E333" i="3"/>
  <c r="I333" i="3" s="1"/>
  <c r="J333" i="3" s="1"/>
  <c r="C333" i="3"/>
  <c r="J332" i="3"/>
  <c r="F332" i="3"/>
  <c r="E332" i="3"/>
  <c r="I332" i="3" s="1"/>
  <c r="C332" i="3"/>
  <c r="F331" i="3"/>
  <c r="C331" i="3"/>
  <c r="F330" i="3"/>
  <c r="E330" i="3"/>
  <c r="I330" i="3" s="1"/>
  <c r="J330" i="3" s="1"/>
  <c r="C330" i="3"/>
  <c r="I329" i="3"/>
  <c r="J329" i="3" s="1"/>
  <c r="F329" i="3"/>
  <c r="E329" i="3"/>
  <c r="C329" i="3"/>
  <c r="I328" i="3"/>
  <c r="J328" i="3" s="1"/>
  <c r="F328" i="3"/>
  <c r="E328" i="3"/>
  <c r="C328" i="3"/>
  <c r="I327" i="3"/>
  <c r="J327" i="3" s="1"/>
  <c r="F327" i="3"/>
  <c r="E327" i="3"/>
  <c r="C327" i="3"/>
  <c r="F326" i="3"/>
  <c r="C326" i="3"/>
  <c r="C325" i="3"/>
  <c r="C324" i="3"/>
  <c r="D319" i="3"/>
  <c r="N318" i="3"/>
  <c r="F318" i="3"/>
  <c r="E318" i="3"/>
  <c r="I318" i="3" s="1"/>
  <c r="J318" i="3" s="1"/>
  <c r="D318" i="3"/>
  <c r="C318" i="3"/>
  <c r="N317" i="3"/>
  <c r="I317" i="3"/>
  <c r="J317" i="3" s="1"/>
  <c r="F317" i="3"/>
  <c r="E317" i="3"/>
  <c r="D317" i="3"/>
  <c r="C317" i="3"/>
  <c r="N316" i="3"/>
  <c r="I316" i="3"/>
  <c r="J316" i="3" s="1"/>
  <c r="F316" i="3"/>
  <c r="E316" i="3"/>
  <c r="D316" i="3"/>
  <c r="C316" i="3"/>
  <c r="N315" i="3"/>
  <c r="F315" i="3"/>
  <c r="E315" i="3"/>
  <c r="I315" i="3" s="1"/>
  <c r="J315" i="3" s="1"/>
  <c r="D315" i="3"/>
  <c r="C315" i="3"/>
  <c r="N314" i="3"/>
  <c r="F314" i="3"/>
  <c r="E314" i="3"/>
  <c r="I314" i="3" s="1"/>
  <c r="J314" i="3" s="1"/>
  <c r="D314" i="3"/>
  <c r="C314" i="3"/>
  <c r="N313" i="3"/>
  <c r="F313" i="3"/>
  <c r="E313" i="3"/>
  <c r="I313" i="3" s="1"/>
  <c r="J313" i="3" s="1"/>
  <c r="D313" i="3"/>
  <c r="C313" i="3"/>
  <c r="N312" i="3"/>
  <c r="I312" i="3"/>
  <c r="J312" i="3" s="1"/>
  <c r="F312" i="3"/>
  <c r="E312" i="3"/>
  <c r="D312" i="3"/>
  <c r="C312" i="3"/>
  <c r="C311" i="3"/>
  <c r="N309" i="3"/>
  <c r="F309" i="3"/>
  <c r="E309" i="3"/>
  <c r="I309" i="3" s="1"/>
  <c r="J309" i="3" s="1"/>
  <c r="D309" i="3"/>
  <c r="C309" i="3"/>
  <c r="C308" i="3"/>
  <c r="N306" i="3"/>
  <c r="J306" i="3"/>
  <c r="I306" i="3"/>
  <c r="F306" i="3"/>
  <c r="E306" i="3"/>
  <c r="D306" i="3"/>
  <c r="C306" i="3"/>
  <c r="N305" i="3"/>
  <c r="F305" i="3"/>
  <c r="E305" i="3"/>
  <c r="D305" i="3"/>
  <c r="C305" i="3"/>
  <c r="N304" i="3"/>
  <c r="F304" i="3"/>
  <c r="E304" i="3"/>
  <c r="I304" i="3" s="1"/>
  <c r="J304" i="3" s="1"/>
  <c r="D304" i="3"/>
  <c r="C304" i="3"/>
  <c r="N303" i="3"/>
  <c r="J303" i="3"/>
  <c r="F303" i="3"/>
  <c r="D303" i="3"/>
  <c r="C303" i="3"/>
  <c r="N302" i="3"/>
  <c r="F302" i="3"/>
  <c r="E302" i="3"/>
  <c r="D302" i="3"/>
  <c r="C302" i="3"/>
  <c r="N301" i="3"/>
  <c r="F301" i="3"/>
  <c r="E301" i="3"/>
  <c r="I301" i="3" s="1"/>
  <c r="J301" i="3" s="1"/>
  <c r="D301" i="3"/>
  <c r="C301" i="3"/>
  <c r="C300" i="3"/>
  <c r="C299" i="3"/>
  <c r="N297" i="3"/>
  <c r="I297" i="3"/>
  <c r="J297" i="3" s="1"/>
  <c r="F297" i="3"/>
  <c r="E297" i="3"/>
  <c r="C297" i="3"/>
  <c r="C296" i="3"/>
  <c r="N294" i="3"/>
  <c r="I294" i="3"/>
  <c r="J294" i="3" s="1"/>
  <c r="F294" i="3"/>
  <c r="C294" i="3"/>
  <c r="C293" i="3"/>
  <c r="C292" i="3"/>
  <c r="D287" i="3"/>
  <c r="J286" i="3"/>
  <c r="I286" i="3"/>
  <c r="F286" i="3"/>
  <c r="E286" i="3"/>
  <c r="C286" i="3"/>
  <c r="I285" i="3"/>
  <c r="J285" i="3" s="1"/>
  <c r="F285" i="3"/>
  <c r="E285" i="3"/>
  <c r="C285" i="3"/>
  <c r="F284" i="3"/>
  <c r="E284" i="3"/>
  <c r="I284" i="3" s="1"/>
  <c r="J284" i="3" s="1"/>
  <c r="C284" i="3"/>
  <c r="F283" i="3"/>
  <c r="E283" i="3"/>
  <c r="I283" i="3" s="1"/>
  <c r="J283" i="3" s="1"/>
  <c r="C283" i="3"/>
  <c r="F282" i="3"/>
  <c r="E282" i="3"/>
  <c r="I282" i="3" s="1"/>
  <c r="J282" i="3" s="1"/>
  <c r="C282" i="3"/>
  <c r="I281" i="3"/>
  <c r="J281" i="3" s="1"/>
  <c r="F281" i="3"/>
  <c r="E281" i="3"/>
  <c r="C281" i="3"/>
  <c r="F280" i="3"/>
  <c r="E280" i="3"/>
  <c r="I280" i="3" s="1"/>
  <c r="J280" i="3" s="1"/>
  <c r="C280" i="3"/>
  <c r="C279" i="3"/>
  <c r="D274" i="3"/>
  <c r="F273" i="3"/>
  <c r="D273" i="3"/>
  <c r="C273" i="3"/>
  <c r="C272" i="3"/>
  <c r="F270" i="3"/>
  <c r="E270" i="3"/>
  <c r="I270" i="3" s="1"/>
  <c r="J270" i="3" s="1"/>
  <c r="D270" i="3"/>
  <c r="C270" i="3"/>
  <c r="F269" i="3"/>
  <c r="E269" i="3"/>
  <c r="I269" i="3" s="1"/>
  <c r="J269" i="3" s="1"/>
  <c r="D269" i="3"/>
  <c r="C269" i="3"/>
  <c r="G268" i="3"/>
  <c r="F268" i="3"/>
  <c r="E268" i="3"/>
  <c r="I268" i="3" s="1"/>
  <c r="J268" i="3" s="1"/>
  <c r="D268" i="3"/>
  <c r="C268" i="3"/>
  <c r="C267" i="3"/>
  <c r="G265" i="3"/>
  <c r="F265" i="3"/>
  <c r="E265" i="3"/>
  <c r="I265" i="3" s="1"/>
  <c r="J265" i="3" s="1"/>
  <c r="D265" i="3"/>
  <c r="C265" i="3"/>
  <c r="F264" i="3"/>
  <c r="E264" i="3"/>
  <c r="I264" i="3" s="1"/>
  <c r="J264" i="3" s="1"/>
  <c r="D264" i="3"/>
  <c r="C264" i="3"/>
  <c r="C263" i="3"/>
  <c r="F261" i="3"/>
  <c r="D261" i="3"/>
  <c r="C261" i="3"/>
  <c r="I260" i="3"/>
  <c r="J260" i="3" s="1"/>
  <c r="F260" i="3"/>
  <c r="E260" i="3"/>
  <c r="D260" i="3"/>
  <c r="C260" i="3"/>
  <c r="G259" i="3"/>
  <c r="F259" i="3"/>
  <c r="E259" i="3"/>
  <c r="I259" i="3" s="1"/>
  <c r="J259" i="3" s="1"/>
  <c r="D259" i="3"/>
  <c r="C259" i="3"/>
  <c r="F258" i="3"/>
  <c r="E258" i="3"/>
  <c r="I258" i="3" s="1"/>
  <c r="J258" i="3" s="1"/>
  <c r="D258" i="3"/>
  <c r="C258" i="3"/>
  <c r="J257" i="3"/>
  <c r="F257" i="3"/>
  <c r="E257" i="3"/>
  <c r="I257" i="3" s="1"/>
  <c r="D257" i="3"/>
  <c r="C257" i="3"/>
  <c r="F256" i="3"/>
  <c r="E256" i="3"/>
  <c r="I256" i="3" s="1"/>
  <c r="J256" i="3" s="1"/>
  <c r="D256" i="3"/>
  <c r="C256" i="3"/>
  <c r="C255" i="3"/>
  <c r="F253" i="3"/>
  <c r="D253" i="3"/>
  <c r="C253" i="3"/>
  <c r="F252" i="3"/>
  <c r="D252" i="3"/>
  <c r="C252" i="3"/>
  <c r="C251" i="3"/>
  <c r="C250" i="3"/>
  <c r="I248" i="3"/>
  <c r="J248" i="3" s="1"/>
  <c r="G248" i="3"/>
  <c r="F248" i="3"/>
  <c r="E248" i="3"/>
  <c r="D248" i="3"/>
  <c r="C248" i="3"/>
  <c r="F247" i="3"/>
  <c r="D247" i="3"/>
  <c r="C247" i="3"/>
  <c r="C246" i="3"/>
  <c r="C245" i="3"/>
  <c r="D240" i="3"/>
  <c r="F239" i="3"/>
  <c r="D239" i="3"/>
  <c r="F238" i="3"/>
  <c r="E238" i="3"/>
  <c r="I238" i="3" s="1"/>
  <c r="J238" i="3" s="1"/>
  <c r="D238" i="3"/>
  <c r="D237" i="3"/>
  <c r="F236" i="3"/>
  <c r="D236" i="3"/>
  <c r="F235" i="3"/>
  <c r="D235" i="3"/>
  <c r="C235" i="3"/>
  <c r="I234" i="3"/>
  <c r="J234" i="3" s="1"/>
  <c r="F234" i="3"/>
  <c r="E234" i="3"/>
  <c r="D234" i="3"/>
  <c r="C234" i="3"/>
  <c r="J233" i="3"/>
  <c r="I233" i="3"/>
  <c r="G233" i="3"/>
  <c r="F233" i="3"/>
  <c r="E233" i="3"/>
  <c r="D233" i="3"/>
  <c r="C233" i="3"/>
  <c r="F232" i="3"/>
  <c r="D232" i="3"/>
  <c r="C232" i="3"/>
  <c r="J231" i="3"/>
  <c r="I231" i="3"/>
  <c r="G231" i="3"/>
  <c r="F231" i="3"/>
  <c r="E231" i="3"/>
  <c r="D231" i="3"/>
  <c r="C231" i="3"/>
  <c r="I230" i="3"/>
  <c r="J230" i="3" s="1"/>
  <c r="G230" i="3"/>
  <c r="F230" i="3"/>
  <c r="D230" i="3"/>
  <c r="C230" i="3"/>
  <c r="D229" i="3"/>
  <c r="C229" i="3"/>
  <c r="F228" i="3"/>
  <c r="D228" i="3"/>
  <c r="C228" i="3"/>
  <c r="F227" i="3"/>
  <c r="D227" i="3"/>
  <c r="C227" i="3"/>
  <c r="G226" i="3"/>
  <c r="F226" i="3"/>
  <c r="E226" i="3"/>
  <c r="I226" i="3" s="1"/>
  <c r="J226" i="3" s="1"/>
  <c r="D226" i="3"/>
  <c r="C226" i="3"/>
  <c r="C225" i="3"/>
  <c r="D220" i="3"/>
  <c r="I219" i="3"/>
  <c r="J219" i="3" s="1"/>
  <c r="G219" i="3"/>
  <c r="F219" i="3"/>
  <c r="E219" i="3"/>
  <c r="D219" i="3"/>
  <c r="F218" i="3"/>
  <c r="E218" i="3"/>
  <c r="I218" i="3" s="1"/>
  <c r="J218" i="3" s="1"/>
  <c r="D218" i="3"/>
  <c r="J217" i="3"/>
  <c r="I217" i="3"/>
  <c r="G217" i="3"/>
  <c r="F217" i="3"/>
  <c r="E217" i="3"/>
  <c r="D217" i="3"/>
  <c r="C217" i="3"/>
  <c r="I216" i="3"/>
  <c r="J216" i="3" s="1"/>
  <c r="F216" i="3"/>
  <c r="E216" i="3"/>
  <c r="D216" i="3"/>
  <c r="C216" i="3"/>
  <c r="G215" i="3"/>
  <c r="F215" i="3"/>
  <c r="E215" i="3"/>
  <c r="I215" i="3" s="1"/>
  <c r="J215" i="3" s="1"/>
  <c r="D215" i="3"/>
  <c r="C215" i="3"/>
  <c r="J214" i="3"/>
  <c r="I214" i="3"/>
  <c r="G214" i="3"/>
  <c r="F214" i="3"/>
  <c r="E214" i="3"/>
  <c r="D214" i="3"/>
  <c r="C214" i="3"/>
  <c r="J213" i="3"/>
  <c r="F213" i="3"/>
  <c r="E213" i="3"/>
  <c r="I213" i="3" s="1"/>
  <c r="D213" i="3"/>
  <c r="C213" i="3"/>
  <c r="F210" i="3"/>
  <c r="E210" i="3"/>
  <c r="I210" i="3" s="1"/>
  <c r="J210" i="3" s="1"/>
  <c r="D210" i="3"/>
  <c r="C210" i="3"/>
  <c r="I209" i="3"/>
  <c r="J209" i="3" s="1"/>
  <c r="G209" i="3"/>
  <c r="F209" i="3"/>
  <c r="E209" i="3"/>
  <c r="D209" i="3"/>
  <c r="C209" i="3"/>
  <c r="G208" i="3"/>
  <c r="E17" i="2" s="1"/>
  <c r="F208" i="3"/>
  <c r="E208" i="3"/>
  <c r="I208" i="3" s="1"/>
  <c r="J208" i="3" s="1"/>
  <c r="D208" i="3"/>
  <c r="C208" i="3"/>
  <c r="G207" i="3"/>
  <c r="F207" i="3"/>
  <c r="E207" i="3"/>
  <c r="I207" i="3" s="1"/>
  <c r="D207" i="3"/>
  <c r="C207" i="3"/>
  <c r="D201" i="3"/>
  <c r="F200" i="3"/>
  <c r="C200" i="3"/>
  <c r="F199" i="3"/>
  <c r="C199" i="3"/>
  <c r="F198" i="3"/>
  <c r="C198" i="3"/>
  <c r="F197" i="3"/>
  <c r="C197" i="3"/>
  <c r="F196" i="3"/>
  <c r="C196" i="3"/>
  <c r="C195" i="3"/>
  <c r="F193" i="3"/>
  <c r="C193" i="3"/>
  <c r="F192" i="3"/>
  <c r="F191" i="3"/>
  <c r="C190" i="3"/>
  <c r="J188" i="3"/>
  <c r="F188" i="3"/>
  <c r="E188" i="3"/>
  <c r="I188" i="3" s="1"/>
  <c r="C188" i="3"/>
  <c r="F187" i="3"/>
  <c r="F186" i="3"/>
  <c r="C185" i="3"/>
  <c r="D180" i="3"/>
  <c r="F179" i="3"/>
  <c r="C179" i="3"/>
  <c r="F178" i="3"/>
  <c r="C178" i="3"/>
  <c r="F177" i="3"/>
  <c r="C177" i="3"/>
  <c r="I174" i="3"/>
  <c r="J174" i="3" s="1"/>
  <c r="F174" i="3"/>
  <c r="E174" i="3"/>
  <c r="C174" i="3"/>
  <c r="F173" i="3"/>
  <c r="C173" i="3"/>
  <c r="F172" i="3"/>
  <c r="C172" i="3"/>
  <c r="C171" i="3"/>
  <c r="F169" i="3"/>
  <c r="C169" i="3"/>
  <c r="F168" i="3"/>
  <c r="C168" i="3"/>
  <c r="F167" i="3"/>
  <c r="C167" i="3"/>
  <c r="C166" i="3"/>
  <c r="F164" i="3"/>
  <c r="C164" i="3"/>
  <c r="F163" i="3"/>
  <c r="C163" i="3"/>
  <c r="C162" i="3"/>
  <c r="J160" i="3"/>
  <c r="F160" i="3"/>
  <c r="E160" i="3"/>
  <c r="I160" i="3" s="1"/>
  <c r="C160" i="3"/>
  <c r="F159" i="3"/>
  <c r="C159" i="3"/>
  <c r="F158" i="3"/>
  <c r="C158" i="3"/>
  <c r="F157" i="3"/>
  <c r="C157" i="3"/>
  <c r="C156" i="3"/>
  <c r="F154" i="3"/>
  <c r="C154" i="3"/>
  <c r="F153" i="3"/>
  <c r="C153" i="3"/>
  <c r="F152" i="3"/>
  <c r="C152" i="3"/>
  <c r="C151" i="3"/>
  <c r="F149" i="3"/>
  <c r="C149" i="3"/>
  <c r="F148" i="3"/>
  <c r="C148" i="3"/>
  <c r="F147" i="3"/>
  <c r="C147" i="3"/>
  <c r="C146" i="3"/>
  <c r="F144" i="3"/>
  <c r="C144" i="3"/>
  <c r="F143" i="3"/>
  <c r="C143" i="3"/>
  <c r="F142" i="3"/>
  <c r="C142" i="3"/>
  <c r="C141" i="3"/>
  <c r="F139" i="3"/>
  <c r="C139" i="3"/>
  <c r="F138" i="3"/>
  <c r="C138" i="3"/>
  <c r="F137" i="3"/>
  <c r="C137" i="3"/>
  <c r="C136" i="3"/>
  <c r="F134" i="3"/>
  <c r="C134" i="3"/>
  <c r="F133" i="3"/>
  <c r="C133" i="3"/>
  <c r="C132" i="3"/>
  <c r="F130" i="3"/>
  <c r="C130" i="3"/>
  <c r="F129" i="3"/>
  <c r="C129" i="3"/>
  <c r="F128" i="3"/>
  <c r="C128" i="3"/>
  <c r="C127" i="3"/>
  <c r="F125" i="3"/>
  <c r="C125" i="3"/>
  <c r="F124" i="3"/>
  <c r="C124" i="3"/>
  <c r="C123" i="3"/>
  <c r="F121" i="3"/>
  <c r="C121" i="3"/>
  <c r="F120" i="3"/>
  <c r="C120" i="3"/>
  <c r="F119" i="3"/>
  <c r="C119" i="3"/>
  <c r="C118" i="3"/>
  <c r="F116" i="3"/>
  <c r="C116" i="3"/>
  <c r="F115" i="3"/>
  <c r="C115" i="3"/>
  <c r="F114" i="3"/>
  <c r="C114" i="3"/>
  <c r="J113" i="3"/>
  <c r="C113" i="3"/>
  <c r="C112" i="3"/>
  <c r="D107" i="3"/>
  <c r="F106" i="3"/>
  <c r="E106" i="3"/>
  <c r="I106" i="3" s="1"/>
  <c r="J106" i="3" s="1"/>
  <c r="C106" i="3"/>
  <c r="C105" i="3"/>
  <c r="F104" i="3"/>
  <c r="E104" i="3"/>
  <c r="I104" i="3" s="1"/>
  <c r="C104" i="3"/>
  <c r="C103" i="3"/>
  <c r="C102" i="3"/>
  <c r="D97" i="3"/>
  <c r="F95" i="3"/>
  <c r="E95" i="3"/>
  <c r="I95" i="3" s="1"/>
  <c r="D95" i="3"/>
  <c r="C95" i="3"/>
  <c r="C94" i="3"/>
  <c r="D89" i="3"/>
  <c r="E88" i="3"/>
  <c r="I88" i="3" s="1"/>
  <c r="J88" i="3" s="1"/>
  <c r="D88" i="3"/>
  <c r="C88" i="3"/>
  <c r="J87" i="3"/>
  <c r="I87" i="3"/>
  <c r="E87" i="3"/>
  <c r="D87" i="3"/>
  <c r="C87" i="3"/>
  <c r="C86" i="3"/>
  <c r="D85" i="3"/>
  <c r="E84" i="3"/>
  <c r="I84" i="3" s="1"/>
  <c r="J84" i="3" s="1"/>
  <c r="D84" i="3"/>
  <c r="C84" i="3"/>
  <c r="E83" i="3"/>
  <c r="D83" i="3"/>
  <c r="C83" i="3"/>
  <c r="E82" i="3"/>
  <c r="I82" i="3" s="1"/>
  <c r="J82" i="3" s="1"/>
  <c r="D82" i="3"/>
  <c r="C82" i="3"/>
  <c r="J80" i="3"/>
  <c r="I80" i="3"/>
  <c r="E80" i="3"/>
  <c r="D80" i="3"/>
  <c r="C80" i="3"/>
  <c r="C78" i="3"/>
  <c r="E76" i="3"/>
  <c r="I76" i="3" s="1"/>
  <c r="J76" i="3" s="1"/>
  <c r="D76" i="3"/>
  <c r="C76" i="3"/>
  <c r="E75" i="3"/>
  <c r="I75" i="3" s="1"/>
  <c r="J75" i="3" s="1"/>
  <c r="D75" i="3"/>
  <c r="C75" i="3"/>
  <c r="E74" i="3"/>
  <c r="I74" i="3" s="1"/>
  <c r="J74" i="3" s="1"/>
  <c r="D74" i="3"/>
  <c r="C74" i="3"/>
  <c r="J73" i="3"/>
  <c r="I73" i="3"/>
  <c r="E73" i="3"/>
  <c r="D73" i="3"/>
  <c r="C73" i="3"/>
  <c r="E72" i="3"/>
  <c r="I72" i="3" s="1"/>
  <c r="J72" i="3" s="1"/>
  <c r="D72" i="3"/>
  <c r="C72" i="3"/>
  <c r="E71" i="3"/>
  <c r="I71" i="3" s="1"/>
  <c r="D71" i="3"/>
  <c r="C71" i="3"/>
  <c r="E70" i="3"/>
  <c r="I70" i="3" s="1"/>
  <c r="J70" i="3" s="1"/>
  <c r="D70" i="3"/>
  <c r="C70" i="3"/>
  <c r="I69" i="3"/>
  <c r="J69" i="3" s="1"/>
  <c r="E69" i="3"/>
  <c r="D69" i="3"/>
  <c r="C69" i="3"/>
  <c r="C68" i="3"/>
  <c r="D63" i="3"/>
  <c r="I62" i="3"/>
  <c r="J62" i="3" s="1"/>
  <c r="I61" i="3"/>
  <c r="J61" i="3" s="1"/>
  <c r="J60" i="3"/>
  <c r="I60" i="3"/>
  <c r="I59" i="3"/>
  <c r="J59" i="3" s="1"/>
  <c r="I58" i="3"/>
  <c r="J58" i="3" s="1"/>
  <c r="I57" i="3"/>
  <c r="J57" i="3" s="1"/>
  <c r="J56" i="3"/>
  <c r="I56" i="3"/>
  <c r="I55" i="3"/>
  <c r="J55" i="3" s="1"/>
  <c r="I54" i="3"/>
  <c r="J54" i="3" s="1"/>
  <c r="I53" i="3"/>
  <c r="J53" i="3" s="1"/>
  <c r="I52" i="3"/>
  <c r="J52" i="3" s="1"/>
  <c r="I51" i="3"/>
  <c r="J51" i="3" s="1"/>
  <c r="J50" i="3"/>
  <c r="I50" i="3"/>
  <c r="I49" i="3"/>
  <c r="J49" i="3" s="1"/>
  <c r="I48" i="3"/>
  <c r="J48" i="3" s="1"/>
  <c r="J47" i="3"/>
  <c r="I47" i="3"/>
  <c r="J46" i="3"/>
  <c r="I46" i="3"/>
  <c r="J45" i="3"/>
  <c r="I45" i="3"/>
  <c r="I44" i="3"/>
  <c r="J44" i="3" s="1"/>
  <c r="I43" i="3"/>
  <c r="J43" i="3" s="1"/>
  <c r="I42" i="3"/>
  <c r="J42" i="3" s="1"/>
  <c r="I39" i="3"/>
  <c r="J39" i="3" s="1"/>
  <c r="I38" i="3"/>
  <c r="J38" i="3" s="1"/>
  <c r="J37" i="3"/>
  <c r="I37" i="3"/>
  <c r="I36" i="3"/>
  <c r="J36" i="3" s="1"/>
  <c r="I33" i="3"/>
  <c r="J33" i="3" s="1"/>
  <c r="I32" i="3"/>
  <c r="J32" i="3" s="1"/>
  <c r="J31" i="3"/>
  <c r="I31" i="3"/>
  <c r="I30" i="3"/>
  <c r="J30" i="3" s="1"/>
  <c r="I29" i="3"/>
  <c r="J29" i="3" s="1"/>
  <c r="I28" i="3"/>
  <c r="J28" i="3" s="1"/>
  <c r="I27" i="3"/>
  <c r="J27" i="3" s="1"/>
  <c r="I26" i="3"/>
  <c r="J26" i="3" s="1"/>
  <c r="J25" i="3"/>
  <c r="I25" i="3"/>
  <c r="I24" i="3"/>
  <c r="J24" i="3" s="1"/>
  <c r="I23" i="3"/>
  <c r="J23" i="3" s="1"/>
  <c r="I22" i="3"/>
  <c r="J22" i="3" s="1"/>
  <c r="J19" i="3"/>
  <c r="I19" i="3"/>
  <c r="J18" i="3"/>
  <c r="I18" i="3"/>
  <c r="I17" i="3"/>
  <c r="J17" i="3" s="1"/>
  <c r="I16" i="3"/>
  <c r="C5" i="3"/>
  <c r="C4" i="3"/>
  <c r="C3" i="3"/>
  <c r="E24" i="2"/>
  <c r="D24" i="2"/>
  <c r="D23" i="2"/>
  <c r="E22" i="2"/>
  <c r="D22" i="2"/>
  <c r="E21" i="2"/>
  <c r="D21" i="2"/>
  <c r="E20" i="2"/>
  <c r="D20" i="2"/>
  <c r="D19" i="2"/>
  <c r="D18" i="2"/>
  <c r="D17" i="2"/>
  <c r="D16" i="2"/>
  <c r="D15" i="2"/>
  <c r="E14" i="2"/>
  <c r="D14" i="2"/>
  <c r="E13" i="2"/>
  <c r="D13" i="2"/>
  <c r="E12" i="2"/>
  <c r="D12" i="2"/>
  <c r="E11" i="2"/>
  <c r="D11" i="2"/>
  <c r="C5" i="2"/>
  <c r="C4" i="2"/>
  <c r="B24" i="1"/>
  <c r="B23" i="1"/>
  <c r="B21" i="1"/>
  <c r="B20" i="1"/>
  <c r="G94" i="5" l="1"/>
  <c r="E94" i="5"/>
  <c r="C112" i="5"/>
  <c r="M111" i="5"/>
  <c r="G147" i="3" s="1"/>
  <c r="G111" i="5"/>
  <c r="E111" i="5"/>
  <c r="I414" i="3"/>
  <c r="J414" i="3" s="1"/>
  <c r="G414" i="3"/>
  <c r="J71" i="3"/>
  <c r="J89" i="3" s="1"/>
  <c r="I89" i="3"/>
  <c r="J40" i="5"/>
  <c r="C66" i="5" s="1"/>
  <c r="J287" i="3"/>
  <c r="C89" i="5"/>
  <c r="M88" i="5"/>
  <c r="G124" i="3" s="1"/>
  <c r="G88" i="5"/>
  <c r="E88" i="5"/>
  <c r="K98" i="11"/>
  <c r="G261" i="3" s="1"/>
  <c r="G387" i="3"/>
  <c r="G416" i="3"/>
  <c r="I464" i="3"/>
  <c r="J459" i="3"/>
  <c r="J464" i="3" s="1"/>
  <c r="E80" i="5"/>
  <c r="G80" i="5"/>
  <c r="C84" i="5"/>
  <c r="M83" i="5"/>
  <c r="G119" i="3" s="1"/>
  <c r="G83" i="5"/>
  <c r="E83" i="5"/>
  <c r="K89" i="11"/>
  <c r="G252" i="3" s="1"/>
  <c r="I97" i="3"/>
  <c r="J95" i="3"/>
  <c r="J97" i="3" s="1"/>
  <c r="C132" i="5"/>
  <c r="M131" i="5"/>
  <c r="G167" i="3" s="1"/>
  <c r="E131" i="5"/>
  <c r="D90" i="11"/>
  <c r="F90" i="11" s="1"/>
  <c r="K69" i="11"/>
  <c r="G228" i="3" s="1"/>
  <c r="E228" i="3"/>
  <c r="I228" i="3" s="1"/>
  <c r="J228" i="3" s="1"/>
  <c r="G425" i="3"/>
  <c r="C93" i="5"/>
  <c r="G92" i="5"/>
  <c r="E92" i="5"/>
  <c r="I429" i="3"/>
  <c r="J429" i="3" s="1"/>
  <c r="G429" i="3"/>
  <c r="I444" i="3"/>
  <c r="J444" i="3" s="1"/>
  <c r="G444" i="3"/>
  <c r="I426" i="3"/>
  <c r="J426" i="3" s="1"/>
  <c r="G426" i="3"/>
  <c r="I409" i="3"/>
  <c r="J409" i="3" s="1"/>
  <c r="I433" i="3"/>
  <c r="J433" i="3" s="1"/>
  <c r="G433" i="3"/>
  <c r="I319" i="3"/>
  <c r="I380" i="3"/>
  <c r="G380" i="3"/>
  <c r="I447" i="3"/>
  <c r="J447" i="3" s="1"/>
  <c r="G447" i="3"/>
  <c r="J104" i="3"/>
  <c r="J107" i="3" s="1"/>
  <c r="I107" i="3"/>
  <c r="J207" i="3"/>
  <c r="J220" i="3" s="1"/>
  <c r="I220" i="3"/>
  <c r="G422" i="3"/>
  <c r="G431" i="3"/>
  <c r="I113" i="5"/>
  <c r="E149" i="3"/>
  <c r="I149" i="3" s="1"/>
  <c r="J149" i="3" s="1"/>
  <c r="I141" i="5"/>
  <c r="E177" i="3"/>
  <c r="I177" i="3" s="1"/>
  <c r="J177" i="3" s="1"/>
  <c r="E273" i="3"/>
  <c r="I273" i="3" s="1"/>
  <c r="J273" i="3" s="1"/>
  <c r="I305" i="3"/>
  <c r="J305" i="3" s="1"/>
  <c r="G405" i="3"/>
  <c r="I397" i="3"/>
  <c r="J397" i="3" s="1"/>
  <c r="G397" i="3"/>
  <c r="I445" i="3"/>
  <c r="J445" i="3" s="1"/>
  <c r="G445" i="3"/>
  <c r="I410" i="3"/>
  <c r="J410" i="3" s="1"/>
  <c r="J38" i="5"/>
  <c r="C65" i="5" s="1"/>
  <c r="I421" i="3"/>
  <c r="J421" i="3" s="1"/>
  <c r="G421" i="3"/>
  <c r="J326" i="3"/>
  <c r="J374" i="3" s="1"/>
  <c r="I374" i="3"/>
  <c r="F49" i="5"/>
  <c r="E142" i="5"/>
  <c r="G131" i="5"/>
  <c r="K68" i="11"/>
  <c r="G227" i="3" s="1"/>
  <c r="E227" i="3"/>
  <c r="I227" i="3" s="1"/>
  <c r="C128" i="5"/>
  <c r="M127" i="5"/>
  <c r="G163" i="3" s="1"/>
  <c r="G127" i="5"/>
  <c r="E127" i="5"/>
  <c r="I400" i="3"/>
  <c r="J400" i="3" s="1"/>
  <c r="G400" i="3"/>
  <c r="I287" i="3"/>
  <c r="I423" i="3"/>
  <c r="J423" i="3" s="1"/>
  <c r="G423" i="3"/>
  <c r="C122" i="5"/>
  <c r="M121" i="5"/>
  <c r="G157" i="3" s="1"/>
  <c r="G121" i="5"/>
  <c r="E121" i="5"/>
  <c r="M92" i="5"/>
  <c r="G128" i="3" s="1"/>
  <c r="E103" i="5"/>
  <c r="I386" i="3"/>
  <c r="J386" i="3" s="1"/>
  <c r="G386" i="3"/>
  <c r="G391" i="3"/>
  <c r="I391" i="3"/>
  <c r="J391" i="3" s="1"/>
  <c r="I302" i="3"/>
  <c r="J302" i="3" s="1"/>
  <c r="J319" i="3" s="1"/>
  <c r="G432" i="3"/>
  <c r="I385" i="3"/>
  <c r="J385" i="3" s="1"/>
  <c r="G385" i="3"/>
  <c r="I424" i="3"/>
  <c r="J424" i="3" s="1"/>
  <c r="G424" i="3"/>
  <c r="I388" i="3"/>
  <c r="J388" i="3" s="1"/>
  <c r="G388" i="3"/>
  <c r="C107" i="5"/>
  <c r="M106" i="5"/>
  <c r="G142" i="3" s="1"/>
  <c r="G106" i="5"/>
  <c r="E106" i="5"/>
  <c r="C117" i="5"/>
  <c r="M116" i="5"/>
  <c r="G152" i="3" s="1"/>
  <c r="E116" i="5"/>
  <c r="AB22" i="5"/>
  <c r="C118" i="5" s="1"/>
  <c r="G116" i="5"/>
  <c r="C137" i="5"/>
  <c r="G136" i="5"/>
  <c r="K70" i="11"/>
  <c r="G229" i="3" s="1"/>
  <c r="K78" i="11"/>
  <c r="G237" i="3" s="1"/>
  <c r="Q22" i="5"/>
  <c r="B61" i="5"/>
  <c r="C187" i="3" s="1"/>
  <c r="Q23" i="5"/>
  <c r="F53" i="5"/>
  <c r="C70" i="5"/>
  <c r="E136" i="5"/>
  <c r="P23" i="5"/>
  <c r="C61" i="5" s="1"/>
  <c r="K79" i="11"/>
  <c r="G238" i="3" s="1"/>
  <c r="K94" i="11"/>
  <c r="G257" i="3" s="1"/>
  <c r="M136" i="5"/>
  <c r="G172" i="3" s="1"/>
  <c r="G452" i="3"/>
  <c r="C79" i="5"/>
  <c r="M78" i="5"/>
  <c r="G114" i="3" s="1"/>
  <c r="E78" i="5"/>
  <c r="E134" i="3"/>
  <c r="I134" i="3" s="1"/>
  <c r="J134" i="3" s="1"/>
  <c r="I98" i="5"/>
  <c r="G383" i="3"/>
  <c r="G439" i="3"/>
  <c r="G442" i="3"/>
  <c r="G98" i="5"/>
  <c r="K73" i="11"/>
  <c r="G232" i="3" s="1"/>
  <c r="I427" i="3"/>
  <c r="J427" i="3" s="1"/>
  <c r="K95" i="11"/>
  <c r="G258" i="3" s="1"/>
  <c r="G138" i="5"/>
  <c r="E133" i="3"/>
  <c r="I133" i="3" s="1"/>
  <c r="J133" i="3" s="1"/>
  <c r="I408" i="3"/>
  <c r="J408" i="3" s="1"/>
  <c r="G415" i="3"/>
  <c r="H15" i="14"/>
  <c r="E197" i="3"/>
  <c r="I197" i="3" s="1"/>
  <c r="J197" i="3" s="1"/>
  <c r="G71" i="5"/>
  <c r="K84" i="11"/>
  <c r="G418" i="3"/>
  <c r="C102" i="5"/>
  <c r="M101" i="5"/>
  <c r="G137" i="3" s="1"/>
  <c r="G101" i="5"/>
  <c r="E101" i="5"/>
  <c r="M138" i="5"/>
  <c r="G174" i="3" s="1"/>
  <c r="I63" i="3"/>
  <c r="J16" i="3"/>
  <c r="J63" i="3" s="1"/>
  <c r="D84" i="11"/>
  <c r="F84" i="11" s="1"/>
  <c r="E247" i="3" s="1"/>
  <c r="I247" i="3" s="1"/>
  <c r="B60" i="5"/>
  <c r="C186" i="3" s="1"/>
  <c r="F48" i="5"/>
  <c r="F76" i="11"/>
  <c r="E143" i="5"/>
  <c r="D77" i="11"/>
  <c r="H14" i="14"/>
  <c r="J320" i="3" l="1"/>
  <c r="J321" i="3" s="1"/>
  <c r="F21" i="2" s="1"/>
  <c r="J90" i="3"/>
  <c r="J91" i="3" s="1"/>
  <c r="F12" i="2" s="1"/>
  <c r="G247" i="3"/>
  <c r="J221" i="3"/>
  <c r="J222" i="3" s="1"/>
  <c r="F17" i="2" s="1"/>
  <c r="J108" i="3"/>
  <c r="J109" i="3" s="1"/>
  <c r="F14" i="2" s="1"/>
  <c r="G107" i="5"/>
  <c r="E107" i="5"/>
  <c r="C108" i="5"/>
  <c r="E23" i="2"/>
  <c r="J288" i="3"/>
  <c r="J289" i="3"/>
  <c r="F20" i="2" s="1"/>
  <c r="E15" i="2"/>
  <c r="G93" i="5"/>
  <c r="E93" i="5"/>
  <c r="G117" i="5"/>
  <c r="E117" i="5"/>
  <c r="J375" i="3"/>
  <c r="J376" i="3" s="1"/>
  <c r="F22" i="2" s="1"/>
  <c r="I106" i="5"/>
  <c r="E142" i="3"/>
  <c r="I142" i="3" s="1"/>
  <c r="J142" i="3" s="1"/>
  <c r="E172" i="3"/>
  <c r="I172" i="3" s="1"/>
  <c r="J172" i="3" s="1"/>
  <c r="I136" i="5"/>
  <c r="G79" i="5"/>
  <c r="E79" i="5"/>
  <c r="I88" i="5"/>
  <c r="E124" i="3"/>
  <c r="I124" i="3" s="1"/>
  <c r="J124" i="3" s="1"/>
  <c r="G122" i="5"/>
  <c r="E122" i="5"/>
  <c r="C123" i="5"/>
  <c r="F77" i="11"/>
  <c r="D80" i="11"/>
  <c r="F80" i="11" s="1"/>
  <c r="I453" i="3"/>
  <c r="J380" i="3"/>
  <c r="J453" i="3" s="1"/>
  <c r="I143" i="5"/>
  <c r="E179" i="3"/>
  <c r="I179" i="3" s="1"/>
  <c r="J179" i="3" s="1"/>
  <c r="C67" i="5"/>
  <c r="M65" i="5"/>
  <c r="G191" i="3" s="1"/>
  <c r="G65" i="5"/>
  <c r="E191" i="3"/>
  <c r="I191" i="3" s="1"/>
  <c r="J191" i="3" s="1"/>
  <c r="I127" i="5"/>
  <c r="E163" i="3"/>
  <c r="I163" i="3" s="1"/>
  <c r="J163" i="3" s="1"/>
  <c r="E119" i="3"/>
  <c r="I119" i="3" s="1"/>
  <c r="J119" i="3" s="1"/>
  <c r="I83" i="5"/>
  <c r="M66" i="5"/>
  <c r="G192" i="3" s="1"/>
  <c r="G66" i="5"/>
  <c r="E192" i="3"/>
  <c r="I192" i="3" s="1"/>
  <c r="J192" i="3" s="1"/>
  <c r="E70" i="5"/>
  <c r="I70" i="5" s="1"/>
  <c r="G70" i="5"/>
  <c r="E196" i="3"/>
  <c r="I196" i="3" s="1"/>
  <c r="J196" i="3" s="1"/>
  <c r="K76" i="11"/>
  <c r="G235" i="3" s="1"/>
  <c r="E235" i="3"/>
  <c r="I235" i="3" s="1"/>
  <c r="J235" i="3" s="1"/>
  <c r="I111" i="5"/>
  <c r="E147" i="3"/>
  <c r="I147" i="3" s="1"/>
  <c r="J147" i="3" s="1"/>
  <c r="K90" i="11"/>
  <c r="G253" i="3" s="1"/>
  <c r="E253" i="3"/>
  <c r="I253" i="3" s="1"/>
  <c r="J253" i="3" s="1"/>
  <c r="I131" i="5"/>
  <c r="E167" i="3"/>
  <c r="I167" i="3" s="1"/>
  <c r="J167" i="3" s="1"/>
  <c r="J98" i="3"/>
  <c r="J99" i="3"/>
  <c r="F13" i="2" s="1"/>
  <c r="G128" i="5"/>
  <c r="E128" i="5"/>
  <c r="G84" i="5"/>
  <c r="E84" i="5"/>
  <c r="C85" i="5"/>
  <c r="J227" i="3"/>
  <c r="I121" i="5"/>
  <c r="E157" i="3"/>
  <c r="I157" i="3" s="1"/>
  <c r="J157" i="3" s="1"/>
  <c r="G89" i="5"/>
  <c r="E89" i="5"/>
  <c r="C133" i="5"/>
  <c r="G132" i="5"/>
  <c r="E132" i="5"/>
  <c r="E116" i="3"/>
  <c r="I116" i="3" s="1"/>
  <c r="J116" i="3" s="1"/>
  <c r="I80" i="5"/>
  <c r="G112" i="5"/>
  <c r="E112" i="5"/>
  <c r="M61" i="5"/>
  <c r="G187" i="3" s="1"/>
  <c r="G61" i="5"/>
  <c r="C60" i="5"/>
  <c r="E187" i="3"/>
  <c r="I187" i="3" s="1"/>
  <c r="J187" i="3" s="1"/>
  <c r="J64" i="3"/>
  <c r="J65" i="3" s="1"/>
  <c r="I94" i="5"/>
  <c r="E130" i="3"/>
  <c r="I130" i="3" s="1"/>
  <c r="J130" i="3" s="1"/>
  <c r="E118" i="5"/>
  <c r="G118" i="5"/>
  <c r="I142" i="5"/>
  <c r="E178" i="3"/>
  <c r="I178" i="3" s="1"/>
  <c r="J178" i="3" s="1"/>
  <c r="I92" i="5"/>
  <c r="E128" i="3"/>
  <c r="I128" i="3" s="1"/>
  <c r="J128" i="3" s="1"/>
  <c r="J247" i="3"/>
  <c r="I101" i="5"/>
  <c r="E137" i="3"/>
  <c r="I137" i="3" s="1"/>
  <c r="J137" i="3" s="1"/>
  <c r="M137" i="5"/>
  <c r="G173" i="3" s="1"/>
  <c r="G137" i="5"/>
  <c r="E137" i="5"/>
  <c r="J465" i="3"/>
  <c r="J466" i="3" s="1"/>
  <c r="F24" i="2" s="1"/>
  <c r="E102" i="5"/>
  <c r="G102" i="5"/>
  <c r="I78" i="5"/>
  <c r="E114" i="3"/>
  <c r="I114" i="3" s="1"/>
  <c r="I116" i="5"/>
  <c r="E152" i="3"/>
  <c r="I152" i="3" s="1"/>
  <c r="J152" i="3" s="1"/>
  <c r="I103" i="5"/>
  <c r="E139" i="3"/>
  <c r="I139" i="3" s="1"/>
  <c r="J139" i="3" s="1"/>
  <c r="F11" i="2" l="1"/>
  <c r="J274" i="3"/>
  <c r="I274" i="3"/>
  <c r="N68" i="11"/>
  <c r="N69" i="11" s="1"/>
  <c r="I122" i="5"/>
  <c r="E158" i="3"/>
  <c r="I158" i="3" s="1"/>
  <c r="J158" i="3" s="1"/>
  <c r="G123" i="5"/>
  <c r="E123" i="5"/>
  <c r="G108" i="5"/>
  <c r="E108" i="5"/>
  <c r="I79" i="5"/>
  <c r="E115" i="3"/>
  <c r="I115" i="3" s="1"/>
  <c r="J115" i="3" s="1"/>
  <c r="E129" i="3"/>
  <c r="I129" i="3" s="1"/>
  <c r="J129" i="3" s="1"/>
  <c r="I93" i="5"/>
  <c r="E19" i="2"/>
  <c r="N84" i="11"/>
  <c r="N85" i="11" s="1"/>
  <c r="E236" i="3"/>
  <c r="I236" i="3" s="1"/>
  <c r="J236" i="3" s="1"/>
  <c r="J240" i="3" s="1"/>
  <c r="K77" i="11"/>
  <c r="G236" i="3" s="1"/>
  <c r="I84" i="5"/>
  <c r="E120" i="3"/>
  <c r="I120" i="3" s="1"/>
  <c r="J120" i="3" s="1"/>
  <c r="I89" i="5"/>
  <c r="E125" i="3"/>
  <c r="I125" i="3" s="1"/>
  <c r="J125" i="3" s="1"/>
  <c r="I118" i="5"/>
  <c r="E154" i="3"/>
  <c r="I154" i="3" s="1"/>
  <c r="J154" i="3" s="1"/>
  <c r="J114" i="3"/>
  <c r="I132" i="5"/>
  <c r="E168" i="3"/>
  <c r="I168" i="3" s="1"/>
  <c r="J168" i="3" s="1"/>
  <c r="K80" i="11"/>
  <c r="G239" i="3" s="1"/>
  <c r="E239" i="3"/>
  <c r="I239" i="3" s="1"/>
  <c r="J239" i="3" s="1"/>
  <c r="I107" i="5"/>
  <c r="E143" i="3"/>
  <c r="I143" i="3" s="1"/>
  <c r="J143" i="3" s="1"/>
  <c r="G85" i="5"/>
  <c r="E85" i="5"/>
  <c r="I102" i="5"/>
  <c r="E138" i="3"/>
  <c r="I138" i="3" s="1"/>
  <c r="J138" i="3" s="1"/>
  <c r="C74" i="5"/>
  <c r="C73" i="5"/>
  <c r="M60" i="5"/>
  <c r="G186" i="3" s="1"/>
  <c r="C72" i="5"/>
  <c r="E186" i="3"/>
  <c r="I186" i="3" s="1"/>
  <c r="G60" i="5"/>
  <c r="E148" i="3"/>
  <c r="I148" i="3" s="1"/>
  <c r="J148" i="3" s="1"/>
  <c r="I112" i="5"/>
  <c r="J454" i="3"/>
  <c r="J455" i="3"/>
  <c r="F23" i="2" s="1"/>
  <c r="E133" i="5"/>
  <c r="G133" i="5"/>
  <c r="I128" i="5"/>
  <c r="E164" i="3"/>
  <c r="I164" i="3" s="1"/>
  <c r="J164" i="3" s="1"/>
  <c r="I137" i="5"/>
  <c r="E173" i="3"/>
  <c r="I173" i="3" s="1"/>
  <c r="J173" i="3" s="1"/>
  <c r="M67" i="5"/>
  <c r="G193" i="3" s="1"/>
  <c r="G67" i="5"/>
  <c r="E193" i="3"/>
  <c r="I193" i="3" s="1"/>
  <c r="J193" i="3" s="1"/>
  <c r="I117" i="5"/>
  <c r="E153" i="3"/>
  <c r="I153" i="3" s="1"/>
  <c r="J153" i="3" s="1"/>
  <c r="J241" i="3" l="1"/>
  <c r="J242" i="3"/>
  <c r="F18" i="2" s="1"/>
  <c r="E159" i="3"/>
  <c r="I159" i="3" s="1"/>
  <c r="J159" i="3" s="1"/>
  <c r="I123" i="5"/>
  <c r="I240" i="3"/>
  <c r="J186" i="3"/>
  <c r="J275" i="3"/>
  <c r="J276" i="3" s="1"/>
  <c r="F19" i="2" s="1"/>
  <c r="I133" i="5"/>
  <c r="E169" i="3"/>
  <c r="I169" i="3" s="1"/>
  <c r="J169" i="3" s="1"/>
  <c r="J180" i="3"/>
  <c r="G72" i="5"/>
  <c r="E198" i="3"/>
  <c r="I198" i="3" s="1"/>
  <c r="J198" i="3" s="1"/>
  <c r="E72" i="5"/>
  <c r="I72" i="5" s="1"/>
  <c r="E16" i="2"/>
  <c r="E26" i="2" s="1"/>
  <c r="G73" i="5"/>
  <c r="E73" i="5"/>
  <c r="I73" i="5" s="1"/>
  <c r="E199" i="3"/>
  <c r="I199" i="3" s="1"/>
  <c r="J199" i="3" s="1"/>
  <c r="E121" i="3"/>
  <c r="I121" i="3" s="1"/>
  <c r="J121" i="3" s="1"/>
  <c r="I85" i="5"/>
  <c r="I108" i="5"/>
  <c r="E144" i="3"/>
  <c r="I144" i="3" s="1"/>
  <c r="J144" i="3" s="1"/>
  <c r="E74" i="5"/>
  <c r="I74" i="5" s="1"/>
  <c r="G74" i="5"/>
  <c r="E200" i="3"/>
  <c r="I200" i="3" s="1"/>
  <c r="J200" i="3" s="1"/>
  <c r="E18" i="2"/>
  <c r="J181" i="3" l="1"/>
  <c r="J182" i="3" s="1"/>
  <c r="I201" i="3"/>
  <c r="I180" i="3"/>
  <c r="J201" i="3"/>
  <c r="F15" i="2" l="1"/>
  <c r="J202" i="3"/>
  <c r="J203" i="3"/>
  <c r="F16" i="2" s="1"/>
  <c r="J468" i="3" l="1"/>
  <c r="F26" i="2"/>
</calcChain>
</file>

<file path=xl/sharedStrings.xml><?xml version="1.0" encoding="utf-8"?>
<sst xmlns="http://schemas.openxmlformats.org/spreadsheetml/2006/main" count="1758" uniqueCount="732">
  <si>
    <t>NOTES</t>
  </si>
  <si>
    <t>Project Name :  Starbucks #6212, University Park Village</t>
  </si>
  <si>
    <t>Location : 1620 S University Dr, Fort Worth, TX 76107</t>
  </si>
  <si>
    <t>Date of Drawings : Permit Set 8/28/2025</t>
  </si>
  <si>
    <t>DEMOLITION</t>
  </si>
  <si>
    <t>"Items to be preserved" list for items that shall be salvaged for relocation</t>
  </si>
  <si>
    <t>At locations where existing walls are to be removed existing walls to remain. Perform demolition without disturbing exisitng elements to remain</t>
  </si>
  <si>
    <t>Field verify type of construction and height of walls, Fields verify that walls to be removed do not provide support for existing building elements and existing construction to remain</t>
  </si>
  <si>
    <t>MEPs demolition are not included.</t>
  </si>
  <si>
    <t>Height of cubbies and menu board are assumed base on starbucks standard (https://www.navymwr.org/modules/media/?do=download&amp;id=e4a72850-fe08-4e91-a9ce-0a7fa6f77cbe)</t>
  </si>
  <si>
    <t>Removal shall include any residual material after demolition i.e pieces of wall covering or backing. Removal of all coverings is to be done w/o damaging the existing wall surface to remain</t>
  </si>
  <si>
    <t>The manhours computed in the sheet include hauling, as well as the disassembly of any connections, fasteners, and accessories related to the item.</t>
  </si>
  <si>
    <t>Landscaping</t>
  </si>
  <si>
    <t>Included items that are furnished by Starbucks but to be intalled by GC.</t>
  </si>
  <si>
    <t>Plant location to be planted on table top counter not specified, so we just used the schedule in the tak-off.</t>
  </si>
  <si>
    <t xml:space="preserve">No specified number of plants for Design ID X0004 – Mixture of Plants, so we’re taking off the area for planting. </t>
  </si>
  <si>
    <t>Exterior Siding</t>
  </si>
  <si>
    <t>Exterior Painting</t>
  </si>
  <si>
    <t>As per Key Note 6 , Patio Railing will be restained wood SW3524.</t>
  </si>
  <si>
    <t>As per Key Note 6 , Patio Post will be repainted SW7048.</t>
  </si>
  <si>
    <t>Metal Framing</t>
  </si>
  <si>
    <t>Wall Type per print A101, Interior New Wall Schedule.</t>
  </si>
  <si>
    <t>Jamb, Header, Soffit and Bracing details per print I509.</t>
  </si>
  <si>
    <t>Drywall</t>
  </si>
  <si>
    <t>Wall Type per print A101, Wall Sheating Key for wall type.</t>
  </si>
  <si>
    <t>See print I201-I204 for height reference.</t>
  </si>
  <si>
    <t>See print I103 for ceiling sched/type reference.</t>
  </si>
  <si>
    <t>Consider 5/8" GWB Type X for all wall and GWB Clg, U.N.O.</t>
  </si>
  <si>
    <t>Flooring &amp; Tile</t>
  </si>
  <si>
    <t>Finish Material Schedule per print I603.</t>
  </si>
  <si>
    <t>Items that are provided by SB and to be installed only by GC ; Tile 20230, tile base x0409, tile base 11403, tile 24599 and tile 20267.</t>
  </si>
  <si>
    <t>Polyvinyl floor tile is considered as SY unit in the takeoff ; size sheets: 60" x 96" x 1/4" thk.</t>
  </si>
  <si>
    <t>Polyvinyl floor tile base is considered as LF unit in the takeoff.</t>
  </si>
  <si>
    <t>Walk Off Mat is existing to remain per plan notes.</t>
  </si>
  <si>
    <t>Interior Finishes and Interior Painting</t>
  </si>
  <si>
    <t>Paint and interior finish specifications per print I603</t>
  </si>
  <si>
    <t>One coat of primer and two coats of paint are considered for all drywall and open to structure.</t>
  </si>
  <si>
    <t>Two coats of paint are considered for all existing drywall.</t>
  </si>
  <si>
    <t>One coat of primer is considered for FRP surfaces.</t>
  </si>
  <si>
    <t>INTERIOR TRIM</t>
  </si>
  <si>
    <t>There is a casework schedule found on plans. See sheet I603. For items that are shown on plans are trace per enlarged plan and match it quantities.</t>
  </si>
  <si>
    <t>On sheet I103 and I106 are the pages used as reference for interior trim takeoff.</t>
  </si>
  <si>
    <t>All items are per SB furnished and only GC are by install, thus no unit material cost are considered.</t>
  </si>
  <si>
    <t>Other wood materials are under finishes.</t>
  </si>
  <si>
    <t>OPENINGS</t>
  </si>
  <si>
    <t>There is a door schedule found on plan, see sheet A601.</t>
  </si>
  <si>
    <t>Door tag 10190 was not identified on available plans, consider it as in the passage of workroom to restroom/exit corridor.</t>
  </si>
  <si>
    <t>Hardware set of restrooms are consider and its quanties are 2.</t>
  </si>
  <si>
    <t>Doors have 1/2" undercut, and non rabbet.</t>
  </si>
  <si>
    <t>All windows are existing.</t>
  </si>
  <si>
    <t>MILLWORKS</t>
  </si>
  <si>
    <t>All items are in count as it specifications are already mentioned and considered.</t>
  </si>
  <si>
    <t>Highlighted items on sheet I603 are not found on available plans but consider its quantity for reference.</t>
  </si>
  <si>
    <t>Other non-millwork items falls on finishes.</t>
  </si>
  <si>
    <t>Specialties</t>
  </si>
  <si>
    <t>No Toilet Accessory Schedule provided.</t>
  </si>
  <si>
    <t>Existing Toilet Accessory not considered in the proposal.</t>
  </si>
  <si>
    <t>Accessibility Signage Specs not given in plan.</t>
  </si>
  <si>
    <t>No manufacturer and model given for Fire Extinguishers and Toilet Accessories.</t>
  </si>
  <si>
    <t>Horizontal Soap Dispenser was not listed under specialtiy equipment at sheet I601, it was included in the proposal. Considered as OFCI, the same with other accessories listed.</t>
  </si>
  <si>
    <t>Considered 11 counts of Work Room Shelving (6 counts in schedule).</t>
  </si>
  <si>
    <t>West Elm Mirror Manufacturer and Model at sheet I602</t>
  </si>
  <si>
    <t>Considered Furnitures and Shelving in the Proposal</t>
  </si>
  <si>
    <t>ROUGH CARPENTRY</t>
  </si>
  <si>
    <t>Assumed SYP#2 Lumber Specie</t>
  </si>
  <si>
    <t>Considered all blockings to be FRT (A101|Gen. Notes Item B)</t>
  </si>
  <si>
    <t>New Walls are specified as Metal Studs per schedule at A101</t>
  </si>
  <si>
    <t>Assumed 2x6 Blockings for Wall Blockings not specified in Plan</t>
  </si>
  <si>
    <t>1x4 FRT blocking at openings per detail 5|I509</t>
  </si>
  <si>
    <t>Considered 3/4" Plywood backing at Details 2|I502 &amp; 2|I503</t>
  </si>
  <si>
    <t>Considere 2x10 FRT blocking per detail 2 | I504</t>
  </si>
  <si>
    <t>MATERIAL BREAKDOWN</t>
  </si>
  <si>
    <t>Proposal for plans dated:</t>
  </si>
  <si>
    <t>Floor Level:</t>
  </si>
  <si>
    <t>Total Square Footage (Building):</t>
  </si>
  <si>
    <t>Total Square Footage (Site):</t>
  </si>
  <si>
    <t>--</t>
  </si>
  <si>
    <t>WORK DESCRIPTION</t>
  </si>
  <si>
    <t>TOTAL MANHOURS</t>
  </si>
  <si>
    <t>TOTAL MATERIAL COST</t>
  </si>
  <si>
    <t>TOTAL</t>
  </si>
  <si>
    <t>ALTERNATES</t>
  </si>
  <si>
    <t>www.gclegacyconstruction.com</t>
  </si>
  <si>
    <t>10455 Markison Rd., Dallas, TX 75238</t>
  </si>
  <si>
    <t>ITEM</t>
  </si>
  <si>
    <t>DESCRIPTION</t>
  </si>
  <si>
    <t>QTY</t>
  </si>
  <si>
    <t>UNIT</t>
  </si>
  <si>
    <t>MANHOURS</t>
  </si>
  <si>
    <t>CREW</t>
  </si>
  <si>
    <r>
      <rPr>
        <b/>
        <sz val="10"/>
        <color theme="1"/>
        <rFont val="Tahoma"/>
      </rPr>
      <t xml:space="preserve">MATERIAL COST </t>
    </r>
    <r>
      <rPr>
        <i/>
        <sz val="10"/>
        <color theme="1"/>
        <rFont val="Tahoma"/>
      </rPr>
      <t>(Excluding Tax)</t>
    </r>
  </si>
  <si>
    <t>Total</t>
  </si>
  <si>
    <t>Wastage</t>
  </si>
  <si>
    <t>Unit Material Cost</t>
  </si>
  <si>
    <t>EXTERIOR</t>
  </si>
  <si>
    <t>DEMOLISH EXTERIOR FURNITURE</t>
  </si>
  <si>
    <t>This includes all tables and chairs</t>
  </si>
  <si>
    <t>EA</t>
  </si>
  <si>
    <t>MH, 2 WORKERS</t>
  </si>
  <si>
    <t>DEMOLISH EXISTING METAL AWNING</t>
  </si>
  <si>
    <t>GC to patch/repair wall as needed</t>
  </si>
  <si>
    <t>SF</t>
  </si>
  <si>
    <t>MH, 3 WORKERS</t>
  </si>
  <si>
    <t>DEMOLISH EXISTING METAL DECORATION OVER CLERESTORY WINDOWS</t>
  </si>
  <si>
    <t>3'-4" Height as per sheet D103</t>
  </si>
  <si>
    <t>DEMOLISH EXISTING FABRIC COVERING ON PATIO STRUCTURE</t>
  </si>
  <si>
    <t>GC to prepare for new</t>
  </si>
  <si>
    <t>INTERIOR</t>
  </si>
  <si>
    <t>DEMOLISH EXISTING WALL TO EXTENT SHOWN</t>
  </si>
  <si>
    <t>Average Height 10' (Ref D102 Sheet)</t>
  </si>
  <si>
    <t>DEMOLISH EXISTING FLOOR AND BASE FINISH</t>
  </si>
  <si>
    <t>Patch &amp; Repair for New Finish</t>
  </si>
  <si>
    <t>DEMOLISH EXISTING FIXTURES</t>
  </si>
  <si>
    <t>This Includes all tables, and chairs</t>
  </si>
  <si>
    <t>This includes all interior fixtures</t>
  </si>
  <si>
    <t>DEMOLISH EXISTING CONDIMENT CART</t>
  </si>
  <si>
    <t>DEMOLISH EXISTING IN-WALL FOOD/BEVERAGE COOLER</t>
  </si>
  <si>
    <t>DEMOLISH EXISTING INTERIOR FURNITURE &amp; FIXTURES</t>
  </si>
  <si>
    <t>This includes all tables, chairs, and kitchen fixtures</t>
  </si>
  <si>
    <t>DEMOLISH EXISTING MERCH BASKET</t>
  </si>
  <si>
    <t>DEMOLISH EXISTING MERCH BAYS</t>
  </si>
  <si>
    <t>DEMOLISH EXISTING WALL FINISHES</t>
  </si>
  <si>
    <t>Elevation refer to sheet D102-D103</t>
  </si>
  <si>
    <t>REMOVE EXISTING CASEWORK, HANGING DEVICES, AND FASTENERS</t>
  </si>
  <si>
    <t>All counters in the serving area</t>
  </si>
  <si>
    <t>REMOVE EXISTING DOOR FRAME, AND ASSOCIATED FASTENERS</t>
  </si>
  <si>
    <t>CEILING</t>
  </si>
  <si>
    <t>DEMOLISH EXISTING MENU BOARD</t>
  </si>
  <si>
    <t>No details on height (Assumed as per standard of starbucks 35") See Notes for references</t>
  </si>
  <si>
    <t>DEMOLISH EXISTING UPPER CUBBIES</t>
  </si>
  <si>
    <t>DEMOLISH EXISTING ACT CEILING TILES AND GRID</t>
  </si>
  <si>
    <t>DEMOLISH HARD LID CEILING, FRAMING AND ASSOCIATED FASTENERS TO BOTTOM OF STRUCTURE ABOVE</t>
  </si>
  <si>
    <t>ITEMS TO RELOCATE</t>
  </si>
  <si>
    <t>1 DR U/C FRIDGE</t>
  </si>
  <si>
    <t>Relocation only, Excluding Installation</t>
  </si>
  <si>
    <t>MH, 2 MOVERS</t>
  </si>
  <si>
    <t>2-DR FREEZER</t>
  </si>
  <si>
    <t>2-DR FRIDGE</t>
  </si>
  <si>
    <t>3-COMP SINK &amp; ASSOCIATED ITEMS</t>
  </si>
  <si>
    <t>MH, 3 (INCL LEAD)</t>
  </si>
  <si>
    <t>BLENDERS</t>
  </si>
  <si>
    <t>MH, 1 MOVER</t>
  </si>
  <si>
    <t>CUP CADDY &amp; DISPENSERS</t>
  </si>
  <si>
    <t>CUP LABELER</t>
  </si>
  <si>
    <t>ESPRESSO MACHINES</t>
  </si>
  <si>
    <t>FOOD CASE</t>
  </si>
  <si>
    <t>MH, 3 MOVERS</t>
  </si>
  <si>
    <t>GRINDER</t>
  </si>
  <si>
    <t>ICE BIN</t>
  </si>
  <si>
    <t>METRO RACK</t>
  </si>
  <si>
    <t>NITRO GENERATOR</t>
  </si>
  <si>
    <t>NITRO TAP/FONT</t>
  </si>
  <si>
    <t>PAPER TOWEL DISPENSER</t>
  </si>
  <si>
    <t>PASTRY CART</t>
  </si>
  <si>
    <t>POS REGISTER, PRINTER, DROP BOXES, AND ASSOCIATED ITEMS</t>
  </si>
  <si>
    <t>SOAP DISPENSER</t>
  </si>
  <si>
    <t>THAW RACK</t>
  </si>
  <si>
    <t>TRASH TOTE</t>
  </si>
  <si>
    <t>WARMING OVENS</t>
  </si>
  <si>
    <t>(TOTAL)</t>
  </si>
  <si>
    <t>OVERHEAD</t>
  </si>
  <si>
    <t>SUB-TOTAL</t>
  </si>
  <si>
    <t>LANDSCAPING</t>
  </si>
  <si>
    <t>MH, 2 WORKER</t>
  </si>
  <si>
    <t>MH, 1 WORKER</t>
  </si>
  <si>
    <t>Exterior</t>
  </si>
  <si>
    <t>Interior</t>
  </si>
  <si>
    <t>EXTERIOR SIDING</t>
  </si>
  <si>
    <t>EXTERIOR PAINTING</t>
  </si>
  <si>
    <t>METAL STUD FRAMING</t>
  </si>
  <si>
    <t>MH, 4 WORKERS</t>
  </si>
  <si>
    <t>DRYWALL</t>
  </si>
  <si>
    <t>FLOORING &amp; TILE</t>
  </si>
  <si>
    <t>BASE &amp; TRIMS</t>
  </si>
  <si>
    <t>INTERIOR FINISHES</t>
  </si>
  <si>
    <t>INTERIOR PAINTING</t>
  </si>
  <si>
    <t>OPENING</t>
  </si>
  <si>
    <t>MILLWORK</t>
  </si>
  <si>
    <t>MH, 3 WORKER</t>
  </si>
  <si>
    <t>SPECIALTIES</t>
  </si>
  <si>
    <t>MH, 2 Workers</t>
  </si>
  <si>
    <t>MH/ 1 WORKER</t>
  </si>
  <si>
    <t>TOTAL BID COST</t>
  </si>
  <si>
    <t>Note: All quantities shall be based on site measurement  / consumption</t>
  </si>
  <si>
    <t>Flooring &amp; Tile Finishes</t>
  </si>
  <si>
    <t>BASE TAKE-OFF</t>
  </si>
  <si>
    <t>Unit Name</t>
  </si>
  <si>
    <t>Product</t>
  </si>
  <si>
    <t>Qty by Unit</t>
  </si>
  <si>
    <t>Waste Add-on</t>
  </si>
  <si>
    <t>MANHOURS/SF</t>
  </si>
  <si>
    <t>NET</t>
  </si>
  <si>
    <t>Polyvinyl Floor Tile - Eco-Grip - Pewter - 60" x 96" x 1/4" thk</t>
  </si>
  <si>
    <t>SY</t>
  </si>
  <si>
    <t>Floor Tile - I COCCI - Graphite - 24" x 24" (Installation only)</t>
  </si>
  <si>
    <t>Wall Tile - French Clay - Bronzage - 12" x 24" - Vertical Stacked (Installation only)</t>
  </si>
  <si>
    <t>Wall Tile - Flatiron - Olivia - Gloss - 2.5" x 9" Vertical Stacked (Installation only)</t>
  </si>
  <si>
    <t>x0409</t>
  </si>
  <si>
    <t>Tile Base - Daltile Color Wheel - A3361MOD, Matte Black k711 (Installation only)</t>
  </si>
  <si>
    <t>LF</t>
  </si>
  <si>
    <t>Tile Base - Nero - 6"x12" (Installation only)</t>
  </si>
  <si>
    <t>Tile Base - Polyvinyl Floor Tile - Eco-Grip - Pewter - 6"</t>
  </si>
  <si>
    <t>x0404</t>
  </si>
  <si>
    <t>Schluter Base - Dilex AHK-AGRB - Brushed Graphite</t>
  </si>
  <si>
    <t>x0801</t>
  </si>
  <si>
    <t>Trim - Schluter Jolly Edge Trim - Aluminum Matte Black - Code: J100MGS</t>
  </si>
  <si>
    <t>Schluter Transition Strip for Tile to Eco-Grip</t>
  </si>
  <si>
    <t>Transition for Walk Off Mat to Tile - Schluter Systems - Edge Metal - Schiene - 3/8"</t>
  </si>
  <si>
    <t>NOTES:</t>
  </si>
  <si>
    <t>Description</t>
  </si>
  <si>
    <t>Location</t>
  </si>
  <si>
    <t>QTY (LF)</t>
  </si>
  <si>
    <t>Drywall Height (LF) - Side 1</t>
  </si>
  <si>
    <t>Drywall Height (LF) - Side 2</t>
  </si>
  <si>
    <t>Side 1 (Interior Side)</t>
  </si>
  <si>
    <t>Side 2 (Exterior Side)</t>
  </si>
  <si>
    <t>Multiplier</t>
  </si>
  <si>
    <t>Wall Area (SF)</t>
  </si>
  <si>
    <t>STUDS</t>
  </si>
  <si>
    <t>Sheathing Type</t>
  </si>
  <si>
    <t>THK</t>
  </si>
  <si>
    <t>Finish Level</t>
  </si>
  <si>
    <t>No. of Layers</t>
  </si>
  <si>
    <t>Side 1</t>
  </si>
  <si>
    <t>Side 2</t>
  </si>
  <si>
    <t>1 1/2" 20ga x 12' @ 16"OC</t>
  </si>
  <si>
    <t>1 1/2" 20ga Bracing x 8' @ 48"OC</t>
  </si>
  <si>
    <t>3 5/8" 20ga x 20' @ 16"OC</t>
  </si>
  <si>
    <t>3 5/8" 16ga x 14' @ 16"OC</t>
  </si>
  <si>
    <t>3 5/8" 20ga x 12' @ 16"OC</t>
  </si>
  <si>
    <t>3 5/8" 20ga Bracing x 8' @ 48"OC</t>
  </si>
  <si>
    <t>3 5/8" 16ga x 2' @ 16"OC</t>
  </si>
  <si>
    <t>6" 20ga x 20' @ 16"OC</t>
  </si>
  <si>
    <t>6" 20ga x 14' @ 16"OC</t>
  </si>
  <si>
    <t>6" 20ga x 12' @ 16"OC</t>
  </si>
  <si>
    <t>6" 20ga Bracing x 8' @ 48"OC</t>
  </si>
  <si>
    <t>WALLS</t>
  </si>
  <si>
    <t>PHASE 1</t>
  </si>
  <si>
    <t>1-T-N</t>
  </si>
  <si>
    <t>Interior Wall</t>
  </si>
  <si>
    <t>5/8" Gypsum Board Type X</t>
  </si>
  <si>
    <t>2-F-N</t>
  </si>
  <si>
    <t>2-P-N</t>
  </si>
  <si>
    <t>2-T-N</t>
  </si>
  <si>
    <t>3-F-N</t>
  </si>
  <si>
    <t>3-P-N</t>
  </si>
  <si>
    <t>3-T-N</t>
  </si>
  <si>
    <t>3-T-N-H</t>
  </si>
  <si>
    <t>4-F-N</t>
  </si>
  <si>
    <t>4-T-N</t>
  </si>
  <si>
    <t>5-T-N</t>
  </si>
  <si>
    <t>GWB TYPE X MR</t>
  </si>
  <si>
    <t>Work Room, Partner Area</t>
  </si>
  <si>
    <t>5/8" Gypsum Board Type X MR</t>
  </si>
  <si>
    <t>14 CBB</t>
  </si>
  <si>
    <t>Backbar</t>
  </si>
  <si>
    <t>1/4" Cement Backer Board</t>
  </si>
  <si>
    <t>Perimeter/
 Length (LF)</t>
  </si>
  <si>
    <t>Area (SF)</t>
  </si>
  <si>
    <t>Height (LF)</t>
  </si>
  <si>
    <t>Ceiling Area (SF)</t>
  </si>
  <si>
    <t>STUD</t>
  </si>
  <si>
    <t>Ceiling</t>
  </si>
  <si>
    <t>3 5/8" 20ga Bracing x 12' @ 48"OC</t>
  </si>
  <si>
    <t>3 5/8" 20ga x 1' @ 16"OC</t>
  </si>
  <si>
    <t>3 5/8" 20ga x 10' @ 16"OC</t>
  </si>
  <si>
    <t>(2) 6" 16ga CSJ x 8' @ 8"OC</t>
  </si>
  <si>
    <t>(2) 6" 16ga x 6' @ 8"OC</t>
  </si>
  <si>
    <t>Gypsum Board Ceiling</t>
  </si>
  <si>
    <t>Soffit, H=4'</t>
  </si>
  <si>
    <t>Soffit, H=1'</t>
  </si>
  <si>
    <t>Header, H=1'</t>
  </si>
  <si>
    <t>Box Header, 2s, H=9'</t>
  </si>
  <si>
    <t>12 CBB &amp; 58 GWB Type X MR</t>
  </si>
  <si>
    <t>Water Heater Shelf</t>
  </si>
  <si>
    <t>1/2" Cement Backer Board</t>
  </si>
  <si>
    <t>58 GWB Type X</t>
  </si>
  <si>
    <t>AREA (SF)</t>
  </si>
  <si>
    <t>ACT</t>
  </si>
  <si>
    <t>FRAMING</t>
  </si>
  <si>
    <t>Jamb Studs and Headers</t>
  </si>
  <si>
    <t>6" 20ga Metal Stud x 12'</t>
  </si>
  <si>
    <t>3 5/8" 20ga U-Track x 10'</t>
  </si>
  <si>
    <t>3 5/8" 20ga Metal Stud x 12'</t>
  </si>
  <si>
    <t>Miscellaneous</t>
  </si>
  <si>
    <t>Corner Beads x 10'</t>
  </si>
  <si>
    <t>Soffit, Header</t>
  </si>
  <si>
    <t>Corner Beads x 12'</t>
  </si>
  <si>
    <t xml:space="preserve">SUMMARY </t>
  </si>
  <si>
    <t xml:space="preserve">Productivity Rate per hour for 1 </t>
  </si>
  <si>
    <t>TOTAL hrs for 4 workers</t>
  </si>
  <si>
    <t>CEILINGS</t>
  </si>
  <si>
    <t>Suspended Ceiling System</t>
  </si>
  <si>
    <t>MISCELLANEOUS</t>
  </si>
  <si>
    <t>White Dot-Wespac 3.5 gal</t>
  </si>
  <si>
    <t>BOX</t>
  </si>
  <si>
    <t>Tape Paper 500 Ft Roll</t>
  </si>
  <si>
    <t>ROLLS</t>
  </si>
  <si>
    <t>Fine Drywall Screws 1 5/8" Pointers (25lb)</t>
  </si>
  <si>
    <t>METAL STUD</t>
  </si>
  <si>
    <t>1-T-N, Partial Height=12'</t>
  </si>
  <si>
    <t>1-1/2" 20ga Metal Stud x 12' at 16" OC</t>
  </si>
  <si>
    <t>1-1/2" 20ga U-Track x 10'</t>
  </si>
  <si>
    <t>1-1/2" 20ga Metal Stud Bracing x 8' at 48" OC</t>
  </si>
  <si>
    <t>2-F-N &amp; 3-F-N, Full Height=20'</t>
  </si>
  <si>
    <t>3-5/8" 20ga Metal Stud x 20' at 16" OC</t>
  </si>
  <si>
    <t>3-5/8" 20ga Deflection Track x 10'</t>
  </si>
  <si>
    <t>3-5/8" 20ga U-Track x 10'</t>
  </si>
  <si>
    <t>2-P-N, Partial Height=12'</t>
  </si>
  <si>
    <t>3-5/8" 20ga Metal Stud x 12' at 16" OC</t>
  </si>
  <si>
    <t>2-T-N &amp; 3-T-N, Parital Height=12'</t>
  </si>
  <si>
    <t>3-5/8" 20ga Metal Stud Bracing x 8' at 48" OC</t>
  </si>
  <si>
    <t>3-P-N, Parital Height=2'</t>
  </si>
  <si>
    <t>3-5/8" 16ga Metal Stud x 8' at 16" OC</t>
  </si>
  <si>
    <t>3-5/8" 16ga U-Track x 10'</t>
  </si>
  <si>
    <t>3-T-N-H, Parital Height=14'</t>
  </si>
  <si>
    <t>3-5/8" 16ga Metal Stud x 14' at 16" OC</t>
  </si>
  <si>
    <t>4-F-N, Full Height=20'</t>
  </si>
  <si>
    <t>6" 20ga Metal Stud x 20' at 16" OC</t>
  </si>
  <si>
    <t>6" 20ga Deflection Track x 10'</t>
  </si>
  <si>
    <t>6" 20ga U-Track x 10'</t>
  </si>
  <si>
    <t>4-T-N, Full Height=14'</t>
  </si>
  <si>
    <t>6" 20ga Metal Stud x 14' at 16" OC</t>
  </si>
  <si>
    <t>6" 20ga Metal Stud Bracing x 8' at 48" OC</t>
  </si>
  <si>
    <t>4-T-N &amp; 5-T-N, Full Height=12'</t>
  </si>
  <si>
    <t>6" 20ga Metal Stud x 12' at 16" OC</t>
  </si>
  <si>
    <t>Soffit, Full Height=12'</t>
  </si>
  <si>
    <t>3-5/8" 20ga Metal Stud Bracing x 12' at 48" OC</t>
  </si>
  <si>
    <t>Soffit &amp; Header, Partial Height=8'</t>
  </si>
  <si>
    <t>3-5/8" 20ga Metal Stud x 8' at 16" OC</t>
  </si>
  <si>
    <t>Box Header, Full Height=10'</t>
  </si>
  <si>
    <t>3-5/8" 20ga Metal Stud x 10' at 16" OC</t>
  </si>
  <si>
    <t>Water Heater Shelf, Partial Height=6'</t>
  </si>
  <si>
    <t>(2) 6" 16ga Metal Stud x 12' at 8" OC</t>
  </si>
  <si>
    <t>6" 16ga U-Track x 10'</t>
  </si>
  <si>
    <t>(2) 6" 16ga CSJ x 8' at 8" OC</t>
  </si>
  <si>
    <t>Item/Material</t>
  </si>
  <si>
    <t>Quantities</t>
  </si>
  <si>
    <t>PLANTS</t>
  </si>
  <si>
    <t>Mixture of Plants</t>
  </si>
  <si>
    <t>Sanseviera-Tall, Flowering Annuals-Small, Sweet Potato Vine- Low/Hanging</t>
  </si>
  <si>
    <t>Bird of Paradise</t>
  </si>
  <si>
    <t>Tall Height</t>
  </si>
  <si>
    <t>Limelight</t>
  </si>
  <si>
    <t>Medium Height</t>
  </si>
  <si>
    <t>ZZ Plant</t>
  </si>
  <si>
    <t>Golden Pathos</t>
  </si>
  <si>
    <t>Low Height</t>
  </si>
  <si>
    <t>Prayer Plant</t>
  </si>
  <si>
    <t>Bird's Nest Fern</t>
  </si>
  <si>
    <t>Sanseviera</t>
  </si>
  <si>
    <t>PLANTER</t>
  </si>
  <si>
    <t>Auroa Clay Outdoor Planters Large</t>
  </si>
  <si>
    <t>furnished by SB and install by GC</t>
  </si>
  <si>
    <t>Parker Pedestal Med Planter-Alabaster, Standard Entry</t>
  </si>
  <si>
    <t>Flueted  Ceramic- TableTop White-Small</t>
  </si>
  <si>
    <t>Flueted  Ceramic- TableTop White-Medium</t>
  </si>
  <si>
    <t>Umbrella Base</t>
  </si>
  <si>
    <t>Umbrella without Valance</t>
  </si>
  <si>
    <t>Notes:</t>
  </si>
  <si>
    <t>No specified number of plants for Design ID X0004 – Mixture of Plants, so we’re taking off the area for planting.</t>
  </si>
  <si>
    <t>Openings</t>
  </si>
  <si>
    <t>DOOR</t>
  </si>
  <si>
    <t>Item</t>
  </si>
  <si>
    <t>MANHOUR</t>
  </si>
  <si>
    <t>Unit Material</t>
  </si>
  <si>
    <t>Interior Door</t>
  </si>
  <si>
    <t>Flush Hollow Metal Door, with Frame: SW7047SG, Min: 3 Coats LH Swing</t>
  </si>
  <si>
    <t>3'-0''W X 7'-0''W</t>
  </si>
  <si>
    <t>Flush w/ Narrow Lite Panel Hollow Metal Door, Finish: PL0019 with Frame: SW6258-SG, Min: 3 Coats Double Acting</t>
  </si>
  <si>
    <t>Door Hardware</t>
  </si>
  <si>
    <t>Hardware Set No. 6</t>
  </si>
  <si>
    <t>Hanging Items</t>
  </si>
  <si>
    <t>Manuf.: McKinney - Model: TA2714/MPB79 Hinge MacPro Bearing 4.5 x 4.5 Finish: 626</t>
  </si>
  <si>
    <t>Securing Devices</t>
  </si>
  <si>
    <t>Manuf.: Yale Lock - Model: PB5425LN Lock, Shallow Coin Turn, Privacy PB5425LN-693-497 1-3/4 Finish: 626</t>
  </si>
  <si>
    <t>Closing Devices</t>
  </si>
  <si>
    <t>Manuf.: Dorma - Model: 8916 Door Closer 8916 AF89P Finish: 689</t>
  </si>
  <si>
    <t>Protective Trim Units</t>
  </si>
  <si>
    <t>Manuf.: Rockwood - Model: K1050 B4E Kickplate 8" x 34" Each Side 32D Finish: 630</t>
  </si>
  <si>
    <t>Accessories</t>
  </si>
  <si>
    <t>Manuf.: Glynn Johnson - Model: GJ64 Rubber Silencer Finish: Gray</t>
  </si>
  <si>
    <t>Stops and Holders</t>
  </si>
  <si>
    <t>Manuf.: Rockwood - Model: 473 Door Stop w/ Hook Finish: 626</t>
  </si>
  <si>
    <t>Hardware Set No. 11</t>
  </si>
  <si>
    <t>Traffice Door Package</t>
  </si>
  <si>
    <t>Manuf: Eliason - Model: SCP8 36" x 84", Finish: as selected by owner</t>
  </si>
  <si>
    <t>Hardware Set No. 15</t>
  </si>
  <si>
    <t>Hanging Devices</t>
  </si>
  <si>
    <t>Manuf.: McKinney - Model: TA2714/MPB79 Finish: 626</t>
  </si>
  <si>
    <t>Manuf.: Yale Lock - Model: B-PB4540SLNIC Lever Storeroom LC B-PB4540SLN-693-497 1-3/4 Finish: 626</t>
  </si>
  <si>
    <t>Manuf.: Falcon Lock - Model: C607 7-Pin Core Combinated "A" Keyway Finish: 626</t>
  </si>
  <si>
    <t>Manuf.: Dorma - Model: 8916 Door Closer 8916 AF89P AL Finish: 689</t>
  </si>
  <si>
    <t>Manuf.: Rockwood - Model: K1050 B4E Kickplate 10" x 2" LDW Finish: 630</t>
  </si>
  <si>
    <t>Manuf.: National Guard - Model: 137NA Weather Strip 17" 36" x 84" Finish: A</t>
  </si>
  <si>
    <t>WINDOW</t>
  </si>
  <si>
    <t>MILLWORK ITEMS SHOWN ON PLANS</t>
  </si>
  <si>
    <t>BACKBAR</t>
  </si>
  <si>
    <t>22395_Countertop - Hand Sink Low Splash - 15in 380mm</t>
  </si>
  <si>
    <t>x0106_Countertop - Filler Backbar - Variable Length</t>
  </si>
  <si>
    <t>x0108_Countertop - Warming - RF - 92in 2335mm</t>
  </si>
  <si>
    <t>x0107_Countertop - Brew - RF - 80in 2285mm</t>
  </si>
  <si>
    <t>x0105_Countertop - Custom Rounded Wood Edge WD0077</t>
  </si>
  <si>
    <t>21928_Countertop - End Cap Backbar</t>
  </si>
  <si>
    <t>x0102_Countertop - CBE Rinse Sink 90lb Ice Bin</t>
  </si>
  <si>
    <t>x0104_Countertop - Custom Rounded Wood Edge WD0077</t>
  </si>
  <si>
    <t>21918_Countertop - Filler Frontbar - Variable Length</t>
  </si>
  <si>
    <t>22353_Countertop - Espresso Frontbar - RF - 14in 3580mm</t>
  </si>
  <si>
    <t>22354_Countertop - Espresso Shroud - 14in 3580mm</t>
  </si>
  <si>
    <t>21920_Countertop - Frontbar - 15in 380mm</t>
  </si>
  <si>
    <t>22407_Countertop - Corner Frontbar Rounded</t>
  </si>
  <si>
    <t>24280_Countertop - HOS Frontbar - 60in 1525mm</t>
  </si>
  <si>
    <t>22361_Countertop - POS - 84in 2135mm</t>
  </si>
  <si>
    <t>21908_Cabinet - Filler Panel - Variable Length</t>
  </si>
  <si>
    <t>21907_Cabinet - End Cap Backbar</t>
  </si>
  <si>
    <t>17580_Cabinet - CBE Tea Shelf - 29in 735mm - Flat Black MT0028</t>
  </si>
  <si>
    <t>22632_Cabinet - CBE Dry Inclusion Shelf - 44in 1120mm - Flat Black MT0028</t>
  </si>
  <si>
    <t>21888_Diewall - Diewall - Support Leg</t>
  </si>
  <si>
    <t>24516_Diewall - Diewall - Framing - Variable Length</t>
  </si>
  <si>
    <t>24547_Diewall - Diewall - Variable Length</t>
  </si>
  <si>
    <t>x0109_Panel - Upper Panel - DMB Wood Frame</t>
  </si>
  <si>
    <t>21914_Other - Fridge Stop Bracket Set</t>
  </si>
  <si>
    <t>11155_Other - Espresso Machine Pump Mount - 10x10in 255x255mm</t>
  </si>
  <si>
    <t>SALES &amp; SEATING</t>
  </si>
  <si>
    <t>20352_Cafe - Freestanding Inline 2 Unit Short - 72in 1830mm - Walnut WD0077</t>
  </si>
  <si>
    <t>20344_Cafe - Wall Bay on Standard 2 Unit - RF - 92in 2335mm Walnut WD0077</t>
  </si>
  <si>
    <t>x0101_Cafe - Custom Shelving - WD0077 Walnut</t>
  </si>
  <si>
    <t>23963_Cafe - Waste and Recycle Station Three Drop - Warm Brown Woodgrain and White PL0030 CP0002</t>
  </si>
  <si>
    <t>MILLWORK ITEMS NOT SHOWN ON PLANS</t>
  </si>
  <si>
    <t>CAFE AND CABINET</t>
  </si>
  <si>
    <t>21894_Cabinet - Door - 15in 380mm</t>
  </si>
  <si>
    <t>21895_Cabinet - Door Trash - 15in 380mm</t>
  </si>
  <si>
    <t>21896_Cabinet - Drawer - 15in 380mm</t>
  </si>
  <si>
    <t>21905_Cabinet - Door - 30in 760mm</t>
  </si>
  <si>
    <t>21913_Cabinet - Equipment Mounting Panel</t>
  </si>
  <si>
    <t>22749_Cabinet - Espresso Pump Mount Panel</t>
  </si>
  <si>
    <t>22986_Cabinet - Delivery Drawer - 15in 380mm</t>
  </si>
  <si>
    <t>24517_Cabinet - Adjustable Shelf - 15in 380mm</t>
  </si>
  <si>
    <t>24520_Cabinet - Adjustable Shelf - 30in 760mm</t>
  </si>
  <si>
    <t>24525_Cabinet - Back Panel - 15in 380mm</t>
  </si>
  <si>
    <t>24527_Cabinet - Back Panel - 30in 760mm</t>
  </si>
  <si>
    <t>24531_Cabinet - Back Panel For Pos - 30in 760mm</t>
  </si>
  <si>
    <t>24548_Cabinet - Espresso Ice Bin - 20in 510mm</t>
  </si>
  <si>
    <t>14775_Cafe - Sit Here Table Privacy Panel - Variable Length</t>
  </si>
  <si>
    <t>x0813_Trim - 1 1/2" Wood Trim - WD0077 (7'-6''H)</t>
  </si>
  <si>
    <t>x0815_Trim - 1.5" x Wood Cladding Frame - WD0077 (9'-5 3/4''H)</t>
  </si>
  <si>
    <t>x0800_Trim - 1 1/2" Wood trim - WD0077</t>
  </si>
  <si>
    <t>x0805_Trim - 1 1/2" Wood Trim - Painted SW7048-F</t>
  </si>
  <si>
    <t>x0810_Trim - 1" x Scuffmaster Painted Solid Wood trim - Harrison Coll 3/SM8005, GOH 34425395</t>
  </si>
  <si>
    <t>x0812_Trim - 1 1/2" Wood Panel Decorative Trim - WD0077</t>
  </si>
  <si>
    <t>x0814_Trim - 3/4" Wood Trim - WD0077</t>
  </si>
  <si>
    <t>TOILET ACCESSORIES</t>
  </si>
  <si>
    <t>16" x 48" Pill Shaped Mirror</t>
  </si>
  <si>
    <t>West Elm #2997254</t>
  </si>
  <si>
    <t>42" x 36" Wide Arch Mirror</t>
  </si>
  <si>
    <t>West Elm #1682424</t>
  </si>
  <si>
    <r>
      <rPr>
        <sz val="11"/>
        <color rgb="FF000000"/>
        <rFont val="Calibri, sans-serif"/>
      </rPr>
      <t xml:space="preserve">Counter Mounted Soap Dispenser - </t>
    </r>
    <r>
      <rPr>
        <b/>
        <sz val="11"/>
        <color rgb="FF000000"/>
        <rFont val="Calibri, sans-serif"/>
      </rPr>
      <t>OFCI</t>
    </r>
  </si>
  <si>
    <t>Recessed Mounted Baby Changing Station</t>
  </si>
  <si>
    <r>
      <rPr>
        <sz val="11"/>
        <color rgb="FF000000"/>
        <rFont val="Calibri, sans-serif"/>
      </rPr>
      <t xml:space="preserve">Surface Mounted Hand Dryer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</si>
  <si>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Surface Mounted Horizontal Soap Dispenser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</si>
  <si>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Surface Mounted Paper Towel Dispenser - </t>
    </r>
    <r>
      <rPr>
        <b/>
        <sz val="11"/>
        <color rgb="FF000000"/>
        <rFont val="Calibri, sans-serif"/>
      </rPr>
      <t>OFCI</t>
    </r>
  </si>
  <si>
    <t>Half Size - Translucent Gray</t>
  </si>
  <si>
    <r>
      <rPr>
        <sz val="11"/>
        <color rgb="FF000000"/>
        <rFont val="Calibri, sans-serif"/>
      </rPr>
      <t xml:space="preserve">Surface-Mounted Coat Hook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</si>
  <si>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Coat Hook Strip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</si>
  <si>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Hand Dryer Back Panel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</si>
  <si>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Mirror - BOH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</si>
  <si>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Mop Rack with 3 Holders - </t>
    </r>
    <r>
      <rPr>
        <b/>
        <sz val="11"/>
        <color rgb="FF000000"/>
        <rFont val="Calibri, sans-serif"/>
      </rPr>
      <t>OFCI</t>
    </r>
  </si>
  <si>
    <t>WIRE SHELVING</t>
  </si>
  <si>
    <r>
      <rPr>
        <sz val="11"/>
        <color rgb="FF000000"/>
        <rFont val="Calibri, sans-serif"/>
      </rPr>
      <t xml:space="preserve">Work Room Shelving - </t>
    </r>
    <r>
      <rPr>
        <b/>
        <sz val="11"/>
        <color rgb="FF000000"/>
        <rFont val="Calibri, sans-serif"/>
      </rPr>
      <t>OFCI</t>
    </r>
  </si>
  <si>
    <t>Size: 36"</t>
  </si>
  <si>
    <r>
      <rPr>
        <sz val="11"/>
        <color rgb="FF000000"/>
        <rFont val="Calibri, sans-serif"/>
      </rPr>
      <t xml:space="preserve">Work Room Shelving Cart Kit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</si>
  <si>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Work Room Shelving Posts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</si>
  <si>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24" x 18" Base - </t>
    </r>
    <r>
      <rPr>
        <b/>
        <sz val="11"/>
        <color rgb="FF000000"/>
        <rFont val="Calibri, sans-serif"/>
      </rPr>
      <t>OFCI</t>
    </r>
  </si>
  <si>
    <t>WALL PROTECTION</t>
  </si>
  <si>
    <t>9'-4"H Metal Corner Guard</t>
  </si>
  <si>
    <t>Size: 1"
Color: Pewter</t>
  </si>
  <si>
    <t>9'-6"H Metal Corner Guard</t>
  </si>
  <si>
    <t>11'-6"H Metal Corner Guard</t>
  </si>
  <si>
    <t>FIRE PROTECTION SPECIALTIES</t>
  </si>
  <si>
    <t>Fire Extinguisher on Bracket</t>
  </si>
  <si>
    <t>SIGNAGES</t>
  </si>
  <si>
    <t>Restroom Signage</t>
  </si>
  <si>
    <t>Size: 1'-4" D x 1'-2 1/2" H
Grade II Braille</t>
  </si>
  <si>
    <t>Accessibility Signage</t>
  </si>
  <si>
    <t>Exit Signage</t>
  </si>
  <si>
    <t>Size: 6" D x 9" H
Grade II Braille</t>
  </si>
  <si>
    <t>FURNITURES</t>
  </si>
  <si>
    <r>
      <rPr>
        <sz val="11"/>
        <color rgb="FF000000"/>
        <rFont val="Calibri, sans-serif"/>
      </rPr>
      <t xml:space="preserve">Chair - Cafe Daphine Upholstered - </t>
    </r>
    <r>
      <rPr>
        <b/>
        <sz val="11"/>
        <color rgb="FF000000"/>
        <rFont val="Calibri, sans-serif"/>
      </rPr>
      <t>OFCI</t>
    </r>
  </si>
  <si>
    <t>Color: Black and Caramel Brown Natural WD0035 F0008</t>
  </si>
  <si>
    <r>
      <rPr>
        <sz val="11"/>
        <color rgb="FF000000"/>
        <rFont val="Calibri, sans-serif"/>
      </rPr>
      <t xml:space="preserve">Chair - Cafe Hans 2.0 - </t>
    </r>
    <r>
      <rPr>
        <b/>
        <sz val="11"/>
        <color rgb="FF000000"/>
        <rFont val="Calibri, sans-serif"/>
      </rPr>
      <t>OFCI</t>
    </r>
  </si>
  <si>
    <t>Color: Mottled Grey</t>
  </si>
  <si>
    <r>
      <rPr>
        <sz val="11"/>
        <color rgb="FF000000"/>
        <rFont val="Calibri, sans-serif"/>
      </rPr>
      <t xml:space="preserve">Chair - Cafe Peggy - </t>
    </r>
    <r>
      <rPr>
        <b/>
        <sz val="11"/>
        <color rgb="FF000000"/>
        <rFont val="Calibri, sans-serif"/>
      </rPr>
      <t>OFCI</t>
    </r>
  </si>
  <si>
    <t>Color: Black WD0035</t>
  </si>
  <si>
    <r>
      <rPr>
        <sz val="11"/>
        <color rgb="FF000000"/>
        <rFont val="Calibri, sans-serif"/>
      </rPr>
      <t xml:space="preserve">Chair - Cafe Peggy Upholstered - </t>
    </r>
    <r>
      <rPr>
        <b/>
        <sz val="11"/>
        <color rgb="FF000000"/>
        <rFont val="Calibri, sans-serif"/>
      </rPr>
      <t>OFCI</t>
    </r>
  </si>
  <si>
    <t>Color: Walnut and Caramel Brown Natural WD0077 F0008</t>
  </si>
  <si>
    <r>
      <rPr>
        <sz val="11"/>
        <color rgb="FF000000"/>
        <rFont val="Calibri, sans-serif"/>
      </rPr>
      <t xml:space="preserve">Chair - Lounge Hans 2.0 -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</si>
  <si>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Chair - Lounge Lottie - </t>
    </r>
    <r>
      <rPr>
        <b/>
        <sz val="11"/>
        <color rgb="FF000000"/>
        <rFont val="Calibri, sans-serif"/>
      </rPr>
      <t>OFCI</t>
    </r>
  </si>
  <si>
    <t>Color: Banker Saddle</t>
  </si>
  <si>
    <r>
      <rPr>
        <sz val="11"/>
        <color rgb="FF000000"/>
        <rFont val="Calibri, sans-serif"/>
      </rPr>
      <t xml:space="preserve">Chair - Lounge Moon- </t>
    </r>
    <r>
      <rPr>
        <b/>
        <sz val="11"/>
        <color rgb="FF000000"/>
        <rFont val="Calibri, sans-serif"/>
      </rPr>
      <t>OFCI</t>
    </r>
  </si>
  <si>
    <t>Color: Black and Caramel Brown Natural MT0028 F0008</t>
  </si>
  <si>
    <r>
      <rPr>
        <sz val="11"/>
        <color rgb="FF000000"/>
        <rFont val="Calibri, sans-serif"/>
      </rPr>
      <t xml:space="preserve">Chair - Managers Workstation- </t>
    </r>
    <r>
      <rPr>
        <b/>
        <sz val="11"/>
        <color rgb="FF000000"/>
        <rFont val="Calibri, sans-serif"/>
      </rPr>
      <t>OFCI</t>
    </r>
  </si>
  <si>
    <t>Steelcase Series One Armless</t>
  </si>
  <si>
    <r>
      <rPr>
        <sz val="11"/>
        <color rgb="FF000000"/>
        <rFont val="Calibri, sans-serif"/>
      </rPr>
      <t xml:space="preserve">Chair - Stool - Counter Height Peggy Upholstered-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</si>
  <si>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Chair - Stool Bar Height Mater- </t>
    </r>
    <r>
      <rPr>
        <b/>
        <sz val="11"/>
        <color rgb="FF000000"/>
        <rFont val="Calibri, sans-serif"/>
      </rPr>
      <t>OFCI</t>
    </r>
  </si>
  <si>
    <t>Color: Dark Stained Oak</t>
  </si>
  <si>
    <r>
      <rPr>
        <sz val="11"/>
        <color rgb="FF000000"/>
        <rFont val="Calibri, sans-serif"/>
      </rPr>
      <t xml:space="preserve">Chair - Stool Counter Height Peggy-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</si>
  <si>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Desk - Managers Workstation- </t>
    </r>
    <r>
      <rPr>
        <b/>
        <sz val="11"/>
        <color rgb="FF000000"/>
        <rFont val="Calibri, sans-serif"/>
      </rPr>
      <t>OFCI</t>
    </r>
  </si>
  <si>
    <t>Size: 48"x24"27"</t>
  </si>
  <si>
    <r>
      <rPr>
        <sz val="11"/>
        <color rgb="FF000000"/>
        <rFont val="Calibri, sans-serif"/>
      </rPr>
      <t xml:space="preserve">Desk - Managers Workstation Shelves-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</si>
  <si>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File Mobile Pedestal with Cushion and Lock-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</si>
  <si>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Hamilton Leather Sofa- </t>
    </r>
    <r>
      <rPr>
        <b/>
        <sz val="11"/>
        <color rgb="FF000000"/>
        <rFont val="Calibri, sans-serif"/>
      </rPr>
      <t>OFCI</t>
    </r>
  </si>
  <si>
    <t>West Elm - Burnt Sienna #5942664</t>
  </si>
  <si>
    <r>
      <rPr>
        <sz val="11"/>
        <color rgb="FF000000"/>
        <rFont val="Calibri, sans-serif"/>
      </rPr>
      <t xml:space="preserve">Managers Desk Cart- </t>
    </r>
    <r>
      <rPr>
        <b/>
        <sz val="11"/>
        <color rgb="FF000000"/>
        <rFont val="Calibri, sans-serif"/>
      </rPr>
      <t>OFCI</t>
    </r>
  </si>
  <si>
    <t>Size: 24"x20"</t>
  </si>
  <si>
    <r>
      <rPr>
        <sz val="11"/>
        <color rgb="FF000000"/>
        <rFont val="Calibri, sans-serif"/>
      </rPr>
      <t xml:space="preserve">Organic Modular Table- </t>
    </r>
    <r>
      <rPr>
        <b/>
        <sz val="11"/>
        <color rgb="FF000000"/>
        <rFont val="Calibri, sans-serif"/>
      </rPr>
      <t>OFCI</t>
    </r>
  </si>
  <si>
    <t>West Elm - Large, Dark Walnut #2439505</t>
  </si>
  <si>
    <t>Storytelling Accessories Package</t>
  </si>
  <si>
    <r>
      <rPr>
        <sz val="11"/>
        <color rgb="FF000000"/>
        <rFont val="Calibri, sans-serif"/>
      </rPr>
      <t xml:space="preserve">Table - Accessible Metal with Tapered Legs - </t>
    </r>
    <r>
      <rPr>
        <b/>
        <sz val="11"/>
        <color rgb="FF000000"/>
        <rFont val="Calibri, sans-serif"/>
      </rPr>
      <t>OFCI</t>
    </r>
  </si>
  <si>
    <t>Size: 36"x24"
Color: Black MT0028</t>
  </si>
  <si>
    <r>
      <rPr>
        <sz val="11"/>
        <color rgb="FF000000"/>
        <rFont val="Calibri, sans-serif"/>
      </rPr>
      <t xml:space="preserve">Table - Base Accessible Post Leg Square - </t>
    </r>
    <r>
      <rPr>
        <b/>
        <sz val="11"/>
        <color rgb="FF000000"/>
        <rFont val="Calibri, sans-serif"/>
      </rPr>
      <t>OFCI</t>
    </r>
  </si>
  <si>
    <t>Color: Flat Black MT0028</t>
  </si>
  <si>
    <r>
      <rPr>
        <sz val="11"/>
        <color rgb="FF000000"/>
        <rFont val="Calibri, sans-serif"/>
      </rPr>
      <t xml:space="preserve">Table - Base Bar Height POV 463 - </t>
    </r>
    <r>
      <rPr>
        <b/>
        <sz val="11"/>
        <color rgb="FF000000"/>
        <rFont val="Calibri, sans-serif"/>
      </rPr>
      <t>OFCI</t>
    </r>
  </si>
  <si>
    <t>Color: Nougat</t>
  </si>
  <si>
    <r>
      <rPr>
        <sz val="11"/>
        <color rgb="FF000000"/>
        <rFont val="Calibri, sans-serif"/>
      </rPr>
      <t xml:space="preserve">Table - Base Cafe Height Bottle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</si>
  <si>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Table - Base Continental Height Bottle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</si>
  <si>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Table - Base Fixed T Base End - </t>
    </r>
    <r>
      <rPr>
        <b/>
        <sz val="11"/>
        <color rgb="FF000000"/>
        <rFont val="Calibri, sans-serif"/>
      </rPr>
      <t>OFCI</t>
    </r>
  </si>
  <si>
    <t>Size: 32"
Color: Flat Black MT0028</t>
  </si>
  <si>
    <r>
      <rPr>
        <sz val="11"/>
        <color rgb="FF000000"/>
        <rFont val="Calibri, sans-serif"/>
      </rPr>
      <t xml:space="preserve">Table - Cafe Metal Pedestal Base Square - </t>
    </r>
    <r>
      <rPr>
        <b/>
        <sz val="11"/>
        <color rgb="FF000000"/>
        <rFont val="Calibri, sans-serif"/>
      </rPr>
      <t>OFCI</t>
    </r>
  </si>
  <si>
    <t>Size: 24"
Color: Black MT0028</t>
  </si>
  <si>
    <r>
      <rPr>
        <sz val="11"/>
        <color rgb="FF000000"/>
        <rFont val="Calibri, sans-serif"/>
      </rPr>
      <t xml:space="preserve">Table - Community Counter Height Angle Base - 12 Seat - </t>
    </r>
    <r>
      <rPr>
        <b/>
        <sz val="11"/>
        <color rgb="FF000000"/>
        <rFont val="Calibri, sans-serif"/>
      </rPr>
      <t>OFCI</t>
    </r>
  </si>
  <si>
    <t>Color: Power Walnut WD0077</t>
  </si>
  <si>
    <r>
      <rPr>
        <sz val="11"/>
        <color rgb="FF000000"/>
        <rFont val="Calibri, sans-serif"/>
      </rPr>
      <t xml:space="preserve">Table - Console Table - </t>
    </r>
    <r>
      <rPr>
        <b/>
        <sz val="11"/>
        <color rgb="FF000000"/>
        <rFont val="Calibri, sans-serif"/>
      </rPr>
      <t>OFCI</t>
    </r>
  </si>
  <si>
    <t>West Elm - Parker Marble Console 60" Marble &amp; Walnut SKU: 6553487</t>
  </si>
  <si>
    <r>
      <rPr>
        <sz val="11"/>
        <color rgb="FF000000"/>
        <rFont val="Calibri, sans-serif"/>
      </rPr>
      <t xml:space="preserve">Table - Occasional Cocktail Cameron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</si>
  <si>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Table - Occasional Side Wing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</si>
  <si>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Table - Occassional Coffee Organic Modular Table - </t>
    </r>
    <r>
      <rPr>
        <b/>
        <sz val="11"/>
        <color rgb="FF000000"/>
        <rFont val="Calibri, sans-serif"/>
      </rPr>
      <t>OFCI</t>
    </r>
  </si>
  <si>
    <t>West Elm - Small, Dark Walnut #8066175</t>
  </si>
  <si>
    <r>
      <rPr>
        <sz val="11"/>
        <color rgb="FF000000"/>
        <rFont val="Calibri, sans-serif"/>
      </rPr>
      <t xml:space="preserve">Table - Top Accessible for Post Leg Round - </t>
    </r>
    <r>
      <rPr>
        <b/>
        <sz val="11"/>
        <color rgb="FF000000"/>
        <rFont val="Calibri, sans-serif"/>
      </rPr>
      <t>OFCI</t>
    </r>
  </si>
  <si>
    <t>Size:46"
Color: Walnut WD0077</t>
  </si>
  <si>
    <r>
      <rPr>
        <sz val="11"/>
        <color rgb="FF000000"/>
        <rFont val="Calibri, sans-serif"/>
      </rPr>
      <t xml:space="preserve">Table - Top POV Circle - </t>
    </r>
    <r>
      <rPr>
        <b/>
        <sz val="11"/>
        <color rgb="FF000000"/>
        <rFont val="Calibri, sans-serif"/>
      </rPr>
      <t>OFCI</t>
    </r>
  </si>
  <si>
    <t>Size: 27.5"
Color: Nougat</t>
  </si>
  <si>
    <r>
      <rPr>
        <sz val="11"/>
        <color rgb="FF000000"/>
        <rFont val="Calibri, sans-serif"/>
      </rPr>
      <t xml:space="preserve">Table - Top Round Edge Round - </t>
    </r>
    <r>
      <rPr>
        <b/>
        <sz val="11"/>
        <color rgb="FF000000"/>
        <rFont val="Calibri, sans-serif"/>
      </rPr>
      <t>OFCI</t>
    </r>
  </si>
  <si>
    <t>Size: 30"
Color Walnut WD0077</t>
  </si>
  <si>
    <r>
      <rPr>
        <sz val="11"/>
        <color rgb="FF000000"/>
        <rFont val="Calibri, sans-serif"/>
      </rPr>
      <t xml:space="preserve">Table - Top Round Edge Square - </t>
    </r>
    <r>
      <rPr>
        <b/>
        <sz val="11"/>
        <color rgb="FF000000"/>
        <rFont val="Calibri, sans-serif"/>
      </rPr>
      <t>OFCI</t>
    </r>
  </si>
  <si>
    <t>Size: 24"
Color: Black WD0035</t>
  </si>
  <si>
    <r>
      <rPr>
        <sz val="11"/>
        <color rgb="FF000000"/>
        <rFont val="Calibri, sans-serif"/>
      </rPr>
      <t xml:space="preserve">Table - Top Variable Length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</si>
  <si>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15" 5 Comp Locker - </t>
    </r>
    <r>
      <rPr>
        <b/>
        <sz val="11"/>
        <color rgb="FF000000"/>
        <rFont val="Calibri, sans-serif"/>
      </rPr>
      <t>OFCI</t>
    </r>
  </si>
  <si>
    <t>Size: 15"</t>
  </si>
  <si>
    <r>
      <rPr>
        <sz val="11"/>
        <color rgb="FF000000"/>
        <rFont val="Calibri, sans-serif"/>
      </rPr>
      <t xml:space="preserve">93" Power Strip - </t>
    </r>
    <r>
      <rPr>
        <b/>
        <sz val="11"/>
        <color rgb="FF000000"/>
        <rFont val="Calibri, sans-serif"/>
      </rPr>
      <t>OFCI</t>
    </r>
  </si>
  <si>
    <r>
      <rPr>
        <sz val="11"/>
        <color rgb="FF000000"/>
        <rFont val="Calibri, sans-serif"/>
      </rPr>
      <t xml:space="preserve">Partner Work Center - </t>
    </r>
    <r>
      <rPr>
        <b/>
        <sz val="11"/>
        <color rgb="FF000000"/>
        <rFont val="Calibri, sans-serif"/>
      </rPr>
      <t>OFCI</t>
    </r>
  </si>
  <si>
    <t>Rough Framing</t>
  </si>
  <si>
    <t>1.A Typical Wall Framing Takeoff</t>
  </si>
  <si>
    <t>Total LF/QTY (Planswift data and rounded up)</t>
  </si>
  <si>
    <t>OC Spacing (in.) Use 16"OC, UNO</t>
  </si>
  <si>
    <t>BOTTOM AND TOP PLATE, BLOCKING (LF)</t>
  </si>
  <si>
    <t>2 x 6 FRT</t>
  </si>
  <si>
    <t>2x4 FRT</t>
  </si>
  <si>
    <t>1x4 FRT</t>
  </si>
  <si>
    <t>2x10 FRT</t>
  </si>
  <si>
    <t>1F</t>
  </si>
  <si>
    <t>2x6 FRT Blocking</t>
  </si>
  <si>
    <t>1x4 FRT Wood Blocking (5|I509)</t>
  </si>
  <si>
    <t>1x4x9' FRT Wood Blocking (5|I509)</t>
  </si>
  <si>
    <t>1x4x10' FRT Wood Blocking (5|I509)</t>
  </si>
  <si>
    <t>2x4x3' FRT Vert.Blocking (6|1501)</t>
  </si>
  <si>
    <t>2x10 FRT Blocking</t>
  </si>
  <si>
    <t>1.B Structural Wall Framing Takeoff</t>
  </si>
  <si>
    <t>Sheathing Height (FT)</t>
  </si>
  <si>
    <t>SHEATHING (4'x8') (SF)</t>
  </si>
  <si>
    <t>3/4" x 4' x 8' Plywood</t>
  </si>
  <si>
    <t>3/4" Plywood Backing (H=8') (2|I502)</t>
  </si>
  <si>
    <t>3/4" Plywood Backing (2|I503)</t>
  </si>
  <si>
    <t>M A T E R I A L S U M M A R Y</t>
  </si>
  <si>
    <t>Studs Specie</t>
  </si>
  <si>
    <t>SYP#2</t>
  </si>
  <si>
    <t>Qty</t>
  </si>
  <si>
    <t>Unit</t>
  </si>
  <si>
    <t>LUMBER</t>
  </si>
  <si>
    <t>Misc. Blockings</t>
  </si>
  <si>
    <t>2" x 6" x 16' SYP#2 FRT</t>
  </si>
  <si>
    <t>Blocking at Wall</t>
  </si>
  <si>
    <t>2" x 4" x 16' SYP#2 FRT</t>
  </si>
  <si>
    <t>2" x 10" x 16' SYP#2 FRT</t>
  </si>
  <si>
    <t>1" x 4" x 16' SYP#2 FRT</t>
  </si>
  <si>
    <t>Blocking at Door Headers &amp; Jambs</t>
  </si>
  <si>
    <t>Plywood Backing</t>
  </si>
  <si>
    <t>Paint Coverages Area/Gallon</t>
  </si>
  <si>
    <t>Primer</t>
  </si>
  <si>
    <t>250SF/gal</t>
  </si>
  <si>
    <t>Paint</t>
  </si>
  <si>
    <t>300SF/gal</t>
  </si>
  <si>
    <t>WALL FINISHES (INTERIOR)</t>
  </si>
  <si>
    <t>Length</t>
  </si>
  <si>
    <t>Height</t>
  </si>
  <si>
    <t>Sides</t>
  </si>
  <si>
    <t>Finish</t>
  </si>
  <si>
    <t>Brick, x0407</t>
  </si>
  <si>
    <t>Wall Cladding, MAD100</t>
  </si>
  <si>
    <t>Wall Cladding, MAD100-V</t>
  </si>
  <si>
    <t>Wall Cladding, MAD200</t>
  </si>
  <si>
    <t>Wall Covering, X0403</t>
  </si>
  <si>
    <t>Wall Covering, X0811</t>
  </si>
  <si>
    <t>PT on Gypsum, SW7030</t>
  </si>
  <si>
    <t>PT on Gypsum, SW7048</t>
  </si>
  <si>
    <t>Primer on FRP</t>
  </si>
  <si>
    <t>CEILING FINISHES</t>
  </si>
  <si>
    <t>PT on Existing Gypsum, SW7030</t>
  </si>
  <si>
    <t>PT on Gypsum, SW9090-F</t>
  </si>
  <si>
    <t>PT on Gypsum, SW9090-ES</t>
  </si>
  <si>
    <t>PT on Gypsum, Undefined</t>
  </si>
  <si>
    <t>Paint to Open to Structure, SW7048</t>
  </si>
  <si>
    <t>Acoustical Baffle x0205</t>
  </si>
  <si>
    <t>Acoustical Baffle x0206</t>
  </si>
  <si>
    <t>Coffered Panel</t>
  </si>
  <si>
    <t>2x4 ACT Tile</t>
  </si>
  <si>
    <t>ACT Wall Moulding</t>
  </si>
  <si>
    <t>DOOR AND DOOR FRAME</t>
  </si>
  <si>
    <t>no. of Doors</t>
  </si>
  <si>
    <t>Width</t>
  </si>
  <si>
    <t>Frame Perimeter</t>
  </si>
  <si>
    <t>4' x 7' Exterior Single Leaf Door</t>
  </si>
  <si>
    <t>SW7047</t>
  </si>
  <si>
    <t>3' x 7' Interior Single Leaf Door</t>
  </si>
  <si>
    <t>SW6258</t>
  </si>
  <si>
    <t>MISCELLANEOUS ITEMS</t>
  </si>
  <si>
    <t>METAL</t>
  </si>
  <si>
    <t>1" Metal Angle Corner Guard</t>
  </si>
  <si>
    <t>1" FRP Corner Guard</t>
  </si>
  <si>
    <t>SUMMARY</t>
  </si>
  <si>
    <t>WASTE ADD-ON</t>
  </si>
  <si>
    <t>Typical Productivity</t>
  </si>
  <si>
    <t>MH/UNIT</t>
  </si>
  <si>
    <t>TOTAL MANHOUR</t>
  </si>
  <si>
    <t>Duration Target</t>
  </si>
  <si>
    <t>days</t>
  </si>
  <si>
    <t>THIN BRICK CLADDING - EL DORADO STONE - TUNDRABRICK RIVERBED - LIGHT BUFF MORTAR</t>
  </si>
  <si>
    <t>SF/HR</t>
  </si>
  <si>
    <t>Workday</t>
  </si>
  <si>
    <t>hours</t>
  </si>
  <si>
    <t>WOOD - WALNUT</t>
  </si>
  <si>
    <t>Total Hour</t>
  </si>
  <si>
    <t>manhours</t>
  </si>
  <si>
    <t>WOOD - BLACK - PLANK - VERTICAL</t>
  </si>
  <si>
    <t>Crew Size</t>
  </si>
  <si>
    <t>workers</t>
  </si>
  <si>
    <t>WOOD - BLACK - ROUNDED SLAT - VERTICAL</t>
  </si>
  <si>
    <t>WALL COVERING - MOMENTUM - CAMBRIAN - SLATE</t>
  </si>
  <si>
    <t>3/4" WOOD VENEER PANEL</t>
  </si>
  <si>
    <t>Wall Projection</t>
  </si>
  <si>
    <t>FRP - White</t>
  </si>
  <si>
    <t>SOFTSPAN 24" ACOUSTICAL BAFFLE SYSTEM W/ PERIMETER BEAMS/CORNERS AND COFFERED PANELS, SOFT SOUND WOOD TEXTURE ACOUSTIC PET, AMERICAN WALNUT</t>
  </si>
  <si>
    <t>SOFTSPAN 48" ACOUSTICAL BAFFLE SYSTEM W/ PERIMETER BEAMS/CORNERS, SOFT SOUND WOOD TEXTURE ACOUSTIC PET, AMERICAN WALNUT</t>
  </si>
  <si>
    <t>ARMSTRONG - OPTIMA HEALTH ZONE 3115 (WHITE), SQUARE LAY-IN 15/16 W/GRID TO MATCH</t>
  </si>
  <si>
    <t>ARMSTRONG PRELUDE XL MAIN RUNNERS 12 FT</t>
  </si>
  <si>
    <t>EA/HR</t>
  </si>
  <si>
    <t>ARMSTRONG 4 FOOT TEES</t>
  </si>
  <si>
    <t>7/8" X 7/8" WALL MOLDING 12 FT.</t>
  </si>
  <si>
    <t>HANGER WIRE 12GA, 12FT.</t>
  </si>
  <si>
    <t>INTERIOR PAINT</t>
  </si>
  <si>
    <t>Primer, 1 Coat</t>
  </si>
  <si>
    <t>to Gypsum Board</t>
  </si>
  <si>
    <t>CP-1</t>
  </si>
  <si>
    <t>to Open to Structure</t>
  </si>
  <si>
    <t>Paint Finish, 2 Coats</t>
  </si>
  <si>
    <t>Walls</t>
  </si>
  <si>
    <t>PT on Gypsum Board</t>
  </si>
  <si>
    <t>ANEW GREY, SW7030, Eggshell Finish</t>
  </si>
  <si>
    <t>URBANE BRONZE, SW7048, Flat Finish</t>
  </si>
  <si>
    <t>Ceilings</t>
  </si>
  <si>
    <t>CARAIBE, SW9090, Eggshell Finish</t>
  </si>
  <si>
    <t>CARAIBE, SW9090, Flat Finish</t>
  </si>
  <si>
    <t>UNDEFINED</t>
  </si>
  <si>
    <t>Paint on Open to Structure</t>
  </si>
  <si>
    <t xml:space="preserve">DOORS </t>
  </si>
  <si>
    <t xml:space="preserve">3' x 7' Interior Single Leaf Door </t>
  </si>
  <si>
    <t>SW7047, Semi-Gloss Finish</t>
  </si>
  <si>
    <t xml:space="preserve">4' x 7' Interior Single Leaf Door </t>
  </si>
  <si>
    <t>DOORS FRAMES</t>
  </si>
  <si>
    <t>3' x 7' Interior Single Leaf Door Frame</t>
  </si>
  <si>
    <t>4' x 7' Interior Single Leaf Door Frame</t>
  </si>
  <si>
    <t>SW6258, Semi-Gloss Finish</t>
  </si>
  <si>
    <t>LF/HR</t>
  </si>
  <si>
    <t>QTY (EA)</t>
  </si>
  <si>
    <t>Total Material</t>
  </si>
  <si>
    <t>Unit Labor</t>
  </si>
  <si>
    <t>Total Labor</t>
  </si>
  <si>
    <t>DOORS</t>
  </si>
  <si>
    <t>TYPE D1, HM FRAME - 3'-0' x 7'-0'</t>
  </si>
  <si>
    <t>TYPE D2, HM FRAME - 16'-0' x 14'-0'</t>
  </si>
  <si>
    <t>TYPE D2, HM FRAME - 20'-0' x 14'-0'</t>
  </si>
  <si>
    <t>Starbucks - Exterior Siding Takeoffs</t>
  </si>
  <si>
    <t>1620 S University Dr, Fort Worth, TX 76107</t>
  </si>
  <si>
    <t>EXTERIOR SIDINGS</t>
  </si>
  <si>
    <t>NOTE:</t>
  </si>
  <si>
    <t>Only Patching and repair area were considered in takeoffs.</t>
  </si>
  <si>
    <t>Brick Veneer considered in the takeoffs as per plan.</t>
  </si>
  <si>
    <t>EXTERIOR- Windows and Doors</t>
  </si>
  <si>
    <t>Description/Type Windows</t>
  </si>
  <si>
    <t>Width (FT')</t>
  </si>
  <si>
    <t>Height (FT')</t>
  </si>
  <si>
    <t>LF w/o Sill</t>
  </si>
  <si>
    <t>Total LF Surround</t>
  </si>
  <si>
    <t>Total LF Top</t>
  </si>
  <si>
    <t>Total LF Sill</t>
  </si>
  <si>
    <t>Total Window/Door Tape</t>
  </si>
  <si>
    <t>SUM</t>
  </si>
  <si>
    <t>Description/Type Doors</t>
  </si>
  <si>
    <t>Total LF Threshold</t>
  </si>
  <si>
    <t>Sidings</t>
  </si>
  <si>
    <t>Size / O.C. Spacing</t>
  </si>
  <si>
    <t>Veneer Siding</t>
  </si>
  <si>
    <t>Brick Veneer</t>
  </si>
  <si>
    <t>Patching and Repair</t>
  </si>
  <si>
    <t>Siding</t>
  </si>
  <si>
    <t>BASE TAKEOFF</t>
  </si>
  <si>
    <t>Project:</t>
  </si>
  <si>
    <t>Waynesville</t>
  </si>
  <si>
    <t>Address:</t>
  </si>
  <si>
    <t>200 Fleetwood Drive, Waynesville, Missouri 65583</t>
  </si>
  <si>
    <t>Date of Plans</t>
  </si>
  <si>
    <t>Date of Bid</t>
  </si>
  <si>
    <t xml:space="preserve">EXTERIOR FINISHES </t>
  </si>
  <si>
    <t>Exterior Patio Railing Finishes, 2 Coats Stain</t>
  </si>
  <si>
    <t>3' H Patio Railing (at Patio)(Painted)(x2)</t>
  </si>
  <si>
    <t>Exterior Patio Railings</t>
  </si>
  <si>
    <t>Exterior Patio Post Finishes, Primer + 2 Coats Paint</t>
  </si>
  <si>
    <t>3" Dia Patio Post (Painted)(2x)</t>
  </si>
  <si>
    <t>4-1/2" Dia Patio Post (Painted)(2x)</t>
  </si>
  <si>
    <t>Exterior Patio Post</t>
  </si>
  <si>
    <t>Painting:</t>
  </si>
  <si>
    <t>Two coats of stain paint are considered for the Exterior Patio Railings.</t>
  </si>
  <si>
    <t>One coat of primer and two coats of paint are considered for the Exterior Patio Posts.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</si>
</sst>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164" formatCode="_-* #,##0.00_-;\-* #,##0.00_-;_-* &quot;-&quot;??_-;_-@"/>
    <numFmt numFmtId="165" formatCode="mmmm\ yyyy"/>
    <numFmt numFmtId="166" formatCode="&quot;$&quot;#,##0.00"/>
    <numFmt numFmtId="167" formatCode="0\ &quot;SF&quot;"/>
    <numFmt numFmtId="168" formatCode="_([$$-409]* #,##0.00_);_([$$-409]* \(#,##0.00\);_([$$-409]* &quot;-&quot;??_);_(@_)"/>
    <numFmt numFmtId="169" formatCode="0.0"/>
    <numFmt numFmtId="170" formatCode="_([$$-409]* #,##0_);_([$$-409]* \(#,##0\);_([$$-409]* &quot;-&quot;??_);_(@_)"/>
    <numFmt numFmtId="171" formatCode="m/d"/>
    <numFmt numFmtId="172" formatCode="0\ &quot;CY&quot;"/>
    <numFmt numFmtId="173" formatCode="#,##0\ &quot;SF&quot;"/>
    <numFmt numFmtId="174" formatCode="#,##0\ &quot;EA&quot;"/>
    <numFmt numFmtId="175" formatCode="_-* #,##0.0_-;\-* #,##0.0_-;_-* &quot;-&quot;??_-;_-@"/>
  </numFmts>
  <fonts count="85">
    <font>
      <sz val="11"/>
      <color theme="1"/>
      <name val="Arial"/>
      <scheme val="minor"/>
    </font>
    <font>
      <sz val="11"/>
      <color theme="1"/>
      <name val="Tahoma"/>
    </font>
    <font>
      <b/>
      <sz val="16"/>
      <color theme="1"/>
      <name val="Tahoma"/>
    </font>
    <font>
      <b/>
      <sz val="11"/>
      <color theme="1"/>
      <name val="Tahoma"/>
    </font>
    <font>
      <sz val="11"/>
      <color rgb="FF000000"/>
      <name val="Tahoma"/>
    </font>
    <font>
      <sz val="11"/>
      <color theme="1"/>
      <name val="Calibri"/>
    </font>
    <font>
      <b/>
      <sz val="20"/>
      <color theme="1"/>
      <name val="Tahoma"/>
    </font>
    <font>
      <sz val="12"/>
      <color theme="1"/>
      <name val="Tahoma"/>
    </font>
    <font>
      <b/>
      <sz val="12"/>
      <color theme="1"/>
      <name val="Tahoma"/>
    </font>
    <font>
      <sz val="11"/>
      <name val="Arial"/>
    </font>
    <font>
      <sz val="10"/>
      <color theme="1"/>
      <name val="Tahoma"/>
    </font>
    <font>
      <b/>
      <sz val="10"/>
      <color theme="1"/>
      <name val="Tahoma"/>
    </font>
    <font>
      <sz val="11"/>
      <color theme="1"/>
      <name val="Calibri"/>
    </font>
    <font>
      <b/>
      <sz val="11"/>
      <color rgb="FF000000"/>
      <name val="Tahoma"/>
    </font>
    <font>
      <b/>
      <sz val="11"/>
      <color rgb="FF000000"/>
      <name val="Tahoma"/>
    </font>
    <font>
      <b/>
      <sz val="32"/>
      <color theme="1"/>
      <name val="Tahoma"/>
    </font>
    <font>
      <b/>
      <sz val="27"/>
      <color theme="1"/>
      <name val="Tahoma"/>
    </font>
    <font>
      <b/>
      <u/>
      <sz val="12"/>
      <color theme="1"/>
      <name val="Tahoma"/>
    </font>
    <font>
      <b/>
      <i/>
      <sz val="13"/>
      <color rgb="FF1C4587"/>
      <name val="Tahoma"/>
    </font>
    <font>
      <b/>
      <sz val="10"/>
      <color rgb="FF000000"/>
      <name val="Tahoma"/>
    </font>
    <font>
      <b/>
      <sz val="11"/>
      <color theme="1"/>
      <name val="Calibri"/>
    </font>
    <font>
      <b/>
      <sz val="11"/>
      <color theme="1"/>
      <name val="Calibri"/>
    </font>
    <font>
      <sz val="10"/>
      <color rgb="FF000000"/>
      <name val="Tahoma"/>
    </font>
    <font>
      <i/>
      <sz val="11"/>
      <color theme="1"/>
      <name val="Tahoma"/>
    </font>
    <font>
      <b/>
      <i/>
      <sz val="11"/>
      <color theme="1"/>
      <name val="Tahoma"/>
    </font>
    <font>
      <sz val="11"/>
      <color theme="1"/>
      <name val="Tahoma"/>
    </font>
    <font>
      <b/>
      <sz val="11"/>
      <color theme="1"/>
      <name val="Tahoma"/>
    </font>
    <font>
      <i/>
      <sz val="11"/>
      <color theme="1"/>
      <name val="Tahoma"/>
    </font>
    <font>
      <b/>
      <i/>
      <sz val="10"/>
      <color theme="1"/>
      <name val="Tahoma"/>
    </font>
    <font>
      <sz val="11"/>
      <color theme="1"/>
      <name val="Arial"/>
    </font>
    <font>
      <i/>
      <sz val="10"/>
      <color theme="1"/>
      <name val="Tahoma"/>
    </font>
    <font>
      <sz val="10"/>
      <color theme="1"/>
      <name val="Calibri"/>
    </font>
    <font>
      <b/>
      <sz val="14"/>
      <color theme="1"/>
      <name val="Tahoma"/>
    </font>
    <font>
      <b/>
      <sz val="13"/>
      <color theme="1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sz val="11"/>
      <color rgb="FF000000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sz val="11"/>
      <color rgb="FF000000"/>
      <name val="Calibri"/>
    </font>
    <font>
      <b/>
      <u/>
      <sz val="11"/>
      <color rgb="FF000000"/>
      <name val="Tahoma"/>
    </font>
    <font>
      <b/>
      <u/>
      <sz val="11"/>
      <color rgb="FF000000"/>
      <name val="Tahoma"/>
    </font>
    <font>
      <b/>
      <u/>
      <sz val="16"/>
      <color theme="1"/>
      <name val="Calibri"/>
    </font>
    <font>
      <sz val="11"/>
      <color theme="1"/>
      <name val="Arial"/>
      <scheme val="minor"/>
    </font>
    <font>
      <sz val="11"/>
      <color rgb="FF000000"/>
      <name val="Century Gothic"/>
    </font>
    <font>
      <b/>
      <sz val="11"/>
      <color rgb="FF000000"/>
      <name val="Century Gothic"/>
    </font>
    <font>
      <b/>
      <sz val="11"/>
      <color rgb="FFFF0000"/>
      <name val="Century Gothic"/>
    </font>
    <font>
      <b/>
      <sz val="16"/>
      <color rgb="FF000000"/>
      <name val="Century Gothic"/>
    </font>
    <font>
      <sz val="11"/>
      <color rgb="FFFF0000"/>
      <name val="Arial"/>
      <scheme val="minor"/>
    </font>
    <font>
      <sz val="11"/>
      <color rgb="FFFF0000"/>
      <name val="Century Gothic"/>
    </font>
    <font>
      <sz val="11"/>
      <color theme="1"/>
      <name val="Century Gothic"/>
    </font>
    <font>
      <sz val="12"/>
      <color rgb="FF000000"/>
      <name val="Century Gothic"/>
    </font>
    <font>
      <b/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b/>
      <sz val="11"/>
      <color theme="1"/>
      <name val="Arial"/>
      <scheme val="minor"/>
    </font>
    <font>
      <b/>
      <sz val="11"/>
      <color rgb="FF000000"/>
      <name val="Calibri"/>
    </font>
    <font>
      <b/>
      <sz val="14"/>
      <color rgb="FFFFFFFF"/>
      <name val="Consolas"/>
    </font>
    <font>
      <b/>
      <sz val="9"/>
      <color rgb="FFFFFFFF"/>
      <name val="&quot;\0022Century Gothic\0022&quot;"/>
    </font>
    <font>
      <b/>
      <i/>
      <sz val="11"/>
      <color rgb="FF000000"/>
      <name val="Calibri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rgb="FF9C0006"/>
      <name val="Calibri"/>
    </font>
    <font>
      <b/>
      <i/>
      <sz val="9"/>
      <color rgb="FF000000"/>
      <name val="Calibri"/>
    </font>
    <font>
      <i/>
      <sz val="11"/>
      <color rgb="FF000000"/>
      <name val="Calibri"/>
    </font>
    <font>
      <b/>
      <sz val="14"/>
      <color rgb="FFFFFFFF"/>
      <name val="Tahoma"/>
    </font>
    <font>
      <b/>
      <sz val="11"/>
      <color rgb="FFFF0000"/>
      <name val="Calibri"/>
    </font>
    <font>
      <sz val="11"/>
      <color rgb="FF000000"/>
      <name val="&quot;\0022Century Gothic\0022&quot;"/>
    </font>
    <font>
      <b/>
      <sz val="11"/>
      <color theme="1"/>
      <name val="&quot;Century Gothic&quot;"/>
    </font>
    <font>
      <b/>
      <sz val="9"/>
      <color rgb="FF000000"/>
      <name val="Tahoma"/>
    </font>
    <font>
      <b/>
      <sz val="16"/>
      <color theme="1"/>
      <name val="&quot;Century Gothic&quot;"/>
    </font>
    <font>
      <sz val="11"/>
      <color theme="1"/>
      <name val="&quot;Century Gothic&quot;"/>
    </font>
    <font>
      <b/>
      <u/>
      <sz val="11"/>
      <color theme="1"/>
      <name val="Tahoma"/>
    </font>
    <font>
      <sz val="11"/>
      <color rgb="FFCCCCCC"/>
      <name val="Tahoma"/>
    </font>
    <font>
      <b/>
      <sz val="11"/>
      <color rgb="FFFFFFFF"/>
      <name val="Tahoma"/>
    </font>
    <font>
      <sz val="11"/>
      <color rgb="FF999999"/>
      <name val="Tahoma"/>
    </font>
    <font>
      <sz val="11"/>
      <color rgb="FF000000"/>
      <name val="Calibri, sans-serif"/>
    </font>
    <font>
      <b/>
      <sz val="11"/>
      <color rgb="FF000000"/>
      <name val="Calibri, sans-serif"/>
    </font>
  </fonts>
  <fills count="3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DADADA"/>
        <bgColor rgb="FFDADADA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FCE4D6"/>
        <bgColor rgb="FFFCE4D6"/>
      </patternFill>
    </fill>
    <fill>
      <patternFill patternType="solid">
        <fgColor rgb="FFCAEDFB"/>
        <bgColor rgb="FFCAEDFB"/>
      </patternFill>
    </fill>
    <fill>
      <patternFill patternType="solid">
        <fgColor rgb="FF002060"/>
        <bgColor rgb="FF002060"/>
      </patternFill>
    </fill>
    <fill>
      <patternFill patternType="solid">
        <fgColor rgb="FF3C4B5E"/>
        <bgColor rgb="FF3C4B5E"/>
      </patternFill>
    </fill>
    <fill>
      <patternFill patternType="solid">
        <fgColor rgb="FFA6A6A6"/>
        <bgColor rgb="FFA6A6A6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F4B084"/>
        <bgColor rgb="FFF4B084"/>
      </patternFill>
    </fill>
    <fill>
      <patternFill patternType="solid">
        <fgColor rgb="FFFFF2CC"/>
        <bgColor rgb="FFFFF2CC"/>
      </patternFill>
    </fill>
    <fill>
      <patternFill patternType="solid">
        <fgColor rgb="FF203764"/>
        <bgColor rgb="FF203764"/>
      </patternFill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rgb="FF333F4F"/>
        <bgColor rgb="FF333F4F"/>
      </patternFill>
    </fill>
    <fill>
      <patternFill patternType="solid">
        <fgColor rgb="FF1C4587"/>
        <bgColor rgb="FF1C4587"/>
      </patternFill>
    </fill>
    <fill>
      <patternFill patternType="solid">
        <fgColor rgb="FFEAD1DC"/>
        <bgColor rgb="FFEAD1DC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164" fontId="3" fillId="4" borderId="2" xfId="0" applyNumberFormat="1" applyFont="1" applyFill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5" fillId="0" borderId="0" xfId="0" applyFont="1" applyAlignment="1">
      <alignment horizontal="center"/>
    </xf>
    <xf numFmtId="0" fontId="5" fillId="0" borderId="3" xfId="0" applyFont="1" applyBorder="1"/>
    <xf numFmtId="0" fontId="3" fillId="0" borderId="4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4" fontId="5" fillId="0" borderId="6" xfId="0" applyNumberFormat="1" applyFont="1" applyBorder="1" applyAlignment="1">
      <alignment horizontal="center"/>
    </xf>
    <xf numFmtId="0" fontId="5" fillId="4" borderId="6" xfId="0" applyFont="1" applyFill="1" applyBorder="1"/>
    <xf numFmtId="44" fontId="5" fillId="0" borderId="5" xfId="0" applyNumberFormat="1" applyFont="1" applyBorder="1"/>
    <xf numFmtId="44" fontId="7" fillId="0" borderId="6" xfId="0" applyNumberFormat="1" applyFont="1" applyBorder="1"/>
    <xf numFmtId="4" fontId="1" fillId="0" borderId="6" xfId="0" applyNumberFormat="1" applyFont="1" applyBorder="1" applyAlignment="1">
      <alignment horizontal="center"/>
    </xf>
    <xf numFmtId="44" fontId="1" fillId="4" borderId="6" xfId="0" applyNumberFormat="1" applyFont="1" applyFill="1" applyBorder="1" applyAlignment="1">
      <alignment horizontal="right"/>
    </xf>
    <xf numFmtId="0" fontId="5" fillId="5" borderId="3" xfId="0" applyFont="1" applyFill="1" applyBorder="1"/>
    <xf numFmtId="0" fontId="8" fillId="5" borderId="7" xfId="0" applyFont="1" applyFill="1" applyBorder="1" applyAlignment="1">
      <alignment horizontal="right"/>
    </xf>
    <xf numFmtId="0" fontId="5" fillId="7" borderId="0" xfId="0" applyFont="1" applyFill="1"/>
    <xf numFmtId="0" fontId="1" fillId="0" borderId="5" xfId="0" applyFont="1" applyBorder="1" applyAlignment="1">
      <alignment horizontal="right"/>
    </xf>
    <xf numFmtId="0" fontId="7" fillId="0" borderId="6" xfId="0" applyFont="1" applyBorder="1"/>
    <xf numFmtId="44" fontId="5" fillId="0" borderId="6" xfId="0" applyNumberFormat="1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0" fontId="10" fillId="0" borderId="0" xfId="0" applyNumberFormat="1" applyFont="1" applyAlignment="1">
      <alignment vertical="center"/>
    </xf>
    <xf numFmtId="4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1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1" fontId="11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10" fontId="19" fillId="0" borderId="2" xfId="0" applyNumberFormat="1" applyFont="1" applyBorder="1" applyAlignment="1">
      <alignment horizontal="center" vertical="center"/>
    </xf>
    <xf numFmtId="44" fontId="19" fillId="0" borderId="4" xfId="0" applyNumberFormat="1" applyFont="1" applyBorder="1" applyAlignment="1">
      <alignment horizontal="center" wrapText="1"/>
    </xf>
    <xf numFmtId="0" fontId="20" fillId="0" borderId="0" xfId="0" applyFont="1" applyAlignment="1">
      <alignment horizontal="center" vertical="center"/>
    </xf>
    <xf numFmtId="10" fontId="10" fillId="0" borderId="2" xfId="0" applyNumberFormat="1" applyFont="1" applyBorder="1" applyAlignment="1">
      <alignment vertical="center"/>
    </xf>
    <xf numFmtId="44" fontId="10" fillId="0" borderId="2" xfId="0" applyNumberFormat="1" applyFont="1" applyBorder="1" applyAlignment="1">
      <alignment vertical="center"/>
    </xf>
    <xf numFmtId="10" fontId="10" fillId="0" borderId="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3" fillId="3" borderId="13" xfId="0" applyFont="1" applyFill="1" applyBorder="1"/>
    <xf numFmtId="0" fontId="5" fillId="3" borderId="13" xfId="0" applyFont="1" applyFill="1" applyBorder="1"/>
    <xf numFmtId="1" fontId="5" fillId="3" borderId="13" xfId="0" applyNumberFormat="1" applyFont="1" applyFill="1" applyBorder="1"/>
    <xf numFmtId="167" fontId="5" fillId="3" borderId="13" xfId="0" applyNumberFormat="1" applyFont="1" applyFill="1" applyBorder="1"/>
    <xf numFmtId="168" fontId="5" fillId="3" borderId="13" xfId="0" applyNumberFormat="1" applyFont="1" applyFill="1" applyBorder="1"/>
    <xf numFmtId="168" fontId="5" fillId="3" borderId="13" xfId="0" applyNumberFormat="1" applyFont="1" applyFill="1" applyBorder="1" applyAlignment="1">
      <alignment horizontal="center"/>
    </xf>
    <xf numFmtId="0" fontId="5" fillId="0" borderId="12" xfId="0" applyFont="1" applyBorder="1"/>
    <xf numFmtId="10" fontId="1" fillId="0" borderId="2" xfId="0" applyNumberFormat="1" applyFont="1" applyBorder="1" applyAlignment="1">
      <alignment horizontal="center"/>
    </xf>
    <xf numFmtId="44" fontId="1" fillId="0" borderId="2" xfId="0" applyNumberFormat="1" applyFont="1" applyBorder="1" applyAlignment="1">
      <alignment horizontal="right"/>
    </xf>
    <xf numFmtId="0" fontId="21" fillId="0" borderId="0" xfId="0" applyFont="1" applyAlignment="1">
      <alignment vertical="center"/>
    </xf>
    <xf numFmtId="0" fontId="3" fillId="8" borderId="14" xfId="0" applyFont="1" applyFill="1" applyBorder="1" applyAlignment="1">
      <alignment horizontal="left" wrapText="1"/>
    </xf>
    <xf numFmtId="0" fontId="1" fillId="8" borderId="14" xfId="0" applyFont="1" applyFill="1" applyBorder="1" applyAlignment="1">
      <alignment horizontal="center" wrapText="1"/>
    </xf>
    <xf numFmtId="3" fontId="1" fillId="8" borderId="14" xfId="0" applyNumberFormat="1" applyFont="1" applyFill="1" applyBorder="1" applyAlignment="1">
      <alignment horizontal="center" wrapText="1"/>
    </xf>
    <xf numFmtId="168" fontId="1" fillId="8" borderId="14" xfId="0" applyNumberFormat="1" applyFont="1" applyFill="1" applyBorder="1" applyAlignment="1">
      <alignment horizontal="right"/>
    </xf>
    <xf numFmtId="168" fontId="1" fillId="8" borderId="14" xfId="0" applyNumberFormat="1" applyFont="1" applyFill="1" applyBorder="1" applyAlignment="1">
      <alignment horizontal="center"/>
    </xf>
    <xf numFmtId="0" fontId="1" fillId="8" borderId="14" xfId="0" applyFont="1" applyFill="1" applyBorder="1" applyAlignment="1">
      <alignment horizontal="left" wrapText="1"/>
    </xf>
    <xf numFmtId="0" fontId="10" fillId="8" borderId="14" xfId="0" applyFont="1" applyFill="1" applyBorder="1" applyAlignment="1">
      <alignment horizontal="center" wrapText="1"/>
    </xf>
    <xf numFmtId="3" fontId="10" fillId="8" borderId="14" xfId="0" applyNumberFormat="1" applyFont="1" applyFill="1" applyBorder="1" applyAlignment="1">
      <alignment horizontal="center" wrapText="1"/>
    </xf>
    <xf numFmtId="4" fontId="10" fillId="8" borderId="14" xfId="0" applyNumberFormat="1" applyFont="1" applyFill="1" applyBorder="1" applyAlignment="1">
      <alignment horizontal="center" vertical="center"/>
    </xf>
    <xf numFmtId="168" fontId="10" fillId="8" borderId="14" xfId="0" applyNumberFormat="1" applyFont="1" applyFill="1" applyBorder="1" applyAlignment="1">
      <alignment horizontal="center" vertical="center"/>
    </xf>
    <xf numFmtId="168" fontId="10" fillId="8" borderId="15" xfId="0" applyNumberFormat="1" applyFont="1" applyFill="1" applyBorder="1" applyAlignment="1">
      <alignment vertical="center"/>
    </xf>
    <xf numFmtId="1" fontId="22" fillId="8" borderId="14" xfId="0" applyNumberFormat="1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/>
    </xf>
    <xf numFmtId="168" fontId="10" fillId="8" borderId="14" xfId="0" applyNumberFormat="1" applyFont="1" applyFill="1" applyBorder="1" applyAlignment="1">
      <alignment horizontal="center"/>
    </xf>
    <xf numFmtId="168" fontId="1" fillId="8" borderId="15" xfId="0" applyNumberFormat="1" applyFont="1" applyFill="1" applyBorder="1" applyAlignment="1">
      <alignment horizontal="right"/>
    </xf>
    <xf numFmtId="0" fontId="5" fillId="9" borderId="16" xfId="0" applyFont="1" applyFill="1" applyBorder="1"/>
    <xf numFmtId="0" fontId="3" fillId="9" borderId="16" xfId="0" applyFont="1" applyFill="1" applyBorder="1" applyAlignment="1">
      <alignment horizontal="right"/>
    </xf>
    <xf numFmtId="1" fontId="3" fillId="9" borderId="16" xfId="0" applyNumberFormat="1" applyFont="1" applyFill="1" applyBorder="1" applyAlignment="1">
      <alignment horizontal="center"/>
    </xf>
    <xf numFmtId="168" fontId="5" fillId="9" borderId="16" xfId="0" applyNumberFormat="1" applyFont="1" applyFill="1" applyBorder="1"/>
    <xf numFmtId="168" fontId="23" fillId="9" borderId="16" xfId="0" applyNumberFormat="1" applyFont="1" applyFill="1" applyBorder="1" applyAlignment="1">
      <alignment horizontal="right"/>
    </xf>
    <xf numFmtId="168" fontId="23" fillId="9" borderId="16" xfId="0" applyNumberFormat="1" applyFont="1" applyFill="1" applyBorder="1" applyAlignment="1">
      <alignment horizontal="center"/>
    </xf>
    <xf numFmtId="168" fontId="3" fillId="9" borderId="16" xfId="0" applyNumberFormat="1" applyFont="1" applyFill="1" applyBorder="1" applyAlignment="1">
      <alignment horizontal="right"/>
    </xf>
    <xf numFmtId="10" fontId="5" fillId="0" borderId="2" xfId="0" applyNumberFormat="1" applyFont="1" applyBorder="1"/>
    <xf numFmtId="44" fontId="5" fillId="0" borderId="2" xfId="0" applyNumberFormat="1" applyFont="1" applyBorder="1"/>
    <xf numFmtId="9" fontId="25" fillId="0" borderId="3" xfId="0" applyNumberFormat="1" applyFont="1" applyBorder="1" applyAlignment="1">
      <alignment horizontal="center"/>
    </xf>
    <xf numFmtId="168" fontId="23" fillId="9" borderId="5" xfId="0" applyNumberFormat="1" applyFont="1" applyFill="1" applyBorder="1" applyAlignment="1">
      <alignment horizontal="right"/>
    </xf>
    <xf numFmtId="168" fontId="23" fillId="9" borderId="5" xfId="0" applyNumberFormat="1" applyFont="1" applyFill="1" applyBorder="1" applyAlignment="1">
      <alignment horizontal="center"/>
    </xf>
    <xf numFmtId="168" fontId="25" fillId="0" borderId="4" xfId="0" applyNumberFormat="1" applyFont="1" applyBorder="1" applyAlignment="1">
      <alignment horizontal="center"/>
    </xf>
    <xf numFmtId="167" fontId="5" fillId="6" borderId="3" xfId="0" applyNumberFormat="1" applyFont="1" applyFill="1" applyBorder="1"/>
    <xf numFmtId="168" fontId="5" fillId="6" borderId="3" xfId="0" applyNumberFormat="1" applyFont="1" applyFill="1" applyBorder="1"/>
    <xf numFmtId="168" fontId="5" fillId="6" borderId="3" xfId="0" applyNumberFormat="1" applyFont="1" applyFill="1" applyBorder="1" applyAlignment="1">
      <alignment horizontal="center"/>
    </xf>
    <xf numFmtId="168" fontId="8" fillId="6" borderId="4" xfId="0" applyNumberFormat="1" applyFont="1" applyFill="1" applyBorder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0" fontId="26" fillId="3" borderId="13" xfId="0" applyFont="1" applyFill="1" applyBorder="1"/>
    <xf numFmtId="0" fontId="11" fillId="8" borderId="14" xfId="0" applyFont="1" applyFill="1" applyBorder="1"/>
    <xf numFmtId="0" fontId="5" fillId="0" borderId="14" xfId="0" applyFont="1" applyBorder="1" applyAlignment="1">
      <alignment horizontal="center"/>
    </xf>
    <xf numFmtId="1" fontId="5" fillId="8" borderId="14" xfId="0" applyNumberFormat="1" applyFont="1" applyFill="1" applyBorder="1" applyAlignment="1">
      <alignment horizontal="center"/>
    </xf>
    <xf numFmtId="168" fontId="25" fillId="8" borderId="14" xfId="0" applyNumberFormat="1" applyFont="1" applyFill="1" applyBorder="1" applyAlignment="1">
      <alignment horizontal="right"/>
    </xf>
    <xf numFmtId="168" fontId="25" fillId="8" borderId="14" xfId="0" applyNumberFormat="1" applyFont="1" applyFill="1" applyBorder="1" applyAlignment="1">
      <alignment horizontal="center"/>
    </xf>
    <xf numFmtId="168" fontId="25" fillId="8" borderId="15" xfId="0" applyNumberFormat="1" applyFont="1" applyFill="1" applyBorder="1" applyAlignment="1">
      <alignment horizontal="right"/>
    </xf>
    <xf numFmtId="44" fontId="25" fillId="0" borderId="2" xfId="0" applyNumberFormat="1" applyFont="1" applyBorder="1" applyAlignment="1">
      <alignment horizontal="right"/>
    </xf>
    <xf numFmtId="0" fontId="10" fillId="8" borderId="14" xfId="0" applyFont="1" applyFill="1" applyBorder="1"/>
    <xf numFmtId="2" fontId="22" fillId="8" borderId="14" xfId="0" applyNumberFormat="1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26" fillId="9" borderId="16" xfId="0" applyFont="1" applyFill="1" applyBorder="1" applyAlignment="1">
      <alignment horizontal="right"/>
    </xf>
    <xf numFmtId="1" fontId="26" fillId="9" borderId="16" xfId="0" applyNumberFormat="1" applyFont="1" applyFill="1" applyBorder="1" applyAlignment="1">
      <alignment horizontal="center"/>
    </xf>
    <xf numFmtId="168" fontId="27" fillId="9" borderId="16" xfId="0" applyNumberFormat="1" applyFont="1" applyFill="1" applyBorder="1" applyAlignment="1">
      <alignment horizontal="right"/>
    </xf>
    <xf numFmtId="168" fontId="27" fillId="9" borderId="16" xfId="0" applyNumberFormat="1" applyFont="1" applyFill="1" applyBorder="1" applyAlignment="1">
      <alignment horizontal="center"/>
    </xf>
    <xf numFmtId="168" fontId="26" fillId="9" borderId="16" xfId="0" applyNumberFormat="1" applyFont="1" applyFill="1" applyBorder="1" applyAlignment="1">
      <alignment horizontal="right"/>
    </xf>
    <xf numFmtId="9" fontId="10" fillId="0" borderId="3" xfId="0" applyNumberFormat="1" applyFont="1" applyBorder="1" applyAlignment="1">
      <alignment horizontal="center" vertical="center"/>
    </xf>
    <xf numFmtId="168" fontId="10" fillId="4" borderId="17" xfId="0" applyNumberFormat="1" applyFont="1" applyFill="1" applyBorder="1" applyAlignment="1">
      <alignment vertical="center"/>
    </xf>
    <xf numFmtId="168" fontId="10" fillId="4" borderId="17" xfId="0" applyNumberFormat="1" applyFont="1" applyFill="1" applyBorder="1" applyAlignment="1">
      <alignment horizontal="center" vertical="center"/>
    </xf>
    <xf numFmtId="168" fontId="10" fillId="0" borderId="4" xfId="0" applyNumberFormat="1" applyFont="1" applyBorder="1" applyAlignment="1">
      <alignment vertical="center"/>
    </xf>
    <xf numFmtId="167" fontId="7" fillId="6" borderId="3" xfId="0" applyNumberFormat="1" applyFont="1" applyFill="1" applyBorder="1" applyAlignment="1">
      <alignment horizontal="left" vertical="center"/>
    </xf>
    <xf numFmtId="168" fontId="7" fillId="6" borderId="3" xfId="0" applyNumberFormat="1" applyFont="1" applyFill="1" applyBorder="1" applyAlignment="1">
      <alignment vertical="center"/>
    </xf>
    <xf numFmtId="168" fontId="7" fillId="6" borderId="3" xfId="0" applyNumberFormat="1" applyFont="1" applyFill="1" applyBorder="1" applyAlignment="1">
      <alignment horizontal="center" vertical="center"/>
    </xf>
    <xf numFmtId="168" fontId="8" fillId="6" borderId="4" xfId="0" applyNumberFormat="1" applyFont="1" applyFill="1" applyBorder="1" applyAlignment="1">
      <alignment vertical="center"/>
    </xf>
    <xf numFmtId="0" fontId="5" fillId="0" borderId="11" xfId="0" applyFont="1" applyBorder="1"/>
    <xf numFmtId="0" fontId="5" fillId="0" borderId="14" xfId="0" applyFont="1" applyBorder="1"/>
    <xf numFmtId="168" fontId="5" fillId="8" borderId="14" xfId="0" applyNumberFormat="1" applyFont="1" applyFill="1" applyBorder="1"/>
    <xf numFmtId="168" fontId="5" fillId="8" borderId="14" xfId="0" applyNumberFormat="1" applyFont="1" applyFill="1" applyBorder="1" applyAlignment="1">
      <alignment horizontal="center"/>
    </xf>
    <xf numFmtId="168" fontId="5" fillId="8" borderId="15" xfId="0" applyNumberFormat="1" applyFont="1" applyFill="1" applyBorder="1"/>
    <xf numFmtId="0" fontId="22" fillId="8" borderId="14" xfId="0" applyFont="1" applyFill="1" applyBorder="1" applyAlignment="1">
      <alignment horizontal="center" vertical="center" wrapText="1"/>
    </xf>
    <xf numFmtId="3" fontId="25" fillId="8" borderId="15" xfId="0" applyNumberFormat="1" applyFont="1" applyFill="1" applyBorder="1" applyAlignment="1">
      <alignment horizontal="center" wrapText="1"/>
    </xf>
    <xf numFmtId="3" fontId="25" fillId="8" borderId="14" xfId="0" applyNumberFormat="1" applyFont="1" applyFill="1" applyBorder="1" applyAlignment="1">
      <alignment horizontal="center" wrapText="1"/>
    </xf>
    <xf numFmtId="168" fontId="5" fillId="4" borderId="17" xfId="0" applyNumberFormat="1" applyFont="1" applyFill="1" applyBorder="1"/>
    <xf numFmtId="168" fontId="5" fillId="4" borderId="17" xfId="0" applyNumberFormat="1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 wrapText="1"/>
    </xf>
    <xf numFmtId="1" fontId="25" fillId="8" borderId="14" xfId="0" applyNumberFormat="1" applyFont="1" applyFill="1" applyBorder="1" applyAlignment="1">
      <alignment horizontal="center" wrapText="1"/>
    </xf>
    <xf numFmtId="0" fontId="10" fillId="8" borderId="14" xfId="0" applyFont="1" applyFill="1" applyBorder="1" applyAlignment="1">
      <alignment wrapText="1"/>
    </xf>
    <xf numFmtId="1" fontId="10" fillId="8" borderId="14" xfId="0" applyNumberFormat="1" applyFont="1" applyFill="1" applyBorder="1" applyAlignment="1">
      <alignment wrapText="1"/>
    </xf>
    <xf numFmtId="1" fontId="22" fillId="8" borderId="14" xfId="0" applyNumberFormat="1" applyFont="1" applyFill="1" applyBorder="1" applyAlignment="1">
      <alignment horizontal="center" wrapText="1"/>
    </xf>
    <xf numFmtId="1" fontId="10" fillId="8" borderId="14" xfId="0" applyNumberFormat="1" applyFont="1" applyFill="1" applyBorder="1" applyAlignment="1">
      <alignment horizontal="center" wrapText="1"/>
    </xf>
    <xf numFmtId="0" fontId="29" fillId="9" borderId="16" xfId="0" applyFont="1" applyFill="1" applyBorder="1"/>
    <xf numFmtId="168" fontId="29" fillId="9" borderId="16" xfId="0" applyNumberFormat="1" applyFont="1" applyFill="1" applyBorder="1"/>
    <xf numFmtId="168" fontId="30" fillId="9" borderId="16" xfId="0" applyNumberFormat="1" applyFont="1" applyFill="1" applyBorder="1" applyAlignment="1">
      <alignment horizontal="center"/>
    </xf>
    <xf numFmtId="0" fontId="29" fillId="0" borderId="0" xfId="0" applyFont="1"/>
    <xf numFmtId="168" fontId="31" fillId="4" borderId="17" xfId="0" applyNumberFormat="1" applyFont="1" applyFill="1" applyBorder="1" applyAlignment="1">
      <alignment horizontal="center"/>
    </xf>
    <xf numFmtId="167" fontId="29" fillId="6" borderId="3" xfId="0" applyNumberFormat="1" applyFont="1" applyFill="1" applyBorder="1"/>
    <xf numFmtId="168" fontId="31" fillId="6" borderId="3" xfId="0" applyNumberFormat="1" applyFont="1" applyFill="1" applyBorder="1" applyAlignment="1">
      <alignment horizontal="center"/>
    </xf>
    <xf numFmtId="170" fontId="1" fillId="8" borderId="14" xfId="0" applyNumberFormat="1" applyFont="1" applyFill="1" applyBorder="1" applyAlignment="1">
      <alignment horizontal="right"/>
    </xf>
    <xf numFmtId="0" fontId="10" fillId="8" borderId="14" xfId="0" applyFont="1" applyFill="1" applyBorder="1" applyAlignment="1">
      <alignment horizontal="left" wrapText="1"/>
    </xf>
    <xf numFmtId="168" fontId="10" fillId="0" borderId="0" xfId="0" applyNumberFormat="1" applyFont="1" applyAlignment="1">
      <alignment vertical="center"/>
    </xf>
    <xf numFmtId="168" fontId="10" fillId="0" borderId="0" xfId="0" applyNumberFormat="1" applyFont="1" applyAlignment="1">
      <alignment horizontal="center" vertical="center"/>
    </xf>
    <xf numFmtId="168" fontId="31" fillId="3" borderId="13" xfId="0" applyNumberFormat="1" applyFont="1" applyFill="1" applyBorder="1" applyAlignment="1">
      <alignment horizontal="center"/>
    </xf>
    <xf numFmtId="0" fontId="11" fillId="8" borderId="14" xfId="0" applyFont="1" applyFill="1" applyBorder="1" applyAlignment="1">
      <alignment horizontal="left" wrapText="1"/>
    </xf>
    <xf numFmtId="0" fontId="11" fillId="8" borderId="14" xfId="0" applyFont="1" applyFill="1" applyBorder="1" applyAlignment="1">
      <alignment wrapText="1"/>
    </xf>
    <xf numFmtId="168" fontId="10" fillId="8" borderId="14" xfId="0" applyNumberFormat="1" applyFont="1" applyFill="1" applyBorder="1" applyAlignment="1">
      <alignment vertical="center"/>
    </xf>
    <xf numFmtId="2" fontId="10" fillId="8" borderId="14" xfId="0" applyNumberFormat="1" applyFont="1" applyFill="1" applyBorder="1" applyAlignment="1">
      <alignment vertical="center"/>
    </xf>
    <xf numFmtId="0" fontId="11" fillId="8" borderId="14" xfId="0" applyFont="1" applyFill="1" applyBorder="1" applyAlignment="1">
      <alignment horizontal="center"/>
    </xf>
    <xf numFmtId="2" fontId="27" fillId="9" borderId="16" xfId="0" applyNumberFormat="1" applyFont="1" applyFill="1" applyBorder="1" applyAlignment="1">
      <alignment horizontal="right"/>
    </xf>
    <xf numFmtId="0" fontId="19" fillId="3" borderId="13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center" vertical="center" wrapText="1"/>
    </xf>
    <xf numFmtId="1" fontId="10" fillId="3" borderId="13" xfId="0" applyNumberFormat="1" applyFont="1" applyFill="1" applyBorder="1" applyAlignment="1">
      <alignment horizontal="center" vertical="center"/>
    </xf>
    <xf numFmtId="167" fontId="10" fillId="3" borderId="13" xfId="0" applyNumberFormat="1" applyFont="1" applyFill="1" applyBorder="1" applyAlignment="1">
      <alignment horizontal="left" vertical="center"/>
    </xf>
    <xf numFmtId="168" fontId="10" fillId="3" borderId="13" xfId="0" applyNumberFormat="1" applyFont="1" applyFill="1" applyBorder="1" applyAlignment="1">
      <alignment vertical="center"/>
    </xf>
    <xf numFmtId="168" fontId="10" fillId="3" borderId="13" xfId="0" applyNumberFormat="1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left" vertical="center" wrapText="1"/>
    </xf>
    <xf numFmtId="0" fontId="22" fillId="0" borderId="14" xfId="0" applyFont="1" applyBorder="1" applyAlignment="1">
      <alignment horizontal="center"/>
    </xf>
    <xf numFmtId="0" fontId="22" fillId="8" borderId="14" xfId="0" applyFont="1" applyFill="1" applyBorder="1" applyAlignment="1">
      <alignment horizontal="left" vertical="center" wrapText="1"/>
    </xf>
    <xf numFmtId="0" fontId="22" fillId="8" borderId="14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vertical="center"/>
    </xf>
    <xf numFmtId="0" fontId="11" fillId="9" borderId="16" xfId="0" applyFont="1" applyFill="1" applyBorder="1" applyAlignment="1">
      <alignment horizontal="right" vertical="center"/>
    </xf>
    <xf numFmtId="1" fontId="11" fillId="9" borderId="16" xfId="0" applyNumberFormat="1" applyFont="1" applyFill="1" applyBorder="1" applyAlignment="1">
      <alignment horizontal="center" vertical="center"/>
    </xf>
    <xf numFmtId="168" fontId="11" fillId="9" borderId="16" xfId="0" applyNumberFormat="1" applyFont="1" applyFill="1" applyBorder="1" applyAlignment="1">
      <alignment horizontal="left" vertical="center"/>
    </xf>
    <xf numFmtId="168" fontId="30" fillId="9" borderId="16" xfId="0" applyNumberFormat="1" applyFont="1" applyFill="1" applyBorder="1" applyAlignment="1">
      <alignment vertical="center"/>
    </xf>
    <xf numFmtId="168" fontId="30" fillId="9" borderId="16" xfId="0" applyNumberFormat="1" applyFont="1" applyFill="1" applyBorder="1" applyAlignment="1">
      <alignment horizontal="center" vertical="center"/>
    </xf>
    <xf numFmtId="168" fontId="11" fillId="9" borderId="16" xfId="0" applyNumberFormat="1" applyFont="1" applyFill="1" applyBorder="1" applyAlignment="1">
      <alignment vertical="center"/>
    </xf>
    <xf numFmtId="168" fontId="10" fillId="10" borderId="0" xfId="0" applyNumberFormat="1" applyFont="1" applyFill="1" applyAlignment="1">
      <alignment vertical="center"/>
    </xf>
    <xf numFmtId="168" fontId="10" fillId="10" borderId="0" xfId="0" applyNumberFormat="1" applyFont="1" applyFill="1" applyAlignment="1">
      <alignment horizontal="center" vertical="center"/>
    </xf>
    <xf numFmtId="168" fontId="33" fillId="10" borderId="0" xfId="0" applyNumberFormat="1" applyFont="1" applyFill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19" xfId="0" applyFont="1" applyBorder="1" applyAlignment="1">
      <alignment horizontal="center" vertical="center" wrapText="1"/>
    </xf>
    <xf numFmtId="1" fontId="10" fillId="0" borderId="19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0" fontId="12" fillId="0" borderId="0" xfId="0" applyNumberFormat="1" applyFont="1" applyAlignment="1">
      <alignment vertical="center"/>
    </xf>
    <xf numFmtId="44" fontId="12" fillId="0" borderId="0" xfId="0" applyNumberFormat="1" applyFont="1" applyAlignment="1">
      <alignment vertical="center"/>
    </xf>
    <xf numFmtId="0" fontId="34" fillId="11" borderId="0" xfId="0" applyFont="1" applyFill="1" applyAlignment="1">
      <alignment horizontal="left"/>
    </xf>
    <xf numFmtId="0" fontId="35" fillId="11" borderId="0" xfId="0" applyFont="1" applyFill="1" applyAlignment="1">
      <alignment horizontal="left"/>
    </xf>
    <xf numFmtId="2" fontId="36" fillId="0" borderId="0" xfId="0" applyNumberFormat="1" applyFont="1" applyAlignment="1">
      <alignment horizontal="center"/>
    </xf>
    <xf numFmtId="2" fontId="36" fillId="0" borderId="0" xfId="0" applyNumberFormat="1" applyFont="1"/>
    <xf numFmtId="0" fontId="36" fillId="0" borderId="0" xfId="0" applyFont="1"/>
    <xf numFmtId="1" fontId="36" fillId="0" borderId="0" xfId="0" applyNumberFormat="1" applyFont="1"/>
    <xf numFmtId="0" fontId="3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7" fillId="12" borderId="0" xfId="0" applyFont="1" applyFill="1" applyAlignment="1">
      <alignment horizontal="center"/>
    </xf>
    <xf numFmtId="2" fontId="39" fillId="11" borderId="2" xfId="0" applyNumberFormat="1" applyFont="1" applyFill="1" applyBorder="1" applyAlignment="1">
      <alignment horizontal="center" vertical="center"/>
    </xf>
    <xf numFmtId="0" fontId="43" fillId="11" borderId="2" xfId="0" applyFont="1" applyFill="1" applyBorder="1" applyAlignment="1">
      <alignment horizontal="center" vertical="center"/>
    </xf>
    <xf numFmtId="0" fontId="44" fillId="12" borderId="0" xfId="0" applyFont="1" applyFill="1"/>
    <xf numFmtId="0" fontId="44" fillId="0" borderId="2" xfId="0" applyFont="1" applyBorder="1" applyAlignment="1">
      <alignment horizontal="center"/>
    </xf>
    <xf numFmtId="0" fontId="44" fillId="0" borderId="2" xfId="0" applyFont="1" applyBorder="1"/>
    <xf numFmtId="1" fontId="44" fillId="0" borderId="2" xfId="0" applyNumberFormat="1" applyFont="1" applyBorder="1"/>
    <xf numFmtId="2" fontId="44" fillId="0" borderId="2" xfId="0" applyNumberFormat="1" applyFont="1" applyBorder="1"/>
    <xf numFmtId="9" fontId="44" fillId="0" borderId="2" xfId="0" applyNumberFormat="1" applyFont="1" applyBorder="1" applyAlignment="1">
      <alignment horizontal="center"/>
    </xf>
    <xf numFmtId="0" fontId="44" fillId="8" borderId="2" xfId="0" applyFont="1" applyFill="1" applyBorder="1" applyAlignment="1">
      <alignment horizontal="center"/>
    </xf>
    <xf numFmtId="0" fontId="36" fillId="8" borderId="0" xfId="0" applyFont="1" applyFill="1"/>
    <xf numFmtId="1" fontId="44" fillId="0" borderId="2" xfId="0" applyNumberFormat="1" applyFont="1" applyBorder="1" applyAlignment="1">
      <alignment horizontal="center"/>
    </xf>
    <xf numFmtId="0" fontId="20" fillId="12" borderId="0" xfId="0" applyFont="1" applyFill="1"/>
    <xf numFmtId="0" fontId="45" fillId="11" borderId="2" xfId="0" applyFont="1" applyFill="1" applyBorder="1" applyAlignment="1">
      <alignment horizontal="left"/>
    </xf>
    <xf numFmtId="1" fontId="46" fillId="11" borderId="2" xfId="0" applyNumberFormat="1" applyFont="1" applyFill="1" applyBorder="1" applyAlignment="1">
      <alignment horizontal="left"/>
    </xf>
    <xf numFmtId="0" fontId="36" fillId="12" borderId="0" xfId="0" applyFont="1" applyFill="1"/>
    <xf numFmtId="0" fontId="47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20" fillId="0" borderId="11" xfId="0" applyFont="1" applyBorder="1"/>
    <xf numFmtId="0" fontId="25" fillId="0" borderId="11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2" fontId="48" fillId="0" borderId="0" xfId="0" applyNumberFormat="1" applyFont="1"/>
    <xf numFmtId="1" fontId="48" fillId="0" borderId="0" xfId="0" applyNumberFormat="1" applyFont="1"/>
    <xf numFmtId="0" fontId="49" fillId="0" borderId="0" xfId="0" applyFont="1"/>
    <xf numFmtId="0" fontId="50" fillId="0" borderId="3" xfId="0" applyFont="1" applyBorder="1" applyAlignment="1">
      <alignment horizontal="center"/>
    </xf>
    <xf numFmtId="0" fontId="50" fillId="14" borderId="23" xfId="0" applyFont="1" applyFill="1" applyBorder="1" applyAlignment="1">
      <alignment horizontal="center"/>
    </xf>
    <xf numFmtId="0" fontId="50" fillId="15" borderId="23" xfId="0" applyFont="1" applyFill="1" applyBorder="1" applyAlignment="1">
      <alignment horizontal="center"/>
    </xf>
    <xf numFmtId="0" fontId="50" fillId="13" borderId="2" xfId="0" applyFont="1" applyFill="1" applyBorder="1" applyAlignment="1">
      <alignment horizontal="center"/>
    </xf>
    <xf numFmtId="0" fontId="50" fillId="13" borderId="24" xfId="0" applyFont="1" applyFill="1" applyBorder="1" applyAlignment="1">
      <alignment horizontal="center"/>
    </xf>
    <xf numFmtId="0" fontId="50" fillId="0" borderId="2" xfId="0" applyFont="1" applyBorder="1" applyAlignment="1">
      <alignment horizontal="center" wrapText="1"/>
    </xf>
    <xf numFmtId="0" fontId="51" fillId="0" borderId="2" xfId="0" applyFont="1" applyBorder="1" applyAlignment="1">
      <alignment horizontal="center" wrapText="1"/>
    </xf>
    <xf numFmtId="0" fontId="52" fillId="0" borderId="2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53" fillId="0" borderId="2" xfId="0" applyFont="1" applyBorder="1"/>
    <xf numFmtId="0" fontId="50" fillId="0" borderId="25" xfId="0" applyFont="1" applyBorder="1" applyAlignment="1">
      <alignment horizontal="center"/>
    </xf>
    <xf numFmtId="0" fontId="50" fillId="0" borderId="21" xfId="0" applyFont="1" applyBorder="1" applyAlignment="1">
      <alignment horizontal="center"/>
    </xf>
    <xf numFmtId="171" fontId="50" fillId="0" borderId="21" xfId="0" applyNumberFormat="1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9" fillId="0" borderId="4" xfId="0" applyFont="1" applyBorder="1" applyAlignment="1">
      <alignment horizontal="center"/>
    </xf>
    <xf numFmtId="0" fontId="49" fillId="0" borderId="25" xfId="0" applyFont="1" applyBorder="1"/>
    <xf numFmtId="0" fontId="49" fillId="0" borderId="21" xfId="0" applyFont="1" applyBorder="1"/>
    <xf numFmtId="171" fontId="49" fillId="0" borderId="21" xfId="0" applyNumberFormat="1" applyFont="1" applyBorder="1" applyAlignment="1">
      <alignment horizontal="center"/>
    </xf>
    <xf numFmtId="0" fontId="49" fillId="0" borderId="21" xfId="0" applyFont="1" applyBorder="1" applyAlignment="1">
      <alignment horizontal="center"/>
    </xf>
    <xf numFmtId="0" fontId="49" fillId="16" borderId="21" xfId="0" applyFont="1" applyFill="1" applyBorder="1" applyAlignment="1">
      <alignment horizontal="center"/>
    </xf>
    <xf numFmtId="0" fontId="49" fillId="0" borderId="2" xfId="0" applyFont="1" applyBorder="1"/>
    <xf numFmtId="0" fontId="54" fillId="0" borderId="2" xfId="0" applyFont="1" applyBorder="1"/>
    <xf numFmtId="0" fontId="49" fillId="0" borderId="4" xfId="0" applyFont="1" applyBorder="1"/>
    <xf numFmtId="0" fontId="49" fillId="16" borderId="2" xfId="0" applyFont="1" applyFill="1" applyBorder="1" applyAlignment="1">
      <alignment horizontal="center"/>
    </xf>
    <xf numFmtId="171" fontId="49" fillId="0" borderId="2" xfId="0" applyNumberFormat="1" applyFont="1" applyBorder="1" applyAlignment="1">
      <alignment horizontal="center"/>
    </xf>
    <xf numFmtId="0" fontId="48" fillId="0" borderId="2" xfId="0" applyFont="1" applyBorder="1"/>
    <xf numFmtId="0" fontId="49" fillId="0" borderId="25" xfId="0" applyFont="1" applyBorder="1" applyAlignment="1">
      <alignment horizontal="center"/>
    </xf>
    <xf numFmtId="0" fontId="50" fillId="0" borderId="2" xfId="0" applyFont="1" applyBorder="1" applyAlignment="1">
      <alignment horizontal="right"/>
    </xf>
    <xf numFmtId="0" fontId="54" fillId="0" borderId="2" xfId="0" applyFont="1" applyBorder="1" applyAlignment="1">
      <alignment horizontal="center"/>
    </xf>
    <xf numFmtId="0" fontId="50" fillId="0" borderId="2" xfId="0" applyFont="1" applyBorder="1"/>
    <xf numFmtId="0" fontId="4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49" fillId="0" borderId="22" xfId="0" applyFont="1" applyBorder="1"/>
    <xf numFmtId="0" fontId="49" fillId="0" borderId="22" xfId="0" applyFont="1" applyBorder="1" applyAlignment="1">
      <alignment horizontal="center"/>
    </xf>
    <xf numFmtId="0" fontId="50" fillId="0" borderId="2" xfId="0" applyFont="1" applyBorder="1" applyAlignment="1">
      <alignment horizontal="center" vertical="center" wrapText="1"/>
    </xf>
    <xf numFmtId="0" fontId="55" fillId="0" borderId="2" xfId="0" applyFont="1" applyBorder="1"/>
    <xf numFmtId="1" fontId="49" fillId="0" borderId="2" xfId="0" applyNumberFormat="1" applyFont="1" applyBorder="1" applyAlignment="1">
      <alignment horizontal="center"/>
    </xf>
    <xf numFmtId="1" fontId="49" fillId="0" borderId="2" xfId="0" applyNumberFormat="1" applyFont="1" applyBorder="1"/>
    <xf numFmtId="0" fontId="54" fillId="0" borderId="0" xfId="0" applyFont="1"/>
    <xf numFmtId="1" fontId="49" fillId="0" borderId="0" xfId="0" applyNumberFormat="1" applyFont="1"/>
    <xf numFmtId="0" fontId="49" fillId="13" borderId="0" xfId="0" applyFont="1" applyFill="1"/>
    <xf numFmtId="0" fontId="52" fillId="13" borderId="22" xfId="0" applyFont="1" applyFill="1" applyBorder="1" applyAlignment="1">
      <alignment horizontal="center"/>
    </xf>
    <xf numFmtId="0" fontId="50" fillId="13" borderId="6" xfId="0" applyFont="1" applyFill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56" fillId="0" borderId="21" xfId="0" applyFont="1" applyBorder="1" applyAlignment="1">
      <alignment horizontal="center"/>
    </xf>
    <xf numFmtId="0" fontId="52" fillId="13" borderId="2" xfId="0" applyFont="1" applyFill="1" applyBorder="1" applyAlignment="1">
      <alignment horizontal="center"/>
    </xf>
    <xf numFmtId="0" fontId="49" fillId="13" borderId="2" xfId="0" applyFont="1" applyFill="1" applyBorder="1" applyAlignment="1">
      <alignment horizontal="center"/>
    </xf>
    <xf numFmtId="0" fontId="49" fillId="13" borderId="2" xfId="0" applyFont="1" applyFill="1" applyBorder="1"/>
    <xf numFmtId="0" fontId="49" fillId="0" borderId="2" xfId="0" applyFont="1" applyBorder="1" applyAlignment="1">
      <alignment horizontal="left"/>
    </xf>
    <xf numFmtId="0" fontId="49" fillId="0" borderId="0" xfId="0" applyFont="1" applyAlignment="1">
      <alignment wrapText="1"/>
    </xf>
    <xf numFmtId="0" fontId="49" fillId="0" borderId="0" xfId="0" applyFont="1" applyAlignment="1">
      <alignment horizontal="center" wrapText="1"/>
    </xf>
    <xf numFmtId="0" fontId="50" fillId="0" borderId="2" xfId="0" applyFont="1" applyBorder="1" applyAlignment="1">
      <alignment horizontal="left"/>
    </xf>
    <xf numFmtId="0" fontId="49" fillId="0" borderId="2" xfId="0" applyFont="1" applyBorder="1" applyAlignment="1">
      <alignment horizontal="right"/>
    </xf>
    <xf numFmtId="0" fontId="49" fillId="0" borderId="22" xfId="0" applyFont="1" applyBorder="1" applyAlignment="1">
      <alignment horizontal="right"/>
    </xf>
    <xf numFmtId="0" fontId="49" fillId="0" borderId="6" xfId="0" applyFont="1" applyBorder="1" applyAlignment="1">
      <alignment horizontal="right"/>
    </xf>
    <xf numFmtId="0" fontId="49" fillId="0" borderId="6" xfId="0" applyFont="1" applyBorder="1" applyAlignment="1">
      <alignment horizontal="center"/>
    </xf>
    <xf numFmtId="0" fontId="49" fillId="8" borderId="6" xfId="0" applyFont="1" applyFill="1" applyBorder="1" applyAlignment="1">
      <alignment horizontal="center"/>
    </xf>
    <xf numFmtId="0" fontId="49" fillId="0" borderId="6" xfId="0" applyFont="1" applyBorder="1"/>
    <xf numFmtId="1" fontId="49" fillId="0" borderId="2" xfId="0" applyNumberFormat="1" applyFont="1" applyBorder="1" applyAlignment="1">
      <alignment horizontal="right"/>
    </xf>
    <xf numFmtId="0" fontId="57" fillId="17" borderId="2" xfId="0" applyFont="1" applyFill="1" applyBorder="1" applyAlignment="1">
      <alignment horizontal="center" vertical="center"/>
    </xf>
    <xf numFmtId="0" fontId="58" fillId="18" borderId="29" xfId="0" applyFont="1" applyFill="1" applyBorder="1" applyAlignment="1">
      <alignment horizontal="center" vertical="center"/>
    </xf>
    <xf numFmtId="0" fontId="58" fillId="18" borderId="1" xfId="0" applyFont="1" applyFill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172" fontId="59" fillId="0" borderId="2" xfId="0" applyNumberFormat="1" applyFont="1" applyBorder="1" applyAlignment="1">
      <alignment vertical="center"/>
    </xf>
    <xf numFmtId="0" fontId="59" fillId="0" borderId="5" xfId="0" applyFont="1" applyBorder="1" applyAlignment="1">
      <alignment horizontal="left" vertical="center" wrapText="1"/>
    </xf>
    <xf numFmtId="173" fontId="59" fillId="0" borderId="2" xfId="0" applyNumberFormat="1" applyFont="1" applyBorder="1" applyAlignment="1">
      <alignment vertical="center"/>
    </xf>
    <xf numFmtId="174" fontId="59" fillId="0" borderId="2" xfId="0" applyNumberFormat="1" applyFont="1" applyBorder="1" applyAlignment="1">
      <alignment vertical="center"/>
    </xf>
    <xf numFmtId="0" fontId="59" fillId="0" borderId="3" xfId="0" applyFont="1" applyBorder="1" applyAlignment="1">
      <alignment horizontal="left" vertical="center" wrapText="1"/>
    </xf>
    <xf numFmtId="0" fontId="59" fillId="0" borderId="2" xfId="0" applyFont="1" applyBorder="1" applyAlignment="1">
      <alignment horizontal="center" vertical="center"/>
    </xf>
    <xf numFmtId="0" fontId="57" fillId="0" borderId="2" xfId="0" applyFont="1" applyBorder="1" applyAlignment="1">
      <alignment horizontal="left" vertical="center" wrapText="1"/>
    </xf>
    <xf numFmtId="0" fontId="59" fillId="0" borderId="5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0" fontId="60" fillId="0" borderId="26" xfId="0" applyFont="1" applyBorder="1"/>
    <xf numFmtId="0" fontId="48" fillId="0" borderId="27" xfId="0" applyFont="1" applyBorder="1"/>
    <xf numFmtId="0" fontId="48" fillId="0" borderId="25" xfId="0" applyFont="1" applyBorder="1"/>
    <xf numFmtId="164" fontId="48" fillId="0" borderId="17" xfId="0" applyNumberFormat="1" applyFont="1" applyBorder="1"/>
    <xf numFmtId="0" fontId="48" fillId="0" borderId="23" xfId="0" applyFont="1" applyBorder="1"/>
    <xf numFmtId="0" fontId="48" fillId="0" borderId="17" xfId="0" applyFont="1" applyBorder="1"/>
    <xf numFmtId="0" fontId="48" fillId="0" borderId="5" xfId="0" applyFont="1" applyBorder="1"/>
    <xf numFmtId="0" fontId="48" fillId="0" borderId="24" xfId="0" applyFont="1" applyBorder="1"/>
    <xf numFmtId="0" fontId="48" fillId="0" borderId="6" xfId="0" applyFont="1" applyBorder="1"/>
    <xf numFmtId="0" fontId="20" fillId="6" borderId="2" xfId="0" applyFont="1" applyFill="1" applyBorder="1"/>
    <xf numFmtId="0" fontId="20" fillId="6" borderId="24" xfId="0" applyFont="1" applyFill="1" applyBorder="1" applyAlignment="1">
      <alignment horizontal="left"/>
    </xf>
    <xf numFmtId="2" fontId="20" fillId="6" borderId="2" xfId="0" applyNumberFormat="1" applyFont="1" applyFill="1" applyBorder="1" applyAlignment="1">
      <alignment horizontal="center"/>
    </xf>
    <xf numFmtId="0" fontId="20" fillId="6" borderId="2" xfId="0" applyFont="1" applyFill="1" applyBorder="1" applyAlignment="1">
      <alignment horizontal="center"/>
    </xf>
    <xf numFmtId="0" fontId="5" fillId="6" borderId="2" xfId="0" applyFont="1" applyFill="1" applyBorder="1"/>
    <xf numFmtId="0" fontId="61" fillId="0" borderId="2" xfId="0" applyFont="1" applyBorder="1"/>
    <xf numFmtId="0" fontId="61" fillId="0" borderId="2" xfId="0" applyFont="1" applyBorder="1" applyAlignment="1">
      <alignment wrapText="1"/>
    </xf>
    <xf numFmtId="2" fontId="44" fillId="0" borderId="2" xfId="0" applyNumberFormat="1" applyFont="1" applyBorder="1" applyAlignment="1">
      <alignment horizontal="center"/>
    </xf>
    <xf numFmtId="0" fontId="44" fillId="0" borderId="2" xfId="0" applyFont="1" applyBorder="1" applyAlignment="1">
      <alignment wrapText="1"/>
    </xf>
    <xf numFmtId="0" fontId="36" fillId="0" borderId="0" xfId="0" applyFont="1" applyAlignment="1">
      <alignment horizontal="center"/>
    </xf>
    <xf numFmtId="44" fontId="4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4" fontId="14" fillId="0" borderId="26" xfId="0" applyNumberFormat="1" applyFont="1" applyBorder="1"/>
    <xf numFmtId="164" fontId="44" fillId="0" borderId="27" xfId="0" applyNumberFormat="1" applyFont="1" applyBorder="1"/>
    <xf numFmtId="0" fontId="5" fillId="0" borderId="27" xfId="0" applyFont="1" applyBorder="1" applyAlignment="1">
      <alignment horizontal="left"/>
    </xf>
    <xf numFmtId="164" fontId="3" fillId="0" borderId="17" xfId="0" applyNumberFormat="1" applyFont="1" applyBorder="1"/>
    <xf numFmtId="164" fontId="44" fillId="0" borderId="0" xfId="0" applyNumberFormat="1" applyFont="1"/>
    <xf numFmtId="0" fontId="48" fillId="0" borderId="0" xfId="0" applyFont="1"/>
    <xf numFmtId="164" fontId="1" fillId="0" borderId="17" xfId="0" applyNumberFormat="1" applyFont="1" applyBorder="1"/>
    <xf numFmtId="164" fontId="1" fillId="0" borderId="5" xfId="0" applyNumberFormat="1" applyFont="1" applyBorder="1"/>
    <xf numFmtId="0" fontId="5" fillId="0" borderId="24" xfId="0" applyFont="1" applyBorder="1" applyAlignment="1">
      <alignment horizontal="left"/>
    </xf>
    <xf numFmtId="0" fontId="62" fillId="19" borderId="30" xfId="0" applyFont="1" applyFill="1" applyBorder="1"/>
    <xf numFmtId="0" fontId="63" fillId="0" borderId="0" xfId="0" applyFont="1"/>
    <xf numFmtId="0" fontId="61" fillId="21" borderId="4" xfId="0" applyFont="1" applyFill="1" applyBorder="1" applyAlignment="1">
      <alignment horizontal="center"/>
    </xf>
    <xf numFmtId="0" fontId="61" fillId="21" borderId="4" xfId="0" applyFont="1" applyFill="1" applyBorder="1"/>
    <xf numFmtId="0" fontId="44" fillId="0" borderId="0" xfId="0" applyFont="1"/>
    <xf numFmtId="0" fontId="61" fillId="20" borderId="6" xfId="0" applyFont="1" applyFill="1" applyBorder="1" applyAlignment="1">
      <alignment horizontal="center"/>
    </xf>
    <xf numFmtId="0" fontId="61" fillId="0" borderId="22" xfId="0" applyFont="1" applyBorder="1" applyAlignment="1">
      <alignment horizontal="left"/>
    </xf>
    <xf numFmtId="0" fontId="65" fillId="0" borderId="6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61" fillId="0" borderId="6" xfId="0" applyFont="1" applyBorder="1" applyAlignment="1">
      <alignment horizontal="center"/>
    </xf>
    <xf numFmtId="0" fontId="44" fillId="0" borderId="2" xfId="0" applyFont="1" applyBorder="1" applyAlignment="1">
      <alignment horizontal="left"/>
    </xf>
    <xf numFmtId="0" fontId="67" fillId="22" borderId="6" xfId="0" applyFont="1" applyFill="1" applyBorder="1" applyAlignment="1">
      <alignment horizontal="center"/>
    </xf>
    <xf numFmtId="0" fontId="68" fillId="23" borderId="2" xfId="0" applyFont="1" applyFill="1" applyBorder="1" applyAlignment="1">
      <alignment horizontal="center"/>
    </xf>
    <xf numFmtId="0" fontId="44" fillId="0" borderId="6" xfId="0" applyFont="1" applyBorder="1" applyAlignment="1">
      <alignment horizontal="center"/>
    </xf>
    <xf numFmtId="0" fontId="67" fillId="22" borderId="22" xfId="0" applyFont="1" applyFill="1" applyBorder="1" applyAlignment="1">
      <alignment horizontal="center"/>
    </xf>
    <xf numFmtId="0" fontId="61" fillId="20" borderId="2" xfId="0" applyFont="1" applyFill="1" applyBorder="1"/>
    <xf numFmtId="0" fontId="69" fillId="24" borderId="2" xfId="0" applyFont="1" applyFill="1" applyBorder="1" applyAlignment="1">
      <alignment horizontal="right"/>
    </xf>
    <xf numFmtId="0" fontId="61" fillId="20" borderId="2" xfId="0" applyFont="1" applyFill="1" applyBorder="1" applyAlignment="1">
      <alignment horizontal="right"/>
    </xf>
    <xf numFmtId="0" fontId="69" fillId="24" borderId="2" xfId="0" applyFont="1" applyFill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24" xfId="0" applyFont="1" applyBorder="1" applyAlignment="1">
      <alignment horizontal="center"/>
    </xf>
    <xf numFmtId="0" fontId="61" fillId="0" borderId="0" xfId="0" applyFont="1"/>
    <xf numFmtId="0" fontId="61" fillId="4" borderId="0" xfId="0" applyFont="1" applyFill="1" applyAlignment="1">
      <alignment horizontal="center"/>
    </xf>
    <xf numFmtId="0" fontId="61" fillId="0" borderId="17" xfId="0" applyFont="1" applyBorder="1"/>
    <xf numFmtId="0" fontId="61" fillId="0" borderId="0" xfId="0" applyFont="1" applyAlignment="1">
      <alignment horizontal="center"/>
    </xf>
    <xf numFmtId="0" fontId="61" fillId="4" borderId="4" xfId="0" applyFont="1" applyFill="1" applyBorder="1" applyAlignment="1">
      <alignment horizontal="center"/>
    </xf>
    <xf numFmtId="0" fontId="68" fillId="26" borderId="2" xfId="0" applyFont="1" applyFill="1" applyBorder="1" applyAlignment="1">
      <alignment horizontal="center"/>
    </xf>
    <xf numFmtId="0" fontId="44" fillId="0" borderId="22" xfId="0" applyFont="1" applyBorder="1" applyAlignment="1">
      <alignment horizontal="left"/>
    </xf>
    <xf numFmtId="0" fontId="67" fillId="0" borderId="6" xfId="0" applyFont="1" applyBorder="1" applyAlignment="1">
      <alignment horizontal="center"/>
    </xf>
    <xf numFmtId="0" fontId="44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73" fillId="26" borderId="0" xfId="0" applyFont="1" applyFill="1" applyAlignment="1">
      <alignment horizontal="center"/>
    </xf>
    <xf numFmtId="0" fontId="73" fillId="26" borderId="0" xfId="0" applyFont="1" applyFill="1"/>
    <xf numFmtId="0" fontId="4" fillId="8" borderId="28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61" fillId="28" borderId="0" xfId="0" applyFont="1" applyFill="1" applyAlignment="1">
      <alignment horizontal="center"/>
    </xf>
    <xf numFmtId="0" fontId="13" fillId="3" borderId="21" xfId="0" applyFont="1" applyFill="1" applyBorder="1"/>
    <xf numFmtId="0" fontId="36" fillId="3" borderId="25" xfId="0" applyFont="1" applyFill="1" applyBorder="1" applyAlignment="1">
      <alignment horizontal="center"/>
    </xf>
    <xf numFmtId="0" fontId="36" fillId="3" borderId="25" xfId="0" applyFont="1" applyFill="1" applyBorder="1"/>
    <xf numFmtId="0" fontId="13" fillId="8" borderId="28" xfId="0" applyFont="1" applyFill="1" applyBorder="1" applyAlignment="1">
      <alignment horizontal="left"/>
    </xf>
    <xf numFmtId="0" fontId="36" fillId="8" borderId="23" xfId="0" applyFont="1" applyFill="1" applyBorder="1" applyAlignment="1">
      <alignment horizontal="center"/>
    </xf>
    <xf numFmtId="0" fontId="36" fillId="0" borderId="23" xfId="0" applyFont="1" applyBorder="1"/>
    <xf numFmtId="0" fontId="36" fillId="8" borderId="23" xfId="0" applyFont="1" applyFill="1" applyBorder="1"/>
    <xf numFmtId="0" fontId="36" fillId="8" borderId="28" xfId="0" applyFont="1" applyFill="1" applyBorder="1" applyAlignment="1">
      <alignment horizontal="left"/>
    </xf>
    <xf numFmtId="0" fontId="36" fillId="0" borderId="23" xfId="0" applyFont="1" applyBorder="1" applyAlignment="1">
      <alignment horizontal="right"/>
    </xf>
    <xf numFmtId="0" fontId="36" fillId="8" borderId="22" xfId="0" applyFont="1" applyFill="1" applyBorder="1" applyAlignment="1">
      <alignment horizontal="left"/>
    </xf>
    <xf numFmtId="0" fontId="36" fillId="8" borderId="6" xfId="0" applyFont="1" applyFill="1" applyBorder="1" applyAlignment="1">
      <alignment horizontal="center"/>
    </xf>
    <xf numFmtId="0" fontId="36" fillId="0" borderId="6" xfId="0" applyFont="1" applyBorder="1" applyAlignment="1">
      <alignment horizontal="right"/>
    </xf>
    <xf numFmtId="0" fontId="36" fillId="0" borderId="6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74" fillId="0" borderId="0" xfId="0" applyFont="1"/>
    <xf numFmtId="0" fontId="74" fillId="0" borderId="0" xfId="0" applyFont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left"/>
    </xf>
    <xf numFmtId="0" fontId="4" fillId="0" borderId="22" xfId="0" applyFont="1" applyBorder="1"/>
    <xf numFmtId="0" fontId="4" fillId="0" borderId="6" xfId="0" applyFont="1" applyBorder="1"/>
    <xf numFmtId="0" fontId="14" fillId="23" borderId="0" xfId="0" applyFont="1" applyFill="1"/>
    <xf numFmtId="0" fontId="4" fillId="23" borderId="0" xfId="0" applyFont="1" applyFill="1"/>
    <xf numFmtId="0" fontId="4" fillId="23" borderId="0" xfId="0" applyFont="1" applyFill="1" applyAlignment="1">
      <alignment horizontal="center"/>
    </xf>
    <xf numFmtId="0" fontId="4" fillId="23" borderId="0" xfId="0" applyFont="1" applyFill="1" applyAlignment="1">
      <alignment horizontal="left"/>
    </xf>
    <xf numFmtId="0" fontId="14" fillId="0" borderId="2" xfId="0" applyFont="1" applyBorder="1"/>
    <xf numFmtId="0" fontId="4" fillId="0" borderId="4" xfId="0" applyFont="1" applyBorder="1"/>
    <xf numFmtId="0" fontId="14" fillId="3" borderId="22" xfId="0" applyFont="1" applyFill="1" applyBorder="1"/>
    <xf numFmtId="0" fontId="4" fillId="3" borderId="6" xfId="0" applyFont="1" applyFill="1" applyBorder="1" applyAlignment="1">
      <alignment horizontal="center"/>
    </xf>
    <xf numFmtId="0" fontId="14" fillId="29" borderId="22" xfId="0" applyFont="1" applyFill="1" applyBorder="1"/>
    <xf numFmtId="0" fontId="4" fillId="29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2" xfId="0" applyFont="1" applyBorder="1"/>
    <xf numFmtId="0" fontId="4" fillId="0" borderId="6" xfId="0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2" fontId="4" fillId="0" borderId="6" xfId="0" applyNumberFormat="1" applyFont="1" applyBorder="1" applyAlignment="1">
      <alignment horizontal="center"/>
    </xf>
    <xf numFmtId="0" fontId="14" fillId="0" borderId="22" xfId="0" applyFont="1" applyBorder="1"/>
    <xf numFmtId="0" fontId="4" fillId="29" borderId="2" xfId="0" applyFont="1" applyFill="1" applyBorder="1"/>
    <xf numFmtId="0" fontId="4" fillId="29" borderId="6" xfId="0" applyFont="1" applyFill="1" applyBorder="1" applyAlignment="1">
      <alignment horizontal="left"/>
    </xf>
    <xf numFmtId="2" fontId="4" fillId="29" borderId="6" xfId="0" applyNumberFormat="1" applyFont="1" applyFill="1" applyBorder="1" applyAlignment="1">
      <alignment horizontal="center"/>
    </xf>
    <xf numFmtId="0" fontId="76" fillId="8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0" borderId="2" xfId="0" applyFont="1" applyBorder="1"/>
    <xf numFmtId="0" fontId="77" fillId="13" borderId="22" xfId="0" applyFont="1" applyFill="1" applyBorder="1" applyAlignment="1">
      <alignment horizontal="center"/>
    </xf>
    <xf numFmtId="0" fontId="75" fillId="0" borderId="6" xfId="0" applyFont="1" applyBorder="1" applyAlignment="1">
      <alignment horizontal="center"/>
    </xf>
    <xf numFmtId="0" fontId="78" fillId="0" borderId="22" xfId="0" applyFont="1" applyBorder="1" applyAlignment="1">
      <alignment horizontal="center"/>
    </xf>
    <xf numFmtId="44" fontId="10" fillId="0" borderId="2" xfId="0" applyNumberFormat="1" applyFont="1" applyBorder="1" applyAlignment="1">
      <alignment horizontal="center"/>
    </xf>
    <xf numFmtId="44" fontId="10" fillId="8" borderId="2" xfId="0" applyNumberFormat="1" applyFont="1" applyFill="1" applyBorder="1" applyAlignment="1">
      <alignment horizontal="center"/>
    </xf>
    <xf numFmtId="44" fontId="10" fillId="0" borderId="2" xfId="0" applyNumberFormat="1" applyFont="1" applyBorder="1"/>
    <xf numFmtId="0" fontId="3" fillId="3" borderId="1" xfId="0" applyFont="1" applyFill="1" applyBorder="1"/>
    <xf numFmtId="1" fontId="5" fillId="0" borderId="0" xfId="0" applyNumberFormat="1" applyFont="1"/>
    <xf numFmtId="0" fontId="1" fillId="3" borderId="1" xfId="0" applyFont="1" applyFill="1" applyBorder="1"/>
    <xf numFmtId="167" fontId="5" fillId="0" borderId="0" xfId="0" applyNumberFormat="1" applyFont="1"/>
    <xf numFmtId="164" fontId="5" fillId="0" borderId="0" xfId="0" applyNumberFormat="1" applyFont="1"/>
    <xf numFmtId="0" fontId="79" fillId="3" borderId="1" xfId="0" applyFont="1" applyFill="1" applyBorder="1"/>
    <xf numFmtId="0" fontId="3" fillId="0" borderId="3" xfId="0" applyFont="1" applyBorder="1"/>
    <xf numFmtId="0" fontId="5" fillId="0" borderId="7" xfId="0" applyFont="1" applyBorder="1"/>
    <xf numFmtId="1" fontId="5" fillId="0" borderId="7" xfId="0" applyNumberFormat="1" applyFont="1" applyBorder="1"/>
    <xf numFmtId="164" fontId="5" fillId="0" borderId="4" xfId="0" applyNumberFormat="1" applyFont="1" applyBorder="1"/>
    <xf numFmtId="49" fontId="3" fillId="0" borderId="17" xfId="0" applyNumberFormat="1" applyFont="1" applyBorder="1"/>
    <xf numFmtId="164" fontId="5" fillId="0" borderId="23" xfId="0" applyNumberFormat="1" applyFont="1" applyBorder="1"/>
    <xf numFmtId="49" fontId="1" fillId="0" borderId="17" xfId="0" applyNumberFormat="1" applyFont="1" applyBorder="1"/>
    <xf numFmtId="164" fontId="5" fillId="0" borderId="5" xfId="0" applyNumberFormat="1" applyFont="1" applyBorder="1"/>
    <xf numFmtId="164" fontId="5" fillId="0" borderId="24" xfId="0" applyNumberFormat="1" applyFont="1" applyBorder="1"/>
    <xf numFmtId="1" fontId="5" fillId="0" borderId="24" xfId="0" applyNumberFormat="1" applyFont="1" applyBorder="1"/>
    <xf numFmtId="164" fontId="5" fillId="0" borderId="6" xfId="0" applyNumberFormat="1" applyFont="1" applyBorder="1"/>
    <xf numFmtId="169" fontId="5" fillId="0" borderId="0" xfId="0" applyNumberFormat="1" applyFont="1"/>
    <xf numFmtId="164" fontId="3" fillId="20" borderId="2" xfId="0" applyNumberFormat="1" applyFont="1" applyFill="1" applyBorder="1" applyAlignment="1">
      <alignment horizontal="center"/>
    </xf>
    <xf numFmtId="169" fontId="3" fillId="20" borderId="2" xfId="0" applyNumberFormat="1" applyFont="1" applyFill="1" applyBorder="1" applyAlignment="1">
      <alignment horizontal="center"/>
    </xf>
    <xf numFmtId="1" fontId="3" fillId="20" borderId="2" xfId="0" applyNumberFormat="1" applyFont="1" applyFill="1" applyBorder="1" applyAlignment="1">
      <alignment horizontal="center"/>
    </xf>
    <xf numFmtId="164" fontId="5" fillId="0" borderId="2" xfId="0" applyNumberFormat="1" applyFont="1" applyBorder="1"/>
    <xf numFmtId="169" fontId="5" fillId="0" borderId="2" xfId="0" applyNumberFormat="1" applyFont="1" applyBorder="1"/>
    <xf numFmtId="1" fontId="5" fillId="0" borderId="27" xfId="0" applyNumberFormat="1" applyFont="1" applyBorder="1"/>
    <xf numFmtId="1" fontId="1" fillId="0" borderId="2" xfId="0" applyNumberFormat="1" applyFont="1" applyBorder="1" applyAlignment="1">
      <alignment horizontal="center"/>
    </xf>
    <xf numFmtId="164" fontId="1" fillId="26" borderId="2" xfId="0" applyNumberFormat="1" applyFont="1" applyFill="1" applyBorder="1" applyAlignment="1">
      <alignment horizontal="center"/>
    </xf>
    <xf numFmtId="2" fontId="5" fillId="26" borderId="2" xfId="0" applyNumberFormat="1" applyFont="1" applyFill="1" applyBorder="1"/>
    <xf numFmtId="1" fontId="5" fillId="26" borderId="2" xfId="0" applyNumberFormat="1" applyFont="1" applyFill="1" applyBorder="1"/>
    <xf numFmtId="1" fontId="1" fillId="26" borderId="2" xfId="0" applyNumberFormat="1" applyFont="1" applyFill="1" applyBorder="1" applyAlignment="1">
      <alignment horizontal="center"/>
    </xf>
    <xf numFmtId="175" fontId="5" fillId="0" borderId="0" xfId="0" applyNumberFormat="1" applyFont="1"/>
    <xf numFmtId="2" fontId="3" fillId="20" borderId="2" xfId="0" applyNumberFormat="1" applyFont="1" applyFill="1" applyBorder="1" applyAlignment="1">
      <alignment horizontal="center"/>
    </xf>
    <xf numFmtId="2" fontId="5" fillId="0" borderId="0" xfId="0" applyNumberFormat="1" applyFont="1"/>
    <xf numFmtId="0" fontId="5" fillId="0" borderId="23" xfId="0" applyFont="1" applyBorder="1"/>
    <xf numFmtId="0" fontId="3" fillId="0" borderId="2" xfId="0" applyFont="1" applyBorder="1" applyAlignment="1">
      <alignment wrapText="1"/>
    </xf>
    <xf numFmtId="0" fontId="5" fillId="0" borderId="2" xfId="0" applyFont="1" applyBorder="1"/>
    <xf numFmtId="1" fontId="5" fillId="8" borderId="31" xfId="0" applyNumberFormat="1" applyFont="1" applyFill="1" applyBorder="1"/>
    <xf numFmtId="0" fontId="5" fillId="8" borderId="31" xfId="0" applyFont="1" applyFill="1" applyBorder="1"/>
    <xf numFmtId="0" fontId="1" fillId="0" borderId="2" xfId="0" applyFont="1" applyBorder="1" applyAlignment="1">
      <alignment wrapText="1"/>
    </xf>
    <xf numFmtId="0" fontId="23" fillId="0" borderId="2" xfId="0" applyFont="1" applyBorder="1" applyAlignment="1">
      <alignment horizontal="center" wrapText="1"/>
    </xf>
    <xf numFmtId="1" fontId="1" fillId="8" borderId="31" xfId="0" applyNumberFormat="1" applyFont="1" applyFill="1" applyBorder="1" applyAlignment="1">
      <alignment horizontal="center" wrapText="1"/>
    </xf>
    <xf numFmtId="0" fontId="1" fillId="8" borderId="31" xfId="0" applyFont="1" applyFill="1" applyBorder="1" applyAlignment="1">
      <alignment horizontal="center" wrapText="1"/>
    </xf>
    <xf numFmtId="1" fontId="80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wrapText="1"/>
    </xf>
    <xf numFmtId="0" fontId="5" fillId="3" borderId="32" xfId="0" applyFont="1" applyFill="1" applyBorder="1"/>
    <xf numFmtId="1" fontId="5" fillId="3" borderId="32" xfId="0" applyNumberFormat="1" applyFont="1" applyFill="1" applyBorder="1"/>
    <xf numFmtId="168" fontId="5" fillId="0" borderId="0" xfId="0" applyNumberFormat="1" applyFont="1"/>
    <xf numFmtId="0" fontId="3" fillId="8" borderId="33" xfId="0" applyFont="1" applyFill="1" applyBorder="1" applyAlignment="1">
      <alignment wrapText="1"/>
    </xf>
    <xf numFmtId="0" fontId="1" fillId="8" borderId="33" xfId="0" applyFont="1" applyFill="1" applyBorder="1" applyAlignment="1">
      <alignment wrapText="1"/>
    </xf>
    <xf numFmtId="0" fontId="5" fillId="8" borderId="33" xfId="0" applyFont="1" applyFill="1" applyBorder="1"/>
    <xf numFmtId="0" fontId="3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horizontal="left" wrapText="1"/>
    </xf>
    <xf numFmtId="0" fontId="81" fillId="31" borderId="1" xfId="0" applyFont="1" applyFill="1" applyBorder="1"/>
    <xf numFmtId="1" fontId="5" fillId="31" borderId="1" xfId="0" applyNumberFormat="1" applyFont="1" applyFill="1" applyBorder="1"/>
    <xf numFmtId="0" fontId="5" fillId="31" borderId="1" xfId="0" applyFont="1" applyFill="1" applyBorder="1"/>
    <xf numFmtId="0" fontId="3" fillId="0" borderId="2" xfId="0" applyFont="1" applyBorder="1"/>
    <xf numFmtId="1" fontId="5" fillId="0" borderId="2" xfId="0" applyNumberFormat="1" applyFont="1" applyBorder="1"/>
    <xf numFmtId="0" fontId="1" fillId="0" borderId="2" xfId="0" applyFont="1" applyBorder="1"/>
    <xf numFmtId="1" fontId="1" fillId="0" borderId="2" xfId="0" applyNumberFormat="1" applyFont="1" applyBorder="1" applyAlignment="1">
      <alignment horizontal="right"/>
    </xf>
    <xf numFmtId="2" fontId="82" fillId="0" borderId="0" xfId="0" applyNumberFormat="1" applyFont="1" applyAlignment="1">
      <alignment horizontal="right"/>
    </xf>
    <xf numFmtId="0" fontId="82" fillId="0" borderId="0" xfId="0" applyFont="1" applyAlignment="1">
      <alignment horizontal="right"/>
    </xf>
    <xf numFmtId="0" fontId="3" fillId="32" borderId="2" xfId="0" applyFont="1" applyFill="1" applyBorder="1" applyAlignment="1">
      <alignment horizontal="right"/>
    </xf>
    <xf numFmtId="1" fontId="3" fillId="32" borderId="2" xfId="0" applyNumberFormat="1" applyFont="1" applyFill="1" applyBorder="1" applyAlignment="1">
      <alignment horizontal="right"/>
    </xf>
    <xf numFmtId="0" fontId="3" fillId="32" borderId="2" xfId="0" applyFont="1" applyFill="1" applyBorder="1"/>
    <xf numFmtId="166" fontId="8" fillId="6" borderId="32" xfId="0" applyNumberFormat="1" applyFont="1" applyFill="1" applyBorder="1" applyAlignment="1">
      <alignment horizontal="right"/>
    </xf>
    <xf numFmtId="4" fontId="8" fillId="5" borderId="34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9" fillId="0" borderId="7" xfId="0" applyFont="1" applyBorder="1"/>
    <xf numFmtId="0" fontId="9" fillId="0" borderId="4" xfId="0" applyFont="1" applyBorder="1"/>
    <xf numFmtId="1" fontId="28" fillId="0" borderId="3" xfId="0" applyNumberFormat="1" applyFont="1" applyBorder="1" applyAlignment="1">
      <alignment horizontal="right" vertical="center"/>
    </xf>
    <xf numFmtId="0" fontId="32" fillId="10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1" fontId="24" fillId="0" borderId="3" xfId="0" applyNumberFormat="1" applyFont="1" applyBorder="1" applyAlignment="1">
      <alignment horizontal="right"/>
    </xf>
    <xf numFmtId="0" fontId="18" fillId="0" borderId="0" xfId="0" applyFont="1" applyAlignment="1">
      <alignment vertical="center"/>
    </xf>
    <xf numFmtId="0" fontId="41" fillId="11" borderId="21" xfId="0" applyFont="1" applyFill="1" applyBorder="1" applyAlignment="1">
      <alignment horizontal="center" vertical="center" wrapText="1"/>
    </xf>
    <xf numFmtId="0" fontId="9" fillId="0" borderId="22" xfId="0" applyFont="1" applyBorder="1"/>
    <xf numFmtId="1" fontId="42" fillId="11" borderId="21" xfId="0" applyNumberFormat="1" applyFont="1" applyFill="1" applyBorder="1" applyAlignment="1">
      <alignment horizontal="center" vertical="center" wrapText="1"/>
    </xf>
    <xf numFmtId="0" fontId="38" fillId="11" borderId="21" xfId="0" applyFont="1" applyFill="1" applyBorder="1" applyAlignment="1">
      <alignment horizontal="center" vertical="center"/>
    </xf>
    <xf numFmtId="2" fontId="40" fillId="11" borderId="3" xfId="0" applyNumberFormat="1" applyFont="1" applyFill="1" applyBorder="1" applyAlignment="1">
      <alignment horizontal="center" vertical="center"/>
    </xf>
    <xf numFmtId="0" fontId="50" fillId="13" borderId="3" xfId="0" applyFont="1" applyFill="1" applyBorder="1" applyAlignment="1">
      <alignment horizontal="center"/>
    </xf>
    <xf numFmtId="0" fontId="50" fillId="0" borderId="3" xfId="0" applyFont="1" applyBorder="1" applyAlignment="1">
      <alignment horizontal="center"/>
    </xf>
    <xf numFmtId="0" fontId="50" fillId="15" borderId="3" xfId="0" applyFont="1" applyFill="1" applyBorder="1" applyAlignment="1">
      <alignment horizontal="center"/>
    </xf>
    <xf numFmtId="0" fontId="50" fillId="13" borderId="21" xfId="0" applyFont="1" applyFill="1" applyBorder="1" applyAlignment="1">
      <alignment horizontal="center"/>
    </xf>
    <xf numFmtId="0" fontId="50" fillId="14" borderId="3" xfId="0" applyFont="1" applyFill="1" applyBorder="1" applyAlignment="1">
      <alignment horizontal="center"/>
    </xf>
    <xf numFmtId="0" fontId="50" fillId="4" borderId="21" xfId="0" applyFont="1" applyFill="1" applyBorder="1" applyAlignment="1">
      <alignment horizontal="center"/>
    </xf>
    <xf numFmtId="0" fontId="50" fillId="14" borderId="21" xfId="0" applyFont="1" applyFill="1" applyBorder="1" applyAlignment="1">
      <alignment horizontal="center"/>
    </xf>
    <xf numFmtId="0" fontId="49" fillId="13" borderId="23" xfId="0" applyFont="1" applyFill="1" applyBorder="1" applyAlignment="1">
      <alignment horizontal="center"/>
    </xf>
    <xf numFmtId="0" fontId="9" fillId="0" borderId="23" xfId="0" applyFont="1" applyBorder="1"/>
    <xf numFmtId="0" fontId="49" fillId="0" borderId="3" xfId="0" applyFont="1" applyBorder="1" applyAlignment="1">
      <alignment horizontal="center"/>
    </xf>
    <xf numFmtId="0" fontId="49" fillId="0" borderId="21" xfId="0" applyFont="1" applyBorder="1"/>
    <xf numFmtId="1" fontId="49" fillId="0" borderId="21" xfId="0" applyNumberFormat="1" applyFont="1" applyBorder="1" applyAlignment="1">
      <alignment vertical="center"/>
    </xf>
    <xf numFmtId="0" fontId="9" fillId="0" borderId="28" xfId="0" applyFont="1" applyBorder="1"/>
    <xf numFmtId="0" fontId="50" fillId="14" borderId="26" xfId="0" applyFont="1" applyFill="1" applyBorder="1" applyAlignment="1">
      <alignment horizontal="center"/>
    </xf>
    <xf numFmtId="0" fontId="9" fillId="0" borderId="27" xfId="0" applyFont="1" applyBorder="1"/>
    <xf numFmtId="0" fontId="9" fillId="0" borderId="25" xfId="0" applyFont="1" applyBorder="1"/>
    <xf numFmtId="0" fontId="9" fillId="0" borderId="5" xfId="0" applyFont="1" applyBorder="1"/>
    <xf numFmtId="0" fontId="9" fillId="0" borderId="24" xfId="0" applyFont="1" applyBorder="1"/>
    <xf numFmtId="0" fontId="9" fillId="0" borderId="6" xfId="0" applyFont="1" applyBorder="1"/>
    <xf numFmtId="0" fontId="52" fillId="4" borderId="3" xfId="0" applyFont="1" applyFill="1" applyBorder="1" applyAlignment="1">
      <alignment horizontal="center"/>
    </xf>
    <xf numFmtId="0" fontId="50" fillId="4" borderId="3" xfId="0" applyFont="1" applyFill="1" applyBorder="1" applyAlignment="1">
      <alignment horizontal="center"/>
    </xf>
    <xf numFmtId="0" fontId="49" fillId="0" borderId="21" xfId="0" applyFont="1" applyBorder="1" applyAlignment="1">
      <alignment horizontal="center" vertical="center"/>
    </xf>
    <xf numFmtId="0" fontId="50" fillId="13" borderId="26" xfId="0" applyFont="1" applyFill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50" fillId="13" borderId="28" xfId="0" applyFont="1" applyFill="1" applyBorder="1" applyAlignment="1">
      <alignment horizontal="center"/>
    </xf>
    <xf numFmtId="0" fontId="72" fillId="27" borderId="3" xfId="0" applyFont="1" applyFill="1" applyBorder="1" applyAlignment="1">
      <alignment horizontal="center"/>
    </xf>
    <xf numFmtId="0" fontId="64" fillId="0" borderId="0" xfId="0" applyFont="1" applyAlignment="1">
      <alignment horizontal="center"/>
    </xf>
    <xf numFmtId="0" fontId="61" fillId="20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5" borderId="2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29" borderId="3" xfId="0" applyFont="1" applyFill="1" applyBorder="1" applyAlignment="1">
      <alignment horizontal="center"/>
    </xf>
    <xf numFmtId="0" fontId="75" fillId="0" borderId="21" xfId="0" applyFont="1" applyBorder="1" applyAlignment="1">
      <alignment horizontal="center"/>
    </xf>
    <xf numFmtId="0" fontId="5" fillId="0" borderId="27" xfId="0" applyFont="1" applyBorder="1"/>
    <xf numFmtId="164" fontId="3" fillId="30" borderId="3" xfId="0" applyNumberFormat="1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504825</xdr:colOff>
      <xdr:row>1</xdr:row>
      <xdr:rowOff>180975</xdr:rowOff>
    </xdr:from>
    <xdr:ext cx="4781550" cy="1314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gclegacyconstruc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4"/>
  <sheetViews>
    <sheetView topLeftCell="A68" workbookViewId="0">
      <selection activeCell="B1" sqref="B1:B80"/>
    </sheetView>
  </sheetViews>
  <sheetFormatPr defaultColWidth="12.59765625" defaultRowHeight="15" customHeight="1"/>
  <cols>
    <col min="1" max="1" width="5" customWidth="1"/>
    <col min="2" max="2" width="108.8984375" customWidth="1"/>
    <col min="3" max="3" width="2.3984375" customWidth="1"/>
    <col min="4" max="4" width="1" customWidth="1"/>
    <col min="5" max="5" width="10.59765625" customWidth="1"/>
    <col min="6" max="6" width="19.09765625" customWidth="1"/>
    <col min="9" max="10" width="5.3984375" customWidth="1"/>
  </cols>
  <sheetData>
    <row r="1" spans="1:26" ht="42.75" customHeight="1">
      <c r="A1" s="1"/>
      <c r="B1" s="2" t="s">
        <v>0</v>
      </c>
      <c r="C1" s="1"/>
      <c r="D1" s="3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9.5" customHeight="1">
      <c r="A2" s="1"/>
      <c r="B2" s="2"/>
      <c r="C2" s="1"/>
      <c r="D2" s="3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>
      <c r="A3" s="1"/>
      <c r="B3" s="5" t="s">
        <v>1</v>
      </c>
      <c r="C3" s="1"/>
      <c r="D3" s="3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>
      <c r="A4" s="1"/>
      <c r="B4" s="7" t="s">
        <v>2</v>
      </c>
      <c r="C4" s="1"/>
      <c r="D4" s="3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>
      <c r="A5" s="1"/>
      <c r="B5" s="7" t="s">
        <v>3</v>
      </c>
      <c r="C5" s="1"/>
      <c r="D5" s="3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0.5" customHeight="1">
      <c r="A6" s="1"/>
      <c r="B6" s="9"/>
      <c r="C6" s="1"/>
      <c r="D6" s="3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"/>
      <c r="B7" s="11" t="s">
        <v>4</v>
      </c>
      <c r="C7" s="1"/>
      <c r="D7" s="3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"/>
      <c r="B8" s="12" t="s">
        <v>5</v>
      </c>
      <c r="C8" s="1"/>
      <c r="D8" s="3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.6">
      <c r="A9" s="1"/>
      <c r="B9" s="13" t="s">
        <v>6</v>
      </c>
      <c r="C9" s="1"/>
      <c r="D9" s="3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.6">
      <c r="A10" s="1"/>
      <c r="B10" s="13" t="s">
        <v>7</v>
      </c>
      <c r="C10" s="1"/>
      <c r="D10" s="3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14"/>
      <c r="B11" s="13" t="s">
        <v>8</v>
      </c>
      <c r="C11" s="14"/>
      <c r="D11" s="15"/>
      <c r="E11" s="1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7.6">
      <c r="A12" s="14"/>
      <c r="B12" s="13" t="s">
        <v>9</v>
      </c>
      <c r="C12" s="14"/>
      <c r="D12" s="15"/>
      <c r="E12" s="1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7.6">
      <c r="A13" s="14"/>
      <c r="B13" s="13" t="s">
        <v>10</v>
      </c>
      <c r="C13" s="14"/>
      <c r="D13" s="15"/>
      <c r="E13" s="1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7.6">
      <c r="A14" s="1"/>
      <c r="B14" s="17" t="s">
        <v>11</v>
      </c>
      <c r="C14" s="1"/>
      <c r="D14" s="3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5" customHeight="1">
      <c r="A15" s="1"/>
      <c r="B15" s="11" t="s">
        <v>12</v>
      </c>
      <c r="C15" s="1"/>
      <c r="D15" s="3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1"/>
      <c r="B16" s="12" t="s">
        <v>13</v>
      </c>
      <c r="C16" s="1"/>
      <c r="D16" s="3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1"/>
      <c r="B17" s="12" t="s">
        <v>14</v>
      </c>
      <c r="C17" s="1"/>
      <c r="D17" s="3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1"/>
      <c r="B18" s="13" t="s">
        <v>15</v>
      </c>
      <c r="C18" s="1"/>
      <c r="D18" s="3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9.5" customHeight="1">
      <c r="A19" s="1"/>
      <c r="B19" s="18" t="s">
        <v>16</v>
      </c>
      <c r="C19" s="1"/>
      <c r="D19" s="3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"/>
      <c r="B20" s="19" t="str">
        <f>'Exterior Siding'!B7</f>
        <v>Only Patching and repair area were considered in takeoffs.</v>
      </c>
      <c r="C20" s="1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9" t="str">
        <f>'Exterior Siding'!B8</f>
        <v>Brick Veneer considered in the takeoffs as per plan.</v>
      </c>
      <c r="C21" s="1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8" t="s">
        <v>17</v>
      </c>
      <c r="C22" s="1"/>
      <c r="D22" s="3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6" ht="15.75" customHeight="1">
      <c r="A23" s="1"/>
      <c r="B23" s="20" t="str">
        <f>'Exterior Painting'!B22</f>
        <v>Two coats of stain paint are considered for the Exterior Patio Railings.</v>
      </c>
      <c r="C23" s="1"/>
      <c r="D23" s="3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6" ht="15.75" customHeight="1">
      <c r="A24" s="1"/>
      <c r="B24" s="20" t="str">
        <f>'Exterior Painting'!B23</f>
        <v>One coat of primer and two coats of paint are considered for the Exterior Patio Posts.</v>
      </c>
      <c r="C24" s="1"/>
      <c r="D24" s="3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6" ht="15.75" customHeight="1">
      <c r="A25" s="1"/>
      <c r="B25" s="20" t="s">
        <v>18</v>
      </c>
      <c r="C25" s="1"/>
      <c r="D25" s="3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6" ht="15.75" customHeight="1">
      <c r="A26" s="1"/>
      <c r="B26" s="20" t="s">
        <v>19</v>
      </c>
      <c r="C26" s="1"/>
      <c r="D26" s="3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6" ht="19.5" customHeight="1">
      <c r="A27" s="1"/>
      <c r="B27" s="18" t="s">
        <v>20</v>
      </c>
      <c r="C27" s="1"/>
      <c r="D27" s="3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21" t="s">
        <v>21</v>
      </c>
      <c r="C28" s="1"/>
      <c r="D28" s="3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21" t="s">
        <v>22</v>
      </c>
      <c r="C29" s="1"/>
      <c r="D29" s="3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9.5" customHeight="1">
      <c r="A30" s="1"/>
      <c r="B30" s="18" t="s">
        <v>23</v>
      </c>
      <c r="C30" s="1"/>
      <c r="D30" s="3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/>
      <c r="B31" s="21" t="s">
        <v>24</v>
      </c>
      <c r="C31" s="1"/>
      <c r="D31" s="3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21" t="s">
        <v>25</v>
      </c>
      <c r="C32" s="1"/>
      <c r="D32" s="3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21" t="s">
        <v>26</v>
      </c>
      <c r="C33" s="1"/>
      <c r="D33" s="3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20" t="s">
        <v>27</v>
      </c>
      <c r="C34" s="1"/>
      <c r="D34" s="3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9.5" customHeight="1">
      <c r="A35" s="1"/>
      <c r="B35" s="18" t="s">
        <v>28</v>
      </c>
      <c r="C35" s="1"/>
      <c r="D35" s="3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6" ht="15.75" customHeight="1">
      <c r="A36" s="1"/>
      <c r="B36" s="20" t="s">
        <v>29</v>
      </c>
      <c r="C36" s="1"/>
      <c r="D36" s="3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6" ht="15.75" customHeight="1">
      <c r="A37" s="1"/>
      <c r="B37" s="21" t="s">
        <v>30</v>
      </c>
      <c r="C37" s="1"/>
      <c r="D37" s="3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6" ht="15.75" customHeight="1">
      <c r="A38" s="1"/>
      <c r="B38" s="21" t="s">
        <v>31</v>
      </c>
      <c r="C38" s="1"/>
      <c r="D38" s="3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6" ht="15.75" customHeight="1">
      <c r="A39" s="1"/>
      <c r="B39" s="21" t="s">
        <v>32</v>
      </c>
      <c r="C39" s="1"/>
      <c r="D39" s="3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6" ht="15.75" customHeight="1">
      <c r="A40" s="1"/>
      <c r="B40" s="21" t="s">
        <v>33</v>
      </c>
      <c r="C40" s="1"/>
      <c r="D40" s="3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6" ht="19.5" customHeight="1">
      <c r="A41" s="1"/>
      <c r="B41" s="18" t="s">
        <v>34</v>
      </c>
      <c r="C41" s="1"/>
      <c r="D41" s="3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"/>
      <c r="B42" s="21" t="s">
        <v>35</v>
      </c>
      <c r="C42" s="1"/>
      <c r="D42" s="3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"/>
      <c r="B43" s="21" t="s">
        <v>36</v>
      </c>
      <c r="C43" s="1"/>
      <c r="D43" s="3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"/>
      <c r="B44" s="21" t="s">
        <v>37</v>
      </c>
      <c r="C44" s="1"/>
      <c r="D44" s="3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"/>
      <c r="B45" s="21" t="s">
        <v>38</v>
      </c>
      <c r="C45" s="1"/>
      <c r="D45" s="3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9.5" customHeight="1">
      <c r="A46" s="1"/>
      <c r="B46" s="18" t="s">
        <v>39</v>
      </c>
      <c r="C46" s="1"/>
      <c r="D46" s="3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7.6">
      <c r="A47" s="1"/>
      <c r="B47" s="13" t="s">
        <v>40</v>
      </c>
      <c r="C47" s="1"/>
      <c r="D47" s="3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"/>
      <c r="B48" s="12" t="s">
        <v>41</v>
      </c>
      <c r="C48" s="1"/>
      <c r="D48" s="3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"/>
      <c r="B49" s="12" t="s">
        <v>42</v>
      </c>
      <c r="C49" s="1"/>
      <c r="D49" s="3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"/>
      <c r="B50" s="12" t="s">
        <v>43</v>
      </c>
      <c r="C50" s="1"/>
      <c r="D50" s="3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9.5" customHeight="1">
      <c r="A51" s="1"/>
      <c r="B51" s="18" t="s">
        <v>44</v>
      </c>
      <c r="C51" s="1"/>
      <c r="D51" s="3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"/>
      <c r="B52" s="20" t="s">
        <v>45</v>
      </c>
      <c r="C52" s="1"/>
      <c r="D52" s="3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"/>
      <c r="B53" s="20" t="s">
        <v>46</v>
      </c>
      <c r="C53" s="1"/>
      <c r="D53" s="3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"/>
      <c r="B54" s="21" t="s">
        <v>47</v>
      </c>
      <c r="C54" s="1"/>
      <c r="D54" s="3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"/>
      <c r="B55" s="21" t="s">
        <v>48</v>
      </c>
      <c r="C55" s="1"/>
      <c r="D55" s="3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"/>
      <c r="B56" s="21" t="s">
        <v>49</v>
      </c>
      <c r="C56" s="1"/>
      <c r="D56" s="3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9.5" customHeight="1">
      <c r="A57" s="1"/>
      <c r="B57" s="18" t="s">
        <v>50</v>
      </c>
      <c r="C57" s="1"/>
      <c r="D57" s="3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7.6">
      <c r="A58" s="1"/>
      <c r="B58" s="20" t="s">
        <v>40</v>
      </c>
      <c r="C58" s="1"/>
      <c r="D58" s="3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"/>
      <c r="B59" s="20" t="s">
        <v>51</v>
      </c>
      <c r="C59" s="1"/>
      <c r="D59" s="3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"/>
      <c r="B60" s="21" t="s">
        <v>42</v>
      </c>
      <c r="C60" s="1"/>
      <c r="D60" s="3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"/>
      <c r="B61" s="21" t="s">
        <v>52</v>
      </c>
      <c r="C61" s="1"/>
      <c r="D61" s="3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"/>
      <c r="B62" s="21" t="s">
        <v>53</v>
      </c>
      <c r="C62" s="1"/>
      <c r="D62" s="3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9.5" customHeight="1">
      <c r="A63" s="1"/>
      <c r="B63" s="18" t="s">
        <v>54</v>
      </c>
      <c r="C63" s="1"/>
      <c r="D63" s="3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"/>
      <c r="B64" s="20" t="s">
        <v>55</v>
      </c>
      <c r="C64" s="1"/>
      <c r="D64" s="3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"/>
      <c r="B65" s="20" t="s">
        <v>56</v>
      </c>
      <c r="C65" s="1"/>
      <c r="D65" s="3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"/>
      <c r="B66" s="20" t="s">
        <v>57</v>
      </c>
      <c r="C66" s="1"/>
      <c r="D66" s="3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B67" s="20" t="s">
        <v>58</v>
      </c>
      <c r="C67" s="1"/>
      <c r="D67" s="3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"/>
      <c r="B68" s="20" t="s">
        <v>59</v>
      </c>
      <c r="C68" s="1"/>
      <c r="D68" s="3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"/>
      <c r="B69" s="20" t="s">
        <v>60</v>
      </c>
      <c r="C69" s="1"/>
      <c r="D69" s="3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"/>
      <c r="B70" s="20" t="s">
        <v>61</v>
      </c>
      <c r="C70" s="1"/>
      <c r="D70" s="3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"/>
      <c r="B71" s="20" t="s">
        <v>62</v>
      </c>
      <c r="C71" s="1"/>
      <c r="D71" s="3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9.5" customHeight="1">
      <c r="A72" s="1"/>
      <c r="B72" s="18" t="s">
        <v>63</v>
      </c>
      <c r="C72" s="1"/>
      <c r="D72" s="3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"/>
      <c r="B73" s="13" t="s">
        <v>64</v>
      </c>
      <c r="C73" s="1"/>
      <c r="D73" s="3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"/>
      <c r="B74" s="12" t="s">
        <v>65</v>
      </c>
      <c r="C74" s="1"/>
      <c r="D74" s="3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"/>
      <c r="B75" s="12" t="s">
        <v>66</v>
      </c>
      <c r="C75" s="1"/>
      <c r="D75" s="3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"/>
      <c r="B76" s="12" t="s">
        <v>67</v>
      </c>
      <c r="C76" s="1"/>
      <c r="D76" s="3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12" t="s">
        <v>68</v>
      </c>
      <c r="C77" s="1"/>
      <c r="D77" s="3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"/>
      <c r="B78" s="12" t="s">
        <v>69</v>
      </c>
      <c r="C78" s="1"/>
      <c r="D78" s="3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"/>
      <c r="B79" s="12" t="s">
        <v>70</v>
      </c>
      <c r="C79" s="1"/>
      <c r="D79" s="3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"/>
      <c r="B80" s="12"/>
      <c r="C80" s="1"/>
      <c r="D80" s="3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1"/>
      <c r="B81" s="1"/>
      <c r="C81" s="1"/>
      <c r="D81" s="3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1"/>
      <c r="B82" s="1"/>
      <c r="C82" s="1"/>
      <c r="D82" s="3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1"/>
      <c r="B83" s="1"/>
      <c r="C83" s="1"/>
      <c r="D83" s="3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1"/>
      <c r="B84" s="1"/>
      <c r="C84" s="1"/>
      <c r="D84" s="3"/>
      <c r="E84" s="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1"/>
      <c r="B85" s="1"/>
      <c r="C85" s="1"/>
      <c r="D85" s="3"/>
      <c r="E85" s="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1"/>
      <c r="B86" s="1"/>
      <c r="C86" s="1"/>
      <c r="D86" s="3"/>
      <c r="E86" s="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1"/>
      <c r="B87" s="1"/>
      <c r="C87" s="1"/>
      <c r="D87" s="3"/>
      <c r="E87" s="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1"/>
      <c r="B88" s="1"/>
      <c r="C88" s="1"/>
      <c r="D88" s="3"/>
      <c r="E88" s="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1"/>
      <c r="B89" s="1"/>
      <c r="C89" s="1"/>
      <c r="D89" s="3"/>
      <c r="E89" s="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8">
      <c r="A90" s="4"/>
      <c r="B90" s="4"/>
      <c r="C90" s="4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8">
      <c r="A91" s="4"/>
      <c r="B91" s="4"/>
      <c r="C91" s="4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8">
      <c r="A92" s="4"/>
      <c r="B92" s="4"/>
      <c r="C92" s="4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>
      <c r="A201" s="4"/>
      <c r="B201" s="4"/>
      <c r="C201" s="4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>
      <c r="A202" s="4"/>
      <c r="B202" s="4"/>
      <c r="C202" s="4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>
      <c r="A203" s="4"/>
      <c r="B203" s="4"/>
      <c r="C203" s="4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>
      <c r="A204" s="4"/>
      <c r="B204" s="4"/>
      <c r="C204" s="4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>
      <c r="A205" s="4"/>
      <c r="B205" s="4"/>
      <c r="C205" s="4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>
      <c r="A206" s="4"/>
      <c r="B206" s="4"/>
      <c r="C206" s="4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>
      <c r="A207" s="4"/>
      <c r="B207" s="4"/>
      <c r="C207" s="4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>
      <c r="A208" s="4"/>
      <c r="B208" s="4"/>
      <c r="C208" s="4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>
      <c r="A209" s="4"/>
      <c r="B209" s="4"/>
      <c r="C209" s="4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>
      <c r="A210" s="4"/>
      <c r="B210" s="4"/>
      <c r="C210" s="4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>
      <c r="A211" s="4"/>
      <c r="B211" s="4"/>
      <c r="C211" s="4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>
      <c r="A212" s="4"/>
      <c r="B212" s="4"/>
      <c r="C212" s="4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>
      <c r="A213" s="4"/>
      <c r="B213" s="4"/>
      <c r="C213" s="4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>
      <c r="A214" s="4"/>
      <c r="B214" s="4"/>
      <c r="C214" s="4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>
      <c r="A215" s="4"/>
      <c r="B215" s="4"/>
      <c r="C215" s="4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>
      <c r="A216" s="4"/>
      <c r="B216" s="4"/>
      <c r="C216" s="4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>
      <c r="A217" s="4"/>
      <c r="B217" s="4"/>
      <c r="C217" s="4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>
      <c r="A218" s="4"/>
      <c r="B218" s="4"/>
      <c r="C218" s="4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>
      <c r="A219" s="4"/>
      <c r="B219" s="4"/>
      <c r="C219" s="4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>
      <c r="A220" s="4"/>
      <c r="B220" s="4"/>
      <c r="C220" s="4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>
      <c r="A221" s="4"/>
      <c r="B221" s="4"/>
      <c r="C221" s="4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>
      <c r="A222" s="4"/>
      <c r="B222" s="4"/>
      <c r="C222" s="4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>
      <c r="A223" s="4"/>
      <c r="B223" s="4"/>
      <c r="C223" s="4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>
      <c r="A224" s="4"/>
      <c r="B224" s="4"/>
      <c r="C224" s="4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>
      <c r="A225" s="4"/>
      <c r="B225" s="4"/>
      <c r="C225" s="4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>
      <c r="A226" s="4"/>
      <c r="B226" s="4"/>
      <c r="C226" s="4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>
      <c r="A227" s="4"/>
      <c r="B227" s="4"/>
      <c r="C227" s="4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>
      <c r="A228" s="4"/>
      <c r="B228" s="4"/>
      <c r="C228" s="4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>
      <c r="A229" s="4"/>
      <c r="B229" s="4"/>
      <c r="C229" s="4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>
      <c r="A230" s="4"/>
      <c r="B230" s="4"/>
      <c r="C230" s="4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>
      <c r="A231" s="4"/>
      <c r="B231" s="4"/>
      <c r="C231" s="4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customHeight="1">
      <c r="A232" s="4"/>
      <c r="B232" s="4"/>
      <c r="C232" s="4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>
      <c r="A233" s="4"/>
      <c r="B233" s="4"/>
      <c r="C233" s="4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>
      <c r="A234" s="4"/>
      <c r="B234" s="4"/>
      <c r="C234" s="4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>
      <c r="A235" s="4"/>
      <c r="B235" s="4"/>
      <c r="C235" s="4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>
      <c r="A236" s="4"/>
      <c r="B236" s="4"/>
      <c r="C236" s="4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>
      <c r="A237" s="4"/>
      <c r="B237" s="4"/>
      <c r="C237" s="4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>
      <c r="A238" s="4"/>
      <c r="B238" s="4"/>
      <c r="C238" s="4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>
      <c r="A239" s="4"/>
      <c r="B239" s="4"/>
      <c r="C239" s="4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>
      <c r="A240" s="4"/>
      <c r="B240" s="4"/>
      <c r="C240" s="4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>
      <c r="A241" s="4"/>
      <c r="B241" s="4"/>
      <c r="C241" s="4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customHeight="1">
      <c r="A242" s="4"/>
      <c r="B242" s="4"/>
      <c r="C242" s="4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>
      <c r="A243" s="4"/>
      <c r="B243" s="4"/>
      <c r="C243" s="4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>
      <c r="A244" s="4"/>
      <c r="B244" s="4"/>
      <c r="C244" s="4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>
      <c r="A245" s="4"/>
      <c r="B245" s="4"/>
      <c r="C245" s="4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>
      <c r="A246" s="4"/>
      <c r="B246" s="4"/>
      <c r="C246" s="4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>
      <c r="A247" s="4"/>
      <c r="B247" s="4"/>
      <c r="C247" s="4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customHeight="1">
      <c r="A248" s="4"/>
      <c r="B248" s="4"/>
      <c r="C248" s="4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customHeight="1">
      <c r="A249" s="4"/>
      <c r="B249" s="4"/>
      <c r="C249" s="4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>
      <c r="A250" s="4"/>
      <c r="B250" s="4"/>
      <c r="C250" s="4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>
      <c r="A251" s="4"/>
      <c r="B251" s="4"/>
      <c r="C251" s="4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>
      <c r="A252" s="4"/>
      <c r="B252" s="4"/>
      <c r="C252" s="4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>
      <c r="A253" s="4"/>
      <c r="B253" s="4"/>
      <c r="C253" s="4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customHeight="1">
      <c r="A254" s="4"/>
      <c r="B254" s="4"/>
      <c r="C254" s="4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customHeight="1">
      <c r="A255" s="4"/>
      <c r="B255" s="4"/>
      <c r="C255" s="4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>
      <c r="A256" s="4"/>
      <c r="B256" s="4"/>
      <c r="C256" s="4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>
      <c r="A257" s="4"/>
      <c r="B257" s="4"/>
      <c r="C257" s="4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>
      <c r="A258" s="4"/>
      <c r="B258" s="4"/>
      <c r="C258" s="4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>
      <c r="A259" s="4"/>
      <c r="B259" s="4"/>
      <c r="C259" s="4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>
      <c r="A260" s="4"/>
      <c r="B260" s="4"/>
      <c r="C260" s="4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>
      <c r="A261" s="4"/>
      <c r="B261" s="4"/>
      <c r="C261" s="4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>
      <c r="A262" s="4"/>
      <c r="B262" s="4"/>
      <c r="C262" s="4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>
      <c r="A263" s="4"/>
      <c r="B263" s="4"/>
      <c r="C263" s="4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>
      <c r="A264" s="4"/>
      <c r="B264" s="4"/>
      <c r="C264" s="4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>
      <c r="A265" s="4"/>
      <c r="B265" s="4"/>
      <c r="C265" s="4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>
      <c r="A266" s="4"/>
      <c r="B266" s="4"/>
      <c r="C266" s="4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>
      <c r="A267" s="4"/>
      <c r="B267" s="4"/>
      <c r="C267" s="4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>
      <c r="A268" s="4"/>
      <c r="B268" s="4"/>
      <c r="C268" s="4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>
      <c r="A269" s="4"/>
      <c r="B269" s="4"/>
      <c r="C269" s="4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>
      <c r="A270" s="4"/>
      <c r="B270" s="4"/>
      <c r="C270" s="4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>
      <c r="A271" s="4"/>
      <c r="B271" s="4"/>
      <c r="C271" s="4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customHeight="1">
      <c r="A272" s="4"/>
      <c r="B272" s="4"/>
      <c r="C272" s="4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>
      <c r="A273" s="4"/>
      <c r="B273" s="4"/>
      <c r="C273" s="4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>
      <c r="A274" s="4"/>
      <c r="B274" s="4"/>
      <c r="C274" s="4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customHeight="1">
      <c r="A275" s="4"/>
      <c r="B275" s="4"/>
      <c r="C275" s="4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>
      <c r="A276" s="4"/>
      <c r="B276" s="4"/>
      <c r="C276" s="4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>
      <c r="A277" s="4"/>
      <c r="B277" s="4"/>
      <c r="C277" s="4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>
      <c r="A278" s="4"/>
      <c r="B278" s="4"/>
      <c r="C278" s="4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>
      <c r="A279" s="4"/>
      <c r="B279" s="4"/>
      <c r="C279" s="4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>
      <c r="A280" s="4"/>
      <c r="B280" s="4"/>
      <c r="C280" s="4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customHeight="1">
      <c r="A281" s="4"/>
      <c r="B281" s="4"/>
      <c r="C281" s="4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customHeight="1">
      <c r="A282" s="4"/>
      <c r="B282" s="4"/>
      <c r="C282" s="4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customHeight="1">
      <c r="A283" s="4"/>
      <c r="B283" s="4"/>
      <c r="C283" s="4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>
      <c r="A284" s="4"/>
      <c r="B284" s="4"/>
      <c r="C284" s="4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customHeight="1">
      <c r="A285" s="4"/>
      <c r="B285" s="4"/>
      <c r="C285" s="4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customHeight="1">
      <c r="A286" s="4"/>
      <c r="B286" s="4"/>
      <c r="C286" s="4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customHeight="1">
      <c r="A287" s="4"/>
      <c r="B287" s="4"/>
      <c r="C287" s="4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customHeight="1">
      <c r="A288" s="4"/>
      <c r="B288" s="4"/>
      <c r="C288" s="4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customHeight="1">
      <c r="A289" s="4"/>
      <c r="B289" s="4"/>
      <c r="C289" s="4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>
      <c r="A290" s="4"/>
      <c r="B290" s="4"/>
      <c r="C290" s="4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>
      <c r="A291" s="4"/>
      <c r="B291" s="4"/>
      <c r="C291" s="4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customHeight="1">
      <c r="A292" s="4"/>
      <c r="B292" s="4"/>
      <c r="C292" s="4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customHeight="1">
      <c r="A293" s="4"/>
      <c r="B293" s="4"/>
      <c r="C293" s="4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>
      <c r="A294" s="4"/>
      <c r="B294" s="4"/>
      <c r="C294" s="4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>
      <c r="A295" s="4"/>
      <c r="B295" s="4"/>
      <c r="C295" s="4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>
      <c r="A296" s="4"/>
      <c r="B296" s="4"/>
      <c r="C296" s="4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>
      <c r="A297" s="4"/>
      <c r="B297" s="4"/>
      <c r="C297" s="4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>
      <c r="A298" s="4"/>
      <c r="B298" s="4"/>
      <c r="C298" s="4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>
      <c r="A299" s="4"/>
      <c r="B299" s="4"/>
      <c r="C299" s="4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>
      <c r="A300" s="4"/>
      <c r="B300" s="4"/>
      <c r="C300" s="4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>
      <c r="A301" s="4"/>
      <c r="B301" s="4"/>
      <c r="C301" s="4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>
      <c r="A302" s="4"/>
      <c r="B302" s="4"/>
      <c r="C302" s="4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>
      <c r="A303" s="4"/>
      <c r="B303" s="4"/>
      <c r="C303" s="4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customHeight="1">
      <c r="A304" s="4"/>
      <c r="B304" s="4"/>
      <c r="C304" s="4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>
      <c r="A305" s="4"/>
      <c r="B305" s="4"/>
      <c r="C305" s="4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>
      <c r="A306" s="4"/>
      <c r="B306" s="4"/>
      <c r="C306" s="4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customHeight="1">
      <c r="A307" s="4"/>
      <c r="B307" s="4"/>
      <c r="C307" s="4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>
      <c r="A308" s="4"/>
      <c r="B308" s="4"/>
      <c r="C308" s="4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>
      <c r="A309" s="4"/>
      <c r="B309" s="4"/>
      <c r="C309" s="4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>
      <c r="A310" s="4"/>
      <c r="B310" s="4"/>
      <c r="C310" s="4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>
      <c r="A311" s="4"/>
      <c r="B311" s="4"/>
      <c r="C311" s="4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customHeight="1">
      <c r="A312" s="4"/>
      <c r="B312" s="4"/>
      <c r="C312" s="4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customHeight="1">
      <c r="A313" s="4"/>
      <c r="B313" s="4"/>
      <c r="C313" s="4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customHeight="1">
      <c r="A314" s="4"/>
      <c r="B314" s="4"/>
      <c r="C314" s="4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>
      <c r="A315" s="4"/>
      <c r="B315" s="4"/>
      <c r="C315" s="4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customHeight="1">
      <c r="A316" s="4"/>
      <c r="B316" s="4"/>
      <c r="C316" s="4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customHeight="1">
      <c r="A317" s="4"/>
      <c r="B317" s="4"/>
      <c r="C317" s="4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customHeight="1">
      <c r="A318" s="4"/>
      <c r="B318" s="4"/>
      <c r="C318" s="4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customHeight="1">
      <c r="A319" s="4"/>
      <c r="B319" s="4"/>
      <c r="C319" s="4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customHeight="1">
      <c r="A320" s="4"/>
      <c r="B320" s="4"/>
      <c r="C320" s="4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customHeight="1">
      <c r="A321" s="4"/>
      <c r="B321" s="4"/>
      <c r="C321" s="4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customHeight="1">
      <c r="A322" s="4"/>
      <c r="B322" s="4"/>
      <c r="C322" s="4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customHeight="1">
      <c r="A323" s="4"/>
      <c r="B323" s="4"/>
      <c r="C323" s="4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customHeight="1">
      <c r="A324" s="4"/>
      <c r="B324" s="4"/>
      <c r="C324" s="4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customHeight="1">
      <c r="A325" s="4"/>
      <c r="B325" s="4"/>
      <c r="C325" s="4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customHeight="1">
      <c r="A326" s="4"/>
      <c r="B326" s="4"/>
      <c r="C326" s="4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customHeight="1">
      <c r="A327" s="4"/>
      <c r="B327" s="4"/>
      <c r="C327" s="4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customHeight="1">
      <c r="A328" s="4"/>
      <c r="B328" s="4"/>
      <c r="C328" s="4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>
      <c r="A329" s="4"/>
      <c r="B329" s="4"/>
      <c r="C329" s="4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customHeight="1">
      <c r="A330" s="4"/>
      <c r="B330" s="4"/>
      <c r="C330" s="4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customHeight="1">
      <c r="A331" s="4"/>
      <c r="B331" s="4"/>
      <c r="C331" s="4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customHeight="1">
      <c r="A332" s="4"/>
      <c r="B332" s="4"/>
      <c r="C332" s="4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customHeight="1">
      <c r="A333" s="4"/>
      <c r="B333" s="4"/>
      <c r="C333" s="4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customHeight="1">
      <c r="A334" s="4"/>
      <c r="B334" s="4"/>
      <c r="C334" s="4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customHeight="1">
      <c r="A335" s="4"/>
      <c r="B335" s="4"/>
      <c r="C335" s="4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customHeight="1">
      <c r="A336" s="4"/>
      <c r="B336" s="4"/>
      <c r="C336" s="4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customHeight="1">
      <c r="A337" s="4"/>
      <c r="B337" s="4"/>
      <c r="C337" s="4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customHeight="1">
      <c r="A338" s="4"/>
      <c r="B338" s="4"/>
      <c r="C338" s="4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customHeight="1">
      <c r="A339" s="4"/>
      <c r="B339" s="4"/>
      <c r="C339" s="4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>
      <c r="A340" s="4"/>
      <c r="B340" s="4"/>
      <c r="C340" s="4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customHeight="1">
      <c r="A341" s="4"/>
      <c r="B341" s="4"/>
      <c r="C341" s="4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customHeight="1">
      <c r="A342" s="4"/>
      <c r="B342" s="4"/>
      <c r="C342" s="4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>
      <c r="A343" s="4"/>
      <c r="B343" s="4"/>
      <c r="C343" s="4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customHeight="1">
      <c r="A344" s="4"/>
      <c r="B344" s="4"/>
      <c r="C344" s="4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customHeight="1">
      <c r="A345" s="4"/>
      <c r="B345" s="4"/>
      <c r="C345" s="4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customHeight="1">
      <c r="A346" s="4"/>
      <c r="B346" s="4"/>
      <c r="C346" s="4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customHeight="1">
      <c r="A347" s="4"/>
      <c r="B347" s="4"/>
      <c r="C347" s="4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customHeight="1">
      <c r="A348" s="4"/>
      <c r="B348" s="4"/>
      <c r="C348" s="4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customHeight="1">
      <c r="A349" s="4"/>
      <c r="B349" s="4"/>
      <c r="C349" s="4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customHeight="1">
      <c r="A350" s="4"/>
      <c r="B350" s="4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customHeight="1">
      <c r="A351" s="4"/>
      <c r="B351" s="4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customHeight="1">
      <c r="A352" s="4"/>
      <c r="B352" s="4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customHeight="1">
      <c r="A353" s="4"/>
      <c r="B353" s="4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customHeight="1">
      <c r="A354" s="4"/>
      <c r="B354" s="4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customHeight="1">
      <c r="A355" s="4"/>
      <c r="B355" s="4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customHeight="1">
      <c r="A356" s="4"/>
      <c r="B356" s="4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>
      <c r="A357" s="4"/>
      <c r="B357" s="4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customHeight="1">
      <c r="A358" s="4"/>
      <c r="B358" s="4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customHeight="1">
      <c r="A359" s="4"/>
      <c r="B359" s="4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customHeight="1">
      <c r="A360" s="4"/>
      <c r="B360" s="4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customHeight="1">
      <c r="A361" s="4"/>
      <c r="B361" s="4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customHeight="1">
      <c r="A362" s="4"/>
      <c r="B362" s="4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customHeight="1">
      <c r="A363" s="4"/>
      <c r="B363" s="4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customHeight="1">
      <c r="A364" s="4"/>
      <c r="B364" s="4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customHeight="1">
      <c r="A365" s="4"/>
      <c r="B365" s="4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customHeight="1">
      <c r="A366" s="4"/>
      <c r="B366" s="4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customHeight="1">
      <c r="A367" s="4"/>
      <c r="B367" s="4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customHeight="1">
      <c r="A368" s="4"/>
      <c r="B368" s="4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customHeight="1">
      <c r="A369" s="4"/>
      <c r="B369" s="4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customHeight="1">
      <c r="A370" s="4"/>
      <c r="B370" s="4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>
      <c r="A371" s="4"/>
      <c r="B371" s="4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customHeight="1">
      <c r="A372" s="4"/>
      <c r="B372" s="4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customHeight="1">
      <c r="A373" s="4"/>
      <c r="B373" s="4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customHeight="1">
      <c r="A374" s="4"/>
      <c r="B374" s="4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customHeight="1">
      <c r="A375" s="4"/>
      <c r="B375" s="4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customHeight="1">
      <c r="A376" s="4"/>
      <c r="B376" s="4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customHeight="1">
      <c r="A377" s="4"/>
      <c r="B377" s="4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customHeight="1">
      <c r="A378" s="4"/>
      <c r="B378" s="4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customHeight="1">
      <c r="A379" s="4"/>
      <c r="B379" s="4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customHeight="1">
      <c r="A380" s="4"/>
      <c r="B380" s="4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customHeight="1">
      <c r="A381" s="4"/>
      <c r="B381" s="4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customHeight="1">
      <c r="A382" s="4"/>
      <c r="B382" s="4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customHeight="1">
      <c r="A383" s="4"/>
      <c r="B383" s="4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customHeight="1">
      <c r="A384" s="4"/>
      <c r="B384" s="4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>
      <c r="A385" s="4"/>
      <c r="B385" s="4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customHeight="1">
      <c r="A386" s="4"/>
      <c r="B386" s="4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customHeight="1">
      <c r="A387" s="4"/>
      <c r="B387" s="4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customHeight="1">
      <c r="A388" s="4"/>
      <c r="B388" s="4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customHeight="1">
      <c r="A389" s="4"/>
      <c r="B389" s="4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customHeight="1">
      <c r="A390" s="4"/>
      <c r="B390" s="4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customHeight="1">
      <c r="A391" s="4"/>
      <c r="B391" s="4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customHeight="1">
      <c r="A392" s="4"/>
      <c r="B392" s="4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customHeight="1">
      <c r="A393" s="4"/>
      <c r="B393" s="4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customHeight="1">
      <c r="A394" s="4"/>
      <c r="B394" s="4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customHeight="1">
      <c r="A395" s="4"/>
      <c r="B395" s="4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customHeight="1">
      <c r="A396" s="4"/>
      <c r="B396" s="4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>
      <c r="A397" s="4"/>
      <c r="B397" s="4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customHeight="1">
      <c r="A398" s="4"/>
      <c r="B398" s="4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>
      <c r="A399" s="4"/>
      <c r="B399" s="4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customHeight="1">
      <c r="A400" s="4"/>
      <c r="B400" s="4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customHeight="1">
      <c r="A401" s="4"/>
      <c r="B401" s="4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customHeight="1">
      <c r="A402" s="4"/>
      <c r="B402" s="4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customHeight="1">
      <c r="A403" s="4"/>
      <c r="B403" s="4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customHeight="1">
      <c r="A404" s="4"/>
      <c r="B404" s="4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customHeight="1">
      <c r="A405" s="4"/>
      <c r="B405" s="4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customHeight="1">
      <c r="A406" s="4"/>
      <c r="B406" s="4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customHeight="1">
      <c r="A407" s="4"/>
      <c r="B407" s="4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customHeight="1">
      <c r="A408" s="4"/>
      <c r="B408" s="4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customHeight="1">
      <c r="A409" s="4"/>
      <c r="B409" s="4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customHeight="1">
      <c r="A410" s="4"/>
      <c r="B410" s="4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customHeight="1">
      <c r="A411" s="4"/>
      <c r="B411" s="4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customHeight="1">
      <c r="A412" s="4"/>
      <c r="B412" s="4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>
      <c r="A413" s="4"/>
      <c r="B413" s="4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customHeight="1">
      <c r="A414" s="4"/>
      <c r="B414" s="4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customHeight="1">
      <c r="A415" s="4"/>
      <c r="B415" s="4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customHeight="1">
      <c r="A416" s="4"/>
      <c r="B416" s="4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customHeight="1">
      <c r="A417" s="4"/>
      <c r="B417" s="4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customHeight="1">
      <c r="A418" s="4"/>
      <c r="B418" s="4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customHeight="1">
      <c r="A419" s="4"/>
      <c r="B419" s="4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customHeight="1">
      <c r="A420" s="4"/>
      <c r="B420" s="4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customHeight="1">
      <c r="A421" s="4"/>
      <c r="B421" s="4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customHeight="1">
      <c r="A422" s="4"/>
      <c r="B422" s="4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customHeight="1">
      <c r="A423" s="4"/>
      <c r="B423" s="4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customHeight="1">
      <c r="A424" s="4"/>
      <c r="B424" s="4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customHeight="1">
      <c r="A425" s="4"/>
      <c r="B425" s="4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customHeight="1">
      <c r="A426" s="4"/>
      <c r="B426" s="4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>
      <c r="A427" s="4"/>
      <c r="B427" s="4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customHeight="1">
      <c r="A428" s="4"/>
      <c r="B428" s="4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customHeight="1">
      <c r="A429" s="4"/>
      <c r="B429" s="4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customHeight="1">
      <c r="A430" s="4"/>
      <c r="B430" s="4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customHeight="1">
      <c r="A431" s="4"/>
      <c r="B431" s="4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customHeight="1">
      <c r="A432" s="4"/>
      <c r="B432" s="4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customHeight="1">
      <c r="A433" s="4"/>
      <c r="B433" s="4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customHeight="1">
      <c r="A434" s="4"/>
      <c r="B434" s="4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customHeight="1">
      <c r="A435" s="4"/>
      <c r="B435" s="4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customHeight="1">
      <c r="A436" s="4"/>
      <c r="B436" s="4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customHeight="1">
      <c r="A437" s="4"/>
      <c r="B437" s="4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customHeight="1">
      <c r="A438" s="4"/>
      <c r="B438" s="4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customHeight="1">
      <c r="A439" s="4"/>
      <c r="B439" s="4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customHeight="1">
      <c r="A440" s="4"/>
      <c r="B440" s="4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>
      <c r="A441" s="4"/>
      <c r="B441" s="4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customHeight="1">
      <c r="A442" s="4"/>
      <c r="B442" s="4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customHeight="1">
      <c r="A443" s="4"/>
      <c r="B443" s="4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customHeight="1">
      <c r="A444" s="4"/>
      <c r="B444" s="4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customHeight="1">
      <c r="A445" s="4"/>
      <c r="B445" s="4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customHeight="1">
      <c r="A446" s="4"/>
      <c r="B446" s="4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customHeight="1">
      <c r="A447" s="4"/>
      <c r="B447" s="4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customHeight="1">
      <c r="A448" s="4"/>
      <c r="B448" s="4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customHeight="1">
      <c r="A449" s="4"/>
      <c r="B449" s="4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customHeight="1">
      <c r="A450" s="4"/>
      <c r="B450" s="4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customHeight="1">
      <c r="A451" s="4"/>
      <c r="B451" s="4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customHeight="1">
      <c r="A452" s="4"/>
      <c r="B452" s="4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customHeight="1">
      <c r="A453" s="4"/>
      <c r="B453" s="4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customHeight="1">
      <c r="A454" s="4"/>
      <c r="B454" s="4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customHeight="1">
      <c r="A455" s="4"/>
      <c r="B455" s="4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customHeight="1">
      <c r="A456" s="4"/>
      <c r="B456" s="4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customHeight="1">
      <c r="A457" s="4"/>
      <c r="B457" s="4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customHeight="1">
      <c r="A458" s="4"/>
      <c r="B458" s="4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customHeight="1">
      <c r="A459" s="4"/>
      <c r="B459" s="4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customHeight="1">
      <c r="A460" s="4"/>
      <c r="B460" s="4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customHeight="1">
      <c r="A461" s="4"/>
      <c r="B461" s="4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customHeight="1">
      <c r="A462" s="4"/>
      <c r="B462" s="4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customHeight="1">
      <c r="A463" s="4"/>
      <c r="B463" s="4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customHeight="1">
      <c r="A464" s="4"/>
      <c r="B464" s="4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customHeight="1">
      <c r="A465" s="4"/>
      <c r="B465" s="4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customHeight="1">
      <c r="A466" s="4"/>
      <c r="B466" s="4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customHeight="1">
      <c r="A467" s="4"/>
      <c r="B467" s="4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customHeight="1">
      <c r="A468" s="4"/>
      <c r="B468" s="4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customHeight="1">
      <c r="A469" s="4"/>
      <c r="B469" s="4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customHeight="1">
      <c r="A470" s="4"/>
      <c r="B470" s="4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customHeight="1">
      <c r="A471" s="4"/>
      <c r="B471" s="4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customHeight="1">
      <c r="A472" s="4"/>
      <c r="B472" s="4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customHeight="1">
      <c r="A473" s="4"/>
      <c r="B473" s="4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customHeight="1">
      <c r="A474" s="4"/>
      <c r="B474" s="4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customHeight="1">
      <c r="A475" s="4"/>
      <c r="B475" s="4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customHeight="1">
      <c r="A476" s="4"/>
      <c r="B476" s="4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customHeight="1">
      <c r="A477" s="4"/>
      <c r="B477" s="4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customHeight="1">
      <c r="A478" s="4"/>
      <c r="B478" s="4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customHeight="1">
      <c r="A479" s="4"/>
      <c r="B479" s="4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customHeight="1">
      <c r="A480" s="4"/>
      <c r="B480" s="4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customHeight="1">
      <c r="A481" s="4"/>
      <c r="B481" s="4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customHeight="1">
      <c r="A482" s="4"/>
      <c r="B482" s="4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customHeight="1">
      <c r="A483" s="4"/>
      <c r="B483" s="4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customHeight="1">
      <c r="A484" s="4"/>
      <c r="B484" s="4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customHeight="1">
      <c r="A485" s="4"/>
      <c r="B485" s="4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customHeight="1">
      <c r="A486" s="4"/>
      <c r="B486" s="4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customHeight="1">
      <c r="A487" s="4"/>
      <c r="B487" s="4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customHeight="1">
      <c r="A488" s="4"/>
      <c r="B488" s="4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customHeight="1">
      <c r="A489" s="4"/>
      <c r="B489" s="4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customHeight="1">
      <c r="A490" s="4"/>
      <c r="B490" s="4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customHeight="1">
      <c r="A491" s="4"/>
      <c r="B491" s="4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customHeight="1">
      <c r="A492" s="4"/>
      <c r="B492" s="4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customHeight="1">
      <c r="A493" s="4"/>
      <c r="B493" s="4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customHeight="1">
      <c r="A494" s="4"/>
      <c r="B494" s="4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customHeight="1">
      <c r="A495" s="4"/>
      <c r="B495" s="4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customHeight="1">
      <c r="A496" s="4"/>
      <c r="B496" s="4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customHeight="1">
      <c r="A497" s="4"/>
      <c r="B497" s="4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customHeight="1">
      <c r="A498" s="4"/>
      <c r="B498" s="4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customHeight="1">
      <c r="A499" s="4"/>
      <c r="B499" s="4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customHeight="1">
      <c r="A500" s="4"/>
      <c r="B500" s="4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customHeight="1">
      <c r="A501" s="4"/>
      <c r="B501" s="4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customHeight="1">
      <c r="A502" s="4"/>
      <c r="B502" s="4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customHeight="1">
      <c r="A503" s="4"/>
      <c r="B503" s="4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customHeight="1">
      <c r="A504" s="4"/>
      <c r="B504" s="4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customHeight="1">
      <c r="A505" s="4"/>
      <c r="B505" s="4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customHeight="1">
      <c r="A506" s="4"/>
      <c r="B506" s="4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customHeight="1">
      <c r="A507" s="4"/>
      <c r="B507" s="4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customHeight="1">
      <c r="A508" s="4"/>
      <c r="B508" s="4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customHeight="1">
      <c r="A509" s="4"/>
      <c r="B509" s="4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customHeight="1">
      <c r="A510" s="4"/>
      <c r="B510" s="4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customHeight="1">
      <c r="A511" s="4"/>
      <c r="B511" s="4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customHeight="1">
      <c r="A512" s="4"/>
      <c r="B512" s="4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customHeight="1">
      <c r="A513" s="4"/>
      <c r="B513" s="4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customHeight="1">
      <c r="A514" s="4"/>
      <c r="B514" s="4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customHeight="1">
      <c r="A515" s="4"/>
      <c r="B515" s="4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customHeight="1">
      <c r="A516" s="4"/>
      <c r="B516" s="4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customHeight="1">
      <c r="A517" s="4"/>
      <c r="B517" s="4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customHeight="1">
      <c r="A518" s="4"/>
      <c r="B518" s="4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customHeight="1">
      <c r="A519" s="4"/>
      <c r="B519" s="4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customHeight="1">
      <c r="A520" s="4"/>
      <c r="B520" s="4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customHeight="1">
      <c r="A521" s="4"/>
      <c r="B521" s="4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customHeight="1">
      <c r="A522" s="4"/>
      <c r="B522" s="4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customHeight="1">
      <c r="A523" s="4"/>
      <c r="B523" s="4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customHeight="1">
      <c r="A524" s="4"/>
      <c r="B524" s="4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customHeight="1">
      <c r="A525" s="4"/>
      <c r="B525" s="4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customHeight="1">
      <c r="A526" s="4"/>
      <c r="B526" s="4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customHeight="1">
      <c r="A527" s="4"/>
      <c r="B527" s="4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customHeight="1">
      <c r="A528" s="4"/>
      <c r="B528" s="4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customHeight="1">
      <c r="A529" s="4"/>
      <c r="B529" s="4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customHeight="1">
      <c r="A530" s="4"/>
      <c r="B530" s="4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customHeight="1">
      <c r="A531" s="4"/>
      <c r="B531" s="4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customHeight="1">
      <c r="A532" s="4"/>
      <c r="B532" s="4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customHeight="1">
      <c r="A533" s="4"/>
      <c r="B533" s="4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customHeight="1">
      <c r="A534" s="4"/>
      <c r="B534" s="4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customHeight="1">
      <c r="A535" s="4"/>
      <c r="B535" s="4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customHeight="1">
      <c r="A536" s="4"/>
      <c r="B536" s="4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customHeight="1">
      <c r="A537" s="4"/>
      <c r="B537" s="4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customHeight="1">
      <c r="A538" s="4"/>
      <c r="B538" s="4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customHeight="1">
      <c r="A539" s="4"/>
      <c r="B539" s="4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customHeight="1">
      <c r="A540" s="4"/>
      <c r="B540" s="4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customHeight="1">
      <c r="A541" s="4"/>
      <c r="B541" s="4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customHeight="1">
      <c r="A542" s="4"/>
      <c r="B542" s="4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customHeight="1">
      <c r="A543" s="4"/>
      <c r="B543" s="4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customHeight="1">
      <c r="A544" s="4"/>
      <c r="B544" s="4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customHeight="1">
      <c r="A545" s="4"/>
      <c r="B545" s="4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customHeight="1">
      <c r="A546" s="4"/>
      <c r="B546" s="4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customHeight="1">
      <c r="A547" s="4"/>
      <c r="B547" s="4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customHeight="1">
      <c r="A548" s="4"/>
      <c r="B548" s="4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customHeight="1">
      <c r="A549" s="4"/>
      <c r="B549" s="4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customHeight="1">
      <c r="A550" s="4"/>
      <c r="B550" s="4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customHeight="1">
      <c r="A551" s="4"/>
      <c r="B551" s="4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customHeight="1">
      <c r="A552" s="4"/>
      <c r="B552" s="4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customHeight="1">
      <c r="A553" s="4"/>
      <c r="B553" s="4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customHeight="1">
      <c r="A554" s="4"/>
      <c r="B554" s="4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customHeight="1">
      <c r="A555" s="4"/>
      <c r="B555" s="4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customHeight="1">
      <c r="A556" s="4"/>
      <c r="B556" s="4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customHeight="1">
      <c r="A557" s="4"/>
      <c r="B557" s="4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customHeight="1">
      <c r="A558" s="4"/>
      <c r="B558" s="4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customHeight="1">
      <c r="A559" s="4"/>
      <c r="B559" s="4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customHeight="1">
      <c r="A560" s="4"/>
      <c r="B560" s="4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customHeight="1">
      <c r="A561" s="4"/>
      <c r="B561" s="4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customHeight="1">
      <c r="A562" s="4"/>
      <c r="B562" s="4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customHeight="1">
      <c r="A563" s="4"/>
      <c r="B563" s="4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customHeight="1">
      <c r="A564" s="4"/>
      <c r="B564" s="4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customHeight="1">
      <c r="A565" s="4"/>
      <c r="B565" s="4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customHeight="1">
      <c r="A566" s="4"/>
      <c r="B566" s="4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customHeight="1">
      <c r="A567" s="4"/>
      <c r="B567" s="4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customHeight="1">
      <c r="A568" s="4"/>
      <c r="B568" s="4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customHeight="1">
      <c r="A569" s="4"/>
      <c r="B569" s="4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customHeight="1">
      <c r="A570" s="4"/>
      <c r="B570" s="4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customHeight="1">
      <c r="A571" s="4"/>
      <c r="B571" s="4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customHeight="1">
      <c r="A572" s="4"/>
      <c r="B572" s="4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customHeight="1">
      <c r="A573" s="4"/>
      <c r="B573" s="4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customHeight="1">
      <c r="A574" s="4"/>
      <c r="B574" s="4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customHeight="1">
      <c r="A575" s="4"/>
      <c r="B575" s="4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customHeight="1">
      <c r="A576" s="4"/>
      <c r="B576" s="4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customHeight="1">
      <c r="A577" s="4"/>
      <c r="B577" s="4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customHeight="1">
      <c r="A578" s="4"/>
      <c r="B578" s="4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customHeight="1">
      <c r="A579" s="4"/>
      <c r="B579" s="4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customHeight="1">
      <c r="A580" s="4"/>
      <c r="B580" s="4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customHeight="1">
      <c r="A581" s="4"/>
      <c r="B581" s="4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customHeight="1">
      <c r="A582" s="4"/>
      <c r="B582" s="4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customHeight="1">
      <c r="A583" s="4"/>
      <c r="B583" s="4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customHeight="1">
      <c r="A584" s="4"/>
      <c r="B584" s="4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customHeight="1">
      <c r="A585" s="4"/>
      <c r="B585" s="4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customHeight="1">
      <c r="A586" s="4"/>
      <c r="B586" s="4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customHeight="1">
      <c r="A587" s="4"/>
      <c r="B587" s="4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customHeight="1">
      <c r="A588" s="4"/>
      <c r="B588" s="4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customHeight="1">
      <c r="A589" s="4"/>
      <c r="B589" s="4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customHeight="1">
      <c r="A590" s="4"/>
      <c r="B590" s="4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customHeight="1">
      <c r="A591" s="4"/>
      <c r="B591" s="4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customHeight="1">
      <c r="A592" s="4"/>
      <c r="B592" s="4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customHeight="1">
      <c r="A593" s="4"/>
      <c r="B593" s="4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customHeight="1">
      <c r="A594" s="4"/>
      <c r="B594" s="4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customHeight="1">
      <c r="A595" s="4"/>
      <c r="B595" s="4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customHeight="1">
      <c r="A596" s="4"/>
      <c r="B596" s="4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customHeight="1">
      <c r="A597" s="4"/>
      <c r="B597" s="4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customHeight="1">
      <c r="A598" s="4"/>
      <c r="B598" s="4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customHeight="1">
      <c r="A599" s="4"/>
      <c r="B599" s="4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customHeight="1">
      <c r="A600" s="4"/>
      <c r="B600" s="4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customHeight="1">
      <c r="A601" s="4"/>
      <c r="B601" s="4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customHeight="1">
      <c r="A602" s="4"/>
      <c r="B602" s="4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customHeight="1">
      <c r="A603" s="4"/>
      <c r="B603" s="4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customHeight="1">
      <c r="A604" s="4"/>
      <c r="B604" s="4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customHeight="1">
      <c r="A605" s="4"/>
      <c r="B605" s="4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customHeight="1">
      <c r="A606" s="4"/>
      <c r="B606" s="4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customHeight="1">
      <c r="A607" s="4"/>
      <c r="B607" s="4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customHeight="1">
      <c r="A608" s="4"/>
      <c r="B608" s="4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customHeight="1">
      <c r="A609" s="4"/>
      <c r="B609" s="4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customHeight="1">
      <c r="A610" s="4"/>
      <c r="B610" s="4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customHeight="1">
      <c r="A611" s="4"/>
      <c r="B611" s="4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customHeight="1">
      <c r="A612" s="4"/>
      <c r="B612" s="4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customHeight="1">
      <c r="A613" s="4"/>
      <c r="B613" s="4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customHeight="1">
      <c r="A614" s="4"/>
      <c r="B614" s="4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customHeight="1">
      <c r="A615" s="4"/>
      <c r="B615" s="4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customHeight="1">
      <c r="A616" s="4"/>
      <c r="B616" s="4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customHeight="1">
      <c r="A617" s="4"/>
      <c r="B617" s="4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customHeight="1">
      <c r="A618" s="4"/>
      <c r="B618" s="4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customHeight="1">
      <c r="A619" s="4"/>
      <c r="B619" s="4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customHeight="1">
      <c r="A620" s="4"/>
      <c r="B620" s="4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customHeight="1">
      <c r="A621" s="4"/>
      <c r="B621" s="4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customHeight="1">
      <c r="A622" s="4"/>
      <c r="B622" s="4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customHeight="1">
      <c r="A623" s="4"/>
      <c r="B623" s="4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customHeight="1">
      <c r="A624" s="4"/>
      <c r="B624" s="4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customHeight="1">
      <c r="A625" s="4"/>
      <c r="B625" s="4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customHeight="1">
      <c r="A626" s="4"/>
      <c r="B626" s="4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customHeight="1">
      <c r="A627" s="4"/>
      <c r="B627" s="4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customHeight="1">
      <c r="A628" s="4"/>
      <c r="B628" s="4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customHeight="1">
      <c r="A629" s="4"/>
      <c r="B629" s="4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customHeight="1">
      <c r="A630" s="4"/>
      <c r="B630" s="4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customHeight="1">
      <c r="A631" s="4"/>
      <c r="B631" s="4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customHeight="1">
      <c r="A632" s="4"/>
      <c r="B632" s="4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customHeight="1">
      <c r="A633" s="4"/>
      <c r="B633" s="4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customHeight="1">
      <c r="A634" s="4"/>
      <c r="B634" s="4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customHeight="1">
      <c r="A635" s="4"/>
      <c r="B635" s="4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customHeight="1">
      <c r="A636" s="4"/>
      <c r="B636" s="4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customHeight="1">
      <c r="A637" s="4"/>
      <c r="B637" s="4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customHeight="1">
      <c r="A638" s="4"/>
      <c r="B638" s="4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customHeight="1">
      <c r="A639" s="4"/>
      <c r="B639" s="4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customHeight="1">
      <c r="A640" s="4"/>
      <c r="B640" s="4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customHeight="1">
      <c r="A641" s="4"/>
      <c r="B641" s="4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customHeight="1">
      <c r="A642" s="4"/>
      <c r="B642" s="4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customHeight="1">
      <c r="A643" s="4"/>
      <c r="B643" s="4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customHeight="1">
      <c r="A644" s="4"/>
      <c r="B644" s="4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customHeight="1">
      <c r="A645" s="4"/>
      <c r="B645" s="4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customHeight="1">
      <c r="A646" s="4"/>
      <c r="B646" s="4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customHeight="1">
      <c r="A647" s="4"/>
      <c r="B647" s="4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customHeight="1">
      <c r="A648" s="4"/>
      <c r="B648" s="4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customHeight="1">
      <c r="A649" s="4"/>
      <c r="B649" s="4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customHeight="1">
      <c r="A650" s="4"/>
      <c r="B650" s="4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customHeight="1">
      <c r="A651" s="4"/>
      <c r="B651" s="4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customHeight="1">
      <c r="A652" s="4"/>
      <c r="B652" s="4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customHeight="1">
      <c r="A653" s="4"/>
      <c r="B653" s="4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customHeight="1">
      <c r="A654" s="4"/>
      <c r="B654" s="4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customHeight="1">
      <c r="A655" s="4"/>
      <c r="B655" s="4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customHeight="1">
      <c r="A656" s="4"/>
      <c r="B656" s="4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customHeight="1">
      <c r="A657" s="4"/>
      <c r="B657" s="4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customHeight="1">
      <c r="A658" s="4"/>
      <c r="B658" s="4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customHeight="1">
      <c r="A659" s="4"/>
      <c r="B659" s="4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customHeight="1">
      <c r="A660" s="4"/>
      <c r="B660" s="4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customHeight="1">
      <c r="A661" s="4"/>
      <c r="B661" s="4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customHeight="1">
      <c r="A662" s="4"/>
      <c r="B662" s="4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customHeight="1">
      <c r="A663" s="4"/>
      <c r="B663" s="4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customHeight="1">
      <c r="A664" s="4"/>
      <c r="B664" s="4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customHeight="1">
      <c r="A665" s="4"/>
      <c r="B665" s="4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customHeight="1">
      <c r="A666" s="4"/>
      <c r="B666" s="4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customHeight="1">
      <c r="A667" s="4"/>
      <c r="B667" s="4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customHeight="1">
      <c r="A668" s="4"/>
      <c r="B668" s="4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customHeight="1">
      <c r="A669" s="4"/>
      <c r="B669" s="4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customHeight="1">
      <c r="A670" s="4"/>
      <c r="B670" s="4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customHeight="1">
      <c r="A671" s="4"/>
      <c r="B671" s="4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customHeight="1">
      <c r="A672" s="4"/>
      <c r="B672" s="4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customHeight="1">
      <c r="A673" s="4"/>
      <c r="B673" s="4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customHeight="1">
      <c r="A674" s="4"/>
      <c r="B674" s="4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customHeight="1">
      <c r="A675" s="4"/>
      <c r="B675" s="4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customHeight="1">
      <c r="A676" s="4"/>
      <c r="B676" s="4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customHeight="1">
      <c r="A677" s="4"/>
      <c r="B677" s="4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customHeight="1">
      <c r="A678" s="4"/>
      <c r="B678" s="4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customHeight="1">
      <c r="A679" s="4"/>
      <c r="B679" s="4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customHeight="1">
      <c r="A680" s="4"/>
      <c r="B680" s="4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customHeight="1">
      <c r="A681" s="4"/>
      <c r="B681" s="4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customHeight="1">
      <c r="A682" s="4"/>
      <c r="B682" s="4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customHeight="1">
      <c r="A683" s="4"/>
      <c r="B683" s="4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customHeight="1">
      <c r="A684" s="4"/>
      <c r="B684" s="4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customHeight="1">
      <c r="A685" s="4"/>
      <c r="B685" s="4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customHeight="1">
      <c r="A686" s="4"/>
      <c r="B686" s="4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customHeight="1">
      <c r="A687" s="4"/>
      <c r="B687" s="4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customHeight="1">
      <c r="A688" s="4"/>
      <c r="B688" s="4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customHeight="1">
      <c r="A689" s="4"/>
      <c r="B689" s="4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customHeight="1">
      <c r="A690" s="4"/>
      <c r="B690" s="4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customHeight="1">
      <c r="A691" s="4"/>
      <c r="B691" s="4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customHeight="1">
      <c r="A692" s="4"/>
      <c r="B692" s="4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customHeight="1">
      <c r="A693" s="4"/>
      <c r="B693" s="4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customHeight="1">
      <c r="A694" s="4"/>
      <c r="B694" s="4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customHeight="1">
      <c r="A695" s="4"/>
      <c r="B695" s="4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customHeight="1">
      <c r="A696" s="4"/>
      <c r="B696" s="4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customHeight="1">
      <c r="A697" s="4"/>
      <c r="B697" s="4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customHeight="1">
      <c r="A698" s="4"/>
      <c r="B698" s="4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customHeight="1">
      <c r="A699" s="4"/>
      <c r="B699" s="4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customHeight="1">
      <c r="A700" s="4"/>
      <c r="B700" s="4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customHeight="1">
      <c r="A701" s="4"/>
      <c r="B701" s="4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customHeight="1">
      <c r="A702" s="4"/>
      <c r="B702" s="4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customHeight="1">
      <c r="A703" s="4"/>
      <c r="B703" s="4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customHeight="1">
      <c r="A704" s="4"/>
      <c r="B704" s="4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customHeight="1">
      <c r="A705" s="4"/>
      <c r="B705" s="4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customHeight="1">
      <c r="A706" s="4"/>
      <c r="B706" s="4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customHeight="1">
      <c r="A707" s="4"/>
      <c r="B707" s="4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customHeight="1">
      <c r="A708" s="4"/>
      <c r="B708" s="4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customHeight="1">
      <c r="A709" s="4"/>
      <c r="B709" s="4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customHeight="1">
      <c r="A710" s="4"/>
      <c r="B710" s="4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customHeight="1">
      <c r="A711" s="4"/>
      <c r="B711" s="4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customHeight="1">
      <c r="A712" s="4"/>
      <c r="B712" s="4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customHeight="1">
      <c r="A713" s="4"/>
      <c r="B713" s="4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customHeight="1">
      <c r="A714" s="4"/>
      <c r="B714" s="4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customHeight="1">
      <c r="A715" s="4"/>
      <c r="B715" s="4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customHeight="1">
      <c r="A716" s="4"/>
      <c r="B716" s="4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customHeight="1">
      <c r="A717" s="4"/>
      <c r="B717" s="4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customHeight="1">
      <c r="A718" s="4"/>
      <c r="B718" s="4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customHeight="1">
      <c r="A719" s="4"/>
      <c r="B719" s="4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customHeight="1">
      <c r="A720" s="4"/>
      <c r="B720" s="4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customHeight="1">
      <c r="A721" s="4"/>
      <c r="B721" s="4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customHeight="1">
      <c r="A722" s="4"/>
      <c r="B722" s="4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customHeight="1">
      <c r="A723" s="4"/>
      <c r="B723" s="4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customHeight="1">
      <c r="A724" s="4"/>
      <c r="B724" s="4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customHeight="1">
      <c r="A725" s="4"/>
      <c r="B725" s="4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customHeight="1">
      <c r="A726" s="4"/>
      <c r="B726" s="4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customHeight="1">
      <c r="A727" s="4"/>
      <c r="B727" s="4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customHeight="1">
      <c r="A728" s="4"/>
      <c r="B728" s="4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customHeight="1">
      <c r="A729" s="4"/>
      <c r="B729" s="4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customHeight="1">
      <c r="A730" s="4"/>
      <c r="B730" s="4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customHeight="1">
      <c r="A731" s="4"/>
      <c r="B731" s="4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customHeight="1">
      <c r="A732" s="4"/>
      <c r="B732" s="4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customHeight="1">
      <c r="A733" s="4"/>
      <c r="B733" s="4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customHeight="1">
      <c r="A734" s="4"/>
      <c r="B734" s="4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customHeight="1">
      <c r="A735" s="4"/>
      <c r="B735" s="4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customHeight="1">
      <c r="A736" s="4"/>
      <c r="B736" s="4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customHeight="1">
      <c r="A737" s="4"/>
      <c r="B737" s="4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customHeight="1">
      <c r="A738" s="4"/>
      <c r="B738" s="4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customHeight="1">
      <c r="A739" s="4"/>
      <c r="B739" s="4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customHeight="1">
      <c r="A740" s="4"/>
      <c r="B740" s="4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customHeight="1">
      <c r="A741" s="4"/>
      <c r="B741" s="4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customHeight="1">
      <c r="A742" s="4"/>
      <c r="B742" s="4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customHeight="1">
      <c r="A743" s="4"/>
      <c r="B743" s="4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customHeight="1">
      <c r="A744" s="4"/>
      <c r="B744" s="4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customHeight="1">
      <c r="A745" s="4"/>
      <c r="B745" s="4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customHeight="1">
      <c r="A746" s="4"/>
      <c r="B746" s="4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customHeight="1">
      <c r="A747" s="4"/>
      <c r="B747" s="4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customHeight="1">
      <c r="A748" s="4"/>
      <c r="B748" s="4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customHeight="1">
      <c r="A749" s="4"/>
      <c r="B749" s="4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customHeight="1">
      <c r="A750" s="4"/>
      <c r="B750" s="4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customHeight="1">
      <c r="A751" s="4"/>
      <c r="B751" s="4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customHeight="1">
      <c r="A752" s="4"/>
      <c r="B752" s="4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customHeight="1">
      <c r="A753" s="4"/>
      <c r="B753" s="4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customHeight="1">
      <c r="A754" s="4"/>
      <c r="B754" s="4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customHeight="1">
      <c r="A755" s="4"/>
      <c r="B755" s="4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customHeight="1">
      <c r="A756" s="4"/>
      <c r="B756" s="4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customHeight="1">
      <c r="A757" s="4"/>
      <c r="B757" s="4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customHeight="1">
      <c r="A758" s="4"/>
      <c r="B758" s="4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customHeight="1">
      <c r="A759" s="4"/>
      <c r="B759" s="4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customHeight="1">
      <c r="A760" s="4"/>
      <c r="B760" s="4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customHeight="1">
      <c r="A761" s="4"/>
      <c r="B761" s="4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customHeight="1">
      <c r="A762" s="4"/>
      <c r="B762" s="4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customHeight="1">
      <c r="A763" s="4"/>
      <c r="B763" s="4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customHeight="1">
      <c r="A764" s="4"/>
      <c r="B764" s="4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customHeight="1">
      <c r="A765" s="4"/>
      <c r="B765" s="4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customHeight="1">
      <c r="A766" s="4"/>
      <c r="B766" s="4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customHeight="1">
      <c r="A767" s="4"/>
      <c r="B767" s="4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customHeight="1">
      <c r="A768" s="4"/>
      <c r="B768" s="4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customHeight="1">
      <c r="A769" s="4"/>
      <c r="B769" s="4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customHeight="1">
      <c r="A770" s="4"/>
      <c r="B770" s="4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customHeight="1">
      <c r="A771" s="4"/>
      <c r="B771" s="4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customHeight="1">
      <c r="A772" s="4"/>
      <c r="B772" s="4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customHeight="1">
      <c r="A773" s="4"/>
      <c r="B773" s="4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customHeight="1">
      <c r="A774" s="4"/>
      <c r="B774" s="4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customHeight="1">
      <c r="A775" s="4"/>
      <c r="B775" s="4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customHeight="1">
      <c r="A776" s="4"/>
      <c r="B776" s="4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customHeight="1">
      <c r="A777" s="4"/>
      <c r="B777" s="4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customHeight="1">
      <c r="A778" s="4"/>
      <c r="B778" s="4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customHeight="1">
      <c r="A779" s="4"/>
      <c r="B779" s="4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customHeight="1">
      <c r="A780" s="4"/>
      <c r="B780" s="4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customHeight="1">
      <c r="A781" s="4"/>
      <c r="B781" s="4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customHeight="1">
      <c r="A782" s="4"/>
      <c r="B782" s="4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customHeight="1">
      <c r="A783" s="4"/>
      <c r="B783" s="4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customHeight="1">
      <c r="A784" s="4"/>
      <c r="B784" s="4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customHeight="1">
      <c r="A785" s="4"/>
      <c r="B785" s="4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customHeight="1">
      <c r="A786" s="4"/>
      <c r="B786" s="4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customHeight="1">
      <c r="A787" s="4"/>
      <c r="B787" s="4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customHeight="1">
      <c r="A788" s="4"/>
      <c r="B788" s="4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customHeight="1">
      <c r="A789" s="4"/>
      <c r="B789" s="4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customHeight="1">
      <c r="A790" s="4"/>
      <c r="B790" s="4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customHeight="1">
      <c r="A791" s="4"/>
      <c r="B791" s="4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customHeight="1">
      <c r="A792" s="4"/>
      <c r="B792" s="4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customHeight="1">
      <c r="A793" s="4"/>
      <c r="B793" s="4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customHeight="1">
      <c r="A794" s="4"/>
      <c r="B794" s="4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customHeight="1">
      <c r="A795" s="4"/>
      <c r="B795" s="4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customHeight="1">
      <c r="A796" s="4"/>
      <c r="B796" s="4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customHeight="1">
      <c r="A797" s="4"/>
      <c r="B797" s="4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customHeight="1">
      <c r="A798" s="4"/>
      <c r="B798" s="4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customHeight="1">
      <c r="A799" s="4"/>
      <c r="B799" s="4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customHeight="1">
      <c r="A800" s="4"/>
      <c r="B800" s="4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customHeight="1">
      <c r="A801" s="4"/>
      <c r="B801" s="4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customHeight="1">
      <c r="A802" s="4"/>
      <c r="B802" s="4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customHeight="1">
      <c r="A803" s="4"/>
      <c r="B803" s="4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customHeight="1">
      <c r="A804" s="4"/>
      <c r="B804" s="4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customHeight="1">
      <c r="A805" s="4"/>
      <c r="B805" s="4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customHeight="1">
      <c r="A806" s="4"/>
      <c r="B806" s="4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customHeight="1">
      <c r="A807" s="4"/>
      <c r="B807" s="4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customHeight="1">
      <c r="A808" s="4"/>
      <c r="B808" s="4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customHeight="1">
      <c r="A809" s="4"/>
      <c r="B809" s="4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customHeight="1">
      <c r="A810" s="4"/>
      <c r="B810" s="4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customHeight="1">
      <c r="A811" s="4"/>
      <c r="B811" s="4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customHeight="1">
      <c r="A812" s="4"/>
      <c r="B812" s="4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customHeight="1">
      <c r="A813" s="4"/>
      <c r="B813" s="4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customHeight="1">
      <c r="A814" s="4"/>
      <c r="B814" s="4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customHeight="1">
      <c r="A815" s="4"/>
      <c r="B815" s="4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customHeight="1">
      <c r="A816" s="4"/>
      <c r="B816" s="4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customHeight="1">
      <c r="A817" s="4"/>
      <c r="B817" s="4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customHeight="1">
      <c r="A818" s="4"/>
      <c r="B818" s="4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customHeight="1">
      <c r="A819" s="4"/>
      <c r="B819" s="4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customHeight="1">
      <c r="A820" s="4"/>
      <c r="B820" s="4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customHeight="1">
      <c r="A821" s="4"/>
      <c r="B821" s="4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customHeight="1">
      <c r="A822" s="4"/>
      <c r="B822" s="4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customHeight="1">
      <c r="A823" s="4"/>
      <c r="B823" s="4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customHeight="1">
      <c r="A824" s="4"/>
      <c r="B824" s="4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customHeight="1">
      <c r="A825" s="4"/>
      <c r="B825" s="4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customHeight="1">
      <c r="A826" s="4"/>
      <c r="B826" s="4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customHeight="1">
      <c r="A827" s="4"/>
      <c r="B827" s="4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customHeight="1">
      <c r="A828" s="4"/>
      <c r="B828" s="4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customHeight="1">
      <c r="A829" s="4"/>
      <c r="B829" s="4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customHeight="1">
      <c r="A830" s="4"/>
      <c r="B830" s="4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customHeight="1">
      <c r="A831" s="4"/>
      <c r="B831" s="4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customHeight="1">
      <c r="A832" s="4"/>
      <c r="B832" s="4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customHeight="1">
      <c r="A833" s="4"/>
      <c r="B833" s="4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customHeight="1">
      <c r="A834" s="4"/>
      <c r="B834" s="4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customHeight="1">
      <c r="A835" s="4"/>
      <c r="B835" s="4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customHeight="1">
      <c r="A836" s="4"/>
      <c r="B836" s="4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customHeight="1">
      <c r="A837" s="4"/>
      <c r="B837" s="4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customHeight="1">
      <c r="A838" s="4"/>
      <c r="B838" s="4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customHeight="1">
      <c r="A839" s="4"/>
      <c r="B839" s="4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customHeight="1">
      <c r="A840" s="4"/>
      <c r="B840" s="4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customHeight="1">
      <c r="A841" s="4"/>
      <c r="B841" s="4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customHeight="1">
      <c r="A842" s="4"/>
      <c r="B842" s="4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customHeight="1">
      <c r="A843" s="4"/>
      <c r="B843" s="4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customHeight="1">
      <c r="A844" s="4"/>
      <c r="B844" s="4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customHeight="1">
      <c r="A845" s="4"/>
      <c r="B845" s="4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customHeight="1">
      <c r="A846" s="4"/>
      <c r="B846" s="4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customHeight="1">
      <c r="A847" s="4"/>
      <c r="B847" s="4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customHeight="1">
      <c r="A848" s="4"/>
      <c r="B848" s="4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customHeight="1">
      <c r="A849" s="4"/>
      <c r="B849" s="4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customHeight="1">
      <c r="A850" s="4"/>
      <c r="B850" s="4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customHeight="1">
      <c r="A851" s="4"/>
      <c r="B851" s="4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customHeight="1">
      <c r="A852" s="4"/>
      <c r="B852" s="4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customHeight="1">
      <c r="A853" s="4"/>
      <c r="B853" s="4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customHeight="1">
      <c r="A854" s="4"/>
      <c r="B854" s="4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customHeight="1">
      <c r="A855" s="4"/>
      <c r="B855" s="4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customHeight="1">
      <c r="A856" s="4"/>
      <c r="B856" s="4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customHeight="1">
      <c r="A857" s="4"/>
      <c r="B857" s="4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customHeight="1">
      <c r="A858" s="4"/>
      <c r="B858" s="4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customHeight="1">
      <c r="A859" s="4"/>
      <c r="B859" s="4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customHeight="1">
      <c r="A860" s="4"/>
      <c r="B860" s="4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customHeight="1">
      <c r="A861" s="4"/>
      <c r="B861" s="4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customHeight="1">
      <c r="A862" s="4"/>
      <c r="B862" s="4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customHeight="1">
      <c r="A863" s="4"/>
      <c r="B863" s="4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customHeight="1">
      <c r="A864" s="4"/>
      <c r="B864" s="4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</sheetData>
  <pageMargins left="0.7" right="0.7" top="0.75" bottom="0.75" header="0" footer="0"/>
  <pageSetup paperSize="9" orientation="portrait" r:id="rId1"/>
  <colBreaks count="1" manualBreakCount="1">
    <brk id="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966"/>
  <sheetViews>
    <sheetView topLeftCell="A55" workbookViewId="0">
      <selection activeCell="F55" sqref="F55"/>
    </sheetView>
  </sheetViews>
  <sheetFormatPr defaultColWidth="12.59765625" defaultRowHeight="15" customHeight="1"/>
  <cols>
    <col min="1" max="1" width="2.59765625" customWidth="1"/>
    <col min="2" max="2" width="2.8984375" customWidth="1"/>
    <col min="3" max="3" width="4.59765625" customWidth="1"/>
    <col min="4" max="4" width="62.3984375" customWidth="1"/>
    <col min="5" max="7" width="25.09765625" customWidth="1"/>
  </cols>
  <sheetData>
    <row r="1" spans="1:8" ht="14.4">
      <c r="A1" s="23"/>
      <c r="B1" s="23"/>
      <c r="C1" s="23"/>
      <c r="D1" s="23"/>
      <c r="E1" s="23"/>
      <c r="F1" s="23"/>
      <c r="G1" s="23"/>
      <c r="H1" s="23"/>
    </row>
    <row r="2" spans="1:8" ht="14.4">
      <c r="A2" s="23"/>
      <c r="B2" s="23"/>
      <c r="C2" s="23"/>
      <c r="D2" s="23"/>
      <c r="E2" s="23"/>
      <c r="F2" s="23"/>
      <c r="G2" s="23"/>
      <c r="H2" s="23"/>
    </row>
    <row r="3" spans="1:8" ht="24.6">
      <c r="A3" s="23"/>
      <c r="B3" s="24"/>
      <c r="C3" s="24" t="s">
        <v>71</v>
      </c>
      <c r="D3" s="24"/>
      <c r="E3" s="23"/>
      <c r="F3" s="23"/>
      <c r="G3" s="23"/>
      <c r="H3" s="23"/>
    </row>
    <row r="4" spans="1:8" ht="14.4">
      <c r="A4" s="23"/>
      <c r="B4" s="23"/>
      <c r="C4" s="25" t="str">
        <f>NOTES!B3</f>
        <v>Project Name :  Starbucks #6212, University Park Village</v>
      </c>
      <c r="D4" s="26"/>
      <c r="E4" s="27" t="s">
        <v>72</v>
      </c>
      <c r="F4" s="28">
        <v>45897</v>
      </c>
      <c r="G4" s="29"/>
      <c r="H4" s="23"/>
    </row>
    <row r="5" spans="1:8" ht="14.4">
      <c r="A5" s="23"/>
      <c r="B5" s="23"/>
      <c r="C5" s="25" t="str">
        <f>NOTES!B4</f>
        <v>Location : 1620 S University Dr, Fort Worth, TX 76107</v>
      </c>
      <c r="D5" s="26"/>
      <c r="E5" s="27" t="s">
        <v>73</v>
      </c>
      <c r="F5" s="26">
        <v>1</v>
      </c>
      <c r="G5" s="23"/>
      <c r="H5" s="23"/>
    </row>
    <row r="6" spans="1:8" ht="14.4">
      <c r="A6" s="23"/>
      <c r="B6" s="23"/>
      <c r="C6" s="25"/>
      <c r="D6" s="23"/>
      <c r="E6" s="27" t="s">
        <v>74</v>
      </c>
      <c r="F6" s="26">
        <v>2758</v>
      </c>
      <c r="G6" s="23"/>
      <c r="H6" s="23"/>
    </row>
    <row r="7" spans="1:8" ht="14.4">
      <c r="A7" s="23"/>
      <c r="B7" s="23"/>
      <c r="C7" s="25"/>
      <c r="D7" s="23"/>
      <c r="E7" s="27" t="s">
        <v>75</v>
      </c>
      <c r="F7" s="30" t="s">
        <v>76</v>
      </c>
      <c r="G7" s="23"/>
      <c r="H7" s="23"/>
    </row>
    <row r="8" spans="1:8" ht="14.4">
      <c r="A8" s="23"/>
      <c r="B8" s="23"/>
      <c r="C8" s="23"/>
      <c r="D8" s="23"/>
      <c r="E8" s="23"/>
      <c r="F8" s="23"/>
      <c r="G8" s="23"/>
      <c r="H8" s="23"/>
    </row>
    <row r="9" spans="1:8" ht="14.4">
      <c r="A9" s="23"/>
      <c r="B9" s="23"/>
      <c r="C9" s="31"/>
      <c r="D9" s="32" t="s">
        <v>77</v>
      </c>
      <c r="E9" s="32" t="s">
        <v>78</v>
      </c>
      <c r="F9" s="33" t="s">
        <v>79</v>
      </c>
      <c r="H9" s="23"/>
    </row>
    <row r="10" spans="1:8" ht="14.4">
      <c r="A10" s="23"/>
      <c r="B10" s="23"/>
      <c r="C10" s="34"/>
      <c r="D10" s="35"/>
      <c r="E10" s="36"/>
      <c r="F10" s="37"/>
      <c r="H10" s="23"/>
    </row>
    <row r="11" spans="1:8" ht="15.6">
      <c r="A11" s="23"/>
      <c r="B11" s="23"/>
      <c r="C11" s="38"/>
      <c r="D11" s="39" t="str">
        <f>'Item Breakdown'!C14</f>
        <v>DEMOLITION</v>
      </c>
      <c r="E11" s="40">
        <f>ROUNDUP(SUM('Item Breakdown'!G16:G62),0)</f>
        <v>166</v>
      </c>
      <c r="F11" s="41">
        <f>'Item Breakdown'!J65</f>
        <v>0</v>
      </c>
      <c r="H11" s="23"/>
    </row>
    <row r="12" spans="1:8" ht="15.6">
      <c r="A12" s="23"/>
      <c r="B12" s="23"/>
      <c r="C12" s="38"/>
      <c r="D12" s="39" t="str">
        <f>'Item Breakdown'!C67</f>
        <v>LANDSCAPING</v>
      </c>
      <c r="E12" s="40">
        <f>ROUNDUP(SUM('Item Breakdown'!G68:G88),0)</f>
        <v>6</v>
      </c>
      <c r="F12" s="41">
        <f>'Item Breakdown'!J91</f>
        <v>0</v>
      </c>
      <c r="H12" s="23"/>
    </row>
    <row r="13" spans="1:8" ht="15.6">
      <c r="A13" s="23"/>
      <c r="B13" s="23"/>
      <c r="C13" s="38"/>
      <c r="D13" s="39" t="str">
        <f>'Item Breakdown'!C93</f>
        <v>EXTERIOR SIDING</v>
      </c>
      <c r="E13" s="40">
        <f>ROUNDUP(SUM('Item Breakdown'!G94:G96),0)</f>
        <v>8</v>
      </c>
      <c r="F13" s="41">
        <f>'Item Breakdown'!J99</f>
        <v>0</v>
      </c>
      <c r="H13" s="23"/>
    </row>
    <row r="14" spans="1:8" ht="15.6">
      <c r="A14" s="23"/>
      <c r="B14" s="23"/>
      <c r="C14" s="38"/>
      <c r="D14" s="39" t="str">
        <f>'Item Breakdown'!C101</f>
        <v>EXTERIOR PAINTING</v>
      </c>
      <c r="E14" s="40">
        <f>ROUNDUP(SUM('Item Breakdown'!G102:G106),0)</f>
        <v>16</v>
      </c>
      <c r="F14" s="41">
        <f>'Item Breakdown'!J109</f>
        <v>0</v>
      </c>
      <c r="H14" s="23"/>
    </row>
    <row r="15" spans="1:8" ht="15.6">
      <c r="A15" s="23"/>
      <c r="B15" s="23"/>
      <c r="C15" s="38"/>
      <c r="D15" s="39" t="str">
        <f>'Item Breakdown'!C111</f>
        <v>METAL STUD FRAMING</v>
      </c>
      <c r="E15" s="40">
        <f>ROUNDUP(SUM('Item Breakdown'!G112:G179),0)</f>
        <v>59</v>
      </c>
      <c r="F15" s="41">
        <f>'Item Breakdown'!J182</f>
        <v>0</v>
      </c>
      <c r="H15" s="23"/>
    </row>
    <row r="16" spans="1:8" ht="15.6">
      <c r="A16" s="23"/>
      <c r="B16" s="23"/>
      <c r="C16" s="38"/>
      <c r="D16" s="39" t="str">
        <f>'Item Breakdown'!C184</f>
        <v>DRYWALL</v>
      </c>
      <c r="E16" s="40">
        <f>ROUNDUP(SUM('Item Breakdown'!G185:G200),0)</f>
        <v>124</v>
      </c>
      <c r="F16" s="41">
        <f>'Item Breakdown'!J203</f>
        <v>0</v>
      </c>
      <c r="H16" s="23"/>
    </row>
    <row r="17" spans="1:8" ht="15.6">
      <c r="A17" s="23"/>
      <c r="B17" s="23"/>
      <c r="C17" s="38"/>
      <c r="D17" s="39" t="str">
        <f>'Item Breakdown'!C205</f>
        <v>FLOORING &amp; TILE</v>
      </c>
      <c r="E17" s="40">
        <f>ROUNDUP(SUM('Item Breakdown'!G206:G219),0)</f>
        <v>149</v>
      </c>
      <c r="F17" s="41">
        <f>'Item Breakdown'!J222</f>
        <v>0</v>
      </c>
      <c r="H17" s="23"/>
    </row>
    <row r="18" spans="1:8" ht="15.6">
      <c r="A18" s="23"/>
      <c r="B18" s="23"/>
      <c r="C18" s="38"/>
      <c r="D18" s="39" t="str">
        <f>'Item Breakdown'!C224</f>
        <v>INTERIOR FINISHES</v>
      </c>
      <c r="E18" s="40">
        <f>ROUNDUP(SUM('Item Breakdown'!G225:G239),0)</f>
        <v>461</v>
      </c>
      <c r="F18" s="41">
        <f>'Item Breakdown'!J242</f>
        <v>0</v>
      </c>
      <c r="H18" s="23"/>
    </row>
    <row r="19" spans="1:8" ht="15.6">
      <c r="A19" s="23"/>
      <c r="B19" s="23"/>
      <c r="C19" s="38"/>
      <c r="D19" s="39" t="str">
        <f>'Item Breakdown'!C244</f>
        <v>INTERIOR PAINTING</v>
      </c>
      <c r="E19" s="40">
        <f>SUM('Item Breakdown'!G245:G273)</f>
        <v>116</v>
      </c>
      <c r="F19" s="41">
        <f>'Item Breakdown'!J276</f>
        <v>0</v>
      </c>
      <c r="H19" s="23"/>
    </row>
    <row r="20" spans="1:8" ht="15.6">
      <c r="A20" s="23"/>
      <c r="B20" s="23"/>
      <c r="C20" s="38"/>
      <c r="D20" s="39" t="str">
        <f>'Item Breakdown'!C278</f>
        <v>INTERIOR TRIM</v>
      </c>
      <c r="E20" s="40">
        <f>ROUNDUP(SUM('Item Breakdown'!G279:G286),0)</f>
        <v>3</v>
      </c>
      <c r="F20" s="41">
        <f>'Item Breakdown'!J289</f>
        <v>0</v>
      </c>
      <c r="H20" s="23"/>
    </row>
    <row r="21" spans="1:8" ht="15.6">
      <c r="A21" s="23"/>
      <c r="B21" s="23"/>
      <c r="C21" s="38"/>
      <c r="D21" s="39" t="str">
        <f>'Item Breakdown'!C291</f>
        <v>OPENING</v>
      </c>
      <c r="E21" s="40">
        <f>ROUNDUP(SUM('Item Breakdown'!G292:G318),0)</f>
        <v>15</v>
      </c>
      <c r="F21" s="41">
        <f>'Item Breakdown'!J321</f>
        <v>0</v>
      </c>
      <c r="H21" s="23"/>
    </row>
    <row r="22" spans="1:8" ht="15.6">
      <c r="A22" s="23"/>
      <c r="B22" s="23"/>
      <c r="C22" s="38"/>
      <c r="D22" s="39" t="str">
        <f>'Item Breakdown'!C323</f>
        <v>MILLWORK</v>
      </c>
      <c r="E22" s="40">
        <f>ROUNDUP(SUM('Item Breakdown'!G324:G373),0)</f>
        <v>58</v>
      </c>
      <c r="F22" s="41">
        <f>'Item Breakdown'!J376</f>
        <v>0</v>
      </c>
      <c r="H22" s="23"/>
    </row>
    <row r="23" spans="1:8" ht="15.6">
      <c r="A23" s="23"/>
      <c r="B23" s="23"/>
      <c r="C23" s="38"/>
      <c r="D23" s="39" t="str">
        <f>'Item Breakdown'!C378</f>
        <v>SPECIALTIES</v>
      </c>
      <c r="E23" s="40">
        <f>ROUNDUP(SUM('Item Breakdown'!G379:G452),0)</f>
        <v>115</v>
      </c>
      <c r="F23" s="41">
        <f>'Item Breakdown'!J455</f>
        <v>0</v>
      </c>
      <c r="H23" s="23"/>
    </row>
    <row r="24" spans="1:8" ht="15.6">
      <c r="A24" s="23"/>
      <c r="B24" s="23"/>
      <c r="C24" s="38"/>
      <c r="D24" s="39" t="str">
        <f>'Item Breakdown'!C457</f>
        <v>ROUGH CARPENTRY</v>
      </c>
      <c r="E24" s="40">
        <f>ROUNDUP(SUM('Item Breakdown'!G458:G463),0)</f>
        <v>18</v>
      </c>
      <c r="F24" s="41">
        <f>'Item Breakdown'!J466</f>
        <v>0</v>
      </c>
      <c r="H24" s="23"/>
    </row>
    <row r="25" spans="1:8" ht="6.75" customHeight="1">
      <c r="A25" s="23"/>
      <c r="B25" s="23"/>
      <c r="C25" s="23"/>
      <c r="D25" s="23"/>
      <c r="E25" s="23"/>
      <c r="F25" s="23"/>
      <c r="H25" s="23"/>
    </row>
    <row r="26" spans="1:8" ht="15.6">
      <c r="A26" s="23"/>
      <c r="B26" s="23"/>
      <c r="C26" s="42"/>
      <c r="D26" s="43" t="s">
        <v>80</v>
      </c>
      <c r="E26" s="528">
        <f t="shared" ref="E26:F26" si="0">SUM(E10:E24)</f>
        <v>1314</v>
      </c>
      <c r="F26" s="527">
        <f t="shared" si="0"/>
        <v>0</v>
      </c>
      <c r="H26" s="23"/>
    </row>
    <row r="27" spans="1:8" ht="14.4">
      <c r="A27" s="23"/>
      <c r="B27" s="23"/>
      <c r="C27" s="23"/>
      <c r="D27" s="23"/>
      <c r="E27" s="23"/>
      <c r="F27" s="23"/>
      <c r="H27" s="23"/>
    </row>
    <row r="28" spans="1:8" ht="14.4">
      <c r="A28" s="23"/>
      <c r="B28" s="23"/>
      <c r="C28" s="44"/>
      <c r="D28" s="44"/>
      <c r="E28" s="44"/>
      <c r="F28" s="44"/>
      <c r="H28" s="23"/>
    </row>
    <row r="29" spans="1:8" ht="14.4">
      <c r="A29" s="23"/>
      <c r="B29" s="23"/>
      <c r="C29" s="23"/>
      <c r="D29" s="23"/>
      <c r="E29" s="23"/>
      <c r="F29" s="23"/>
      <c r="H29" s="23"/>
    </row>
    <row r="30" spans="1:8" ht="14.4">
      <c r="A30" s="23"/>
      <c r="B30" s="23"/>
      <c r="C30" s="530" t="s">
        <v>81</v>
      </c>
      <c r="D30" s="531"/>
      <c r="E30" s="531"/>
      <c r="F30" s="532"/>
      <c r="H30" s="23"/>
    </row>
    <row r="31" spans="1:8" ht="14.4">
      <c r="A31" s="23"/>
      <c r="B31" s="23"/>
      <c r="C31" s="34"/>
      <c r="D31" s="35"/>
      <c r="E31" s="32" t="s">
        <v>78</v>
      </c>
      <c r="F31" s="33" t="s">
        <v>79</v>
      </c>
      <c r="H31" s="23"/>
    </row>
    <row r="32" spans="1:8" ht="15.6">
      <c r="A32" s="23"/>
      <c r="B32" s="23"/>
      <c r="C32" s="45">
        <v>1</v>
      </c>
      <c r="D32" s="46"/>
      <c r="E32" s="35"/>
      <c r="F32" s="47"/>
      <c r="H32" s="23"/>
    </row>
    <row r="33" spans="1:8" ht="15.6">
      <c r="A33" s="23"/>
      <c r="B33" s="23"/>
      <c r="C33" s="45">
        <v>2</v>
      </c>
      <c r="D33" s="46"/>
      <c r="E33" s="35"/>
      <c r="F33" s="47"/>
      <c r="H33" s="23"/>
    </row>
    <row r="34" spans="1:8" ht="14.4">
      <c r="A34" s="23"/>
      <c r="B34" s="23"/>
      <c r="C34" s="34"/>
      <c r="D34" s="35"/>
      <c r="E34" s="35"/>
      <c r="F34" s="35"/>
      <c r="H34" s="23"/>
    </row>
    <row r="35" spans="1:8" ht="14.4">
      <c r="A35" s="23"/>
      <c r="B35" s="23"/>
      <c r="C35" s="23"/>
      <c r="D35" s="23"/>
      <c r="E35" s="23"/>
      <c r="F35" s="23"/>
      <c r="H35" s="23"/>
    </row>
    <row r="36" spans="1:8" ht="14.4">
      <c r="A36" s="23"/>
      <c r="B36" s="23"/>
      <c r="C36" s="44"/>
      <c r="D36" s="44"/>
      <c r="E36" s="44"/>
      <c r="F36" s="44"/>
      <c r="H36" s="23"/>
    </row>
    <row r="37" spans="1:8" ht="14.4">
      <c r="A37" s="23"/>
      <c r="B37" s="23"/>
      <c r="C37" s="23"/>
      <c r="D37" s="23"/>
      <c r="E37" s="23"/>
      <c r="F37" s="23"/>
      <c r="G37" s="23"/>
      <c r="H37" s="23"/>
    </row>
    <row r="38" spans="1:8" ht="14.4">
      <c r="A38" s="23"/>
      <c r="B38" s="23"/>
      <c r="C38" s="23"/>
      <c r="D38" s="23"/>
      <c r="E38" s="23"/>
      <c r="F38" s="23"/>
      <c r="G38" s="23"/>
      <c r="H38" s="23"/>
    </row>
    <row r="39" spans="1:8" ht="14.4">
      <c r="A39" s="23"/>
      <c r="B39" s="23"/>
      <c r="C39" s="23"/>
      <c r="D39" s="23"/>
      <c r="E39" s="23"/>
      <c r="F39" s="23"/>
      <c r="G39" s="23"/>
      <c r="H39" s="23"/>
    </row>
    <row r="40" spans="1:8" ht="14.4">
      <c r="A40" s="23"/>
      <c r="B40" s="23"/>
      <c r="C40" s="23"/>
      <c r="D40" s="23"/>
      <c r="E40" s="23"/>
      <c r="F40" s="23"/>
      <c r="G40" s="23"/>
      <c r="H40" s="23"/>
    </row>
    <row r="41" spans="1:8" ht="14.4">
      <c r="A41" s="23"/>
      <c r="B41" s="23"/>
      <c r="C41" s="23"/>
      <c r="D41" s="23"/>
      <c r="E41" s="23"/>
      <c r="F41" s="23"/>
      <c r="G41" s="23"/>
      <c r="H41" s="23"/>
    </row>
    <row r="42" spans="1:8" ht="14.4">
      <c r="A42" s="23"/>
      <c r="B42" s="23"/>
      <c r="C42" s="23"/>
      <c r="D42" s="23"/>
      <c r="E42" s="23"/>
      <c r="F42" s="23"/>
      <c r="G42" s="23"/>
      <c r="H42" s="23"/>
    </row>
    <row r="43" spans="1:8" ht="14.4">
      <c r="A43" s="23"/>
      <c r="B43" s="23"/>
      <c r="C43" s="23"/>
      <c r="D43" s="23"/>
      <c r="E43" s="23"/>
      <c r="F43" s="23"/>
      <c r="G43" s="23"/>
      <c r="H43" s="23"/>
    </row>
    <row r="44" spans="1:8" ht="14.4">
      <c r="A44" s="23"/>
      <c r="B44" s="23"/>
      <c r="C44" s="23"/>
      <c r="D44" s="23"/>
      <c r="E44" s="23"/>
      <c r="F44" s="23"/>
      <c r="G44" s="23"/>
      <c r="H44" s="23"/>
    </row>
    <row r="45" spans="1:8" ht="14.4">
      <c r="A45" s="23"/>
      <c r="B45" s="23"/>
      <c r="C45" s="23"/>
      <c r="D45" s="23"/>
      <c r="E45" s="23"/>
      <c r="F45" s="23"/>
      <c r="G45" s="23"/>
      <c r="H45" s="23"/>
    </row>
    <row r="46" spans="1:8" ht="14.4">
      <c r="A46" s="23"/>
      <c r="B46" s="23"/>
      <c r="C46" s="23"/>
      <c r="D46" s="23"/>
      <c r="E46" s="23"/>
      <c r="F46" s="23"/>
      <c r="G46" s="23"/>
      <c r="H46" s="23"/>
    </row>
    <row r="47" spans="1:8" ht="14.4">
      <c r="A47" s="23"/>
      <c r="B47" s="23"/>
      <c r="C47" s="23"/>
      <c r="D47" s="23"/>
      <c r="E47" s="23"/>
      <c r="F47" s="23"/>
      <c r="G47" s="23"/>
      <c r="H47" s="23"/>
    </row>
    <row r="48" spans="1:8" ht="14.4">
      <c r="A48" s="23"/>
      <c r="B48" s="23"/>
      <c r="C48" s="23"/>
      <c r="D48" s="23"/>
      <c r="E48" s="23"/>
      <c r="F48" s="23"/>
      <c r="G48" s="23"/>
      <c r="H48" s="23"/>
    </row>
    <row r="49" spans="1:8" ht="14.4">
      <c r="A49" s="23"/>
      <c r="B49" s="23"/>
      <c r="C49" s="23"/>
      <c r="D49" s="23"/>
      <c r="E49" s="23"/>
      <c r="F49" s="23"/>
      <c r="G49" s="23"/>
      <c r="H49" s="23"/>
    </row>
    <row r="50" spans="1:8" ht="14.4">
      <c r="A50" s="23"/>
      <c r="B50" s="23"/>
      <c r="C50" s="23"/>
      <c r="D50" s="23"/>
      <c r="E50" s="23"/>
      <c r="F50" s="23"/>
      <c r="G50" s="23"/>
      <c r="H50" s="23"/>
    </row>
    <row r="51" spans="1:8" ht="14.4">
      <c r="A51" s="23"/>
      <c r="B51" s="23"/>
      <c r="C51" s="23"/>
      <c r="D51" s="23"/>
      <c r="E51" s="23"/>
      <c r="F51" s="23"/>
      <c r="G51" s="23"/>
      <c r="H51" s="23"/>
    </row>
    <row r="52" spans="1:8" ht="14.4">
      <c r="A52" s="23"/>
      <c r="B52" s="23"/>
      <c r="C52" s="23"/>
      <c r="D52" s="23"/>
      <c r="E52" s="23"/>
      <c r="F52" s="23"/>
      <c r="G52" s="23"/>
      <c r="H52" s="23"/>
    </row>
    <row r="53" spans="1:8" ht="14.4">
      <c r="A53" s="23"/>
      <c r="B53" s="23"/>
      <c r="C53" s="23"/>
      <c r="D53" s="23"/>
      <c r="E53" s="23"/>
      <c r="F53" s="23"/>
      <c r="G53" s="23"/>
      <c r="H53" s="23"/>
    </row>
    <row r="54" spans="1:8" ht="14.4">
      <c r="A54" s="23"/>
      <c r="B54" s="23"/>
      <c r="C54" s="23"/>
      <c r="D54" s="23"/>
      <c r="E54" s="23"/>
      <c r="F54" s="23"/>
      <c r="G54" s="23"/>
      <c r="H54" s="23"/>
    </row>
    <row r="55" spans="1:8" ht="14.4">
      <c r="A55" s="23"/>
      <c r="B55" s="23"/>
      <c r="C55" s="23"/>
      <c r="D55" s="23"/>
      <c r="E55" s="23"/>
      <c r="F55" s="23"/>
      <c r="G55" s="23"/>
      <c r="H55" s="23"/>
    </row>
    <row r="56" spans="1:8" ht="14.4">
      <c r="A56" s="23"/>
      <c r="B56" s="23"/>
      <c r="C56" s="23"/>
      <c r="D56" s="23"/>
      <c r="E56" s="23"/>
      <c r="F56" s="23"/>
      <c r="G56" s="23"/>
      <c r="H56" s="23"/>
    </row>
    <row r="57" spans="1:8" ht="14.4">
      <c r="A57" s="23"/>
      <c r="B57" s="23"/>
      <c r="C57" s="23"/>
      <c r="D57" s="23"/>
      <c r="E57" s="23"/>
      <c r="F57" s="23"/>
      <c r="G57" s="23"/>
      <c r="H57" s="23"/>
    </row>
    <row r="58" spans="1:8" ht="14.4">
      <c r="A58" s="23"/>
      <c r="B58" s="23"/>
      <c r="C58" s="23"/>
      <c r="D58" s="23"/>
      <c r="E58" s="23"/>
      <c r="F58" s="23"/>
      <c r="G58" s="23"/>
      <c r="H58" s="23"/>
    </row>
    <row r="59" spans="1:8" ht="14.4">
      <c r="A59" s="23"/>
      <c r="B59" s="23"/>
      <c r="C59" s="23"/>
      <c r="D59" s="23"/>
      <c r="E59" s="23"/>
      <c r="F59" s="23"/>
      <c r="G59" s="23"/>
      <c r="H59" s="23"/>
    </row>
    <row r="60" spans="1:8" ht="14.4">
      <c r="A60" s="23"/>
      <c r="B60" s="23"/>
      <c r="C60" s="23"/>
      <c r="D60" s="23"/>
      <c r="E60" s="23"/>
      <c r="F60" s="23"/>
      <c r="G60" s="23"/>
      <c r="H60" s="23"/>
    </row>
    <row r="61" spans="1:8" ht="14.4">
      <c r="A61" s="23"/>
      <c r="B61" s="23"/>
      <c r="C61" s="23"/>
      <c r="D61" s="23"/>
      <c r="E61" s="23"/>
      <c r="F61" s="23"/>
      <c r="G61" s="23"/>
      <c r="H61" s="23"/>
    </row>
    <row r="62" spans="1:8" ht="14.4">
      <c r="A62" s="23"/>
      <c r="B62" s="23"/>
      <c r="C62" s="23"/>
      <c r="D62" s="23"/>
      <c r="E62" s="23"/>
      <c r="F62" s="23"/>
      <c r="G62" s="23"/>
      <c r="H62" s="23"/>
    </row>
    <row r="63" spans="1:8" ht="14.4">
      <c r="A63" s="23"/>
      <c r="B63" s="23"/>
      <c r="C63" s="23"/>
      <c r="D63" s="23"/>
      <c r="E63" s="23"/>
      <c r="F63" s="23"/>
      <c r="G63" s="23"/>
      <c r="H63" s="23"/>
    </row>
    <row r="64" spans="1:8" ht="14.4">
      <c r="A64" s="23"/>
      <c r="B64" s="23"/>
      <c r="C64" s="23"/>
      <c r="D64" s="23"/>
      <c r="E64" s="23"/>
      <c r="F64" s="23"/>
      <c r="G64" s="23"/>
      <c r="H64" s="23"/>
    </row>
    <row r="65" spans="1:8" ht="14.4">
      <c r="A65" s="23"/>
      <c r="B65" s="23"/>
      <c r="C65" s="23"/>
      <c r="D65" s="23"/>
      <c r="E65" s="23"/>
      <c r="F65" s="23"/>
      <c r="G65" s="23"/>
      <c r="H65" s="23"/>
    </row>
    <row r="66" spans="1:8" ht="14.4">
      <c r="A66" s="23"/>
      <c r="B66" s="23"/>
      <c r="C66" s="23"/>
      <c r="D66" s="23"/>
      <c r="E66" s="23"/>
      <c r="F66" s="23"/>
      <c r="G66" s="23"/>
      <c r="H66" s="23"/>
    </row>
    <row r="67" spans="1:8" ht="14.4">
      <c r="A67" s="23"/>
      <c r="B67" s="23"/>
      <c r="C67" s="23"/>
      <c r="D67" s="23"/>
      <c r="E67" s="23"/>
      <c r="F67" s="23"/>
      <c r="G67" s="23"/>
      <c r="H67" s="23"/>
    </row>
    <row r="68" spans="1:8" ht="14.4">
      <c r="A68" s="23"/>
      <c r="B68" s="23"/>
      <c r="C68" s="23"/>
      <c r="D68" s="23"/>
      <c r="E68" s="23"/>
      <c r="F68" s="23"/>
      <c r="G68" s="23"/>
      <c r="H68" s="23"/>
    </row>
    <row r="69" spans="1:8" ht="14.4">
      <c r="A69" s="23"/>
      <c r="B69" s="23"/>
      <c r="C69" s="23"/>
      <c r="D69" s="23"/>
      <c r="E69" s="23"/>
      <c r="F69" s="23"/>
      <c r="G69" s="23"/>
      <c r="H69" s="23"/>
    </row>
    <row r="70" spans="1:8" ht="14.4">
      <c r="A70" s="23"/>
      <c r="B70" s="23"/>
      <c r="C70" s="23"/>
      <c r="D70" s="23"/>
      <c r="E70" s="23"/>
      <c r="F70" s="23"/>
      <c r="G70" s="23"/>
      <c r="H70" s="23"/>
    </row>
    <row r="71" spans="1:8" ht="14.4">
      <c r="A71" s="23"/>
      <c r="B71" s="23"/>
      <c r="C71" s="23"/>
      <c r="D71" s="23"/>
      <c r="E71" s="23"/>
      <c r="F71" s="23"/>
      <c r="G71" s="23"/>
      <c r="H71" s="23"/>
    </row>
    <row r="72" spans="1:8" ht="14.4">
      <c r="A72" s="23"/>
      <c r="B72" s="23"/>
      <c r="C72" s="23"/>
      <c r="D72" s="23"/>
      <c r="E72" s="23"/>
      <c r="F72" s="23"/>
      <c r="G72" s="23"/>
      <c r="H72" s="23"/>
    </row>
    <row r="73" spans="1:8" ht="14.4">
      <c r="A73" s="23"/>
      <c r="B73" s="23"/>
      <c r="C73" s="23"/>
      <c r="D73" s="23"/>
      <c r="E73" s="23"/>
      <c r="F73" s="23"/>
      <c r="G73" s="23"/>
      <c r="H73" s="23"/>
    </row>
    <row r="74" spans="1:8" ht="14.4">
      <c r="A74" s="23"/>
      <c r="B74" s="23"/>
      <c r="C74" s="23"/>
      <c r="D74" s="23"/>
      <c r="E74" s="23"/>
      <c r="F74" s="23"/>
      <c r="G74" s="23"/>
      <c r="H74" s="23"/>
    </row>
    <row r="75" spans="1:8" ht="14.4">
      <c r="A75" s="23"/>
      <c r="B75" s="23"/>
      <c r="C75" s="23"/>
      <c r="D75" s="23"/>
      <c r="E75" s="23"/>
      <c r="F75" s="23"/>
      <c r="G75" s="23"/>
      <c r="H75" s="23"/>
    </row>
    <row r="76" spans="1:8" ht="14.4">
      <c r="A76" s="23"/>
      <c r="B76" s="23"/>
      <c r="C76" s="23"/>
      <c r="D76" s="23"/>
      <c r="E76" s="23"/>
      <c r="F76" s="23"/>
      <c r="G76" s="23"/>
      <c r="H76" s="23"/>
    </row>
    <row r="77" spans="1:8" ht="14.4">
      <c r="A77" s="23"/>
      <c r="B77" s="23"/>
      <c r="C77" s="23"/>
      <c r="D77" s="23"/>
      <c r="E77" s="23"/>
      <c r="F77" s="23"/>
      <c r="G77" s="23"/>
      <c r="H77" s="23"/>
    </row>
    <row r="78" spans="1:8" ht="14.4">
      <c r="A78" s="23"/>
      <c r="B78" s="23"/>
      <c r="C78" s="23"/>
      <c r="D78" s="23"/>
      <c r="E78" s="23"/>
      <c r="F78" s="23"/>
      <c r="G78" s="23"/>
      <c r="H78" s="23"/>
    </row>
    <row r="79" spans="1:8" ht="14.4">
      <c r="A79" s="23"/>
      <c r="B79" s="23"/>
      <c r="C79" s="23"/>
      <c r="D79" s="23"/>
      <c r="E79" s="23"/>
      <c r="F79" s="23"/>
      <c r="G79" s="23"/>
      <c r="H79" s="23"/>
    </row>
    <row r="80" spans="1:8" ht="14.4">
      <c r="A80" s="23"/>
      <c r="B80" s="23"/>
      <c r="C80" s="23"/>
      <c r="D80" s="23"/>
      <c r="E80" s="23"/>
      <c r="F80" s="23"/>
      <c r="G80" s="23"/>
      <c r="H80" s="23"/>
    </row>
    <row r="81" spans="1:8" ht="14.4">
      <c r="A81" s="23"/>
      <c r="B81" s="23"/>
      <c r="C81" s="23"/>
      <c r="D81" s="23"/>
      <c r="E81" s="23"/>
      <c r="F81" s="23"/>
      <c r="G81" s="23"/>
      <c r="H81" s="23"/>
    </row>
    <row r="82" spans="1:8" ht="14.4">
      <c r="A82" s="23"/>
      <c r="B82" s="23"/>
      <c r="C82" s="23"/>
      <c r="D82" s="23"/>
      <c r="E82" s="23"/>
      <c r="F82" s="23"/>
      <c r="G82" s="23"/>
      <c r="H82" s="23"/>
    </row>
    <row r="83" spans="1:8" ht="14.4">
      <c r="A83" s="23"/>
      <c r="B83" s="23"/>
      <c r="C83" s="23"/>
      <c r="D83" s="23"/>
      <c r="E83" s="23"/>
      <c r="F83" s="23"/>
      <c r="G83" s="23"/>
      <c r="H83" s="23"/>
    </row>
    <row r="84" spans="1:8" ht="14.4">
      <c r="A84" s="23"/>
      <c r="B84" s="23"/>
      <c r="C84" s="23"/>
      <c r="D84" s="23"/>
      <c r="E84" s="23"/>
      <c r="F84" s="23"/>
      <c r="G84" s="23"/>
      <c r="H84" s="23"/>
    </row>
    <row r="85" spans="1:8" ht="14.4">
      <c r="A85" s="23"/>
      <c r="B85" s="23"/>
      <c r="C85" s="23"/>
      <c r="D85" s="23"/>
      <c r="E85" s="23"/>
      <c r="F85" s="23"/>
      <c r="G85" s="23"/>
      <c r="H85" s="23"/>
    </row>
    <row r="86" spans="1:8" ht="14.4">
      <c r="A86" s="23"/>
      <c r="B86" s="23"/>
      <c r="C86" s="23"/>
      <c r="D86" s="23"/>
      <c r="E86" s="23"/>
      <c r="F86" s="23"/>
      <c r="G86" s="23"/>
      <c r="H86" s="23"/>
    </row>
    <row r="87" spans="1:8" ht="14.4">
      <c r="A87" s="23"/>
      <c r="B87" s="23"/>
      <c r="C87" s="23"/>
      <c r="D87" s="23"/>
      <c r="E87" s="23"/>
      <c r="F87" s="23"/>
      <c r="G87" s="23"/>
      <c r="H87" s="23"/>
    </row>
    <row r="88" spans="1:8" ht="14.4">
      <c r="A88" s="23"/>
      <c r="B88" s="23"/>
      <c r="C88" s="23"/>
      <c r="D88" s="23"/>
      <c r="E88" s="23"/>
      <c r="F88" s="23"/>
      <c r="G88" s="23"/>
      <c r="H88" s="23"/>
    </row>
    <row r="89" spans="1:8" ht="14.4">
      <c r="A89" s="23"/>
      <c r="B89" s="23"/>
      <c r="C89" s="23"/>
      <c r="D89" s="23"/>
      <c r="E89" s="23"/>
      <c r="F89" s="23"/>
      <c r="G89" s="23"/>
      <c r="H89" s="23"/>
    </row>
    <row r="90" spans="1:8" ht="14.4">
      <c r="A90" s="23"/>
      <c r="B90" s="23"/>
      <c r="C90" s="23"/>
      <c r="D90" s="23"/>
      <c r="E90" s="23"/>
      <c r="F90" s="23"/>
      <c r="G90" s="23"/>
      <c r="H90" s="23"/>
    </row>
    <row r="91" spans="1:8" ht="14.4">
      <c r="A91" s="23"/>
      <c r="B91" s="23"/>
      <c r="C91" s="23"/>
      <c r="D91" s="23"/>
      <c r="E91" s="23"/>
      <c r="F91" s="23"/>
      <c r="G91" s="23"/>
      <c r="H91" s="23"/>
    </row>
    <row r="92" spans="1:8" ht="14.4">
      <c r="A92" s="23"/>
      <c r="B92" s="23"/>
      <c r="C92" s="23"/>
      <c r="D92" s="23"/>
      <c r="E92" s="23"/>
      <c r="F92" s="23"/>
      <c r="G92" s="23"/>
      <c r="H92" s="23"/>
    </row>
    <row r="93" spans="1:8" ht="14.4">
      <c r="A93" s="23"/>
      <c r="B93" s="23"/>
      <c r="C93" s="23"/>
      <c r="D93" s="23"/>
      <c r="E93" s="23"/>
      <c r="F93" s="23"/>
      <c r="G93" s="23"/>
      <c r="H93" s="23"/>
    </row>
    <row r="94" spans="1:8" ht="14.4">
      <c r="A94" s="23"/>
      <c r="B94" s="23"/>
      <c r="C94" s="23"/>
      <c r="D94" s="23"/>
      <c r="E94" s="23"/>
      <c r="F94" s="23"/>
      <c r="G94" s="23"/>
      <c r="H94" s="23"/>
    </row>
    <row r="95" spans="1:8" ht="14.4">
      <c r="A95" s="23"/>
      <c r="B95" s="23"/>
      <c r="C95" s="23"/>
      <c r="D95" s="23"/>
      <c r="E95" s="23"/>
      <c r="F95" s="23"/>
      <c r="G95" s="23"/>
      <c r="H95" s="23"/>
    </row>
    <row r="96" spans="1:8" ht="14.4">
      <c r="A96" s="23"/>
      <c r="B96" s="23"/>
      <c r="C96" s="23"/>
      <c r="D96" s="23"/>
      <c r="E96" s="23"/>
      <c r="F96" s="23"/>
      <c r="G96" s="23"/>
      <c r="H96" s="23"/>
    </row>
    <row r="97" spans="1:8" ht="14.4">
      <c r="A97" s="23"/>
      <c r="B97" s="23"/>
      <c r="C97" s="23"/>
      <c r="D97" s="23"/>
      <c r="E97" s="23"/>
      <c r="F97" s="23"/>
      <c r="G97" s="23"/>
      <c r="H97" s="23"/>
    </row>
    <row r="98" spans="1:8" ht="14.4">
      <c r="A98" s="23"/>
      <c r="B98" s="23"/>
      <c r="C98" s="23"/>
      <c r="D98" s="23"/>
      <c r="E98" s="23"/>
      <c r="F98" s="23"/>
      <c r="G98" s="23"/>
      <c r="H98" s="23"/>
    </row>
    <row r="99" spans="1:8" ht="14.4">
      <c r="A99" s="23"/>
      <c r="B99" s="23"/>
      <c r="C99" s="23"/>
      <c r="D99" s="23"/>
      <c r="E99" s="23"/>
      <c r="F99" s="23"/>
      <c r="G99" s="23"/>
      <c r="H99" s="23"/>
    </row>
    <row r="100" spans="1:8" ht="14.4">
      <c r="A100" s="23"/>
      <c r="B100" s="23"/>
      <c r="C100" s="23"/>
      <c r="D100" s="23"/>
      <c r="E100" s="23"/>
      <c r="F100" s="23"/>
      <c r="G100" s="23"/>
      <c r="H100" s="23"/>
    </row>
    <row r="101" spans="1:8" ht="14.4">
      <c r="A101" s="23"/>
      <c r="B101" s="23"/>
      <c r="C101" s="23"/>
      <c r="D101" s="23"/>
      <c r="E101" s="23"/>
      <c r="F101" s="23"/>
      <c r="G101" s="23"/>
      <c r="H101" s="23"/>
    </row>
    <row r="102" spans="1:8" ht="14.4">
      <c r="A102" s="23"/>
      <c r="B102" s="23"/>
      <c r="C102" s="23"/>
      <c r="D102" s="23"/>
      <c r="E102" s="23"/>
      <c r="F102" s="23"/>
      <c r="G102" s="23"/>
      <c r="H102" s="23"/>
    </row>
    <row r="103" spans="1:8" ht="14.4">
      <c r="A103" s="23"/>
      <c r="B103" s="23"/>
      <c r="C103" s="23"/>
      <c r="D103" s="23"/>
      <c r="E103" s="23"/>
      <c r="F103" s="23"/>
      <c r="G103" s="23"/>
      <c r="H103" s="23"/>
    </row>
    <row r="104" spans="1:8" ht="14.4">
      <c r="A104" s="23"/>
      <c r="B104" s="23"/>
      <c r="C104" s="23"/>
      <c r="D104" s="23"/>
      <c r="E104" s="23"/>
      <c r="F104" s="23"/>
      <c r="G104" s="23"/>
      <c r="H104" s="23"/>
    </row>
    <row r="105" spans="1:8" ht="14.4">
      <c r="A105" s="23"/>
      <c r="B105" s="23"/>
      <c r="C105" s="23"/>
      <c r="D105" s="23"/>
      <c r="E105" s="23"/>
      <c r="F105" s="23"/>
      <c r="G105" s="23"/>
      <c r="H105" s="23"/>
    </row>
    <row r="106" spans="1:8" ht="14.4">
      <c r="A106" s="23"/>
      <c r="B106" s="23"/>
      <c r="C106" s="23"/>
      <c r="D106" s="23"/>
      <c r="E106" s="23"/>
      <c r="F106" s="23"/>
      <c r="G106" s="23"/>
      <c r="H106" s="23"/>
    </row>
    <row r="107" spans="1:8" ht="14.4">
      <c r="A107" s="23"/>
      <c r="B107" s="23"/>
      <c r="C107" s="23"/>
      <c r="D107" s="23"/>
      <c r="E107" s="23"/>
      <c r="F107" s="23"/>
      <c r="G107" s="23"/>
      <c r="H107" s="23"/>
    </row>
    <row r="108" spans="1:8" ht="14.4">
      <c r="A108" s="23"/>
      <c r="B108" s="23"/>
      <c r="C108" s="23"/>
      <c r="D108" s="23"/>
      <c r="E108" s="23"/>
      <c r="F108" s="23"/>
      <c r="G108" s="23"/>
      <c r="H108" s="23"/>
    </row>
    <row r="109" spans="1:8" ht="14.4">
      <c r="A109" s="23"/>
      <c r="B109" s="23"/>
      <c r="C109" s="23"/>
      <c r="D109" s="23"/>
      <c r="E109" s="23"/>
      <c r="F109" s="23"/>
      <c r="G109" s="23"/>
      <c r="H109" s="23"/>
    </row>
    <row r="110" spans="1:8" ht="14.4">
      <c r="A110" s="23"/>
      <c r="B110" s="23"/>
      <c r="C110" s="23"/>
      <c r="D110" s="23"/>
      <c r="E110" s="23"/>
      <c r="F110" s="23"/>
      <c r="G110" s="23"/>
      <c r="H110" s="23"/>
    </row>
    <row r="111" spans="1:8" ht="14.4">
      <c r="A111" s="23"/>
      <c r="B111" s="23"/>
      <c r="C111" s="23"/>
      <c r="D111" s="23"/>
      <c r="E111" s="23"/>
      <c r="F111" s="23"/>
      <c r="G111" s="23"/>
      <c r="H111" s="23"/>
    </row>
    <row r="112" spans="1:8" ht="14.4">
      <c r="A112" s="23"/>
      <c r="B112" s="23"/>
      <c r="C112" s="23"/>
      <c r="D112" s="23"/>
      <c r="E112" s="23"/>
      <c r="F112" s="23"/>
      <c r="G112" s="23"/>
      <c r="H112" s="23"/>
    </row>
    <row r="113" spans="1:8" ht="14.4">
      <c r="A113" s="23"/>
      <c r="B113" s="23"/>
      <c r="C113" s="23"/>
      <c r="D113" s="23"/>
      <c r="E113" s="23"/>
      <c r="F113" s="23"/>
      <c r="G113" s="23"/>
      <c r="H113" s="23"/>
    </row>
    <row r="114" spans="1:8" ht="14.4">
      <c r="A114" s="23"/>
      <c r="B114" s="23"/>
      <c r="C114" s="23"/>
      <c r="D114" s="23"/>
      <c r="E114" s="23"/>
      <c r="F114" s="23"/>
      <c r="G114" s="23"/>
      <c r="H114" s="23"/>
    </row>
    <row r="115" spans="1:8" ht="14.4">
      <c r="A115" s="23"/>
      <c r="B115" s="23"/>
      <c r="C115" s="23"/>
      <c r="D115" s="23"/>
      <c r="E115" s="23"/>
      <c r="F115" s="23"/>
      <c r="G115" s="23"/>
      <c r="H115" s="23"/>
    </row>
    <row r="116" spans="1:8" ht="14.4">
      <c r="A116" s="23"/>
      <c r="B116" s="23"/>
      <c r="C116" s="23"/>
      <c r="D116" s="23"/>
      <c r="E116" s="23"/>
      <c r="F116" s="23"/>
      <c r="G116" s="23"/>
      <c r="H116" s="23"/>
    </row>
    <row r="117" spans="1:8" ht="14.4">
      <c r="A117" s="23"/>
      <c r="B117" s="23"/>
      <c r="C117" s="23"/>
      <c r="D117" s="23"/>
      <c r="E117" s="23"/>
      <c r="F117" s="23"/>
      <c r="G117" s="23"/>
      <c r="H117" s="23"/>
    </row>
    <row r="118" spans="1:8" ht="14.4">
      <c r="A118" s="23"/>
      <c r="B118" s="23"/>
      <c r="C118" s="23"/>
      <c r="D118" s="23"/>
      <c r="E118" s="23"/>
      <c r="F118" s="23"/>
      <c r="G118" s="23"/>
      <c r="H118" s="23"/>
    </row>
    <row r="119" spans="1:8" ht="14.4">
      <c r="A119" s="23"/>
      <c r="B119" s="23"/>
      <c r="C119" s="23"/>
      <c r="D119" s="23"/>
      <c r="E119" s="23"/>
      <c r="F119" s="23"/>
      <c r="G119" s="23"/>
      <c r="H119" s="23"/>
    </row>
    <row r="120" spans="1:8" ht="14.4">
      <c r="A120" s="23"/>
      <c r="B120" s="23"/>
      <c r="C120" s="23"/>
      <c r="D120" s="23"/>
      <c r="E120" s="23"/>
      <c r="F120" s="23"/>
      <c r="G120" s="23"/>
      <c r="H120" s="23"/>
    </row>
    <row r="121" spans="1:8" ht="14.4">
      <c r="A121" s="23"/>
      <c r="B121" s="23"/>
      <c r="C121" s="23"/>
      <c r="D121" s="23"/>
      <c r="E121" s="23"/>
      <c r="F121" s="23"/>
      <c r="G121" s="23"/>
      <c r="H121" s="23"/>
    </row>
    <row r="122" spans="1:8" ht="14.4">
      <c r="A122" s="23"/>
      <c r="B122" s="23"/>
      <c r="C122" s="23"/>
      <c r="D122" s="23"/>
      <c r="E122" s="23"/>
      <c r="F122" s="23"/>
      <c r="G122" s="23"/>
      <c r="H122" s="23"/>
    </row>
    <row r="123" spans="1:8" ht="14.4">
      <c r="A123" s="23"/>
      <c r="B123" s="23"/>
      <c r="C123" s="23"/>
      <c r="D123" s="23"/>
      <c r="E123" s="23"/>
      <c r="F123" s="23"/>
      <c r="G123" s="23"/>
      <c r="H123" s="23"/>
    </row>
    <row r="124" spans="1:8" ht="14.4">
      <c r="A124" s="23"/>
      <c r="B124" s="23"/>
      <c r="C124" s="23"/>
      <c r="D124" s="23"/>
      <c r="E124" s="23"/>
      <c r="F124" s="23"/>
      <c r="G124" s="23"/>
      <c r="H124" s="23"/>
    </row>
    <row r="125" spans="1:8" ht="14.4">
      <c r="A125" s="23"/>
      <c r="B125" s="23"/>
      <c r="C125" s="23"/>
      <c r="D125" s="23"/>
      <c r="E125" s="23"/>
      <c r="F125" s="23"/>
      <c r="G125" s="23"/>
      <c r="H125" s="23"/>
    </row>
    <row r="126" spans="1:8" ht="14.4">
      <c r="A126" s="23"/>
      <c r="B126" s="23"/>
      <c r="C126" s="23"/>
      <c r="D126" s="23"/>
      <c r="E126" s="23"/>
      <c r="F126" s="23"/>
      <c r="G126" s="23"/>
      <c r="H126" s="23"/>
    </row>
    <row r="127" spans="1:8" ht="14.4">
      <c r="A127" s="23"/>
      <c r="B127" s="23"/>
      <c r="C127" s="23"/>
      <c r="D127" s="23"/>
      <c r="E127" s="23"/>
      <c r="F127" s="23"/>
      <c r="G127" s="23"/>
      <c r="H127" s="23"/>
    </row>
    <row r="128" spans="1:8" ht="14.4">
      <c r="A128" s="23"/>
      <c r="B128" s="23"/>
      <c r="C128" s="23"/>
      <c r="D128" s="23"/>
      <c r="E128" s="23"/>
      <c r="F128" s="23"/>
      <c r="G128" s="23"/>
      <c r="H128" s="23"/>
    </row>
    <row r="129" spans="1:8" ht="14.4">
      <c r="A129" s="23"/>
      <c r="B129" s="23"/>
      <c r="C129" s="23"/>
      <c r="D129" s="23"/>
      <c r="E129" s="23"/>
      <c r="F129" s="23"/>
      <c r="G129" s="23"/>
      <c r="H129" s="23"/>
    </row>
    <row r="130" spans="1:8" ht="14.4">
      <c r="A130" s="23"/>
      <c r="B130" s="23"/>
      <c r="C130" s="23"/>
      <c r="D130" s="23"/>
      <c r="E130" s="23"/>
      <c r="F130" s="23"/>
      <c r="G130" s="23"/>
      <c r="H130" s="23"/>
    </row>
    <row r="131" spans="1:8" ht="14.4">
      <c r="A131" s="23"/>
      <c r="B131" s="23"/>
      <c r="C131" s="23"/>
      <c r="D131" s="23"/>
      <c r="E131" s="23"/>
      <c r="F131" s="23"/>
      <c r="G131" s="23"/>
      <c r="H131" s="23"/>
    </row>
    <row r="132" spans="1:8" ht="14.4">
      <c r="A132" s="23"/>
      <c r="B132" s="23"/>
      <c r="C132" s="23"/>
      <c r="D132" s="23"/>
      <c r="E132" s="23"/>
      <c r="F132" s="23"/>
      <c r="G132" s="23"/>
      <c r="H132" s="23"/>
    </row>
    <row r="133" spans="1:8" ht="14.4">
      <c r="A133" s="23"/>
      <c r="B133" s="23"/>
      <c r="C133" s="23"/>
      <c r="D133" s="23"/>
      <c r="E133" s="23"/>
      <c r="F133" s="23"/>
      <c r="G133" s="23"/>
      <c r="H133" s="23"/>
    </row>
    <row r="134" spans="1:8" ht="14.4">
      <c r="A134" s="23"/>
      <c r="B134" s="23"/>
      <c r="C134" s="23"/>
      <c r="D134" s="23"/>
      <c r="E134" s="23"/>
      <c r="F134" s="23"/>
      <c r="G134" s="23"/>
      <c r="H134" s="23"/>
    </row>
    <row r="135" spans="1:8" ht="14.4">
      <c r="A135" s="23"/>
      <c r="B135" s="23"/>
      <c r="C135" s="23"/>
      <c r="D135" s="23"/>
      <c r="E135" s="23"/>
      <c r="F135" s="23"/>
      <c r="G135" s="23"/>
      <c r="H135" s="23"/>
    </row>
    <row r="136" spans="1:8" ht="14.4">
      <c r="A136" s="23"/>
      <c r="B136" s="23"/>
      <c r="C136" s="23"/>
      <c r="D136" s="23"/>
      <c r="E136" s="23"/>
      <c r="F136" s="23"/>
      <c r="G136" s="23"/>
      <c r="H136" s="23"/>
    </row>
    <row r="137" spans="1:8" ht="14.4">
      <c r="A137" s="23"/>
      <c r="B137" s="23"/>
      <c r="C137" s="23"/>
      <c r="D137" s="23"/>
      <c r="E137" s="23"/>
      <c r="F137" s="23"/>
      <c r="G137" s="23"/>
      <c r="H137" s="23"/>
    </row>
    <row r="138" spans="1:8" ht="14.4">
      <c r="A138" s="23"/>
      <c r="B138" s="23"/>
      <c r="C138" s="23"/>
      <c r="D138" s="23"/>
      <c r="E138" s="23"/>
      <c r="F138" s="23"/>
      <c r="G138" s="23"/>
      <c r="H138" s="23"/>
    </row>
    <row r="139" spans="1:8" ht="14.4">
      <c r="A139" s="23"/>
      <c r="B139" s="23"/>
      <c r="C139" s="23"/>
      <c r="D139" s="23"/>
      <c r="E139" s="23"/>
      <c r="F139" s="23"/>
      <c r="G139" s="23"/>
      <c r="H139" s="23"/>
    </row>
    <row r="140" spans="1:8" ht="14.4">
      <c r="A140" s="23"/>
      <c r="B140" s="23"/>
      <c r="C140" s="23"/>
      <c r="D140" s="23"/>
      <c r="E140" s="23"/>
      <c r="F140" s="23"/>
      <c r="G140" s="23"/>
      <c r="H140" s="23"/>
    </row>
    <row r="141" spans="1:8" ht="14.4">
      <c r="A141" s="23"/>
      <c r="B141" s="23"/>
      <c r="C141" s="23"/>
      <c r="D141" s="23"/>
      <c r="E141" s="23"/>
      <c r="F141" s="23"/>
      <c r="G141" s="23"/>
      <c r="H141" s="23"/>
    </row>
    <row r="142" spans="1:8" ht="14.4">
      <c r="A142" s="23"/>
      <c r="B142" s="23"/>
      <c r="C142" s="23"/>
      <c r="D142" s="23"/>
      <c r="E142" s="23"/>
      <c r="F142" s="23"/>
      <c r="G142" s="23"/>
      <c r="H142" s="23"/>
    </row>
    <row r="143" spans="1:8" ht="14.4">
      <c r="A143" s="23"/>
      <c r="B143" s="23"/>
      <c r="C143" s="23"/>
      <c r="D143" s="23"/>
      <c r="E143" s="23"/>
      <c r="F143" s="23"/>
      <c r="G143" s="23"/>
      <c r="H143" s="23"/>
    </row>
    <row r="144" spans="1:8" ht="14.4">
      <c r="A144" s="23"/>
      <c r="B144" s="23"/>
      <c r="C144" s="23"/>
      <c r="D144" s="23"/>
      <c r="E144" s="23"/>
      <c r="F144" s="23"/>
      <c r="G144" s="23"/>
      <c r="H144" s="23"/>
    </row>
    <row r="145" spans="1:8" ht="14.4">
      <c r="A145" s="23"/>
      <c r="B145" s="23"/>
      <c r="C145" s="23"/>
      <c r="D145" s="23"/>
      <c r="E145" s="23"/>
      <c r="F145" s="23"/>
      <c r="G145" s="23"/>
      <c r="H145" s="23"/>
    </row>
    <row r="146" spans="1:8" ht="14.4">
      <c r="A146" s="23"/>
      <c r="B146" s="23"/>
      <c r="C146" s="23"/>
      <c r="D146" s="23"/>
      <c r="E146" s="23"/>
      <c r="F146" s="23"/>
      <c r="G146" s="23"/>
      <c r="H146" s="23"/>
    </row>
    <row r="147" spans="1:8" ht="14.4">
      <c r="A147" s="23"/>
      <c r="B147" s="23"/>
      <c r="C147" s="23"/>
      <c r="D147" s="23"/>
      <c r="E147" s="23"/>
      <c r="F147" s="23"/>
      <c r="G147" s="23"/>
      <c r="H147" s="23"/>
    </row>
    <row r="148" spans="1:8" ht="14.4">
      <c r="A148" s="23"/>
      <c r="B148" s="23"/>
      <c r="C148" s="23"/>
      <c r="D148" s="23"/>
      <c r="E148" s="23"/>
      <c r="F148" s="23"/>
      <c r="G148" s="23"/>
      <c r="H148" s="23"/>
    </row>
    <row r="149" spans="1:8" ht="14.4">
      <c r="A149" s="23"/>
      <c r="B149" s="23"/>
      <c r="C149" s="23"/>
      <c r="D149" s="23"/>
      <c r="E149" s="23"/>
      <c r="F149" s="23"/>
      <c r="G149" s="23"/>
      <c r="H149" s="23"/>
    </row>
    <row r="150" spans="1:8" ht="14.4">
      <c r="A150" s="23"/>
      <c r="B150" s="23"/>
      <c r="C150" s="23"/>
      <c r="D150" s="23"/>
      <c r="E150" s="23"/>
      <c r="F150" s="23"/>
      <c r="G150" s="23"/>
      <c r="H150" s="23"/>
    </row>
    <row r="151" spans="1:8" ht="14.4">
      <c r="A151" s="23"/>
      <c r="B151" s="23"/>
      <c r="C151" s="23"/>
      <c r="D151" s="23"/>
      <c r="E151" s="23"/>
      <c r="F151" s="23"/>
      <c r="G151" s="23"/>
      <c r="H151" s="23"/>
    </row>
    <row r="152" spans="1:8" ht="14.4">
      <c r="A152" s="23"/>
      <c r="B152" s="23"/>
      <c r="C152" s="23"/>
      <c r="D152" s="23"/>
      <c r="E152" s="23"/>
      <c r="F152" s="23"/>
      <c r="G152" s="23"/>
      <c r="H152" s="23"/>
    </row>
    <row r="153" spans="1:8" ht="14.4">
      <c r="A153" s="23"/>
      <c r="B153" s="23"/>
      <c r="C153" s="23"/>
      <c r="D153" s="23"/>
      <c r="E153" s="23"/>
      <c r="F153" s="23"/>
      <c r="G153" s="23"/>
      <c r="H153" s="23"/>
    </row>
    <row r="154" spans="1:8" ht="14.4">
      <c r="A154" s="23"/>
      <c r="B154" s="23"/>
      <c r="C154" s="23"/>
      <c r="D154" s="23"/>
      <c r="E154" s="23"/>
      <c r="F154" s="23"/>
      <c r="G154" s="23"/>
      <c r="H154" s="23"/>
    </row>
    <row r="155" spans="1:8" ht="14.4">
      <c r="A155" s="23"/>
      <c r="B155" s="23"/>
      <c r="C155" s="23"/>
      <c r="D155" s="23"/>
      <c r="E155" s="23"/>
      <c r="F155" s="23"/>
      <c r="G155" s="23"/>
      <c r="H155" s="23"/>
    </row>
    <row r="156" spans="1:8" ht="14.4">
      <c r="A156" s="23"/>
      <c r="B156" s="23"/>
      <c r="C156" s="23"/>
      <c r="D156" s="23"/>
      <c r="E156" s="23"/>
      <c r="F156" s="23"/>
      <c r="G156" s="23"/>
      <c r="H156" s="23"/>
    </row>
    <row r="157" spans="1:8" ht="14.4">
      <c r="A157" s="23"/>
      <c r="B157" s="23"/>
      <c r="C157" s="23"/>
      <c r="D157" s="23"/>
      <c r="E157" s="23"/>
      <c r="F157" s="23"/>
      <c r="G157" s="23"/>
      <c r="H157" s="23"/>
    </row>
    <row r="158" spans="1:8" ht="14.4">
      <c r="A158" s="23"/>
      <c r="B158" s="23"/>
      <c r="C158" s="23"/>
      <c r="D158" s="23"/>
      <c r="E158" s="23"/>
      <c r="F158" s="23"/>
      <c r="G158" s="23"/>
      <c r="H158" s="23"/>
    </row>
    <row r="159" spans="1:8" ht="14.4">
      <c r="A159" s="23"/>
      <c r="B159" s="23"/>
      <c r="C159" s="23"/>
      <c r="D159" s="23"/>
      <c r="E159" s="23"/>
      <c r="F159" s="23"/>
      <c r="G159" s="23"/>
      <c r="H159" s="23"/>
    </row>
    <row r="160" spans="1:8" ht="14.4">
      <c r="A160" s="23"/>
      <c r="B160" s="23"/>
      <c r="C160" s="23"/>
      <c r="D160" s="23"/>
      <c r="E160" s="23"/>
      <c r="F160" s="23"/>
      <c r="G160" s="23"/>
      <c r="H160" s="23"/>
    </row>
    <row r="161" spans="1:8" ht="14.4">
      <c r="A161" s="23"/>
      <c r="B161" s="23"/>
      <c r="C161" s="23"/>
      <c r="D161" s="23"/>
      <c r="E161" s="23"/>
      <c r="F161" s="23"/>
      <c r="G161" s="23"/>
      <c r="H161" s="23"/>
    </row>
    <row r="162" spans="1:8" ht="14.4">
      <c r="A162" s="23"/>
      <c r="B162" s="23"/>
      <c r="C162" s="23"/>
      <c r="D162" s="23"/>
      <c r="E162" s="23"/>
      <c r="F162" s="23"/>
      <c r="G162" s="23"/>
      <c r="H162" s="23"/>
    </row>
    <row r="163" spans="1:8" ht="14.4">
      <c r="A163" s="23"/>
      <c r="B163" s="23"/>
      <c r="C163" s="23"/>
      <c r="D163" s="23"/>
      <c r="E163" s="23"/>
      <c r="F163" s="23"/>
      <c r="G163" s="23"/>
      <c r="H163" s="23"/>
    </row>
    <row r="164" spans="1:8" ht="14.4">
      <c r="A164" s="23"/>
      <c r="B164" s="23"/>
      <c r="C164" s="23"/>
      <c r="D164" s="23"/>
      <c r="E164" s="23"/>
      <c r="F164" s="23"/>
      <c r="G164" s="23"/>
      <c r="H164" s="23"/>
    </row>
    <row r="165" spans="1:8" ht="14.4">
      <c r="A165" s="23"/>
      <c r="B165" s="23"/>
      <c r="C165" s="23"/>
      <c r="D165" s="23"/>
      <c r="E165" s="23"/>
      <c r="F165" s="23"/>
      <c r="G165" s="23"/>
      <c r="H165" s="23"/>
    </row>
    <row r="166" spans="1:8" ht="14.4">
      <c r="A166" s="23"/>
      <c r="B166" s="23"/>
      <c r="C166" s="23"/>
      <c r="D166" s="23"/>
      <c r="E166" s="23"/>
      <c r="F166" s="23"/>
      <c r="G166" s="23"/>
      <c r="H166" s="23"/>
    </row>
    <row r="167" spans="1:8" ht="14.4">
      <c r="A167" s="23"/>
      <c r="B167" s="23"/>
      <c r="C167" s="23"/>
      <c r="D167" s="23"/>
      <c r="E167" s="23"/>
      <c r="F167" s="23"/>
      <c r="G167" s="23"/>
      <c r="H167" s="23"/>
    </row>
    <row r="168" spans="1:8" ht="14.4">
      <c r="A168" s="23"/>
      <c r="B168" s="23"/>
      <c r="C168" s="23"/>
      <c r="D168" s="23"/>
      <c r="E168" s="23"/>
      <c r="F168" s="23"/>
      <c r="G168" s="23"/>
      <c r="H168" s="23"/>
    </row>
    <row r="169" spans="1:8" ht="14.4">
      <c r="A169" s="23"/>
      <c r="B169" s="23"/>
      <c r="C169" s="23"/>
      <c r="D169" s="23"/>
      <c r="E169" s="23"/>
      <c r="F169" s="23"/>
      <c r="G169" s="23"/>
      <c r="H169" s="23"/>
    </row>
    <row r="170" spans="1:8" ht="14.4">
      <c r="A170" s="23"/>
      <c r="B170" s="23"/>
      <c r="C170" s="23"/>
      <c r="D170" s="23"/>
      <c r="E170" s="23"/>
      <c r="F170" s="23"/>
      <c r="G170" s="23"/>
      <c r="H170" s="23"/>
    </row>
    <row r="171" spans="1:8" ht="14.4">
      <c r="A171" s="23"/>
      <c r="B171" s="23"/>
      <c r="C171" s="23"/>
      <c r="D171" s="23"/>
      <c r="E171" s="23"/>
      <c r="F171" s="23"/>
      <c r="G171" s="23"/>
      <c r="H171" s="23"/>
    </row>
    <row r="172" spans="1:8" ht="14.4">
      <c r="A172" s="23"/>
      <c r="B172" s="23"/>
      <c r="C172" s="23"/>
      <c r="D172" s="23"/>
      <c r="E172" s="23"/>
      <c r="F172" s="23"/>
      <c r="G172" s="23"/>
      <c r="H172" s="23"/>
    </row>
    <row r="173" spans="1:8" ht="14.4">
      <c r="A173" s="23"/>
      <c r="B173" s="23"/>
      <c r="C173" s="23"/>
      <c r="D173" s="23"/>
      <c r="E173" s="23"/>
      <c r="F173" s="23"/>
      <c r="G173" s="23"/>
      <c r="H173" s="23"/>
    </row>
    <row r="174" spans="1:8" ht="14.4">
      <c r="A174" s="23"/>
      <c r="B174" s="23"/>
      <c r="C174" s="23"/>
      <c r="D174" s="23"/>
      <c r="E174" s="23"/>
      <c r="F174" s="23"/>
      <c r="G174" s="23"/>
      <c r="H174" s="23"/>
    </row>
    <row r="175" spans="1:8" ht="14.4">
      <c r="A175" s="23"/>
      <c r="B175" s="23"/>
      <c r="C175" s="23"/>
      <c r="D175" s="23"/>
      <c r="E175" s="23"/>
      <c r="F175" s="23"/>
      <c r="G175" s="23"/>
      <c r="H175" s="23"/>
    </row>
    <row r="176" spans="1:8" ht="14.4">
      <c r="A176" s="23"/>
      <c r="B176" s="23"/>
      <c r="C176" s="23"/>
      <c r="D176" s="23"/>
      <c r="E176" s="23"/>
      <c r="F176" s="23"/>
      <c r="G176" s="23"/>
      <c r="H176" s="23"/>
    </row>
    <row r="177" spans="1:8" ht="14.4">
      <c r="A177" s="23"/>
      <c r="B177" s="23"/>
      <c r="C177" s="23"/>
      <c r="D177" s="23"/>
      <c r="E177" s="23"/>
      <c r="F177" s="23"/>
      <c r="G177" s="23"/>
      <c r="H177" s="23"/>
    </row>
    <row r="178" spans="1:8" ht="14.4">
      <c r="A178" s="23"/>
      <c r="B178" s="23"/>
      <c r="C178" s="23"/>
      <c r="D178" s="23"/>
      <c r="E178" s="23"/>
      <c r="F178" s="23"/>
      <c r="G178" s="23"/>
      <c r="H178" s="23"/>
    </row>
    <row r="179" spans="1:8" ht="14.4">
      <c r="A179" s="23"/>
      <c r="B179" s="23"/>
      <c r="C179" s="23"/>
      <c r="D179" s="23"/>
      <c r="E179" s="23"/>
      <c r="F179" s="23"/>
      <c r="G179" s="23"/>
      <c r="H179" s="23"/>
    </row>
    <row r="180" spans="1:8" ht="14.4">
      <c r="A180" s="23"/>
      <c r="B180" s="23"/>
      <c r="C180" s="23"/>
      <c r="D180" s="23"/>
      <c r="E180" s="23"/>
      <c r="F180" s="23"/>
      <c r="G180" s="23"/>
      <c r="H180" s="23"/>
    </row>
    <row r="181" spans="1:8" ht="14.4">
      <c r="A181" s="23"/>
      <c r="B181" s="23"/>
      <c r="C181" s="23"/>
      <c r="D181" s="23"/>
      <c r="E181" s="23"/>
      <c r="F181" s="23"/>
      <c r="G181" s="23"/>
      <c r="H181" s="23"/>
    </row>
    <row r="182" spans="1:8" ht="14.4">
      <c r="A182" s="23"/>
      <c r="B182" s="23"/>
      <c r="C182" s="23"/>
      <c r="D182" s="23"/>
      <c r="E182" s="23"/>
      <c r="F182" s="23"/>
      <c r="G182" s="23"/>
      <c r="H182" s="23"/>
    </row>
    <row r="183" spans="1:8" ht="14.4">
      <c r="A183" s="23"/>
      <c r="B183" s="23"/>
      <c r="C183" s="23"/>
      <c r="D183" s="23"/>
      <c r="E183" s="23"/>
      <c r="F183" s="23"/>
      <c r="G183" s="23"/>
      <c r="H183" s="23"/>
    </row>
    <row r="184" spans="1:8" ht="14.4">
      <c r="A184" s="23"/>
      <c r="B184" s="23"/>
      <c r="C184" s="23"/>
      <c r="D184" s="23"/>
      <c r="E184" s="23"/>
      <c r="F184" s="23"/>
      <c r="G184" s="23"/>
      <c r="H184" s="23"/>
    </row>
    <row r="185" spans="1:8" ht="14.4">
      <c r="A185" s="23"/>
      <c r="B185" s="23"/>
      <c r="C185" s="23"/>
      <c r="D185" s="23"/>
      <c r="E185" s="23"/>
      <c r="F185" s="23"/>
      <c r="G185" s="23"/>
      <c r="H185" s="23"/>
    </row>
    <row r="186" spans="1:8" ht="14.4">
      <c r="A186" s="23"/>
      <c r="B186" s="23"/>
      <c r="C186" s="23"/>
      <c r="D186" s="23"/>
      <c r="E186" s="23"/>
      <c r="F186" s="23"/>
      <c r="G186" s="23"/>
      <c r="H186" s="23"/>
    </row>
    <row r="187" spans="1:8" ht="14.4">
      <c r="A187" s="23"/>
      <c r="B187" s="23"/>
      <c r="C187" s="23"/>
      <c r="D187" s="23"/>
      <c r="E187" s="23"/>
      <c r="F187" s="23"/>
      <c r="G187" s="23"/>
      <c r="H187" s="23"/>
    </row>
    <row r="188" spans="1:8" ht="14.4">
      <c r="A188" s="23"/>
      <c r="B188" s="23"/>
      <c r="C188" s="23"/>
      <c r="D188" s="23"/>
      <c r="E188" s="23"/>
      <c r="F188" s="23"/>
      <c r="G188" s="23"/>
      <c r="H188" s="23"/>
    </row>
    <row r="189" spans="1:8" ht="14.4">
      <c r="A189" s="23"/>
      <c r="B189" s="23"/>
      <c r="C189" s="23"/>
      <c r="D189" s="23"/>
      <c r="E189" s="23"/>
      <c r="F189" s="23"/>
      <c r="G189" s="23"/>
      <c r="H189" s="23"/>
    </row>
    <row r="190" spans="1:8" ht="14.4">
      <c r="A190" s="23"/>
      <c r="B190" s="23"/>
      <c r="C190" s="23"/>
      <c r="D190" s="23"/>
      <c r="E190" s="23"/>
      <c r="F190" s="23"/>
      <c r="G190" s="23"/>
      <c r="H190" s="23"/>
    </row>
    <row r="191" spans="1:8" ht="14.4">
      <c r="A191" s="23"/>
      <c r="B191" s="23"/>
      <c r="C191" s="23"/>
      <c r="D191" s="23"/>
      <c r="E191" s="23"/>
      <c r="F191" s="23"/>
      <c r="G191" s="23"/>
      <c r="H191" s="23"/>
    </row>
    <row r="192" spans="1:8" ht="14.4">
      <c r="A192" s="23"/>
      <c r="B192" s="23"/>
      <c r="C192" s="23"/>
      <c r="D192" s="23"/>
      <c r="E192" s="23"/>
      <c r="F192" s="23"/>
      <c r="G192" s="23"/>
      <c r="H192" s="23"/>
    </row>
    <row r="193" spans="1:8" ht="14.4">
      <c r="A193" s="23"/>
      <c r="B193" s="23"/>
      <c r="C193" s="23"/>
      <c r="D193" s="23"/>
      <c r="E193" s="23"/>
      <c r="F193" s="23"/>
      <c r="G193" s="23"/>
      <c r="H193" s="23"/>
    </row>
    <row r="194" spans="1:8" ht="14.4">
      <c r="A194" s="23"/>
      <c r="B194" s="23"/>
      <c r="C194" s="23"/>
      <c r="D194" s="23"/>
      <c r="E194" s="23"/>
      <c r="F194" s="23"/>
      <c r="G194" s="23"/>
      <c r="H194" s="23"/>
    </row>
    <row r="195" spans="1:8" ht="14.4">
      <c r="A195" s="23"/>
      <c r="B195" s="23"/>
      <c r="C195" s="23"/>
      <c r="D195" s="23"/>
      <c r="E195" s="23"/>
      <c r="F195" s="23"/>
      <c r="G195" s="23"/>
      <c r="H195" s="23"/>
    </row>
    <row r="196" spans="1:8" ht="14.4">
      <c r="A196" s="23"/>
      <c r="B196" s="23"/>
      <c r="C196" s="23"/>
      <c r="D196" s="23"/>
      <c r="E196" s="23"/>
      <c r="F196" s="23"/>
      <c r="G196" s="23"/>
      <c r="H196" s="23"/>
    </row>
    <row r="197" spans="1:8" ht="14.4">
      <c r="A197" s="23"/>
      <c r="B197" s="23"/>
      <c r="C197" s="23"/>
      <c r="D197" s="23"/>
      <c r="E197" s="23"/>
      <c r="F197" s="23"/>
      <c r="G197" s="23"/>
      <c r="H197" s="23"/>
    </row>
    <row r="198" spans="1:8" ht="14.4">
      <c r="A198" s="23"/>
      <c r="B198" s="23"/>
      <c r="C198" s="23"/>
      <c r="D198" s="23"/>
      <c r="E198" s="23"/>
      <c r="F198" s="23"/>
      <c r="G198" s="23"/>
      <c r="H198" s="23"/>
    </row>
    <row r="199" spans="1:8" ht="14.4">
      <c r="A199" s="23"/>
      <c r="B199" s="23"/>
      <c r="C199" s="23"/>
      <c r="D199" s="23"/>
      <c r="E199" s="23"/>
      <c r="F199" s="23"/>
      <c r="G199" s="23"/>
      <c r="H199" s="23"/>
    </row>
    <row r="200" spans="1:8" ht="14.4">
      <c r="A200" s="23"/>
      <c r="B200" s="23"/>
      <c r="C200" s="23"/>
      <c r="D200" s="23"/>
      <c r="E200" s="23"/>
      <c r="F200" s="23"/>
      <c r="G200" s="23"/>
      <c r="H200" s="23"/>
    </row>
    <row r="201" spans="1:8" ht="14.4">
      <c r="A201" s="23"/>
      <c r="B201" s="23"/>
      <c r="C201" s="23"/>
      <c r="D201" s="23"/>
      <c r="E201" s="23"/>
      <c r="F201" s="23"/>
      <c r="G201" s="23"/>
      <c r="H201" s="23"/>
    </row>
    <row r="202" spans="1:8" ht="14.4">
      <c r="A202" s="23"/>
      <c r="B202" s="23"/>
      <c r="C202" s="23"/>
      <c r="D202" s="23"/>
      <c r="E202" s="23"/>
      <c r="F202" s="23"/>
      <c r="G202" s="23"/>
      <c r="H202" s="23"/>
    </row>
    <row r="203" spans="1:8" ht="14.4">
      <c r="A203" s="23"/>
      <c r="B203" s="23"/>
      <c r="C203" s="23"/>
      <c r="D203" s="23"/>
      <c r="E203" s="23"/>
      <c r="F203" s="23"/>
      <c r="G203" s="23"/>
      <c r="H203" s="23"/>
    </row>
    <row r="204" spans="1:8" ht="14.4">
      <c r="A204" s="23"/>
      <c r="B204" s="23"/>
      <c r="C204" s="23"/>
      <c r="D204" s="23"/>
      <c r="E204" s="23"/>
      <c r="F204" s="23"/>
      <c r="G204" s="23"/>
      <c r="H204" s="23"/>
    </row>
    <row r="205" spans="1:8" ht="14.4">
      <c r="A205" s="23"/>
      <c r="B205" s="23"/>
      <c r="C205" s="23"/>
      <c r="D205" s="23"/>
      <c r="E205" s="23"/>
      <c r="F205" s="23"/>
      <c r="G205" s="23"/>
      <c r="H205" s="23"/>
    </row>
    <row r="206" spans="1:8" ht="14.4">
      <c r="A206" s="23"/>
      <c r="B206" s="23"/>
      <c r="C206" s="23"/>
      <c r="D206" s="23"/>
      <c r="E206" s="23"/>
      <c r="F206" s="23"/>
      <c r="G206" s="23"/>
      <c r="H206" s="23"/>
    </row>
    <row r="207" spans="1:8" ht="14.4">
      <c r="A207" s="23"/>
      <c r="B207" s="23"/>
      <c r="C207" s="23"/>
      <c r="D207" s="23"/>
      <c r="E207" s="23"/>
      <c r="F207" s="23"/>
      <c r="G207" s="23"/>
      <c r="H207" s="23"/>
    </row>
    <row r="208" spans="1:8" ht="14.4">
      <c r="A208" s="23"/>
      <c r="B208" s="23"/>
      <c r="C208" s="23"/>
      <c r="D208" s="23"/>
      <c r="E208" s="23"/>
      <c r="F208" s="23"/>
      <c r="G208" s="23"/>
      <c r="H208" s="23"/>
    </row>
    <row r="209" spans="1:8" ht="14.4">
      <c r="A209" s="23"/>
      <c r="B209" s="23"/>
      <c r="C209" s="23"/>
      <c r="D209" s="23"/>
      <c r="E209" s="23"/>
      <c r="F209" s="23"/>
      <c r="G209" s="23"/>
      <c r="H209" s="23"/>
    </row>
    <row r="210" spans="1:8" ht="14.4">
      <c r="A210" s="23"/>
      <c r="B210" s="23"/>
      <c r="C210" s="23"/>
      <c r="D210" s="23"/>
      <c r="E210" s="23"/>
      <c r="F210" s="23"/>
      <c r="G210" s="23"/>
      <c r="H210" s="23"/>
    </row>
    <row r="211" spans="1:8" ht="14.4">
      <c r="A211" s="23"/>
      <c r="B211" s="23"/>
      <c r="C211" s="23"/>
      <c r="D211" s="23"/>
      <c r="E211" s="23"/>
      <c r="F211" s="23"/>
      <c r="G211" s="23"/>
      <c r="H211" s="23"/>
    </row>
    <row r="212" spans="1:8" ht="14.4">
      <c r="A212" s="23"/>
      <c r="B212" s="23"/>
      <c r="C212" s="23"/>
      <c r="D212" s="23"/>
      <c r="E212" s="23"/>
      <c r="F212" s="23"/>
      <c r="G212" s="23"/>
      <c r="H212" s="23"/>
    </row>
    <row r="213" spans="1:8" ht="14.4">
      <c r="A213" s="23"/>
      <c r="B213" s="23"/>
      <c r="C213" s="23"/>
      <c r="D213" s="23"/>
      <c r="E213" s="23"/>
      <c r="F213" s="23"/>
      <c r="G213" s="23"/>
      <c r="H213" s="23"/>
    </row>
    <row r="214" spans="1:8" ht="14.4">
      <c r="A214" s="23"/>
      <c r="B214" s="23"/>
      <c r="C214" s="23"/>
      <c r="D214" s="23"/>
      <c r="E214" s="23"/>
      <c r="F214" s="23"/>
      <c r="G214" s="23"/>
      <c r="H214" s="23"/>
    </row>
    <row r="215" spans="1:8" ht="14.4">
      <c r="A215" s="23"/>
      <c r="B215" s="23"/>
      <c r="C215" s="23"/>
      <c r="D215" s="23"/>
      <c r="E215" s="23"/>
      <c r="F215" s="23"/>
      <c r="G215" s="23"/>
      <c r="H215" s="23"/>
    </row>
    <row r="216" spans="1:8" ht="14.4">
      <c r="A216" s="23"/>
      <c r="B216" s="23"/>
      <c r="C216" s="23"/>
      <c r="D216" s="23"/>
      <c r="E216" s="23"/>
      <c r="F216" s="23"/>
      <c r="G216" s="23"/>
      <c r="H216" s="23"/>
    </row>
    <row r="217" spans="1:8" ht="14.4">
      <c r="A217" s="23"/>
      <c r="B217" s="23"/>
      <c r="C217" s="23"/>
      <c r="D217" s="23"/>
      <c r="E217" s="23"/>
      <c r="F217" s="23"/>
      <c r="G217" s="23"/>
      <c r="H217" s="23"/>
    </row>
    <row r="218" spans="1:8" ht="14.4">
      <c r="A218" s="23"/>
      <c r="B218" s="23"/>
      <c r="C218" s="23"/>
      <c r="D218" s="23"/>
      <c r="E218" s="23"/>
      <c r="F218" s="23"/>
      <c r="G218" s="23"/>
      <c r="H218" s="23"/>
    </row>
    <row r="219" spans="1:8" ht="14.4">
      <c r="A219" s="23"/>
      <c r="B219" s="23"/>
      <c r="C219" s="23"/>
      <c r="D219" s="23"/>
      <c r="E219" s="23"/>
      <c r="F219" s="23"/>
      <c r="G219" s="23"/>
      <c r="H219" s="23"/>
    </row>
    <row r="220" spans="1:8" ht="14.4">
      <c r="A220" s="23"/>
      <c r="B220" s="23"/>
      <c r="C220" s="23"/>
      <c r="D220" s="23"/>
      <c r="E220" s="23"/>
      <c r="F220" s="23"/>
      <c r="G220" s="23"/>
      <c r="H220" s="23"/>
    </row>
    <row r="221" spans="1:8" ht="14.4">
      <c r="A221" s="23"/>
      <c r="B221" s="23"/>
      <c r="C221" s="23"/>
      <c r="D221" s="23"/>
      <c r="E221" s="23"/>
      <c r="F221" s="23"/>
      <c r="G221" s="23"/>
      <c r="H221" s="23"/>
    </row>
    <row r="222" spans="1:8" ht="14.4">
      <c r="A222" s="23"/>
      <c r="B222" s="23"/>
      <c r="C222" s="23"/>
      <c r="D222" s="23"/>
      <c r="E222" s="23"/>
      <c r="F222" s="23"/>
      <c r="G222" s="23"/>
      <c r="H222" s="23"/>
    </row>
    <row r="223" spans="1:8" ht="14.4">
      <c r="A223" s="23"/>
      <c r="B223" s="23"/>
      <c r="C223" s="23"/>
      <c r="D223" s="23"/>
      <c r="E223" s="23"/>
      <c r="F223" s="23"/>
      <c r="G223" s="23"/>
      <c r="H223" s="23"/>
    </row>
    <row r="224" spans="1:8" ht="14.4">
      <c r="A224" s="23"/>
      <c r="B224" s="23"/>
      <c r="C224" s="23"/>
      <c r="D224" s="23"/>
      <c r="E224" s="23"/>
      <c r="F224" s="23"/>
      <c r="G224" s="23"/>
      <c r="H224" s="23"/>
    </row>
    <row r="225" spans="1:8" ht="14.4">
      <c r="A225" s="23"/>
      <c r="B225" s="23"/>
      <c r="C225" s="23"/>
      <c r="D225" s="23"/>
      <c r="E225" s="23"/>
      <c r="F225" s="23"/>
      <c r="G225" s="23"/>
      <c r="H225" s="23"/>
    </row>
    <row r="226" spans="1:8" ht="14.4">
      <c r="A226" s="23"/>
      <c r="B226" s="23"/>
      <c r="C226" s="23"/>
      <c r="D226" s="23"/>
      <c r="E226" s="23"/>
      <c r="F226" s="23"/>
      <c r="G226" s="23"/>
      <c r="H226" s="23"/>
    </row>
    <row r="227" spans="1:8" ht="14.4">
      <c r="A227" s="23"/>
      <c r="B227" s="23"/>
      <c r="C227" s="23"/>
      <c r="D227" s="23"/>
      <c r="E227" s="23"/>
      <c r="F227" s="23"/>
      <c r="G227" s="23"/>
      <c r="H227" s="23"/>
    </row>
    <row r="228" spans="1:8" ht="14.4">
      <c r="A228" s="23"/>
      <c r="B228" s="23"/>
      <c r="C228" s="23"/>
      <c r="D228" s="23"/>
      <c r="E228" s="23"/>
      <c r="F228" s="23"/>
      <c r="G228" s="23"/>
      <c r="H228" s="23"/>
    </row>
    <row r="229" spans="1:8" ht="14.4">
      <c r="A229" s="23"/>
      <c r="B229" s="23"/>
      <c r="C229" s="23"/>
      <c r="D229" s="23"/>
      <c r="E229" s="23"/>
      <c r="F229" s="23"/>
      <c r="G229" s="23"/>
      <c r="H229" s="23"/>
    </row>
    <row r="230" spans="1:8" ht="14.4">
      <c r="A230" s="23"/>
      <c r="B230" s="23"/>
      <c r="C230" s="23"/>
      <c r="D230" s="23"/>
      <c r="E230" s="23"/>
      <c r="F230" s="23"/>
      <c r="G230" s="23"/>
      <c r="H230" s="23"/>
    </row>
    <row r="231" spans="1:8" ht="14.4">
      <c r="A231" s="23"/>
      <c r="B231" s="23"/>
      <c r="C231" s="23"/>
      <c r="D231" s="23"/>
      <c r="E231" s="23"/>
      <c r="F231" s="23"/>
      <c r="G231" s="23"/>
      <c r="H231" s="23"/>
    </row>
    <row r="232" spans="1:8" ht="14.4">
      <c r="A232" s="23"/>
      <c r="B232" s="23"/>
      <c r="C232" s="23"/>
      <c r="D232" s="23"/>
      <c r="E232" s="23"/>
      <c r="F232" s="23"/>
      <c r="G232" s="23"/>
      <c r="H232" s="23"/>
    </row>
    <row r="233" spans="1:8" ht="14.4">
      <c r="A233" s="23"/>
      <c r="B233" s="23"/>
      <c r="C233" s="23"/>
      <c r="D233" s="23"/>
      <c r="E233" s="23"/>
      <c r="F233" s="23"/>
      <c r="G233" s="23"/>
      <c r="H233" s="23"/>
    </row>
    <row r="234" spans="1:8" ht="14.4">
      <c r="A234" s="23"/>
      <c r="B234" s="23"/>
      <c r="C234" s="23"/>
      <c r="D234" s="23"/>
      <c r="E234" s="23"/>
      <c r="F234" s="23"/>
      <c r="G234" s="23"/>
      <c r="H234" s="23"/>
    </row>
    <row r="235" spans="1:8" ht="14.4">
      <c r="A235" s="23"/>
      <c r="B235" s="23"/>
      <c r="C235" s="23"/>
      <c r="D235" s="23"/>
      <c r="E235" s="23"/>
      <c r="F235" s="23"/>
      <c r="G235" s="23"/>
      <c r="H235" s="23"/>
    </row>
    <row r="236" spans="1:8" ht="14.4">
      <c r="A236" s="23"/>
      <c r="B236" s="23"/>
      <c r="C236" s="23"/>
      <c r="D236" s="23"/>
      <c r="E236" s="23"/>
      <c r="F236" s="23"/>
      <c r="G236" s="23"/>
      <c r="H236" s="23"/>
    </row>
    <row r="237" spans="1:8" ht="14.4">
      <c r="A237" s="23"/>
      <c r="B237" s="23"/>
      <c r="C237" s="23"/>
      <c r="D237" s="23"/>
      <c r="E237" s="23"/>
      <c r="F237" s="23"/>
      <c r="G237" s="23"/>
      <c r="H237" s="23"/>
    </row>
    <row r="238" spans="1:8" ht="14.4">
      <c r="A238" s="23"/>
      <c r="B238" s="23"/>
      <c r="C238" s="23"/>
      <c r="D238" s="23"/>
      <c r="E238" s="23"/>
      <c r="F238" s="23"/>
      <c r="G238" s="23"/>
      <c r="H238" s="23"/>
    </row>
    <row r="239" spans="1:8" ht="14.4">
      <c r="A239" s="23"/>
      <c r="B239" s="23"/>
      <c r="C239" s="23"/>
      <c r="D239" s="23"/>
      <c r="E239" s="23"/>
      <c r="F239" s="23"/>
      <c r="G239" s="23"/>
      <c r="H239" s="23"/>
    </row>
    <row r="240" spans="1:8" ht="14.4">
      <c r="A240" s="23"/>
      <c r="B240" s="23"/>
      <c r="C240" s="23"/>
      <c r="D240" s="23"/>
      <c r="E240" s="23"/>
      <c r="F240" s="23"/>
      <c r="G240" s="23"/>
      <c r="H240" s="23"/>
    </row>
    <row r="241" spans="1:8" ht="14.4">
      <c r="A241" s="23"/>
      <c r="B241" s="23"/>
      <c r="C241" s="23"/>
      <c r="D241" s="23"/>
      <c r="E241" s="23"/>
      <c r="F241" s="23"/>
      <c r="G241" s="23"/>
      <c r="H241" s="23"/>
    </row>
    <row r="242" spans="1:8" ht="14.4">
      <c r="A242" s="23"/>
      <c r="B242" s="23"/>
      <c r="C242" s="23"/>
      <c r="D242" s="23"/>
      <c r="E242" s="23"/>
      <c r="F242" s="23"/>
      <c r="G242" s="23"/>
      <c r="H242" s="23"/>
    </row>
    <row r="243" spans="1:8" ht="14.4">
      <c r="A243" s="23"/>
      <c r="B243" s="23"/>
      <c r="C243" s="23"/>
      <c r="D243" s="23"/>
      <c r="E243" s="23"/>
      <c r="F243" s="23"/>
      <c r="G243" s="23"/>
      <c r="H243" s="23"/>
    </row>
    <row r="244" spans="1:8" ht="14.4">
      <c r="A244" s="23"/>
      <c r="B244" s="23"/>
      <c r="C244" s="23"/>
      <c r="D244" s="23"/>
      <c r="E244" s="23"/>
      <c r="F244" s="23"/>
      <c r="G244" s="23"/>
      <c r="H244" s="23"/>
    </row>
    <row r="245" spans="1:8" ht="14.4">
      <c r="A245" s="23"/>
      <c r="B245" s="23"/>
      <c r="C245" s="23"/>
      <c r="D245" s="23"/>
      <c r="E245" s="23"/>
      <c r="F245" s="23"/>
      <c r="G245" s="23"/>
      <c r="H245" s="23"/>
    </row>
    <row r="246" spans="1:8" ht="14.4">
      <c r="A246" s="23"/>
      <c r="B246" s="23"/>
      <c r="C246" s="23"/>
      <c r="D246" s="23"/>
      <c r="E246" s="23"/>
      <c r="F246" s="23"/>
      <c r="G246" s="23"/>
      <c r="H246" s="23"/>
    </row>
    <row r="247" spans="1:8" ht="14.4">
      <c r="A247" s="23"/>
      <c r="B247" s="23"/>
      <c r="C247" s="23"/>
      <c r="D247" s="23"/>
      <c r="E247" s="23"/>
      <c r="F247" s="23"/>
      <c r="G247" s="23"/>
      <c r="H247" s="23"/>
    </row>
    <row r="248" spans="1:8" ht="14.4">
      <c r="A248" s="23"/>
      <c r="B248" s="23"/>
      <c r="C248" s="23"/>
      <c r="D248" s="23"/>
      <c r="E248" s="23"/>
      <c r="F248" s="23"/>
      <c r="G248" s="23"/>
      <c r="H248" s="23"/>
    </row>
    <row r="249" spans="1:8" ht="14.4">
      <c r="A249" s="23"/>
      <c r="B249" s="23"/>
      <c r="C249" s="23"/>
      <c r="D249" s="23"/>
      <c r="E249" s="23"/>
      <c r="F249" s="23"/>
      <c r="G249" s="23"/>
      <c r="H249" s="23"/>
    </row>
    <row r="250" spans="1:8" ht="14.4">
      <c r="A250" s="23"/>
      <c r="B250" s="23"/>
      <c r="C250" s="23"/>
      <c r="D250" s="23"/>
      <c r="E250" s="23"/>
      <c r="F250" s="23"/>
      <c r="G250" s="23"/>
      <c r="H250" s="23"/>
    </row>
    <row r="251" spans="1:8" ht="14.4">
      <c r="A251" s="23"/>
      <c r="B251" s="23"/>
      <c r="C251" s="23"/>
      <c r="D251" s="23"/>
      <c r="E251" s="23"/>
      <c r="F251" s="23"/>
      <c r="G251" s="23"/>
      <c r="H251" s="23"/>
    </row>
    <row r="252" spans="1:8" ht="14.4">
      <c r="A252" s="23"/>
      <c r="B252" s="23"/>
      <c r="C252" s="23"/>
      <c r="D252" s="23"/>
      <c r="E252" s="23"/>
      <c r="F252" s="23"/>
      <c r="G252" s="23"/>
      <c r="H252" s="23"/>
    </row>
    <row r="253" spans="1:8" ht="14.4">
      <c r="A253" s="23"/>
      <c r="B253" s="23"/>
      <c r="C253" s="23"/>
      <c r="D253" s="23"/>
      <c r="E253" s="23"/>
      <c r="F253" s="23"/>
      <c r="G253" s="23"/>
      <c r="H253" s="23"/>
    </row>
    <row r="254" spans="1:8" ht="14.4">
      <c r="A254" s="23"/>
      <c r="B254" s="23"/>
      <c r="C254" s="23"/>
      <c r="D254" s="23"/>
      <c r="E254" s="23"/>
      <c r="F254" s="23"/>
      <c r="G254" s="23"/>
      <c r="H254" s="23"/>
    </row>
    <row r="255" spans="1:8" ht="14.4">
      <c r="A255" s="23"/>
      <c r="B255" s="23"/>
      <c r="C255" s="23"/>
      <c r="D255" s="23"/>
      <c r="E255" s="23"/>
      <c r="F255" s="23"/>
      <c r="G255" s="23"/>
      <c r="H255" s="23"/>
    </row>
    <row r="256" spans="1:8" ht="14.4">
      <c r="A256" s="23"/>
      <c r="B256" s="23"/>
      <c r="C256" s="23"/>
      <c r="D256" s="23"/>
      <c r="E256" s="23"/>
      <c r="F256" s="23"/>
      <c r="G256" s="23"/>
      <c r="H256" s="23"/>
    </row>
    <row r="257" spans="1:8" ht="14.4">
      <c r="A257" s="23"/>
      <c r="B257" s="23"/>
      <c r="C257" s="23"/>
      <c r="D257" s="23"/>
      <c r="E257" s="23"/>
      <c r="F257" s="23"/>
      <c r="G257" s="23"/>
      <c r="H257" s="23"/>
    </row>
    <row r="258" spans="1:8" ht="14.4">
      <c r="A258" s="23"/>
      <c r="B258" s="23"/>
      <c r="C258" s="23"/>
      <c r="D258" s="23"/>
      <c r="E258" s="23"/>
      <c r="F258" s="23"/>
      <c r="G258" s="23"/>
      <c r="H258" s="23"/>
    </row>
    <row r="259" spans="1:8" ht="14.4">
      <c r="A259" s="23"/>
      <c r="B259" s="23"/>
      <c r="C259" s="23"/>
      <c r="D259" s="23"/>
      <c r="E259" s="23"/>
      <c r="F259" s="23"/>
      <c r="G259" s="23"/>
      <c r="H259" s="23"/>
    </row>
    <row r="260" spans="1:8" ht="14.4">
      <c r="A260" s="23"/>
      <c r="B260" s="23"/>
      <c r="C260" s="23"/>
      <c r="D260" s="23"/>
      <c r="E260" s="23"/>
      <c r="F260" s="23"/>
      <c r="G260" s="23"/>
      <c r="H260" s="23"/>
    </row>
    <row r="261" spans="1:8" ht="14.4">
      <c r="A261" s="23"/>
      <c r="B261" s="23"/>
      <c r="C261" s="23"/>
      <c r="D261" s="23"/>
      <c r="E261" s="23"/>
      <c r="F261" s="23"/>
      <c r="G261" s="23"/>
      <c r="H261" s="23"/>
    </row>
    <row r="262" spans="1:8" ht="14.4">
      <c r="A262" s="23"/>
      <c r="B262" s="23"/>
      <c r="C262" s="23"/>
      <c r="D262" s="23"/>
      <c r="E262" s="23"/>
      <c r="F262" s="23"/>
      <c r="G262" s="23"/>
      <c r="H262" s="23"/>
    </row>
    <row r="263" spans="1:8" ht="14.4">
      <c r="A263" s="23"/>
      <c r="B263" s="23"/>
      <c r="C263" s="23"/>
      <c r="D263" s="23"/>
      <c r="E263" s="23"/>
      <c r="F263" s="23"/>
      <c r="G263" s="23"/>
      <c r="H263" s="23"/>
    </row>
    <row r="264" spans="1:8" ht="14.4">
      <c r="A264" s="23"/>
      <c r="B264" s="23"/>
      <c r="C264" s="23"/>
      <c r="D264" s="23"/>
      <c r="E264" s="23"/>
      <c r="F264" s="23"/>
      <c r="G264" s="23"/>
      <c r="H264" s="23"/>
    </row>
    <row r="265" spans="1:8" ht="14.4">
      <c r="A265" s="23"/>
      <c r="B265" s="23"/>
      <c r="C265" s="23"/>
      <c r="D265" s="23"/>
      <c r="E265" s="23"/>
      <c r="F265" s="23"/>
      <c r="G265" s="23"/>
      <c r="H265" s="23"/>
    </row>
    <row r="266" spans="1:8" ht="14.4">
      <c r="A266" s="23"/>
      <c r="B266" s="23"/>
      <c r="C266" s="23"/>
      <c r="D266" s="23"/>
      <c r="E266" s="23"/>
      <c r="F266" s="23"/>
      <c r="G266" s="23"/>
      <c r="H266" s="23"/>
    </row>
    <row r="267" spans="1:8" ht="14.4">
      <c r="A267" s="23"/>
      <c r="B267" s="23"/>
      <c r="C267" s="23"/>
      <c r="D267" s="23"/>
      <c r="E267" s="23"/>
      <c r="F267" s="23"/>
      <c r="G267" s="23"/>
      <c r="H267" s="23"/>
    </row>
    <row r="268" spans="1:8" ht="14.4">
      <c r="A268" s="23"/>
      <c r="B268" s="23"/>
      <c r="C268" s="23"/>
      <c r="D268" s="23"/>
      <c r="E268" s="23"/>
      <c r="F268" s="23"/>
      <c r="G268" s="23"/>
      <c r="H268" s="23"/>
    </row>
    <row r="269" spans="1:8" ht="14.4">
      <c r="A269" s="23"/>
      <c r="B269" s="23"/>
      <c r="C269" s="23"/>
      <c r="D269" s="23"/>
      <c r="E269" s="23"/>
      <c r="F269" s="23"/>
      <c r="G269" s="23"/>
      <c r="H269" s="23"/>
    </row>
    <row r="270" spans="1:8" ht="14.4">
      <c r="A270" s="23"/>
      <c r="B270" s="23"/>
      <c r="C270" s="23"/>
      <c r="D270" s="23"/>
      <c r="E270" s="23"/>
      <c r="F270" s="23"/>
      <c r="G270" s="23"/>
      <c r="H270" s="23"/>
    </row>
    <row r="271" spans="1:8" ht="14.4">
      <c r="A271" s="23"/>
      <c r="B271" s="23"/>
      <c r="C271" s="23"/>
      <c r="D271" s="23"/>
      <c r="E271" s="23"/>
      <c r="F271" s="23"/>
      <c r="G271" s="23"/>
      <c r="H271" s="23"/>
    </row>
    <row r="272" spans="1:8" ht="14.4">
      <c r="A272" s="23"/>
      <c r="B272" s="23"/>
      <c r="C272" s="23"/>
      <c r="D272" s="23"/>
      <c r="E272" s="23"/>
      <c r="F272" s="23"/>
      <c r="G272" s="23"/>
      <c r="H272" s="23"/>
    </row>
    <row r="273" spans="1:8" ht="14.4">
      <c r="A273" s="23"/>
      <c r="B273" s="23"/>
      <c r="C273" s="23"/>
      <c r="D273" s="23"/>
      <c r="E273" s="23"/>
      <c r="F273" s="23"/>
      <c r="G273" s="23"/>
      <c r="H273" s="23"/>
    </row>
    <row r="274" spans="1:8" ht="14.4">
      <c r="A274" s="23"/>
      <c r="B274" s="23"/>
      <c r="C274" s="23"/>
      <c r="D274" s="23"/>
      <c r="E274" s="23"/>
      <c r="F274" s="23"/>
      <c r="G274" s="23"/>
      <c r="H274" s="23"/>
    </row>
    <row r="275" spans="1:8" ht="14.4">
      <c r="A275" s="23"/>
      <c r="B275" s="23"/>
      <c r="C275" s="23"/>
      <c r="D275" s="23"/>
      <c r="E275" s="23"/>
      <c r="F275" s="23"/>
      <c r="G275" s="23"/>
      <c r="H275" s="23"/>
    </row>
    <row r="276" spans="1:8" ht="14.4">
      <c r="A276" s="23"/>
      <c r="B276" s="23"/>
      <c r="C276" s="23"/>
      <c r="D276" s="23"/>
      <c r="E276" s="23"/>
      <c r="F276" s="23"/>
      <c r="G276" s="23"/>
      <c r="H276" s="23"/>
    </row>
    <row r="277" spans="1:8" ht="14.4">
      <c r="A277" s="23"/>
      <c r="B277" s="23"/>
      <c r="C277" s="23"/>
      <c r="D277" s="23"/>
      <c r="E277" s="23"/>
      <c r="F277" s="23"/>
      <c r="G277" s="23"/>
      <c r="H277" s="23"/>
    </row>
    <row r="278" spans="1:8" ht="14.4">
      <c r="A278" s="23"/>
      <c r="B278" s="23"/>
      <c r="C278" s="23"/>
      <c r="D278" s="23"/>
      <c r="E278" s="23"/>
      <c r="F278" s="23"/>
      <c r="G278" s="23"/>
      <c r="H278" s="23"/>
    </row>
    <row r="279" spans="1:8" ht="14.4">
      <c r="A279" s="23"/>
      <c r="B279" s="23"/>
      <c r="C279" s="23"/>
      <c r="D279" s="23"/>
      <c r="E279" s="23"/>
      <c r="F279" s="23"/>
      <c r="G279" s="23"/>
      <c r="H279" s="23"/>
    </row>
    <row r="280" spans="1:8" ht="14.4">
      <c r="A280" s="23"/>
      <c r="B280" s="23"/>
      <c r="C280" s="23"/>
      <c r="D280" s="23"/>
      <c r="E280" s="23"/>
      <c r="F280" s="23"/>
      <c r="G280" s="23"/>
      <c r="H280" s="23"/>
    </row>
    <row r="281" spans="1:8" ht="14.4">
      <c r="A281" s="23"/>
      <c r="B281" s="23"/>
      <c r="C281" s="23"/>
      <c r="D281" s="23"/>
      <c r="E281" s="23"/>
      <c r="F281" s="23"/>
      <c r="G281" s="23"/>
      <c r="H281" s="23"/>
    </row>
    <row r="282" spans="1:8" ht="14.4">
      <c r="A282" s="23"/>
      <c r="B282" s="23"/>
      <c r="C282" s="23"/>
      <c r="D282" s="23"/>
      <c r="E282" s="23"/>
      <c r="F282" s="23"/>
      <c r="G282" s="23"/>
      <c r="H282" s="23"/>
    </row>
    <row r="283" spans="1:8" ht="14.4">
      <c r="A283" s="23"/>
      <c r="B283" s="23"/>
      <c r="C283" s="23"/>
      <c r="D283" s="23"/>
      <c r="E283" s="23"/>
      <c r="F283" s="23"/>
      <c r="G283" s="23"/>
      <c r="H283" s="23"/>
    </row>
    <row r="284" spans="1:8" ht="14.4">
      <c r="A284" s="23"/>
      <c r="B284" s="23"/>
      <c r="C284" s="23"/>
      <c r="D284" s="23"/>
      <c r="E284" s="23"/>
      <c r="F284" s="23"/>
      <c r="G284" s="23"/>
      <c r="H284" s="23"/>
    </row>
    <row r="285" spans="1:8" ht="14.4">
      <c r="A285" s="23"/>
      <c r="B285" s="23"/>
      <c r="C285" s="23"/>
      <c r="D285" s="23"/>
      <c r="E285" s="23"/>
      <c r="F285" s="23"/>
      <c r="G285" s="23"/>
      <c r="H285" s="23"/>
    </row>
    <row r="286" spans="1:8" ht="14.4">
      <c r="A286" s="23"/>
      <c r="B286" s="23"/>
      <c r="C286" s="23"/>
      <c r="D286" s="23"/>
      <c r="E286" s="23"/>
      <c r="F286" s="23"/>
      <c r="G286" s="23"/>
      <c r="H286" s="23"/>
    </row>
    <row r="287" spans="1:8" ht="14.4">
      <c r="A287" s="23"/>
      <c r="B287" s="23"/>
      <c r="C287" s="23"/>
      <c r="D287" s="23"/>
      <c r="E287" s="23"/>
      <c r="F287" s="23"/>
      <c r="G287" s="23"/>
      <c r="H287" s="23"/>
    </row>
    <row r="288" spans="1:8" ht="14.4">
      <c r="A288" s="23"/>
      <c r="B288" s="23"/>
      <c r="C288" s="23"/>
      <c r="D288" s="23"/>
      <c r="E288" s="23"/>
      <c r="F288" s="23"/>
      <c r="G288" s="23"/>
      <c r="H288" s="23"/>
    </row>
    <row r="289" spans="1:8" ht="14.4">
      <c r="A289" s="23"/>
      <c r="B289" s="23"/>
      <c r="C289" s="23"/>
      <c r="D289" s="23"/>
      <c r="E289" s="23"/>
      <c r="F289" s="23"/>
      <c r="G289" s="23"/>
      <c r="H289" s="23"/>
    </row>
    <row r="290" spans="1:8" ht="14.4">
      <c r="A290" s="23"/>
      <c r="B290" s="23"/>
      <c r="C290" s="23"/>
      <c r="D290" s="23"/>
      <c r="E290" s="23"/>
      <c r="F290" s="23"/>
      <c r="G290" s="23"/>
      <c r="H290" s="23"/>
    </row>
    <row r="291" spans="1:8" ht="14.4">
      <c r="A291" s="23"/>
      <c r="B291" s="23"/>
      <c r="C291" s="23"/>
      <c r="D291" s="23"/>
      <c r="E291" s="23"/>
      <c r="F291" s="23"/>
      <c r="G291" s="23"/>
      <c r="H291" s="23"/>
    </row>
    <row r="292" spans="1:8" ht="14.4">
      <c r="A292" s="23"/>
      <c r="B292" s="23"/>
      <c r="C292" s="23"/>
      <c r="D292" s="23"/>
      <c r="E292" s="23"/>
      <c r="F292" s="23"/>
      <c r="G292" s="23"/>
      <c r="H292" s="23"/>
    </row>
    <row r="293" spans="1:8" ht="14.4">
      <c r="A293" s="23"/>
      <c r="B293" s="23"/>
      <c r="C293" s="23"/>
      <c r="D293" s="23"/>
      <c r="E293" s="23"/>
      <c r="F293" s="23"/>
      <c r="G293" s="23"/>
      <c r="H293" s="23"/>
    </row>
    <row r="294" spans="1:8" ht="14.4">
      <c r="A294" s="23"/>
      <c r="B294" s="23"/>
      <c r="C294" s="23"/>
      <c r="D294" s="23"/>
      <c r="E294" s="23"/>
      <c r="F294" s="23"/>
      <c r="G294" s="23"/>
      <c r="H294" s="23"/>
    </row>
    <row r="295" spans="1:8" ht="14.4">
      <c r="A295" s="23"/>
      <c r="B295" s="23"/>
      <c r="C295" s="23"/>
      <c r="D295" s="23"/>
      <c r="E295" s="23"/>
      <c r="F295" s="23"/>
      <c r="G295" s="23"/>
      <c r="H295" s="23"/>
    </row>
    <row r="296" spans="1:8" ht="14.4">
      <c r="A296" s="23"/>
      <c r="B296" s="23"/>
      <c r="C296" s="23"/>
      <c r="D296" s="23"/>
      <c r="E296" s="23"/>
      <c r="F296" s="23"/>
      <c r="G296" s="23"/>
      <c r="H296" s="23"/>
    </row>
    <row r="297" spans="1:8" ht="14.4">
      <c r="A297" s="23"/>
      <c r="B297" s="23"/>
      <c r="C297" s="23"/>
      <c r="D297" s="23"/>
      <c r="E297" s="23"/>
      <c r="F297" s="23"/>
      <c r="G297" s="23"/>
      <c r="H297" s="23"/>
    </row>
    <row r="298" spans="1:8" ht="14.4">
      <c r="A298" s="23"/>
      <c r="B298" s="23"/>
      <c r="C298" s="23"/>
      <c r="D298" s="23"/>
      <c r="E298" s="23"/>
      <c r="F298" s="23"/>
      <c r="G298" s="23"/>
      <c r="H298" s="23"/>
    </row>
    <row r="299" spans="1:8" ht="14.4">
      <c r="A299" s="23"/>
      <c r="B299" s="23"/>
      <c r="C299" s="23"/>
      <c r="D299" s="23"/>
      <c r="E299" s="23"/>
      <c r="F299" s="23"/>
      <c r="G299" s="23"/>
      <c r="H299" s="23"/>
    </row>
    <row r="300" spans="1:8" ht="14.4">
      <c r="A300" s="23"/>
      <c r="B300" s="23"/>
      <c r="C300" s="23"/>
      <c r="D300" s="23"/>
      <c r="E300" s="23"/>
      <c r="F300" s="23"/>
      <c r="G300" s="23"/>
      <c r="H300" s="23"/>
    </row>
    <row r="301" spans="1:8" ht="14.4">
      <c r="A301" s="23"/>
      <c r="B301" s="23"/>
      <c r="C301" s="23"/>
      <c r="D301" s="23"/>
      <c r="E301" s="23"/>
      <c r="F301" s="23"/>
      <c r="G301" s="23"/>
      <c r="H301" s="23"/>
    </row>
    <row r="302" spans="1:8" ht="14.4">
      <c r="A302" s="23"/>
      <c r="B302" s="23"/>
      <c r="C302" s="23"/>
      <c r="D302" s="23"/>
      <c r="E302" s="23"/>
      <c r="F302" s="23"/>
      <c r="G302" s="23"/>
      <c r="H302" s="23"/>
    </row>
    <row r="303" spans="1:8" ht="14.4">
      <c r="A303" s="23"/>
      <c r="B303" s="23"/>
      <c r="C303" s="23"/>
      <c r="D303" s="23"/>
      <c r="E303" s="23"/>
      <c r="F303" s="23"/>
      <c r="G303" s="23"/>
      <c r="H303" s="23"/>
    </row>
    <row r="304" spans="1:8" ht="14.4">
      <c r="A304" s="23"/>
      <c r="B304" s="23"/>
      <c r="C304" s="23"/>
      <c r="D304" s="23"/>
      <c r="E304" s="23"/>
      <c r="F304" s="23"/>
      <c r="G304" s="23"/>
      <c r="H304" s="23"/>
    </row>
    <row r="305" spans="1:8" ht="14.4">
      <c r="A305" s="23"/>
      <c r="B305" s="23"/>
      <c r="C305" s="23"/>
      <c r="D305" s="23"/>
      <c r="E305" s="23"/>
      <c r="F305" s="23"/>
      <c r="G305" s="23"/>
      <c r="H305" s="23"/>
    </row>
    <row r="306" spans="1:8" ht="14.4">
      <c r="A306" s="23"/>
      <c r="B306" s="23"/>
      <c r="C306" s="23"/>
      <c r="D306" s="23"/>
      <c r="E306" s="23"/>
      <c r="F306" s="23"/>
      <c r="G306" s="23"/>
      <c r="H306" s="23"/>
    </row>
    <row r="307" spans="1:8" ht="14.4">
      <c r="A307" s="23"/>
      <c r="B307" s="23"/>
      <c r="C307" s="23"/>
      <c r="D307" s="23"/>
      <c r="E307" s="23"/>
      <c r="F307" s="23"/>
      <c r="G307" s="23"/>
      <c r="H307" s="23"/>
    </row>
    <row r="308" spans="1:8" ht="14.4">
      <c r="A308" s="23"/>
      <c r="B308" s="23"/>
      <c r="C308" s="23"/>
      <c r="D308" s="23"/>
      <c r="E308" s="23"/>
      <c r="F308" s="23"/>
      <c r="G308" s="23"/>
      <c r="H308" s="23"/>
    </row>
    <row r="309" spans="1:8" ht="14.4">
      <c r="A309" s="23"/>
      <c r="B309" s="23"/>
      <c r="C309" s="23"/>
      <c r="D309" s="23"/>
      <c r="E309" s="23"/>
      <c r="F309" s="23"/>
      <c r="G309" s="23"/>
      <c r="H309" s="23"/>
    </row>
    <row r="310" spans="1:8" ht="14.4">
      <c r="A310" s="23"/>
      <c r="B310" s="23"/>
      <c r="C310" s="23"/>
      <c r="D310" s="23"/>
      <c r="E310" s="23"/>
      <c r="F310" s="23"/>
      <c r="G310" s="23"/>
      <c r="H310" s="23"/>
    </row>
    <row r="311" spans="1:8" ht="14.4">
      <c r="A311" s="23"/>
      <c r="B311" s="23"/>
      <c r="C311" s="23"/>
      <c r="D311" s="23"/>
      <c r="E311" s="23"/>
      <c r="F311" s="23"/>
      <c r="G311" s="23"/>
      <c r="H311" s="23"/>
    </row>
    <row r="312" spans="1:8" ht="14.4">
      <c r="A312" s="23"/>
      <c r="B312" s="23"/>
      <c r="C312" s="23"/>
      <c r="D312" s="23"/>
      <c r="E312" s="23"/>
      <c r="F312" s="23"/>
      <c r="G312" s="23"/>
      <c r="H312" s="23"/>
    </row>
    <row r="313" spans="1:8" ht="14.4">
      <c r="A313" s="23"/>
      <c r="B313" s="23"/>
      <c r="C313" s="23"/>
      <c r="D313" s="23"/>
      <c r="E313" s="23"/>
      <c r="F313" s="23"/>
      <c r="G313" s="23"/>
      <c r="H313" s="23"/>
    </row>
    <row r="314" spans="1:8" ht="14.4">
      <c r="A314" s="23"/>
      <c r="B314" s="23"/>
      <c r="C314" s="23"/>
      <c r="D314" s="23"/>
      <c r="E314" s="23"/>
      <c r="F314" s="23"/>
      <c r="G314" s="23"/>
      <c r="H314" s="23"/>
    </row>
    <row r="315" spans="1:8" ht="14.4">
      <c r="A315" s="23"/>
      <c r="B315" s="23"/>
      <c r="C315" s="23"/>
      <c r="D315" s="23"/>
      <c r="E315" s="23"/>
      <c r="F315" s="23"/>
      <c r="G315" s="23"/>
      <c r="H315" s="23"/>
    </row>
    <row r="316" spans="1:8" ht="14.4">
      <c r="A316" s="23"/>
      <c r="B316" s="23"/>
      <c r="C316" s="23"/>
      <c r="D316" s="23"/>
      <c r="E316" s="23"/>
      <c r="F316" s="23"/>
      <c r="G316" s="23"/>
      <c r="H316" s="23"/>
    </row>
    <row r="317" spans="1:8" ht="14.4">
      <c r="A317" s="23"/>
      <c r="B317" s="23"/>
      <c r="C317" s="23"/>
      <c r="D317" s="23"/>
      <c r="E317" s="23"/>
      <c r="F317" s="23"/>
      <c r="G317" s="23"/>
      <c r="H317" s="23"/>
    </row>
    <row r="318" spans="1:8" ht="14.4">
      <c r="A318" s="23"/>
      <c r="B318" s="23"/>
      <c r="C318" s="23"/>
      <c r="D318" s="23"/>
      <c r="E318" s="23"/>
      <c r="F318" s="23"/>
      <c r="G318" s="23"/>
      <c r="H318" s="23"/>
    </row>
    <row r="319" spans="1:8" ht="14.4">
      <c r="A319" s="23"/>
      <c r="B319" s="23"/>
      <c r="C319" s="23"/>
      <c r="D319" s="23"/>
      <c r="E319" s="23"/>
      <c r="F319" s="23"/>
      <c r="G319" s="23"/>
      <c r="H319" s="23"/>
    </row>
    <row r="320" spans="1:8" ht="14.4">
      <c r="A320" s="23"/>
      <c r="B320" s="23"/>
      <c r="C320" s="23"/>
      <c r="D320" s="23"/>
      <c r="E320" s="23"/>
      <c r="F320" s="23"/>
      <c r="G320" s="23"/>
      <c r="H320" s="23"/>
    </row>
    <row r="321" spans="1:8" ht="14.4">
      <c r="A321" s="23"/>
      <c r="B321" s="23"/>
      <c r="C321" s="23"/>
      <c r="D321" s="23"/>
      <c r="E321" s="23"/>
      <c r="F321" s="23"/>
      <c r="G321" s="23"/>
      <c r="H321" s="23"/>
    </row>
    <row r="322" spans="1:8" ht="14.4">
      <c r="A322" s="23"/>
      <c r="B322" s="23"/>
      <c r="C322" s="23"/>
      <c r="D322" s="23"/>
      <c r="E322" s="23"/>
      <c r="F322" s="23"/>
      <c r="G322" s="23"/>
      <c r="H322" s="23"/>
    </row>
    <row r="323" spans="1:8" ht="14.4">
      <c r="A323" s="23"/>
      <c r="B323" s="23"/>
      <c r="C323" s="23"/>
      <c r="D323" s="23"/>
      <c r="E323" s="23"/>
      <c r="F323" s="23"/>
      <c r="G323" s="23"/>
      <c r="H323" s="23"/>
    </row>
    <row r="324" spans="1:8" ht="14.4">
      <c r="A324" s="23"/>
      <c r="B324" s="23"/>
      <c r="C324" s="23"/>
      <c r="D324" s="23"/>
      <c r="E324" s="23"/>
      <c r="F324" s="23"/>
      <c r="G324" s="23"/>
      <c r="H324" s="23"/>
    </row>
    <row r="325" spans="1:8" ht="14.4">
      <c r="A325" s="23"/>
      <c r="B325" s="23"/>
      <c r="C325" s="23"/>
      <c r="D325" s="23"/>
      <c r="E325" s="23"/>
      <c r="F325" s="23"/>
      <c r="G325" s="23"/>
      <c r="H325" s="23"/>
    </row>
    <row r="326" spans="1:8" ht="14.4">
      <c r="A326" s="23"/>
      <c r="B326" s="23"/>
      <c r="C326" s="23"/>
      <c r="D326" s="23"/>
      <c r="E326" s="23"/>
      <c r="F326" s="23"/>
      <c r="G326" s="23"/>
      <c r="H326" s="23"/>
    </row>
    <row r="327" spans="1:8" ht="14.4">
      <c r="A327" s="23"/>
      <c r="B327" s="23"/>
      <c r="C327" s="23"/>
      <c r="D327" s="23"/>
      <c r="E327" s="23"/>
      <c r="F327" s="23"/>
      <c r="G327" s="23"/>
      <c r="H327" s="23"/>
    </row>
    <row r="328" spans="1:8" ht="14.4">
      <c r="A328" s="23"/>
      <c r="B328" s="23"/>
      <c r="C328" s="23"/>
      <c r="D328" s="23"/>
      <c r="E328" s="23"/>
      <c r="F328" s="23"/>
      <c r="G328" s="23"/>
      <c r="H328" s="23"/>
    </row>
    <row r="329" spans="1:8" ht="14.4">
      <c r="A329" s="23"/>
      <c r="B329" s="23"/>
      <c r="C329" s="23"/>
      <c r="D329" s="23"/>
      <c r="E329" s="23"/>
      <c r="F329" s="23"/>
      <c r="G329" s="23"/>
      <c r="H329" s="23"/>
    </row>
    <row r="330" spans="1:8" ht="14.4">
      <c r="A330" s="23"/>
      <c r="B330" s="23"/>
      <c r="C330" s="23"/>
      <c r="D330" s="23"/>
      <c r="E330" s="23"/>
      <c r="F330" s="23"/>
      <c r="G330" s="23"/>
      <c r="H330" s="23"/>
    </row>
    <row r="331" spans="1:8" ht="14.4">
      <c r="A331" s="23"/>
      <c r="B331" s="23"/>
      <c r="C331" s="23"/>
      <c r="D331" s="23"/>
      <c r="E331" s="23"/>
      <c r="F331" s="23"/>
      <c r="G331" s="23"/>
      <c r="H331" s="23"/>
    </row>
    <row r="332" spans="1:8" ht="14.4">
      <c r="A332" s="23"/>
      <c r="B332" s="23"/>
      <c r="C332" s="23"/>
      <c r="D332" s="23"/>
      <c r="E332" s="23"/>
      <c r="F332" s="23"/>
      <c r="G332" s="23"/>
      <c r="H332" s="23"/>
    </row>
    <row r="333" spans="1:8" ht="14.4">
      <c r="A333" s="23"/>
      <c r="B333" s="23"/>
      <c r="C333" s="23"/>
      <c r="D333" s="23"/>
      <c r="E333" s="23"/>
      <c r="F333" s="23"/>
      <c r="G333" s="23"/>
      <c r="H333" s="23"/>
    </row>
    <row r="334" spans="1:8" ht="14.4">
      <c r="A334" s="23"/>
      <c r="B334" s="23"/>
      <c r="C334" s="23"/>
      <c r="D334" s="23"/>
      <c r="E334" s="23"/>
      <c r="F334" s="23"/>
      <c r="G334" s="23"/>
      <c r="H334" s="23"/>
    </row>
    <row r="335" spans="1:8" ht="14.4">
      <c r="A335" s="23"/>
      <c r="B335" s="23"/>
      <c r="C335" s="23"/>
      <c r="D335" s="23"/>
      <c r="E335" s="23"/>
      <c r="F335" s="23"/>
      <c r="G335" s="23"/>
      <c r="H335" s="23"/>
    </row>
    <row r="336" spans="1:8" ht="14.4">
      <c r="A336" s="23"/>
      <c r="B336" s="23"/>
      <c r="C336" s="23"/>
      <c r="D336" s="23"/>
      <c r="E336" s="23"/>
      <c r="F336" s="23"/>
      <c r="G336" s="23"/>
      <c r="H336" s="23"/>
    </row>
    <row r="337" spans="1:8" ht="14.4">
      <c r="A337" s="23"/>
      <c r="B337" s="23"/>
      <c r="C337" s="23"/>
      <c r="D337" s="23"/>
      <c r="E337" s="23"/>
      <c r="F337" s="23"/>
      <c r="G337" s="23"/>
      <c r="H337" s="23"/>
    </row>
    <row r="338" spans="1:8" ht="14.4">
      <c r="A338" s="23"/>
      <c r="B338" s="23"/>
      <c r="C338" s="23"/>
      <c r="D338" s="23"/>
      <c r="E338" s="23"/>
      <c r="F338" s="23"/>
      <c r="G338" s="23"/>
      <c r="H338" s="23"/>
    </row>
    <row r="339" spans="1:8" ht="14.4">
      <c r="A339" s="23"/>
      <c r="B339" s="23"/>
      <c r="C339" s="23"/>
      <c r="D339" s="23"/>
      <c r="E339" s="23"/>
      <c r="F339" s="23"/>
      <c r="G339" s="23"/>
      <c r="H339" s="23"/>
    </row>
    <row r="340" spans="1:8" ht="14.4">
      <c r="A340" s="23"/>
      <c r="B340" s="23"/>
      <c r="C340" s="23"/>
      <c r="D340" s="23"/>
      <c r="E340" s="23"/>
      <c r="F340" s="23"/>
      <c r="G340" s="23"/>
      <c r="H340" s="23"/>
    </row>
    <row r="341" spans="1:8" ht="14.4">
      <c r="A341" s="23"/>
      <c r="B341" s="23"/>
      <c r="C341" s="23"/>
      <c r="D341" s="23"/>
      <c r="E341" s="23"/>
      <c r="F341" s="23"/>
      <c r="G341" s="23"/>
      <c r="H341" s="23"/>
    </row>
    <row r="342" spans="1:8" ht="14.4">
      <c r="A342" s="23"/>
      <c r="B342" s="23"/>
      <c r="C342" s="23"/>
      <c r="D342" s="23"/>
      <c r="E342" s="23"/>
      <c r="F342" s="23"/>
      <c r="G342" s="23"/>
      <c r="H342" s="23"/>
    </row>
    <row r="343" spans="1:8" ht="14.4">
      <c r="A343" s="23"/>
      <c r="B343" s="23"/>
      <c r="C343" s="23"/>
      <c r="D343" s="23"/>
      <c r="E343" s="23"/>
      <c r="F343" s="23"/>
      <c r="G343" s="23"/>
      <c r="H343" s="23"/>
    </row>
    <row r="344" spans="1:8" ht="14.4">
      <c r="A344" s="23"/>
      <c r="B344" s="23"/>
      <c r="C344" s="23"/>
      <c r="D344" s="23"/>
      <c r="E344" s="23"/>
      <c r="F344" s="23"/>
      <c r="G344" s="23"/>
      <c r="H344" s="23"/>
    </row>
    <row r="345" spans="1:8" ht="14.4">
      <c r="A345" s="23"/>
      <c r="B345" s="23"/>
      <c r="C345" s="23"/>
      <c r="D345" s="23"/>
      <c r="E345" s="23"/>
      <c r="F345" s="23"/>
      <c r="G345" s="23"/>
      <c r="H345" s="23"/>
    </row>
    <row r="346" spans="1:8" ht="14.4">
      <c r="A346" s="23"/>
      <c r="B346" s="23"/>
      <c r="C346" s="23"/>
      <c r="D346" s="23"/>
      <c r="E346" s="23"/>
      <c r="F346" s="23"/>
      <c r="G346" s="23"/>
      <c r="H346" s="23"/>
    </row>
    <row r="347" spans="1:8" ht="14.4">
      <c r="A347" s="23"/>
      <c r="B347" s="23"/>
      <c r="C347" s="23"/>
      <c r="D347" s="23"/>
      <c r="E347" s="23"/>
      <c r="F347" s="23"/>
      <c r="G347" s="23"/>
      <c r="H347" s="23"/>
    </row>
    <row r="348" spans="1:8" ht="14.4">
      <c r="A348" s="23"/>
      <c r="B348" s="23"/>
      <c r="C348" s="23"/>
      <c r="D348" s="23"/>
      <c r="E348" s="23"/>
      <c r="F348" s="23"/>
      <c r="G348" s="23"/>
      <c r="H348" s="23"/>
    </row>
    <row r="349" spans="1:8" ht="14.4">
      <c r="A349" s="23"/>
      <c r="B349" s="23"/>
      <c r="C349" s="23"/>
      <c r="D349" s="23"/>
      <c r="E349" s="23"/>
      <c r="F349" s="23"/>
      <c r="G349" s="23"/>
      <c r="H349" s="23"/>
    </row>
    <row r="350" spans="1:8" ht="14.4">
      <c r="A350" s="23"/>
      <c r="B350" s="23"/>
      <c r="C350" s="23"/>
      <c r="D350" s="23"/>
      <c r="E350" s="23"/>
      <c r="F350" s="23"/>
      <c r="G350" s="23"/>
      <c r="H350" s="23"/>
    </row>
    <row r="351" spans="1:8" ht="14.4">
      <c r="A351" s="23"/>
      <c r="B351" s="23"/>
      <c r="C351" s="23"/>
      <c r="D351" s="23"/>
      <c r="E351" s="23"/>
      <c r="F351" s="23"/>
      <c r="G351" s="23"/>
      <c r="H351" s="23"/>
    </row>
    <row r="352" spans="1:8" ht="14.4">
      <c r="A352" s="23"/>
      <c r="B352" s="23"/>
      <c r="C352" s="23"/>
      <c r="D352" s="23"/>
      <c r="E352" s="23"/>
      <c r="F352" s="23"/>
      <c r="G352" s="23"/>
      <c r="H352" s="23"/>
    </row>
    <row r="353" spans="1:8" ht="14.4">
      <c r="A353" s="23"/>
      <c r="B353" s="23"/>
      <c r="C353" s="23"/>
      <c r="D353" s="23"/>
      <c r="E353" s="23"/>
      <c r="F353" s="23"/>
      <c r="G353" s="23"/>
      <c r="H353" s="23"/>
    </row>
    <row r="354" spans="1:8" ht="14.4">
      <c r="A354" s="23"/>
      <c r="B354" s="23"/>
      <c r="C354" s="23"/>
      <c r="D354" s="23"/>
      <c r="E354" s="23"/>
      <c r="F354" s="23"/>
      <c r="G354" s="23"/>
      <c r="H354" s="23"/>
    </row>
    <row r="355" spans="1:8" ht="14.4">
      <c r="A355" s="23"/>
      <c r="B355" s="23"/>
      <c r="C355" s="23"/>
      <c r="D355" s="23"/>
      <c r="E355" s="23"/>
      <c r="F355" s="23"/>
      <c r="G355" s="23"/>
      <c r="H355" s="23"/>
    </row>
    <row r="356" spans="1:8" ht="14.4">
      <c r="A356" s="23"/>
      <c r="B356" s="23"/>
      <c r="C356" s="23"/>
      <c r="D356" s="23"/>
      <c r="E356" s="23"/>
      <c r="F356" s="23"/>
      <c r="G356" s="23"/>
      <c r="H356" s="23"/>
    </row>
    <row r="357" spans="1:8" ht="14.4">
      <c r="A357" s="23"/>
      <c r="B357" s="23"/>
      <c r="C357" s="23"/>
      <c r="D357" s="23"/>
      <c r="E357" s="23"/>
      <c r="F357" s="23"/>
      <c r="G357" s="23"/>
      <c r="H357" s="23"/>
    </row>
    <row r="358" spans="1:8" ht="14.4">
      <c r="A358" s="23"/>
      <c r="B358" s="23"/>
      <c r="C358" s="23"/>
      <c r="D358" s="23"/>
      <c r="E358" s="23"/>
      <c r="F358" s="23"/>
      <c r="G358" s="23"/>
      <c r="H358" s="23"/>
    </row>
    <row r="359" spans="1:8" ht="14.4">
      <c r="A359" s="23"/>
      <c r="B359" s="23"/>
      <c r="C359" s="23"/>
      <c r="D359" s="23"/>
      <c r="E359" s="23"/>
      <c r="F359" s="23"/>
      <c r="G359" s="23"/>
      <c r="H359" s="23"/>
    </row>
    <row r="360" spans="1:8" ht="14.4">
      <c r="A360" s="23"/>
      <c r="B360" s="23"/>
      <c r="C360" s="23"/>
      <c r="D360" s="23"/>
      <c r="E360" s="23"/>
      <c r="F360" s="23"/>
      <c r="G360" s="23"/>
      <c r="H360" s="23"/>
    </row>
    <row r="361" spans="1:8" ht="14.4">
      <c r="A361" s="23"/>
      <c r="B361" s="23"/>
      <c r="C361" s="23"/>
      <c r="D361" s="23"/>
      <c r="E361" s="23"/>
      <c r="F361" s="23"/>
      <c r="G361" s="23"/>
      <c r="H361" s="23"/>
    </row>
    <row r="362" spans="1:8" ht="14.4">
      <c r="A362" s="23"/>
      <c r="B362" s="23"/>
      <c r="C362" s="23"/>
      <c r="D362" s="23"/>
      <c r="E362" s="23"/>
      <c r="F362" s="23"/>
      <c r="G362" s="23"/>
      <c r="H362" s="23"/>
    </row>
    <row r="363" spans="1:8" ht="14.4">
      <c r="A363" s="23"/>
      <c r="B363" s="23"/>
      <c r="C363" s="23"/>
      <c r="D363" s="23"/>
      <c r="E363" s="23"/>
      <c r="F363" s="23"/>
      <c r="G363" s="23"/>
      <c r="H363" s="23"/>
    </row>
    <row r="364" spans="1:8" ht="14.4">
      <c r="A364" s="23"/>
      <c r="B364" s="23"/>
      <c r="C364" s="23"/>
      <c r="D364" s="23"/>
      <c r="E364" s="23"/>
      <c r="F364" s="23"/>
      <c r="G364" s="23"/>
      <c r="H364" s="23"/>
    </row>
    <row r="365" spans="1:8" ht="14.4">
      <c r="A365" s="23"/>
      <c r="B365" s="23"/>
      <c r="C365" s="23"/>
      <c r="D365" s="23"/>
      <c r="E365" s="23"/>
      <c r="F365" s="23"/>
      <c r="G365" s="23"/>
      <c r="H365" s="23"/>
    </row>
    <row r="366" spans="1:8" ht="14.4">
      <c r="A366" s="23"/>
      <c r="B366" s="23"/>
      <c r="C366" s="23"/>
      <c r="D366" s="23"/>
      <c r="E366" s="23"/>
      <c r="F366" s="23"/>
      <c r="G366" s="23"/>
      <c r="H366" s="23"/>
    </row>
    <row r="367" spans="1:8" ht="14.4">
      <c r="A367" s="23"/>
      <c r="B367" s="23"/>
      <c r="C367" s="23"/>
      <c r="D367" s="23"/>
      <c r="E367" s="23"/>
      <c r="F367" s="23"/>
      <c r="G367" s="23"/>
      <c r="H367" s="23"/>
    </row>
    <row r="368" spans="1:8" ht="14.4">
      <c r="A368" s="23"/>
      <c r="B368" s="23"/>
      <c r="C368" s="23"/>
      <c r="D368" s="23"/>
      <c r="E368" s="23"/>
      <c r="F368" s="23"/>
      <c r="G368" s="23"/>
      <c r="H368" s="23"/>
    </row>
    <row r="369" spans="1:8" ht="14.4">
      <c r="A369" s="23"/>
      <c r="B369" s="23"/>
      <c r="C369" s="23"/>
      <c r="D369" s="23"/>
      <c r="E369" s="23"/>
      <c r="F369" s="23"/>
      <c r="G369" s="23"/>
      <c r="H369" s="23"/>
    </row>
    <row r="370" spans="1:8" ht="14.4">
      <c r="A370" s="23"/>
      <c r="B370" s="23"/>
      <c r="C370" s="23"/>
      <c r="D370" s="23"/>
      <c r="E370" s="23"/>
      <c r="F370" s="23"/>
      <c r="G370" s="23"/>
      <c r="H370" s="23"/>
    </row>
    <row r="371" spans="1:8" ht="14.4">
      <c r="A371" s="23"/>
      <c r="B371" s="23"/>
      <c r="C371" s="23"/>
      <c r="D371" s="23"/>
      <c r="E371" s="23"/>
      <c r="F371" s="23"/>
      <c r="G371" s="23"/>
      <c r="H371" s="23"/>
    </row>
    <row r="372" spans="1:8" ht="14.4">
      <c r="A372" s="23"/>
      <c r="B372" s="23"/>
      <c r="C372" s="23"/>
      <c r="D372" s="23"/>
      <c r="E372" s="23"/>
      <c r="F372" s="23"/>
      <c r="G372" s="23"/>
      <c r="H372" s="23"/>
    </row>
    <row r="373" spans="1:8" ht="14.4">
      <c r="A373" s="23"/>
      <c r="B373" s="23"/>
      <c r="C373" s="23"/>
      <c r="D373" s="23"/>
      <c r="E373" s="23"/>
      <c r="F373" s="23"/>
      <c r="G373" s="23"/>
      <c r="H373" s="23"/>
    </row>
    <row r="374" spans="1:8" ht="14.4">
      <c r="A374" s="23"/>
      <c r="B374" s="23"/>
      <c r="C374" s="23"/>
      <c r="D374" s="23"/>
      <c r="E374" s="23"/>
      <c r="F374" s="23"/>
      <c r="G374" s="23"/>
      <c r="H374" s="23"/>
    </row>
    <row r="375" spans="1:8" ht="14.4">
      <c r="A375" s="23"/>
      <c r="B375" s="23"/>
      <c r="C375" s="23"/>
      <c r="D375" s="23"/>
      <c r="E375" s="23"/>
      <c r="F375" s="23"/>
      <c r="G375" s="23"/>
      <c r="H375" s="23"/>
    </row>
    <row r="376" spans="1:8" ht="14.4">
      <c r="A376" s="23"/>
      <c r="B376" s="23"/>
      <c r="C376" s="23"/>
      <c r="D376" s="23"/>
      <c r="E376" s="23"/>
      <c r="F376" s="23"/>
      <c r="G376" s="23"/>
      <c r="H376" s="23"/>
    </row>
    <row r="377" spans="1:8" ht="14.4">
      <c r="A377" s="23"/>
      <c r="B377" s="23"/>
      <c r="C377" s="23"/>
      <c r="D377" s="23"/>
      <c r="E377" s="23"/>
      <c r="F377" s="23"/>
      <c r="G377" s="23"/>
      <c r="H377" s="23"/>
    </row>
    <row r="378" spans="1:8" ht="14.4">
      <c r="A378" s="23"/>
      <c r="B378" s="23"/>
      <c r="C378" s="23"/>
      <c r="D378" s="23"/>
      <c r="E378" s="23"/>
      <c r="F378" s="23"/>
      <c r="G378" s="23"/>
      <c r="H378" s="23"/>
    </row>
    <row r="379" spans="1:8" ht="14.4">
      <c r="A379" s="23"/>
      <c r="B379" s="23"/>
      <c r="C379" s="23"/>
      <c r="D379" s="23"/>
      <c r="E379" s="23"/>
      <c r="F379" s="23"/>
      <c r="G379" s="23"/>
      <c r="H379" s="23"/>
    </row>
    <row r="380" spans="1:8" ht="14.4">
      <c r="A380" s="23"/>
      <c r="B380" s="23"/>
      <c r="C380" s="23"/>
      <c r="D380" s="23"/>
      <c r="E380" s="23"/>
      <c r="F380" s="23"/>
      <c r="G380" s="23"/>
      <c r="H380" s="23"/>
    </row>
    <row r="381" spans="1:8" ht="14.4">
      <c r="A381" s="23"/>
      <c r="B381" s="23"/>
      <c r="C381" s="23"/>
      <c r="D381" s="23"/>
      <c r="E381" s="23"/>
      <c r="F381" s="23"/>
      <c r="G381" s="23"/>
      <c r="H381" s="23"/>
    </row>
    <row r="382" spans="1:8" ht="14.4">
      <c r="A382" s="23"/>
      <c r="B382" s="23"/>
      <c r="C382" s="23"/>
      <c r="D382" s="23"/>
      <c r="E382" s="23"/>
      <c r="F382" s="23"/>
      <c r="G382" s="23"/>
      <c r="H382" s="23"/>
    </row>
    <row r="383" spans="1:8" ht="14.4">
      <c r="A383" s="23"/>
      <c r="B383" s="23"/>
      <c r="C383" s="23"/>
      <c r="D383" s="23"/>
      <c r="E383" s="23"/>
      <c r="F383" s="23"/>
      <c r="G383" s="23"/>
      <c r="H383" s="23"/>
    </row>
    <row r="384" spans="1:8" ht="14.4">
      <c r="A384" s="23"/>
      <c r="B384" s="23"/>
      <c r="C384" s="23"/>
      <c r="D384" s="23"/>
      <c r="E384" s="23"/>
      <c r="F384" s="23"/>
      <c r="G384" s="23"/>
      <c r="H384" s="23"/>
    </row>
    <row r="385" spans="1:8" ht="14.4">
      <c r="A385" s="23"/>
      <c r="B385" s="23"/>
      <c r="C385" s="23"/>
      <c r="D385" s="23"/>
      <c r="E385" s="23"/>
      <c r="F385" s="23"/>
      <c r="G385" s="23"/>
      <c r="H385" s="23"/>
    </row>
    <row r="386" spans="1:8" ht="14.4">
      <c r="A386" s="23"/>
      <c r="B386" s="23"/>
      <c r="C386" s="23"/>
      <c r="D386" s="23"/>
      <c r="E386" s="23"/>
      <c r="F386" s="23"/>
      <c r="G386" s="23"/>
      <c r="H386" s="23"/>
    </row>
    <row r="387" spans="1:8" ht="14.4">
      <c r="A387" s="23"/>
      <c r="B387" s="23"/>
      <c r="C387" s="23"/>
      <c r="D387" s="23"/>
      <c r="E387" s="23"/>
      <c r="F387" s="23"/>
      <c r="G387" s="23"/>
      <c r="H387" s="23"/>
    </row>
    <row r="388" spans="1:8" ht="14.4">
      <c r="A388" s="23"/>
      <c r="B388" s="23"/>
      <c r="C388" s="23"/>
      <c r="D388" s="23"/>
      <c r="E388" s="23"/>
      <c r="F388" s="23"/>
      <c r="G388" s="23"/>
      <c r="H388" s="23"/>
    </row>
    <row r="389" spans="1:8" ht="14.4">
      <c r="A389" s="23"/>
      <c r="B389" s="23"/>
      <c r="C389" s="23"/>
      <c r="D389" s="23"/>
      <c r="E389" s="23"/>
      <c r="F389" s="23"/>
      <c r="G389" s="23"/>
      <c r="H389" s="23"/>
    </row>
    <row r="390" spans="1:8" ht="14.4">
      <c r="A390" s="23"/>
      <c r="B390" s="23"/>
      <c r="C390" s="23"/>
      <c r="D390" s="23"/>
      <c r="E390" s="23"/>
      <c r="F390" s="23"/>
      <c r="G390" s="23"/>
      <c r="H390" s="23"/>
    </row>
    <row r="391" spans="1:8" ht="14.4">
      <c r="A391" s="23"/>
      <c r="B391" s="23"/>
      <c r="C391" s="23"/>
      <c r="D391" s="23"/>
      <c r="E391" s="23"/>
      <c r="F391" s="23"/>
      <c r="G391" s="23"/>
      <c r="H391" s="23"/>
    </row>
    <row r="392" spans="1:8" ht="14.4">
      <c r="A392" s="23"/>
      <c r="B392" s="23"/>
      <c r="C392" s="23"/>
      <c r="D392" s="23"/>
      <c r="E392" s="23"/>
      <c r="F392" s="23"/>
      <c r="G392" s="23"/>
      <c r="H392" s="23"/>
    </row>
    <row r="393" spans="1:8" ht="14.4">
      <c r="A393" s="23"/>
      <c r="B393" s="23"/>
      <c r="C393" s="23"/>
      <c r="D393" s="23"/>
      <c r="E393" s="23"/>
      <c r="F393" s="23"/>
      <c r="G393" s="23"/>
      <c r="H393" s="23"/>
    </row>
    <row r="394" spans="1:8" ht="14.4">
      <c r="A394" s="23"/>
      <c r="B394" s="23"/>
      <c r="C394" s="23"/>
      <c r="D394" s="23"/>
      <c r="E394" s="23"/>
      <c r="F394" s="23"/>
      <c r="G394" s="23"/>
      <c r="H394" s="23"/>
    </row>
    <row r="395" spans="1:8" ht="14.4">
      <c r="A395" s="23"/>
      <c r="B395" s="23"/>
      <c r="C395" s="23"/>
      <c r="D395" s="23"/>
      <c r="E395" s="23"/>
      <c r="F395" s="23"/>
      <c r="G395" s="23"/>
      <c r="H395" s="23"/>
    </row>
    <row r="396" spans="1:8" ht="14.4">
      <c r="A396" s="23"/>
      <c r="B396" s="23"/>
      <c r="C396" s="23"/>
      <c r="D396" s="23"/>
      <c r="E396" s="23"/>
      <c r="F396" s="23"/>
      <c r="G396" s="23"/>
      <c r="H396" s="23"/>
    </row>
    <row r="397" spans="1:8" ht="14.4">
      <c r="A397" s="23"/>
      <c r="B397" s="23"/>
      <c r="C397" s="23"/>
      <c r="D397" s="23"/>
      <c r="E397" s="23"/>
      <c r="F397" s="23"/>
      <c r="G397" s="23"/>
      <c r="H397" s="23"/>
    </row>
    <row r="398" spans="1:8" ht="14.4">
      <c r="A398" s="23"/>
      <c r="B398" s="23"/>
      <c r="C398" s="23"/>
      <c r="D398" s="23"/>
      <c r="E398" s="23"/>
      <c r="F398" s="23"/>
      <c r="G398" s="23"/>
      <c r="H398" s="23"/>
    </row>
    <row r="399" spans="1:8" ht="14.4">
      <c r="A399" s="23"/>
      <c r="B399" s="23"/>
      <c r="C399" s="23"/>
      <c r="D399" s="23"/>
      <c r="E399" s="23"/>
      <c r="F399" s="23"/>
      <c r="G399" s="23"/>
      <c r="H399" s="23"/>
    </row>
    <row r="400" spans="1:8" ht="14.4">
      <c r="A400" s="23"/>
      <c r="B400" s="23"/>
      <c r="C400" s="23"/>
      <c r="D400" s="23"/>
      <c r="E400" s="23"/>
      <c r="F400" s="23"/>
      <c r="G400" s="23"/>
      <c r="H400" s="23"/>
    </row>
    <row r="401" spans="1:8" ht="14.4">
      <c r="A401" s="23"/>
      <c r="B401" s="23"/>
      <c r="C401" s="23"/>
      <c r="D401" s="23"/>
      <c r="E401" s="23"/>
      <c r="F401" s="23"/>
      <c r="G401" s="23"/>
      <c r="H401" s="23"/>
    </row>
    <row r="402" spans="1:8" ht="14.4">
      <c r="A402" s="23"/>
      <c r="B402" s="23"/>
      <c r="C402" s="23"/>
      <c r="D402" s="23"/>
      <c r="E402" s="23"/>
      <c r="F402" s="23"/>
      <c r="G402" s="23"/>
      <c r="H402" s="23"/>
    </row>
    <row r="403" spans="1:8" ht="14.4">
      <c r="A403" s="23"/>
      <c r="B403" s="23"/>
      <c r="C403" s="23"/>
      <c r="D403" s="23"/>
      <c r="E403" s="23"/>
      <c r="F403" s="23"/>
      <c r="G403" s="23"/>
      <c r="H403" s="23"/>
    </row>
    <row r="404" spans="1:8" ht="14.4">
      <c r="A404" s="23"/>
      <c r="B404" s="23"/>
      <c r="C404" s="23"/>
      <c r="D404" s="23"/>
      <c r="E404" s="23"/>
      <c r="F404" s="23"/>
      <c r="G404" s="23"/>
      <c r="H404" s="23"/>
    </row>
    <row r="405" spans="1:8" ht="14.4">
      <c r="A405" s="23"/>
      <c r="B405" s="23"/>
      <c r="C405" s="23"/>
      <c r="D405" s="23"/>
      <c r="E405" s="23"/>
      <c r="F405" s="23"/>
      <c r="G405" s="23"/>
      <c r="H405" s="23"/>
    </row>
    <row r="406" spans="1:8" ht="14.4">
      <c r="A406" s="23"/>
      <c r="B406" s="23"/>
      <c r="C406" s="23"/>
      <c r="D406" s="23"/>
      <c r="E406" s="23"/>
      <c r="F406" s="23"/>
      <c r="G406" s="23"/>
      <c r="H406" s="23"/>
    </row>
    <row r="407" spans="1:8" ht="14.4">
      <c r="A407" s="23"/>
      <c r="B407" s="23"/>
      <c r="C407" s="23"/>
      <c r="D407" s="23"/>
      <c r="E407" s="23"/>
      <c r="F407" s="23"/>
      <c r="G407" s="23"/>
      <c r="H407" s="23"/>
    </row>
    <row r="408" spans="1:8" ht="14.4">
      <c r="A408" s="23"/>
      <c r="B408" s="23"/>
      <c r="C408" s="23"/>
      <c r="D408" s="23"/>
      <c r="E408" s="23"/>
      <c r="F408" s="23"/>
      <c r="G408" s="23"/>
      <c r="H408" s="23"/>
    </row>
    <row r="409" spans="1:8" ht="14.4">
      <c r="A409" s="23"/>
      <c r="B409" s="23"/>
      <c r="C409" s="23"/>
      <c r="D409" s="23"/>
      <c r="E409" s="23"/>
      <c r="F409" s="23"/>
      <c r="G409" s="23"/>
      <c r="H409" s="23"/>
    </row>
    <row r="410" spans="1:8" ht="14.4">
      <c r="A410" s="23"/>
      <c r="B410" s="23"/>
      <c r="C410" s="23"/>
      <c r="D410" s="23"/>
      <c r="E410" s="23"/>
      <c r="F410" s="23"/>
      <c r="G410" s="23"/>
      <c r="H410" s="23"/>
    </row>
    <row r="411" spans="1:8" ht="14.4">
      <c r="A411" s="23"/>
      <c r="B411" s="23"/>
      <c r="C411" s="23"/>
      <c r="D411" s="23"/>
      <c r="E411" s="23"/>
      <c r="F411" s="23"/>
      <c r="G411" s="23"/>
      <c r="H411" s="23"/>
    </row>
    <row r="412" spans="1:8" ht="14.4">
      <c r="A412" s="23"/>
      <c r="B412" s="23"/>
      <c r="C412" s="23"/>
      <c r="D412" s="23"/>
      <c r="E412" s="23"/>
      <c r="F412" s="23"/>
      <c r="G412" s="23"/>
      <c r="H412" s="23"/>
    </row>
    <row r="413" spans="1:8" ht="14.4">
      <c r="A413" s="23"/>
      <c r="B413" s="23"/>
      <c r="C413" s="23"/>
      <c r="D413" s="23"/>
      <c r="E413" s="23"/>
      <c r="F413" s="23"/>
      <c r="G413" s="23"/>
      <c r="H413" s="23"/>
    </row>
    <row r="414" spans="1:8" ht="14.4">
      <c r="A414" s="23"/>
      <c r="B414" s="23"/>
      <c r="C414" s="23"/>
      <c r="D414" s="23"/>
      <c r="E414" s="23"/>
      <c r="F414" s="23"/>
      <c r="G414" s="23"/>
      <c r="H414" s="23"/>
    </row>
    <row r="415" spans="1:8" ht="14.4">
      <c r="A415" s="23"/>
      <c r="B415" s="23"/>
      <c r="C415" s="23"/>
      <c r="D415" s="23"/>
      <c r="E415" s="23"/>
      <c r="F415" s="23"/>
      <c r="G415" s="23"/>
      <c r="H415" s="23"/>
    </row>
    <row r="416" spans="1:8" ht="14.4">
      <c r="A416" s="23"/>
      <c r="B416" s="23"/>
      <c r="C416" s="23"/>
      <c r="D416" s="23"/>
      <c r="E416" s="23"/>
      <c r="F416" s="23"/>
      <c r="G416" s="23"/>
      <c r="H416" s="23"/>
    </row>
    <row r="417" spans="1:8" ht="14.4">
      <c r="A417" s="23"/>
      <c r="B417" s="23"/>
      <c r="C417" s="23"/>
      <c r="D417" s="23"/>
      <c r="E417" s="23"/>
      <c r="F417" s="23"/>
      <c r="G417" s="23"/>
      <c r="H417" s="23"/>
    </row>
    <row r="418" spans="1:8" ht="14.4">
      <c r="A418" s="23"/>
      <c r="B418" s="23"/>
      <c r="C418" s="23"/>
      <c r="D418" s="23"/>
      <c r="E418" s="23"/>
      <c r="F418" s="23"/>
      <c r="G418" s="23"/>
      <c r="H418" s="23"/>
    </row>
    <row r="419" spans="1:8" ht="14.4">
      <c r="A419" s="23"/>
      <c r="B419" s="23"/>
      <c r="C419" s="23"/>
      <c r="D419" s="23"/>
      <c r="E419" s="23"/>
      <c r="F419" s="23"/>
      <c r="G419" s="23"/>
      <c r="H419" s="23"/>
    </row>
    <row r="420" spans="1:8" ht="14.4">
      <c r="A420" s="23"/>
      <c r="B420" s="23"/>
      <c r="C420" s="23"/>
      <c r="D420" s="23"/>
      <c r="E420" s="23"/>
      <c r="F420" s="23"/>
      <c r="G420" s="23"/>
      <c r="H420" s="23"/>
    </row>
    <row r="421" spans="1:8" ht="14.4">
      <c r="A421" s="23"/>
      <c r="B421" s="23"/>
      <c r="C421" s="23"/>
      <c r="D421" s="23"/>
      <c r="E421" s="23"/>
      <c r="F421" s="23"/>
      <c r="G421" s="23"/>
      <c r="H421" s="23"/>
    </row>
    <row r="422" spans="1:8" ht="14.4">
      <c r="A422" s="23"/>
      <c r="B422" s="23"/>
      <c r="C422" s="23"/>
      <c r="D422" s="23"/>
      <c r="E422" s="23"/>
      <c r="F422" s="23"/>
      <c r="G422" s="23"/>
      <c r="H422" s="23"/>
    </row>
    <row r="423" spans="1:8" ht="14.4">
      <c r="A423" s="23"/>
      <c r="B423" s="23"/>
      <c r="C423" s="23"/>
      <c r="D423" s="23"/>
      <c r="E423" s="23"/>
      <c r="F423" s="23"/>
      <c r="G423" s="23"/>
      <c r="H423" s="23"/>
    </row>
    <row r="424" spans="1:8" ht="14.4">
      <c r="A424" s="23"/>
      <c r="B424" s="23"/>
      <c r="C424" s="23"/>
      <c r="D424" s="23"/>
      <c r="E424" s="23"/>
      <c r="F424" s="23"/>
      <c r="G424" s="23"/>
      <c r="H424" s="23"/>
    </row>
    <row r="425" spans="1:8" ht="14.4">
      <c r="A425" s="23"/>
      <c r="B425" s="23"/>
      <c r="C425" s="23"/>
      <c r="D425" s="23"/>
      <c r="E425" s="23"/>
      <c r="F425" s="23"/>
      <c r="G425" s="23"/>
      <c r="H425" s="23"/>
    </row>
    <row r="426" spans="1:8" ht="14.4">
      <c r="A426" s="23"/>
      <c r="B426" s="23"/>
      <c r="C426" s="23"/>
      <c r="D426" s="23"/>
      <c r="E426" s="23"/>
      <c r="F426" s="23"/>
      <c r="G426" s="23"/>
      <c r="H426" s="23"/>
    </row>
    <row r="427" spans="1:8" ht="14.4">
      <c r="A427" s="23"/>
      <c r="B427" s="23"/>
      <c r="C427" s="23"/>
      <c r="D427" s="23"/>
      <c r="E427" s="23"/>
      <c r="F427" s="23"/>
      <c r="G427" s="23"/>
      <c r="H427" s="23"/>
    </row>
    <row r="428" spans="1:8" ht="14.4">
      <c r="A428" s="23"/>
      <c r="B428" s="23"/>
      <c r="C428" s="23"/>
      <c r="D428" s="23"/>
      <c r="E428" s="23"/>
      <c r="F428" s="23"/>
      <c r="G428" s="23"/>
      <c r="H428" s="23"/>
    </row>
    <row r="429" spans="1:8" ht="14.4">
      <c r="A429" s="23"/>
      <c r="B429" s="23"/>
      <c r="C429" s="23"/>
      <c r="D429" s="23"/>
      <c r="E429" s="23"/>
      <c r="F429" s="23"/>
      <c r="G429" s="23"/>
      <c r="H429" s="23"/>
    </row>
    <row r="430" spans="1:8" ht="14.4">
      <c r="A430" s="23"/>
      <c r="B430" s="23"/>
      <c r="C430" s="23"/>
      <c r="D430" s="23"/>
      <c r="E430" s="23"/>
      <c r="F430" s="23"/>
      <c r="G430" s="23"/>
      <c r="H430" s="23"/>
    </row>
    <row r="431" spans="1:8" ht="14.4">
      <c r="A431" s="23"/>
      <c r="B431" s="23"/>
      <c r="C431" s="23"/>
      <c r="D431" s="23"/>
      <c r="E431" s="23"/>
      <c r="F431" s="23"/>
      <c r="G431" s="23"/>
      <c r="H431" s="23"/>
    </row>
    <row r="432" spans="1:8" ht="14.4">
      <c r="A432" s="23"/>
      <c r="B432" s="23"/>
      <c r="C432" s="23"/>
      <c r="D432" s="23"/>
      <c r="E432" s="23"/>
      <c r="F432" s="23"/>
      <c r="G432" s="23"/>
      <c r="H432" s="23"/>
    </row>
    <row r="433" spans="1:8" ht="14.4">
      <c r="A433" s="23"/>
      <c r="B433" s="23"/>
      <c r="C433" s="23"/>
      <c r="D433" s="23"/>
      <c r="E433" s="23"/>
      <c r="F433" s="23"/>
      <c r="G433" s="23"/>
      <c r="H433" s="23"/>
    </row>
    <row r="434" spans="1:8" ht="14.4">
      <c r="A434" s="23"/>
      <c r="B434" s="23"/>
      <c r="C434" s="23"/>
      <c r="D434" s="23"/>
      <c r="E434" s="23"/>
      <c r="F434" s="23"/>
      <c r="G434" s="23"/>
      <c r="H434" s="23"/>
    </row>
    <row r="435" spans="1:8" ht="14.4">
      <c r="A435" s="23"/>
      <c r="B435" s="23"/>
      <c r="C435" s="23"/>
      <c r="D435" s="23"/>
      <c r="E435" s="23"/>
      <c r="F435" s="23"/>
      <c r="G435" s="23"/>
      <c r="H435" s="23"/>
    </row>
    <row r="436" spans="1:8" ht="14.4">
      <c r="A436" s="23"/>
      <c r="B436" s="23"/>
      <c r="C436" s="23"/>
      <c r="D436" s="23"/>
      <c r="E436" s="23"/>
      <c r="F436" s="23"/>
      <c r="G436" s="23"/>
      <c r="H436" s="23"/>
    </row>
    <row r="437" spans="1:8" ht="14.4">
      <c r="A437" s="23"/>
      <c r="B437" s="23"/>
      <c r="C437" s="23"/>
      <c r="D437" s="23"/>
      <c r="E437" s="23"/>
      <c r="F437" s="23"/>
      <c r="G437" s="23"/>
      <c r="H437" s="23"/>
    </row>
    <row r="438" spans="1:8" ht="14.4">
      <c r="A438" s="23"/>
      <c r="B438" s="23"/>
      <c r="C438" s="23"/>
      <c r="D438" s="23"/>
      <c r="E438" s="23"/>
      <c r="F438" s="23"/>
      <c r="G438" s="23"/>
      <c r="H438" s="23"/>
    </row>
    <row r="439" spans="1:8" ht="14.4">
      <c r="A439" s="23"/>
      <c r="B439" s="23"/>
      <c r="C439" s="23"/>
      <c r="D439" s="23"/>
      <c r="E439" s="23"/>
      <c r="F439" s="23"/>
      <c r="G439" s="23"/>
      <c r="H439" s="23"/>
    </row>
    <row r="440" spans="1:8" ht="14.4">
      <c r="A440" s="23"/>
      <c r="B440" s="23"/>
      <c r="C440" s="23"/>
      <c r="D440" s="23"/>
      <c r="E440" s="23"/>
      <c r="F440" s="23"/>
      <c r="G440" s="23"/>
      <c r="H440" s="23"/>
    </row>
    <row r="441" spans="1:8" ht="14.4">
      <c r="A441" s="23"/>
      <c r="B441" s="23"/>
      <c r="C441" s="23"/>
      <c r="D441" s="23"/>
      <c r="E441" s="23"/>
      <c r="F441" s="23"/>
      <c r="G441" s="23"/>
      <c r="H441" s="23"/>
    </row>
    <row r="442" spans="1:8" ht="14.4">
      <c r="A442" s="23"/>
      <c r="B442" s="23"/>
      <c r="C442" s="23"/>
      <c r="D442" s="23"/>
      <c r="E442" s="23"/>
      <c r="F442" s="23"/>
      <c r="G442" s="23"/>
      <c r="H442" s="23"/>
    </row>
    <row r="443" spans="1:8" ht="14.4">
      <c r="A443" s="23"/>
      <c r="B443" s="23"/>
      <c r="C443" s="23"/>
      <c r="D443" s="23"/>
      <c r="E443" s="23"/>
      <c r="F443" s="23"/>
      <c r="G443" s="23"/>
      <c r="H443" s="23"/>
    </row>
    <row r="444" spans="1:8" ht="14.4">
      <c r="A444" s="23"/>
      <c r="B444" s="23"/>
      <c r="C444" s="23"/>
      <c r="D444" s="23"/>
      <c r="E444" s="23"/>
      <c r="F444" s="23"/>
      <c r="G444" s="23"/>
      <c r="H444" s="23"/>
    </row>
    <row r="445" spans="1:8" ht="14.4">
      <c r="A445" s="23"/>
      <c r="B445" s="23"/>
      <c r="C445" s="23"/>
      <c r="D445" s="23"/>
      <c r="E445" s="23"/>
      <c r="F445" s="23"/>
      <c r="G445" s="23"/>
      <c r="H445" s="23"/>
    </row>
    <row r="446" spans="1:8" ht="14.4">
      <c r="A446" s="23"/>
      <c r="B446" s="23"/>
      <c r="C446" s="23"/>
      <c r="D446" s="23"/>
      <c r="E446" s="23"/>
      <c r="F446" s="23"/>
      <c r="G446" s="23"/>
      <c r="H446" s="23"/>
    </row>
    <row r="447" spans="1:8" ht="14.4">
      <c r="A447" s="23"/>
      <c r="B447" s="23"/>
      <c r="C447" s="23"/>
      <c r="D447" s="23"/>
      <c r="E447" s="23"/>
      <c r="F447" s="23"/>
      <c r="G447" s="23"/>
      <c r="H447" s="23"/>
    </row>
    <row r="448" spans="1:8" ht="14.4">
      <c r="A448" s="23"/>
      <c r="B448" s="23"/>
      <c r="C448" s="23"/>
      <c r="D448" s="23"/>
      <c r="E448" s="23"/>
      <c r="F448" s="23"/>
      <c r="G448" s="23"/>
      <c r="H448" s="23"/>
    </row>
    <row r="449" spans="1:8" ht="14.4">
      <c r="A449" s="23"/>
      <c r="B449" s="23"/>
      <c r="C449" s="23"/>
      <c r="D449" s="23"/>
      <c r="E449" s="23"/>
      <c r="F449" s="23"/>
      <c r="G449" s="23"/>
      <c r="H449" s="23"/>
    </row>
    <row r="450" spans="1:8" ht="14.4">
      <c r="A450" s="23"/>
      <c r="B450" s="23"/>
      <c r="C450" s="23"/>
      <c r="D450" s="23"/>
      <c r="E450" s="23"/>
      <c r="F450" s="23"/>
      <c r="G450" s="23"/>
      <c r="H450" s="23"/>
    </row>
    <row r="451" spans="1:8" ht="14.4">
      <c r="A451" s="23"/>
      <c r="B451" s="23"/>
      <c r="C451" s="23"/>
      <c r="D451" s="23"/>
      <c r="E451" s="23"/>
      <c r="F451" s="23"/>
      <c r="G451" s="23"/>
      <c r="H451" s="23"/>
    </row>
    <row r="452" spans="1:8" ht="14.4">
      <c r="A452" s="23"/>
      <c r="B452" s="23"/>
      <c r="C452" s="23"/>
      <c r="D452" s="23"/>
      <c r="E452" s="23"/>
      <c r="F452" s="23"/>
      <c r="G452" s="23"/>
      <c r="H452" s="23"/>
    </row>
    <row r="453" spans="1:8" ht="14.4">
      <c r="A453" s="23"/>
      <c r="B453" s="23"/>
      <c r="C453" s="23"/>
      <c r="D453" s="23"/>
      <c r="E453" s="23"/>
      <c r="F453" s="23"/>
      <c r="G453" s="23"/>
      <c r="H453" s="23"/>
    </row>
    <row r="454" spans="1:8" ht="14.4">
      <c r="A454" s="23"/>
      <c r="B454" s="23"/>
      <c r="C454" s="23"/>
      <c r="D454" s="23"/>
      <c r="E454" s="23"/>
      <c r="F454" s="23"/>
      <c r="G454" s="23"/>
      <c r="H454" s="23"/>
    </row>
    <row r="455" spans="1:8" ht="14.4">
      <c r="A455" s="23"/>
      <c r="B455" s="23"/>
      <c r="C455" s="23"/>
      <c r="D455" s="23"/>
      <c r="E455" s="23"/>
      <c r="F455" s="23"/>
      <c r="G455" s="23"/>
      <c r="H455" s="23"/>
    </row>
    <row r="456" spans="1:8" ht="14.4">
      <c r="A456" s="23"/>
      <c r="B456" s="23"/>
      <c r="C456" s="23"/>
      <c r="D456" s="23"/>
      <c r="E456" s="23"/>
      <c r="F456" s="23"/>
      <c r="G456" s="23"/>
      <c r="H456" s="23"/>
    </row>
    <row r="457" spans="1:8" ht="14.4">
      <c r="A457" s="23"/>
      <c r="B457" s="23"/>
      <c r="C457" s="23"/>
      <c r="D457" s="23"/>
      <c r="E457" s="23"/>
      <c r="F457" s="23"/>
      <c r="G457" s="23"/>
      <c r="H457" s="23"/>
    </row>
    <row r="458" spans="1:8" ht="14.4">
      <c r="A458" s="23"/>
      <c r="B458" s="23"/>
      <c r="C458" s="23"/>
      <c r="D458" s="23"/>
      <c r="E458" s="23"/>
      <c r="F458" s="23"/>
      <c r="G458" s="23"/>
      <c r="H458" s="23"/>
    </row>
    <row r="459" spans="1:8" ht="14.4">
      <c r="A459" s="23"/>
      <c r="B459" s="23"/>
      <c r="C459" s="23"/>
      <c r="D459" s="23"/>
      <c r="E459" s="23"/>
      <c r="F459" s="23"/>
      <c r="G459" s="23"/>
      <c r="H459" s="23"/>
    </row>
    <row r="460" spans="1:8" ht="14.4">
      <c r="A460" s="23"/>
      <c r="B460" s="23"/>
      <c r="C460" s="23"/>
      <c r="D460" s="23"/>
      <c r="E460" s="23"/>
      <c r="F460" s="23"/>
      <c r="G460" s="23"/>
      <c r="H460" s="23"/>
    </row>
    <row r="461" spans="1:8" ht="14.4">
      <c r="A461" s="23"/>
      <c r="B461" s="23"/>
      <c r="C461" s="23"/>
      <c r="D461" s="23"/>
      <c r="E461" s="23"/>
      <c r="F461" s="23"/>
      <c r="G461" s="23"/>
      <c r="H461" s="23"/>
    </row>
    <row r="462" spans="1:8" ht="14.4">
      <c r="A462" s="23"/>
      <c r="B462" s="23"/>
      <c r="C462" s="23"/>
      <c r="D462" s="23"/>
      <c r="E462" s="23"/>
      <c r="F462" s="23"/>
      <c r="G462" s="23"/>
      <c r="H462" s="23"/>
    </row>
    <row r="463" spans="1:8" ht="14.4">
      <c r="A463" s="23"/>
      <c r="B463" s="23"/>
      <c r="C463" s="23"/>
      <c r="D463" s="23"/>
      <c r="E463" s="23"/>
      <c r="F463" s="23"/>
      <c r="G463" s="23"/>
      <c r="H463" s="23"/>
    </row>
    <row r="464" spans="1:8" ht="14.4">
      <c r="A464" s="23"/>
      <c r="B464" s="23"/>
      <c r="C464" s="23"/>
      <c r="D464" s="23"/>
      <c r="E464" s="23"/>
      <c r="F464" s="23"/>
      <c r="G464" s="23"/>
      <c r="H464" s="23"/>
    </row>
    <row r="465" spans="1:8" ht="14.4">
      <c r="A465" s="23"/>
      <c r="B465" s="23"/>
      <c r="C465" s="23"/>
      <c r="D465" s="23"/>
      <c r="E465" s="23"/>
      <c r="F465" s="23"/>
      <c r="G465" s="23"/>
      <c r="H465" s="23"/>
    </row>
    <row r="466" spans="1:8" ht="14.4">
      <c r="A466" s="23"/>
      <c r="B466" s="23"/>
      <c r="C466" s="23"/>
      <c r="D466" s="23"/>
      <c r="E466" s="23"/>
      <c r="F466" s="23"/>
      <c r="G466" s="23"/>
      <c r="H466" s="23"/>
    </row>
    <row r="467" spans="1:8" ht="14.4">
      <c r="A467" s="23"/>
      <c r="B467" s="23"/>
      <c r="C467" s="23"/>
      <c r="D467" s="23"/>
      <c r="E467" s="23"/>
      <c r="F467" s="23"/>
      <c r="G467" s="23"/>
      <c r="H467" s="23"/>
    </row>
    <row r="468" spans="1:8" ht="14.4">
      <c r="A468" s="23"/>
      <c r="B468" s="23"/>
      <c r="C468" s="23"/>
      <c r="D468" s="23"/>
      <c r="E468" s="23"/>
      <c r="F468" s="23"/>
      <c r="G468" s="23"/>
      <c r="H468" s="23"/>
    </row>
    <row r="469" spans="1:8" ht="14.4">
      <c r="A469" s="23"/>
      <c r="B469" s="23"/>
      <c r="C469" s="23"/>
      <c r="D469" s="23"/>
      <c r="E469" s="23"/>
      <c r="F469" s="23"/>
      <c r="G469" s="23"/>
      <c r="H469" s="23"/>
    </row>
    <row r="470" spans="1:8" ht="14.4">
      <c r="A470" s="23"/>
      <c r="B470" s="23"/>
      <c r="C470" s="23"/>
      <c r="D470" s="23"/>
      <c r="E470" s="23"/>
      <c r="F470" s="23"/>
      <c r="G470" s="23"/>
      <c r="H470" s="23"/>
    </row>
    <row r="471" spans="1:8" ht="14.4">
      <c r="A471" s="23"/>
      <c r="B471" s="23"/>
      <c r="C471" s="23"/>
      <c r="D471" s="23"/>
      <c r="E471" s="23"/>
      <c r="F471" s="23"/>
      <c r="G471" s="23"/>
      <c r="H471" s="23"/>
    </row>
    <row r="472" spans="1:8" ht="14.4">
      <c r="A472" s="23"/>
      <c r="B472" s="23"/>
      <c r="C472" s="23"/>
      <c r="D472" s="23"/>
      <c r="E472" s="23"/>
      <c r="F472" s="23"/>
      <c r="G472" s="23"/>
      <c r="H472" s="23"/>
    </row>
    <row r="473" spans="1:8" ht="14.4">
      <c r="A473" s="23"/>
      <c r="B473" s="23"/>
      <c r="C473" s="23"/>
      <c r="D473" s="23"/>
      <c r="E473" s="23"/>
      <c r="F473" s="23"/>
      <c r="G473" s="23"/>
      <c r="H473" s="23"/>
    </row>
    <row r="474" spans="1:8" ht="14.4">
      <c r="A474" s="23"/>
      <c r="B474" s="23"/>
      <c r="C474" s="23"/>
      <c r="D474" s="23"/>
      <c r="E474" s="23"/>
      <c r="F474" s="23"/>
      <c r="G474" s="23"/>
      <c r="H474" s="23"/>
    </row>
    <row r="475" spans="1:8" ht="14.4">
      <c r="A475" s="23"/>
      <c r="B475" s="23"/>
      <c r="C475" s="23"/>
      <c r="D475" s="23"/>
      <c r="E475" s="23"/>
      <c r="F475" s="23"/>
      <c r="G475" s="23"/>
      <c r="H475" s="23"/>
    </row>
    <row r="476" spans="1:8" ht="14.4">
      <c r="A476" s="23"/>
      <c r="B476" s="23"/>
      <c r="C476" s="23"/>
      <c r="D476" s="23"/>
      <c r="E476" s="23"/>
      <c r="F476" s="23"/>
      <c r="G476" s="23"/>
      <c r="H476" s="23"/>
    </row>
    <row r="477" spans="1:8" ht="14.4">
      <c r="A477" s="23"/>
      <c r="B477" s="23"/>
      <c r="C477" s="23"/>
      <c r="D477" s="23"/>
      <c r="E477" s="23"/>
      <c r="F477" s="23"/>
      <c r="G477" s="23"/>
      <c r="H477" s="23"/>
    </row>
    <row r="478" spans="1:8" ht="14.4">
      <c r="A478" s="23"/>
      <c r="B478" s="23"/>
      <c r="C478" s="23"/>
      <c r="D478" s="23"/>
      <c r="E478" s="23"/>
      <c r="F478" s="23"/>
      <c r="G478" s="23"/>
      <c r="H478" s="23"/>
    </row>
    <row r="479" spans="1:8" ht="14.4">
      <c r="A479" s="23"/>
      <c r="B479" s="23"/>
      <c r="C479" s="23"/>
      <c r="D479" s="23"/>
      <c r="E479" s="23"/>
      <c r="F479" s="23"/>
      <c r="G479" s="23"/>
      <c r="H479" s="23"/>
    </row>
    <row r="480" spans="1:8" ht="14.4">
      <c r="A480" s="23"/>
      <c r="B480" s="23"/>
      <c r="C480" s="23"/>
      <c r="D480" s="23"/>
      <c r="E480" s="23"/>
      <c r="F480" s="23"/>
      <c r="G480" s="23"/>
      <c r="H480" s="23"/>
    </row>
    <row r="481" spans="1:8" ht="14.4">
      <c r="A481" s="23"/>
      <c r="B481" s="23"/>
      <c r="C481" s="23"/>
      <c r="D481" s="23"/>
      <c r="E481" s="23"/>
      <c r="F481" s="23"/>
      <c r="G481" s="23"/>
      <c r="H481" s="23"/>
    </row>
    <row r="482" spans="1:8" ht="14.4">
      <c r="A482" s="23"/>
      <c r="B482" s="23"/>
      <c r="C482" s="23"/>
      <c r="D482" s="23"/>
      <c r="E482" s="23"/>
      <c r="F482" s="23"/>
      <c r="G482" s="23"/>
      <c r="H482" s="23"/>
    </row>
    <row r="483" spans="1:8" ht="14.4">
      <c r="A483" s="23"/>
      <c r="B483" s="23"/>
      <c r="C483" s="23"/>
      <c r="D483" s="23"/>
      <c r="E483" s="23"/>
      <c r="F483" s="23"/>
      <c r="G483" s="23"/>
      <c r="H483" s="23"/>
    </row>
    <row r="484" spans="1:8" ht="14.4">
      <c r="A484" s="23"/>
      <c r="B484" s="23"/>
      <c r="C484" s="23"/>
      <c r="D484" s="23"/>
      <c r="E484" s="23"/>
      <c r="F484" s="23"/>
      <c r="G484" s="23"/>
      <c r="H484" s="23"/>
    </row>
    <row r="485" spans="1:8" ht="14.4">
      <c r="A485" s="23"/>
      <c r="B485" s="23"/>
      <c r="C485" s="23"/>
      <c r="D485" s="23"/>
      <c r="E485" s="23"/>
      <c r="F485" s="23"/>
      <c r="G485" s="23"/>
      <c r="H485" s="23"/>
    </row>
    <row r="486" spans="1:8" ht="14.4">
      <c r="A486" s="23"/>
      <c r="B486" s="23"/>
      <c r="C486" s="23"/>
      <c r="D486" s="23"/>
      <c r="E486" s="23"/>
      <c r="F486" s="23"/>
      <c r="G486" s="23"/>
      <c r="H486" s="23"/>
    </row>
    <row r="487" spans="1:8" ht="14.4">
      <c r="A487" s="23"/>
      <c r="B487" s="23"/>
      <c r="C487" s="23"/>
      <c r="D487" s="23"/>
      <c r="E487" s="23"/>
      <c r="F487" s="23"/>
      <c r="G487" s="23"/>
      <c r="H487" s="23"/>
    </row>
    <row r="488" spans="1:8" ht="14.4">
      <c r="A488" s="23"/>
      <c r="B488" s="23"/>
      <c r="C488" s="23"/>
      <c r="D488" s="23"/>
      <c r="E488" s="23"/>
      <c r="F488" s="23"/>
      <c r="G488" s="23"/>
      <c r="H488" s="23"/>
    </row>
    <row r="489" spans="1:8" ht="14.4">
      <c r="A489" s="23"/>
      <c r="B489" s="23"/>
      <c r="C489" s="23"/>
      <c r="D489" s="23"/>
      <c r="E489" s="23"/>
      <c r="F489" s="23"/>
      <c r="G489" s="23"/>
      <c r="H489" s="23"/>
    </row>
    <row r="490" spans="1:8" ht="14.4">
      <c r="A490" s="23"/>
      <c r="B490" s="23"/>
      <c r="C490" s="23"/>
      <c r="D490" s="23"/>
      <c r="E490" s="23"/>
      <c r="F490" s="23"/>
      <c r="G490" s="23"/>
      <c r="H490" s="23"/>
    </row>
    <row r="491" spans="1:8" ht="14.4">
      <c r="A491" s="23"/>
      <c r="B491" s="23"/>
      <c r="C491" s="23"/>
      <c r="D491" s="23"/>
      <c r="E491" s="23"/>
      <c r="F491" s="23"/>
      <c r="G491" s="23"/>
      <c r="H491" s="23"/>
    </row>
    <row r="492" spans="1:8" ht="14.4">
      <c r="A492" s="23"/>
      <c r="B492" s="23"/>
      <c r="C492" s="23"/>
      <c r="D492" s="23"/>
      <c r="E492" s="23"/>
      <c r="F492" s="23"/>
      <c r="G492" s="23"/>
      <c r="H492" s="23"/>
    </row>
    <row r="493" spans="1:8" ht="14.4">
      <c r="A493" s="23"/>
      <c r="B493" s="23"/>
      <c r="C493" s="23"/>
      <c r="D493" s="23"/>
      <c r="E493" s="23"/>
      <c r="F493" s="23"/>
      <c r="G493" s="23"/>
      <c r="H493" s="23"/>
    </row>
    <row r="494" spans="1:8" ht="14.4">
      <c r="A494" s="23"/>
      <c r="B494" s="23"/>
      <c r="C494" s="23"/>
      <c r="D494" s="23"/>
      <c r="E494" s="23"/>
      <c r="F494" s="23"/>
      <c r="G494" s="23"/>
      <c r="H494" s="23"/>
    </row>
    <row r="495" spans="1:8" ht="14.4">
      <c r="A495" s="23"/>
      <c r="B495" s="23"/>
      <c r="C495" s="23"/>
      <c r="D495" s="23"/>
      <c r="E495" s="23"/>
      <c r="F495" s="23"/>
      <c r="G495" s="23"/>
      <c r="H495" s="23"/>
    </row>
    <row r="496" spans="1:8" ht="14.4">
      <c r="A496" s="23"/>
      <c r="B496" s="23"/>
      <c r="C496" s="23"/>
      <c r="D496" s="23"/>
      <c r="E496" s="23"/>
      <c r="F496" s="23"/>
      <c r="G496" s="23"/>
      <c r="H496" s="23"/>
    </row>
    <row r="497" spans="1:8" ht="14.4">
      <c r="A497" s="23"/>
      <c r="B497" s="23"/>
      <c r="C497" s="23"/>
      <c r="D497" s="23"/>
      <c r="E497" s="23"/>
      <c r="F497" s="23"/>
      <c r="G497" s="23"/>
      <c r="H497" s="23"/>
    </row>
    <row r="498" spans="1:8" ht="14.4">
      <c r="A498" s="23"/>
      <c r="B498" s="23"/>
      <c r="C498" s="23"/>
      <c r="D498" s="23"/>
      <c r="E498" s="23"/>
      <c r="F498" s="23"/>
      <c r="G498" s="23"/>
      <c r="H498" s="23"/>
    </row>
    <row r="499" spans="1:8" ht="14.4">
      <c r="A499" s="23"/>
      <c r="B499" s="23"/>
      <c r="C499" s="23"/>
      <c r="D499" s="23"/>
      <c r="E499" s="23"/>
      <c r="F499" s="23"/>
      <c r="G499" s="23"/>
      <c r="H499" s="23"/>
    </row>
    <row r="500" spans="1:8" ht="14.4">
      <c r="A500" s="23"/>
      <c r="B500" s="23"/>
      <c r="C500" s="23"/>
      <c r="D500" s="23"/>
      <c r="E500" s="23"/>
      <c r="F500" s="23"/>
      <c r="G500" s="23"/>
      <c r="H500" s="23"/>
    </row>
    <row r="501" spans="1:8" ht="14.4">
      <c r="A501" s="23"/>
      <c r="B501" s="23"/>
      <c r="C501" s="23"/>
      <c r="D501" s="23"/>
      <c r="E501" s="23"/>
      <c r="F501" s="23"/>
      <c r="G501" s="23"/>
      <c r="H501" s="23"/>
    </row>
    <row r="502" spans="1:8" ht="14.4">
      <c r="A502" s="23"/>
      <c r="B502" s="23"/>
      <c r="C502" s="23"/>
      <c r="D502" s="23"/>
      <c r="E502" s="23"/>
      <c r="F502" s="23"/>
      <c r="G502" s="23"/>
      <c r="H502" s="23"/>
    </row>
    <row r="503" spans="1:8" ht="14.4">
      <c r="A503" s="23"/>
      <c r="B503" s="23"/>
      <c r="C503" s="23"/>
      <c r="D503" s="23"/>
      <c r="E503" s="23"/>
      <c r="F503" s="23"/>
      <c r="G503" s="23"/>
      <c r="H503" s="23"/>
    </row>
    <row r="504" spans="1:8" ht="14.4">
      <c r="A504" s="23"/>
      <c r="B504" s="23"/>
      <c r="C504" s="23"/>
      <c r="D504" s="23"/>
      <c r="E504" s="23"/>
      <c r="F504" s="23"/>
      <c r="G504" s="23"/>
      <c r="H504" s="23"/>
    </row>
    <row r="505" spans="1:8" ht="14.4">
      <c r="A505" s="23"/>
      <c r="B505" s="23"/>
      <c r="C505" s="23"/>
      <c r="D505" s="23"/>
      <c r="E505" s="23"/>
      <c r="F505" s="23"/>
      <c r="G505" s="23"/>
      <c r="H505" s="23"/>
    </row>
    <row r="506" spans="1:8" ht="14.4">
      <c r="A506" s="23"/>
      <c r="B506" s="23"/>
      <c r="C506" s="23"/>
      <c r="D506" s="23"/>
      <c r="E506" s="23"/>
      <c r="F506" s="23"/>
      <c r="G506" s="23"/>
      <c r="H506" s="23"/>
    </row>
    <row r="507" spans="1:8" ht="14.4">
      <c r="A507" s="23"/>
      <c r="B507" s="23"/>
      <c r="C507" s="23"/>
      <c r="D507" s="23"/>
      <c r="E507" s="23"/>
      <c r="F507" s="23"/>
      <c r="G507" s="23"/>
      <c r="H507" s="23"/>
    </row>
    <row r="508" spans="1:8" ht="14.4">
      <c r="A508" s="23"/>
      <c r="B508" s="23"/>
      <c r="C508" s="23"/>
      <c r="D508" s="23"/>
      <c r="E508" s="23"/>
      <c r="F508" s="23"/>
      <c r="G508" s="23"/>
      <c r="H508" s="23"/>
    </row>
    <row r="509" spans="1:8" ht="14.4">
      <c r="A509" s="23"/>
      <c r="B509" s="23"/>
      <c r="C509" s="23"/>
      <c r="D509" s="23"/>
      <c r="E509" s="23"/>
      <c r="F509" s="23"/>
      <c r="G509" s="23"/>
      <c r="H509" s="23"/>
    </row>
    <row r="510" spans="1:8" ht="14.4">
      <c r="A510" s="23"/>
      <c r="B510" s="23"/>
      <c r="C510" s="23"/>
      <c r="D510" s="23"/>
      <c r="E510" s="23"/>
      <c r="F510" s="23"/>
      <c r="G510" s="23"/>
      <c r="H510" s="23"/>
    </row>
    <row r="511" spans="1:8" ht="14.4">
      <c r="A511" s="23"/>
      <c r="B511" s="23"/>
      <c r="C511" s="23"/>
      <c r="D511" s="23"/>
      <c r="E511" s="23"/>
      <c r="F511" s="23"/>
      <c r="G511" s="23"/>
      <c r="H511" s="23"/>
    </row>
    <row r="512" spans="1:8" ht="14.4">
      <c r="A512" s="23"/>
      <c r="B512" s="23"/>
      <c r="C512" s="23"/>
      <c r="D512" s="23"/>
      <c r="E512" s="23"/>
      <c r="F512" s="23"/>
      <c r="G512" s="23"/>
      <c r="H512" s="23"/>
    </row>
    <row r="513" spans="1:8" ht="14.4">
      <c r="A513" s="23"/>
      <c r="B513" s="23"/>
      <c r="C513" s="23"/>
      <c r="D513" s="23"/>
      <c r="E513" s="23"/>
      <c r="F513" s="23"/>
      <c r="G513" s="23"/>
      <c r="H513" s="23"/>
    </row>
    <row r="514" spans="1:8" ht="14.4">
      <c r="A514" s="23"/>
      <c r="B514" s="23"/>
      <c r="C514" s="23"/>
      <c r="D514" s="23"/>
      <c r="E514" s="23"/>
      <c r="F514" s="23"/>
      <c r="G514" s="23"/>
      <c r="H514" s="23"/>
    </row>
    <row r="515" spans="1:8" ht="14.4">
      <c r="A515" s="23"/>
      <c r="B515" s="23"/>
      <c r="C515" s="23"/>
      <c r="D515" s="23"/>
      <c r="E515" s="23"/>
      <c r="F515" s="23"/>
      <c r="G515" s="23"/>
      <c r="H515" s="23"/>
    </row>
    <row r="516" spans="1:8" ht="14.4">
      <c r="A516" s="23"/>
      <c r="B516" s="23"/>
      <c r="C516" s="23"/>
      <c r="D516" s="23"/>
      <c r="E516" s="23"/>
      <c r="F516" s="23"/>
      <c r="G516" s="23"/>
      <c r="H516" s="23"/>
    </row>
    <row r="517" spans="1:8" ht="14.4">
      <c r="A517" s="23"/>
      <c r="B517" s="23"/>
      <c r="C517" s="23"/>
      <c r="D517" s="23"/>
      <c r="E517" s="23"/>
      <c r="F517" s="23"/>
      <c r="G517" s="23"/>
      <c r="H517" s="23"/>
    </row>
    <row r="518" spans="1:8" ht="14.4">
      <c r="A518" s="23"/>
      <c r="B518" s="23"/>
      <c r="C518" s="23"/>
      <c r="D518" s="23"/>
      <c r="E518" s="23"/>
      <c r="F518" s="23"/>
      <c r="G518" s="23"/>
      <c r="H518" s="23"/>
    </row>
    <row r="519" spans="1:8" ht="14.4">
      <c r="A519" s="23"/>
      <c r="B519" s="23"/>
      <c r="C519" s="23"/>
      <c r="D519" s="23"/>
      <c r="E519" s="23"/>
      <c r="F519" s="23"/>
      <c r="G519" s="23"/>
      <c r="H519" s="23"/>
    </row>
    <row r="520" spans="1:8" ht="14.4">
      <c r="A520" s="23"/>
      <c r="B520" s="23"/>
      <c r="C520" s="23"/>
      <c r="D520" s="23"/>
      <c r="E520" s="23"/>
      <c r="F520" s="23"/>
      <c r="G520" s="23"/>
      <c r="H520" s="23"/>
    </row>
    <row r="521" spans="1:8" ht="14.4">
      <c r="A521" s="23"/>
      <c r="B521" s="23"/>
      <c r="C521" s="23"/>
      <c r="D521" s="23"/>
      <c r="E521" s="23"/>
      <c r="F521" s="23"/>
      <c r="G521" s="23"/>
      <c r="H521" s="23"/>
    </row>
    <row r="522" spans="1:8" ht="14.4">
      <c r="A522" s="23"/>
      <c r="B522" s="23"/>
      <c r="C522" s="23"/>
      <c r="D522" s="23"/>
      <c r="E522" s="23"/>
      <c r="F522" s="23"/>
      <c r="G522" s="23"/>
      <c r="H522" s="23"/>
    </row>
    <row r="523" spans="1:8" ht="14.4">
      <c r="A523" s="23"/>
      <c r="B523" s="23"/>
      <c r="C523" s="23"/>
      <c r="D523" s="23"/>
      <c r="E523" s="23"/>
      <c r="F523" s="23"/>
      <c r="G523" s="23"/>
      <c r="H523" s="23"/>
    </row>
    <row r="524" spans="1:8" ht="14.4">
      <c r="A524" s="23"/>
      <c r="B524" s="23"/>
      <c r="C524" s="23"/>
      <c r="D524" s="23"/>
      <c r="E524" s="23"/>
      <c r="F524" s="23"/>
      <c r="G524" s="23"/>
      <c r="H524" s="23"/>
    </row>
    <row r="525" spans="1:8" ht="14.4">
      <c r="A525" s="23"/>
      <c r="B525" s="23"/>
      <c r="C525" s="23"/>
      <c r="D525" s="23"/>
      <c r="E525" s="23"/>
      <c r="F525" s="23"/>
      <c r="G525" s="23"/>
      <c r="H525" s="23"/>
    </row>
    <row r="526" spans="1:8" ht="14.4">
      <c r="A526" s="23"/>
      <c r="B526" s="23"/>
      <c r="C526" s="23"/>
      <c r="D526" s="23"/>
      <c r="E526" s="23"/>
      <c r="F526" s="23"/>
      <c r="G526" s="23"/>
      <c r="H526" s="23"/>
    </row>
    <row r="527" spans="1:8" ht="14.4">
      <c r="A527" s="23"/>
      <c r="B527" s="23"/>
      <c r="C527" s="23"/>
      <c r="D527" s="23"/>
      <c r="E527" s="23"/>
      <c r="F527" s="23"/>
      <c r="G527" s="23"/>
      <c r="H527" s="23"/>
    </row>
    <row r="528" spans="1:8" ht="14.4">
      <c r="A528" s="23"/>
      <c r="B528" s="23"/>
      <c r="C528" s="23"/>
      <c r="D528" s="23"/>
      <c r="E528" s="23"/>
      <c r="F528" s="23"/>
      <c r="G528" s="23"/>
      <c r="H528" s="23"/>
    </row>
    <row r="529" spans="1:8" ht="14.4">
      <c r="A529" s="23"/>
      <c r="B529" s="23"/>
      <c r="C529" s="23"/>
      <c r="D529" s="23"/>
      <c r="E529" s="23"/>
      <c r="F529" s="23"/>
      <c r="G529" s="23"/>
      <c r="H529" s="23"/>
    </row>
    <row r="530" spans="1:8" ht="14.4">
      <c r="A530" s="23"/>
      <c r="B530" s="23"/>
      <c r="C530" s="23"/>
      <c r="D530" s="23"/>
      <c r="E530" s="23"/>
      <c r="F530" s="23"/>
      <c r="G530" s="23"/>
      <c r="H530" s="23"/>
    </row>
    <row r="531" spans="1:8" ht="14.4">
      <c r="A531" s="23"/>
      <c r="B531" s="23"/>
      <c r="C531" s="23"/>
      <c r="D531" s="23"/>
      <c r="E531" s="23"/>
      <c r="F531" s="23"/>
      <c r="G531" s="23"/>
      <c r="H531" s="23"/>
    </row>
    <row r="532" spans="1:8" ht="14.4">
      <c r="A532" s="23"/>
      <c r="B532" s="23"/>
      <c r="C532" s="23"/>
      <c r="D532" s="23"/>
      <c r="E532" s="23"/>
      <c r="F532" s="23"/>
      <c r="G532" s="23"/>
      <c r="H532" s="23"/>
    </row>
    <row r="533" spans="1:8" ht="14.4">
      <c r="A533" s="23"/>
      <c r="B533" s="23"/>
      <c r="C533" s="23"/>
      <c r="D533" s="23"/>
      <c r="E533" s="23"/>
      <c r="F533" s="23"/>
      <c r="G533" s="23"/>
      <c r="H533" s="23"/>
    </row>
    <row r="534" spans="1:8" ht="14.4">
      <c r="A534" s="23"/>
      <c r="B534" s="23"/>
      <c r="C534" s="23"/>
      <c r="D534" s="23"/>
      <c r="E534" s="23"/>
      <c r="F534" s="23"/>
      <c r="G534" s="23"/>
      <c r="H534" s="23"/>
    </row>
    <row r="535" spans="1:8" ht="14.4">
      <c r="A535" s="23"/>
      <c r="B535" s="23"/>
      <c r="C535" s="23"/>
      <c r="D535" s="23"/>
      <c r="E535" s="23"/>
      <c r="F535" s="23"/>
      <c r="G535" s="23"/>
      <c r="H535" s="23"/>
    </row>
    <row r="536" spans="1:8" ht="14.4">
      <c r="A536" s="23"/>
      <c r="B536" s="23"/>
      <c r="C536" s="23"/>
      <c r="D536" s="23"/>
      <c r="E536" s="23"/>
      <c r="F536" s="23"/>
      <c r="G536" s="23"/>
      <c r="H536" s="23"/>
    </row>
    <row r="537" spans="1:8" ht="14.4">
      <c r="A537" s="23"/>
      <c r="B537" s="23"/>
      <c r="C537" s="23"/>
      <c r="D537" s="23"/>
      <c r="E537" s="23"/>
      <c r="F537" s="23"/>
      <c r="G537" s="23"/>
      <c r="H537" s="23"/>
    </row>
    <row r="538" spans="1:8" ht="14.4">
      <c r="A538" s="23"/>
      <c r="B538" s="23"/>
      <c r="C538" s="23"/>
      <c r="D538" s="23"/>
      <c r="E538" s="23"/>
      <c r="F538" s="23"/>
      <c r="G538" s="23"/>
      <c r="H538" s="23"/>
    </row>
    <row r="539" spans="1:8" ht="14.4">
      <c r="A539" s="23"/>
      <c r="B539" s="23"/>
      <c r="C539" s="23"/>
      <c r="D539" s="23"/>
      <c r="E539" s="23"/>
      <c r="F539" s="23"/>
      <c r="G539" s="23"/>
      <c r="H539" s="23"/>
    </row>
    <row r="540" spans="1:8" ht="14.4">
      <c r="A540" s="23"/>
      <c r="B540" s="23"/>
      <c r="C540" s="23"/>
      <c r="D540" s="23"/>
      <c r="E540" s="23"/>
      <c r="F540" s="23"/>
      <c r="G540" s="23"/>
      <c r="H540" s="23"/>
    </row>
    <row r="541" spans="1:8" ht="14.4">
      <c r="A541" s="23"/>
      <c r="B541" s="23"/>
      <c r="C541" s="23"/>
      <c r="D541" s="23"/>
      <c r="E541" s="23"/>
      <c r="F541" s="23"/>
      <c r="G541" s="23"/>
      <c r="H541" s="23"/>
    </row>
    <row r="542" spans="1:8" ht="14.4">
      <c r="A542" s="23"/>
      <c r="B542" s="23"/>
      <c r="C542" s="23"/>
      <c r="D542" s="23"/>
      <c r="E542" s="23"/>
      <c r="F542" s="23"/>
      <c r="G542" s="23"/>
      <c r="H542" s="23"/>
    </row>
    <row r="543" spans="1:8" ht="14.4">
      <c r="A543" s="23"/>
      <c r="B543" s="23"/>
      <c r="C543" s="23"/>
      <c r="D543" s="23"/>
      <c r="E543" s="23"/>
      <c r="F543" s="23"/>
      <c r="G543" s="23"/>
      <c r="H543" s="23"/>
    </row>
    <row r="544" spans="1:8" ht="14.4">
      <c r="A544" s="23"/>
      <c r="B544" s="23"/>
      <c r="C544" s="23"/>
      <c r="D544" s="23"/>
      <c r="E544" s="23"/>
      <c r="F544" s="23"/>
      <c r="G544" s="23"/>
      <c r="H544" s="23"/>
    </row>
    <row r="545" spans="1:8" ht="14.4">
      <c r="A545" s="23"/>
      <c r="B545" s="23"/>
      <c r="C545" s="23"/>
      <c r="D545" s="23"/>
      <c r="E545" s="23"/>
      <c r="F545" s="23"/>
      <c r="G545" s="23"/>
      <c r="H545" s="23"/>
    </row>
    <row r="546" spans="1:8" ht="14.4">
      <c r="A546" s="23"/>
      <c r="B546" s="23"/>
      <c r="C546" s="23"/>
      <c r="D546" s="23"/>
      <c r="E546" s="23"/>
      <c r="F546" s="23"/>
      <c r="G546" s="23"/>
      <c r="H546" s="23"/>
    </row>
    <row r="547" spans="1:8" ht="14.4">
      <c r="A547" s="23"/>
      <c r="B547" s="23"/>
      <c r="C547" s="23"/>
      <c r="D547" s="23"/>
      <c r="E547" s="23"/>
      <c r="F547" s="23"/>
      <c r="G547" s="23"/>
      <c r="H547" s="23"/>
    </row>
    <row r="548" spans="1:8" ht="14.4">
      <c r="A548" s="23"/>
      <c r="B548" s="23"/>
      <c r="C548" s="23"/>
      <c r="D548" s="23"/>
      <c r="E548" s="23"/>
      <c r="F548" s="23"/>
      <c r="G548" s="23"/>
      <c r="H548" s="23"/>
    </row>
    <row r="549" spans="1:8" ht="14.4">
      <c r="A549" s="23"/>
      <c r="B549" s="23"/>
      <c r="C549" s="23"/>
      <c r="D549" s="23"/>
      <c r="E549" s="23"/>
      <c r="F549" s="23"/>
      <c r="G549" s="23"/>
      <c r="H549" s="23"/>
    </row>
    <row r="550" spans="1:8" ht="14.4">
      <c r="A550" s="23"/>
      <c r="B550" s="23"/>
      <c r="C550" s="23"/>
      <c r="D550" s="23"/>
      <c r="E550" s="23"/>
      <c r="F550" s="23"/>
      <c r="G550" s="23"/>
      <c r="H550" s="23"/>
    </row>
    <row r="551" spans="1:8" ht="14.4">
      <c r="A551" s="23"/>
      <c r="B551" s="23"/>
      <c r="C551" s="23"/>
      <c r="D551" s="23"/>
      <c r="E551" s="23"/>
      <c r="F551" s="23"/>
      <c r="G551" s="23"/>
      <c r="H551" s="23"/>
    </row>
    <row r="552" spans="1:8" ht="14.4">
      <c r="A552" s="23"/>
      <c r="B552" s="23"/>
      <c r="C552" s="23"/>
      <c r="D552" s="23"/>
      <c r="E552" s="23"/>
      <c r="F552" s="23"/>
      <c r="G552" s="23"/>
      <c r="H552" s="23"/>
    </row>
    <row r="553" spans="1:8" ht="14.4">
      <c r="A553" s="23"/>
      <c r="B553" s="23"/>
      <c r="C553" s="23"/>
      <c r="D553" s="23"/>
      <c r="E553" s="23"/>
      <c r="F553" s="23"/>
      <c r="G553" s="23"/>
      <c r="H553" s="23"/>
    </row>
    <row r="554" spans="1:8" ht="14.4">
      <c r="A554" s="23"/>
      <c r="B554" s="23"/>
      <c r="C554" s="23"/>
      <c r="D554" s="23"/>
      <c r="E554" s="23"/>
      <c r="F554" s="23"/>
      <c r="G554" s="23"/>
      <c r="H554" s="23"/>
    </row>
    <row r="555" spans="1:8" ht="14.4">
      <c r="A555" s="23"/>
      <c r="B555" s="23"/>
      <c r="C555" s="23"/>
      <c r="D555" s="23"/>
      <c r="E555" s="23"/>
      <c r="F555" s="23"/>
      <c r="G555" s="23"/>
      <c r="H555" s="23"/>
    </row>
    <row r="556" spans="1:8" ht="14.4">
      <c r="A556" s="23"/>
      <c r="B556" s="23"/>
      <c r="C556" s="23"/>
      <c r="D556" s="23"/>
      <c r="E556" s="23"/>
      <c r="F556" s="23"/>
      <c r="G556" s="23"/>
      <c r="H556" s="23"/>
    </row>
    <row r="557" spans="1:8" ht="14.4">
      <c r="A557" s="23"/>
      <c r="B557" s="23"/>
      <c r="C557" s="23"/>
      <c r="D557" s="23"/>
      <c r="E557" s="23"/>
      <c r="F557" s="23"/>
      <c r="G557" s="23"/>
      <c r="H557" s="23"/>
    </row>
    <row r="558" spans="1:8" ht="14.4">
      <c r="A558" s="23"/>
      <c r="B558" s="23"/>
      <c r="C558" s="23"/>
      <c r="D558" s="23"/>
      <c r="E558" s="23"/>
      <c r="F558" s="23"/>
      <c r="G558" s="23"/>
      <c r="H558" s="23"/>
    </row>
    <row r="559" spans="1:8" ht="14.4">
      <c r="A559" s="23"/>
      <c r="B559" s="23"/>
      <c r="C559" s="23"/>
      <c r="D559" s="23"/>
      <c r="E559" s="23"/>
      <c r="F559" s="23"/>
      <c r="G559" s="23"/>
      <c r="H559" s="23"/>
    </row>
    <row r="560" spans="1:8" ht="14.4">
      <c r="A560" s="23"/>
      <c r="B560" s="23"/>
      <c r="C560" s="23"/>
      <c r="D560" s="23"/>
      <c r="E560" s="23"/>
      <c r="F560" s="23"/>
      <c r="G560" s="23"/>
      <c r="H560" s="23"/>
    </row>
    <row r="561" spans="1:8" ht="14.4">
      <c r="A561" s="23"/>
      <c r="B561" s="23"/>
      <c r="C561" s="23"/>
      <c r="D561" s="23"/>
      <c r="E561" s="23"/>
      <c r="F561" s="23"/>
      <c r="G561" s="23"/>
      <c r="H561" s="23"/>
    </row>
    <row r="562" spans="1:8" ht="14.4">
      <c r="A562" s="23"/>
      <c r="B562" s="23"/>
      <c r="C562" s="23"/>
      <c r="D562" s="23"/>
      <c r="E562" s="23"/>
      <c r="F562" s="23"/>
      <c r="G562" s="23"/>
      <c r="H562" s="23"/>
    </row>
    <row r="563" spans="1:8" ht="14.4">
      <c r="A563" s="23"/>
      <c r="B563" s="23"/>
      <c r="C563" s="23"/>
      <c r="D563" s="23"/>
      <c r="E563" s="23"/>
      <c r="F563" s="23"/>
      <c r="G563" s="23"/>
      <c r="H563" s="23"/>
    </row>
    <row r="564" spans="1:8" ht="14.4">
      <c r="A564" s="23"/>
      <c r="B564" s="23"/>
      <c r="C564" s="23"/>
      <c r="D564" s="23"/>
      <c r="E564" s="23"/>
      <c r="F564" s="23"/>
      <c r="G564" s="23"/>
      <c r="H564" s="23"/>
    </row>
    <row r="565" spans="1:8" ht="14.4">
      <c r="A565" s="23"/>
      <c r="B565" s="23"/>
      <c r="C565" s="23"/>
      <c r="D565" s="23"/>
      <c r="E565" s="23"/>
      <c r="F565" s="23"/>
      <c r="G565" s="23"/>
      <c r="H565" s="23"/>
    </row>
    <row r="566" spans="1:8" ht="14.4">
      <c r="A566" s="23"/>
      <c r="B566" s="23"/>
      <c r="C566" s="23"/>
      <c r="D566" s="23"/>
      <c r="E566" s="23"/>
      <c r="F566" s="23"/>
      <c r="G566" s="23"/>
      <c r="H566" s="23"/>
    </row>
    <row r="567" spans="1:8" ht="14.4">
      <c r="A567" s="23"/>
      <c r="B567" s="23"/>
      <c r="C567" s="23"/>
      <c r="D567" s="23"/>
      <c r="E567" s="23"/>
      <c r="F567" s="23"/>
      <c r="G567" s="23"/>
      <c r="H567" s="23"/>
    </row>
    <row r="568" spans="1:8" ht="14.4">
      <c r="A568" s="23"/>
      <c r="B568" s="23"/>
      <c r="C568" s="23"/>
      <c r="D568" s="23"/>
      <c r="E568" s="23"/>
      <c r="F568" s="23"/>
      <c r="G568" s="23"/>
      <c r="H568" s="23"/>
    </row>
    <row r="569" spans="1:8" ht="14.4">
      <c r="A569" s="23"/>
      <c r="B569" s="23"/>
      <c r="C569" s="23"/>
      <c r="D569" s="23"/>
      <c r="E569" s="23"/>
      <c r="F569" s="23"/>
      <c r="G569" s="23"/>
      <c r="H569" s="23"/>
    </row>
    <row r="570" spans="1:8" ht="14.4">
      <c r="A570" s="23"/>
      <c r="B570" s="23"/>
      <c r="C570" s="23"/>
      <c r="D570" s="23"/>
      <c r="E570" s="23"/>
      <c r="F570" s="23"/>
      <c r="G570" s="23"/>
      <c r="H570" s="23"/>
    </row>
    <row r="571" spans="1:8" ht="14.4">
      <c r="A571" s="23"/>
      <c r="B571" s="23"/>
      <c r="C571" s="23"/>
      <c r="D571" s="23"/>
      <c r="E571" s="23"/>
      <c r="F571" s="23"/>
      <c r="G571" s="23"/>
      <c r="H571" s="23"/>
    </row>
    <row r="572" spans="1:8" ht="14.4">
      <c r="A572" s="23"/>
      <c r="B572" s="23"/>
      <c r="C572" s="23"/>
      <c r="D572" s="23"/>
      <c r="E572" s="23"/>
      <c r="F572" s="23"/>
      <c r="G572" s="23"/>
      <c r="H572" s="23"/>
    </row>
    <row r="573" spans="1:8" ht="14.4">
      <c r="A573" s="23"/>
      <c r="B573" s="23"/>
      <c r="C573" s="23"/>
      <c r="D573" s="23"/>
      <c r="E573" s="23"/>
      <c r="F573" s="23"/>
      <c r="G573" s="23"/>
      <c r="H573" s="23"/>
    </row>
    <row r="574" spans="1:8" ht="14.4">
      <c r="A574" s="23"/>
      <c r="B574" s="23"/>
      <c r="C574" s="23"/>
      <c r="D574" s="23"/>
      <c r="E574" s="23"/>
      <c r="F574" s="23"/>
      <c r="G574" s="23"/>
      <c r="H574" s="23"/>
    </row>
    <row r="575" spans="1:8" ht="14.4">
      <c r="A575" s="23"/>
      <c r="B575" s="23"/>
      <c r="C575" s="23"/>
      <c r="D575" s="23"/>
      <c r="E575" s="23"/>
      <c r="F575" s="23"/>
      <c r="G575" s="23"/>
      <c r="H575" s="23"/>
    </row>
    <row r="576" spans="1:8" ht="14.4">
      <c r="A576" s="23"/>
      <c r="B576" s="23"/>
      <c r="C576" s="23"/>
      <c r="D576" s="23"/>
      <c r="E576" s="23"/>
      <c r="F576" s="23"/>
      <c r="G576" s="23"/>
      <c r="H576" s="23"/>
    </row>
    <row r="577" spans="1:8" ht="14.4">
      <c r="A577" s="23"/>
      <c r="B577" s="23"/>
      <c r="C577" s="23"/>
      <c r="D577" s="23"/>
      <c r="E577" s="23"/>
      <c r="F577" s="23"/>
      <c r="G577" s="23"/>
      <c r="H577" s="23"/>
    </row>
    <row r="578" spans="1:8" ht="14.4">
      <c r="A578" s="23"/>
      <c r="B578" s="23"/>
      <c r="C578" s="23"/>
      <c r="D578" s="23"/>
      <c r="E578" s="23"/>
      <c r="F578" s="23"/>
      <c r="G578" s="23"/>
      <c r="H578" s="23"/>
    </row>
    <row r="579" spans="1:8" ht="14.4">
      <c r="A579" s="23"/>
      <c r="B579" s="23"/>
      <c r="C579" s="23"/>
      <c r="D579" s="23"/>
      <c r="E579" s="23"/>
      <c r="F579" s="23"/>
      <c r="G579" s="23"/>
      <c r="H579" s="23"/>
    </row>
    <row r="580" spans="1:8" ht="14.4">
      <c r="A580" s="23"/>
      <c r="B580" s="23"/>
      <c r="C580" s="23"/>
      <c r="D580" s="23"/>
      <c r="E580" s="23"/>
      <c r="F580" s="23"/>
      <c r="G580" s="23"/>
      <c r="H580" s="23"/>
    </row>
    <row r="581" spans="1:8" ht="14.4">
      <c r="A581" s="23"/>
      <c r="B581" s="23"/>
      <c r="C581" s="23"/>
      <c r="D581" s="23"/>
      <c r="E581" s="23"/>
      <c r="F581" s="23"/>
      <c r="G581" s="23"/>
      <c r="H581" s="23"/>
    </row>
    <row r="582" spans="1:8" ht="14.4">
      <c r="A582" s="23"/>
      <c r="B582" s="23"/>
      <c r="C582" s="23"/>
      <c r="D582" s="23"/>
      <c r="E582" s="23"/>
      <c r="F582" s="23"/>
      <c r="G582" s="23"/>
      <c r="H582" s="23"/>
    </row>
    <row r="583" spans="1:8" ht="14.4">
      <c r="A583" s="23"/>
      <c r="B583" s="23"/>
      <c r="C583" s="23"/>
      <c r="D583" s="23"/>
      <c r="E583" s="23"/>
      <c r="F583" s="23"/>
      <c r="G583" s="23"/>
      <c r="H583" s="23"/>
    </row>
    <row r="584" spans="1:8" ht="14.4">
      <c r="A584" s="23"/>
      <c r="B584" s="23"/>
      <c r="C584" s="23"/>
      <c r="D584" s="23"/>
      <c r="E584" s="23"/>
      <c r="F584" s="23"/>
      <c r="G584" s="23"/>
      <c r="H584" s="23"/>
    </row>
    <row r="585" spans="1:8" ht="14.4">
      <c r="A585" s="23"/>
      <c r="B585" s="23"/>
      <c r="C585" s="23"/>
      <c r="D585" s="23"/>
      <c r="E585" s="23"/>
      <c r="F585" s="23"/>
      <c r="G585" s="23"/>
      <c r="H585" s="23"/>
    </row>
    <row r="586" spans="1:8" ht="14.4">
      <c r="A586" s="23"/>
      <c r="B586" s="23"/>
      <c r="C586" s="23"/>
      <c r="D586" s="23"/>
      <c r="E586" s="23"/>
      <c r="F586" s="23"/>
      <c r="G586" s="23"/>
      <c r="H586" s="23"/>
    </row>
    <row r="587" spans="1:8" ht="14.4">
      <c r="A587" s="23"/>
      <c r="B587" s="23"/>
      <c r="C587" s="23"/>
      <c r="D587" s="23"/>
      <c r="E587" s="23"/>
      <c r="F587" s="23"/>
      <c r="G587" s="23"/>
      <c r="H587" s="23"/>
    </row>
    <row r="588" spans="1:8" ht="14.4">
      <c r="A588" s="23"/>
      <c r="B588" s="23"/>
      <c r="C588" s="23"/>
      <c r="D588" s="23"/>
      <c r="E588" s="23"/>
      <c r="F588" s="23"/>
      <c r="G588" s="23"/>
      <c r="H588" s="23"/>
    </row>
    <row r="589" spans="1:8" ht="14.4">
      <c r="A589" s="23"/>
      <c r="B589" s="23"/>
      <c r="C589" s="23"/>
      <c r="D589" s="23"/>
      <c r="E589" s="23"/>
      <c r="F589" s="23"/>
      <c r="G589" s="23"/>
      <c r="H589" s="23"/>
    </row>
    <row r="590" spans="1:8" ht="14.4">
      <c r="A590" s="23"/>
      <c r="B590" s="23"/>
      <c r="C590" s="23"/>
      <c r="D590" s="23"/>
      <c r="E590" s="23"/>
      <c r="F590" s="23"/>
      <c r="G590" s="23"/>
      <c r="H590" s="23"/>
    </row>
    <row r="591" spans="1:8" ht="14.4">
      <c r="A591" s="23"/>
      <c r="B591" s="23"/>
      <c r="C591" s="23"/>
      <c r="D591" s="23"/>
      <c r="E591" s="23"/>
      <c r="F591" s="23"/>
      <c r="G591" s="23"/>
      <c r="H591" s="23"/>
    </row>
    <row r="592" spans="1:8" ht="14.4">
      <c r="A592" s="23"/>
      <c r="B592" s="23"/>
      <c r="C592" s="23"/>
      <c r="D592" s="23"/>
      <c r="E592" s="23"/>
      <c r="F592" s="23"/>
      <c r="G592" s="23"/>
      <c r="H592" s="23"/>
    </row>
    <row r="593" spans="1:8" ht="14.4">
      <c r="A593" s="23"/>
      <c r="B593" s="23"/>
      <c r="C593" s="23"/>
      <c r="D593" s="23"/>
      <c r="E593" s="23"/>
      <c r="F593" s="23"/>
      <c r="G593" s="23"/>
      <c r="H593" s="23"/>
    </row>
    <row r="594" spans="1:8" ht="14.4">
      <c r="A594" s="23"/>
      <c r="B594" s="23"/>
      <c r="C594" s="23"/>
      <c r="D594" s="23"/>
      <c r="E594" s="23"/>
      <c r="F594" s="23"/>
      <c r="G594" s="23"/>
      <c r="H594" s="23"/>
    </row>
    <row r="595" spans="1:8" ht="14.4">
      <c r="A595" s="23"/>
      <c r="B595" s="23"/>
      <c r="C595" s="23"/>
      <c r="D595" s="23"/>
      <c r="E595" s="23"/>
      <c r="F595" s="23"/>
      <c r="G595" s="23"/>
      <c r="H595" s="23"/>
    </row>
    <row r="596" spans="1:8" ht="14.4">
      <c r="A596" s="23"/>
      <c r="B596" s="23"/>
      <c r="C596" s="23"/>
      <c r="D596" s="23"/>
      <c r="E596" s="23"/>
      <c r="F596" s="23"/>
      <c r="G596" s="23"/>
      <c r="H596" s="23"/>
    </row>
    <row r="597" spans="1:8" ht="14.4">
      <c r="A597" s="23"/>
      <c r="B597" s="23"/>
      <c r="C597" s="23"/>
      <c r="D597" s="23"/>
      <c r="E597" s="23"/>
      <c r="F597" s="23"/>
      <c r="G597" s="23"/>
      <c r="H597" s="23"/>
    </row>
    <row r="598" spans="1:8" ht="14.4">
      <c r="A598" s="23"/>
      <c r="B598" s="23"/>
      <c r="C598" s="23"/>
      <c r="D598" s="23"/>
      <c r="E598" s="23"/>
      <c r="F598" s="23"/>
      <c r="G598" s="23"/>
      <c r="H598" s="23"/>
    </row>
    <row r="599" spans="1:8" ht="14.4">
      <c r="A599" s="23"/>
      <c r="B599" s="23"/>
      <c r="C599" s="23"/>
      <c r="D599" s="23"/>
      <c r="E599" s="23"/>
      <c r="F599" s="23"/>
      <c r="G599" s="23"/>
      <c r="H599" s="23"/>
    </row>
    <row r="600" spans="1:8" ht="14.4">
      <c r="A600" s="23"/>
      <c r="B600" s="23"/>
      <c r="C600" s="23"/>
      <c r="D600" s="23"/>
      <c r="E600" s="23"/>
      <c r="F600" s="23"/>
      <c r="G600" s="23"/>
      <c r="H600" s="23"/>
    </row>
    <row r="601" spans="1:8" ht="14.4">
      <c r="A601" s="23"/>
      <c r="B601" s="23"/>
      <c r="C601" s="23"/>
      <c r="D601" s="23"/>
      <c r="E601" s="23"/>
      <c r="F601" s="23"/>
      <c r="G601" s="23"/>
      <c r="H601" s="23"/>
    </row>
    <row r="602" spans="1:8" ht="14.4">
      <c r="A602" s="23"/>
      <c r="B602" s="23"/>
      <c r="C602" s="23"/>
      <c r="D602" s="23"/>
      <c r="E602" s="23"/>
      <c r="F602" s="23"/>
      <c r="G602" s="23"/>
      <c r="H602" s="23"/>
    </row>
    <row r="603" spans="1:8" ht="14.4">
      <c r="A603" s="23"/>
      <c r="B603" s="23"/>
      <c r="C603" s="23"/>
      <c r="D603" s="23"/>
      <c r="E603" s="23"/>
      <c r="F603" s="23"/>
      <c r="G603" s="23"/>
      <c r="H603" s="23"/>
    </row>
    <row r="604" spans="1:8" ht="14.4">
      <c r="A604" s="23"/>
      <c r="B604" s="23"/>
      <c r="C604" s="23"/>
      <c r="D604" s="23"/>
      <c r="E604" s="23"/>
      <c r="F604" s="23"/>
      <c r="G604" s="23"/>
      <c r="H604" s="23"/>
    </row>
    <row r="605" spans="1:8" ht="14.4">
      <c r="A605" s="23"/>
      <c r="B605" s="23"/>
      <c r="C605" s="23"/>
      <c r="D605" s="23"/>
      <c r="E605" s="23"/>
      <c r="F605" s="23"/>
      <c r="G605" s="23"/>
      <c r="H605" s="23"/>
    </row>
    <row r="606" spans="1:8" ht="14.4">
      <c r="A606" s="23"/>
      <c r="B606" s="23"/>
      <c r="C606" s="23"/>
      <c r="D606" s="23"/>
      <c r="E606" s="23"/>
      <c r="F606" s="23"/>
      <c r="G606" s="23"/>
      <c r="H606" s="23"/>
    </row>
    <row r="607" spans="1:8" ht="14.4">
      <c r="A607" s="23"/>
      <c r="B607" s="23"/>
      <c r="C607" s="23"/>
      <c r="D607" s="23"/>
      <c r="E607" s="23"/>
      <c r="F607" s="23"/>
      <c r="G607" s="23"/>
      <c r="H607" s="23"/>
    </row>
    <row r="608" spans="1:8" ht="14.4">
      <c r="A608" s="23"/>
      <c r="B608" s="23"/>
      <c r="C608" s="23"/>
      <c r="D608" s="23"/>
      <c r="E608" s="23"/>
      <c r="F608" s="23"/>
      <c r="G608" s="23"/>
      <c r="H608" s="23"/>
    </row>
    <row r="609" spans="1:8" ht="14.4">
      <c r="A609" s="23"/>
      <c r="B609" s="23"/>
      <c r="C609" s="23"/>
      <c r="D609" s="23"/>
      <c r="E609" s="23"/>
      <c r="F609" s="23"/>
      <c r="G609" s="23"/>
      <c r="H609" s="23"/>
    </row>
    <row r="610" spans="1:8" ht="14.4">
      <c r="A610" s="23"/>
      <c r="B610" s="23"/>
      <c r="C610" s="23"/>
      <c r="D610" s="23"/>
      <c r="E610" s="23"/>
      <c r="F610" s="23"/>
      <c r="G610" s="23"/>
      <c r="H610" s="23"/>
    </row>
    <row r="611" spans="1:8" ht="14.4">
      <c r="A611" s="23"/>
      <c r="B611" s="23"/>
      <c r="C611" s="23"/>
      <c r="D611" s="23"/>
      <c r="E611" s="23"/>
      <c r="F611" s="23"/>
      <c r="G611" s="23"/>
      <c r="H611" s="23"/>
    </row>
    <row r="612" spans="1:8" ht="14.4">
      <c r="A612" s="23"/>
      <c r="B612" s="23"/>
      <c r="C612" s="23"/>
      <c r="D612" s="23"/>
      <c r="E612" s="23"/>
      <c r="F612" s="23"/>
      <c r="G612" s="23"/>
      <c r="H612" s="23"/>
    </row>
    <row r="613" spans="1:8" ht="14.4">
      <c r="A613" s="23"/>
      <c r="B613" s="23"/>
      <c r="C613" s="23"/>
      <c r="D613" s="23"/>
      <c r="E613" s="23"/>
      <c r="F613" s="23"/>
      <c r="G613" s="23"/>
      <c r="H613" s="23"/>
    </row>
    <row r="614" spans="1:8" ht="14.4">
      <c r="A614" s="23"/>
      <c r="B614" s="23"/>
      <c r="C614" s="23"/>
      <c r="D614" s="23"/>
      <c r="E614" s="23"/>
      <c r="F614" s="23"/>
      <c r="G614" s="23"/>
      <c r="H614" s="23"/>
    </row>
    <row r="615" spans="1:8" ht="14.4">
      <c r="A615" s="23"/>
      <c r="B615" s="23"/>
      <c r="C615" s="23"/>
      <c r="D615" s="23"/>
      <c r="E615" s="23"/>
      <c r="F615" s="23"/>
      <c r="G615" s="23"/>
      <c r="H615" s="23"/>
    </row>
    <row r="616" spans="1:8" ht="14.4">
      <c r="A616" s="23"/>
      <c r="B616" s="23"/>
      <c r="C616" s="23"/>
      <c r="D616" s="23"/>
      <c r="E616" s="23"/>
      <c r="F616" s="23"/>
      <c r="G616" s="23"/>
      <c r="H616" s="23"/>
    </row>
    <row r="617" spans="1:8" ht="14.4">
      <c r="A617" s="23"/>
      <c r="B617" s="23"/>
      <c r="C617" s="23"/>
      <c r="D617" s="23"/>
      <c r="E617" s="23"/>
      <c r="F617" s="23"/>
      <c r="G617" s="23"/>
      <c r="H617" s="23"/>
    </row>
    <row r="618" spans="1:8" ht="14.4">
      <c r="A618" s="23"/>
      <c r="B618" s="23"/>
      <c r="C618" s="23"/>
      <c r="D618" s="23"/>
      <c r="E618" s="23"/>
      <c r="F618" s="23"/>
      <c r="G618" s="23"/>
      <c r="H618" s="23"/>
    </row>
    <row r="619" spans="1:8" ht="14.4">
      <c r="A619" s="23"/>
      <c r="B619" s="23"/>
      <c r="C619" s="23"/>
      <c r="D619" s="23"/>
      <c r="E619" s="23"/>
      <c r="F619" s="23"/>
      <c r="G619" s="23"/>
      <c r="H619" s="23"/>
    </row>
    <row r="620" spans="1:8" ht="14.4">
      <c r="A620" s="23"/>
      <c r="B620" s="23"/>
      <c r="C620" s="23"/>
      <c r="D620" s="23"/>
      <c r="E620" s="23"/>
      <c r="F620" s="23"/>
      <c r="G620" s="23"/>
      <c r="H620" s="23"/>
    </row>
    <row r="621" spans="1:8" ht="14.4">
      <c r="A621" s="23"/>
      <c r="B621" s="23"/>
      <c r="C621" s="23"/>
      <c r="D621" s="23"/>
      <c r="E621" s="23"/>
      <c r="F621" s="23"/>
      <c r="G621" s="23"/>
      <c r="H621" s="23"/>
    </row>
    <row r="622" spans="1:8" ht="14.4">
      <c r="A622" s="23"/>
      <c r="B622" s="23"/>
      <c r="C622" s="23"/>
      <c r="D622" s="23"/>
      <c r="E622" s="23"/>
      <c r="F622" s="23"/>
      <c r="G622" s="23"/>
      <c r="H622" s="23"/>
    </row>
    <row r="623" spans="1:8" ht="14.4">
      <c r="A623" s="23"/>
      <c r="B623" s="23"/>
      <c r="C623" s="23"/>
      <c r="D623" s="23"/>
      <c r="E623" s="23"/>
      <c r="F623" s="23"/>
      <c r="G623" s="23"/>
      <c r="H623" s="23"/>
    </row>
    <row r="624" spans="1:8" ht="14.4">
      <c r="A624" s="23"/>
      <c r="B624" s="23"/>
      <c r="C624" s="23"/>
      <c r="D624" s="23"/>
      <c r="E624" s="23"/>
      <c r="F624" s="23"/>
      <c r="G624" s="23"/>
      <c r="H624" s="23"/>
    </row>
    <row r="625" spans="1:8" ht="14.4">
      <c r="A625" s="23"/>
      <c r="B625" s="23"/>
      <c r="C625" s="23"/>
      <c r="D625" s="23"/>
      <c r="E625" s="23"/>
      <c r="F625" s="23"/>
      <c r="G625" s="23"/>
      <c r="H625" s="23"/>
    </row>
    <row r="626" spans="1:8" ht="14.4">
      <c r="A626" s="23"/>
      <c r="B626" s="23"/>
      <c r="C626" s="23"/>
      <c r="D626" s="23"/>
      <c r="E626" s="23"/>
      <c r="F626" s="23"/>
      <c r="G626" s="23"/>
      <c r="H626" s="23"/>
    </row>
    <row r="627" spans="1:8" ht="14.4">
      <c r="A627" s="23"/>
      <c r="B627" s="23"/>
      <c r="C627" s="23"/>
      <c r="D627" s="23"/>
      <c r="E627" s="23"/>
      <c r="F627" s="23"/>
      <c r="G627" s="23"/>
      <c r="H627" s="23"/>
    </row>
    <row r="628" spans="1:8" ht="14.4">
      <c r="A628" s="23"/>
      <c r="B628" s="23"/>
      <c r="C628" s="23"/>
      <c r="D628" s="23"/>
      <c r="E628" s="23"/>
      <c r="F628" s="23"/>
      <c r="G628" s="23"/>
      <c r="H628" s="23"/>
    </row>
    <row r="629" spans="1:8" ht="14.4">
      <c r="A629" s="23"/>
      <c r="B629" s="23"/>
      <c r="C629" s="23"/>
      <c r="D629" s="23"/>
      <c r="E629" s="23"/>
      <c r="F629" s="23"/>
      <c r="G629" s="23"/>
      <c r="H629" s="23"/>
    </row>
    <row r="630" spans="1:8" ht="14.4">
      <c r="A630" s="23"/>
      <c r="B630" s="23"/>
      <c r="C630" s="23"/>
      <c r="D630" s="23"/>
      <c r="E630" s="23"/>
      <c r="F630" s="23"/>
      <c r="G630" s="23"/>
      <c r="H630" s="23"/>
    </row>
    <row r="631" spans="1:8" ht="14.4">
      <c r="A631" s="23"/>
      <c r="B631" s="23"/>
      <c r="C631" s="23"/>
      <c r="D631" s="23"/>
      <c r="E631" s="23"/>
      <c r="F631" s="23"/>
      <c r="G631" s="23"/>
      <c r="H631" s="23"/>
    </row>
    <row r="632" spans="1:8" ht="14.4">
      <c r="A632" s="23"/>
      <c r="B632" s="23"/>
      <c r="C632" s="23"/>
      <c r="D632" s="23"/>
      <c r="E632" s="23"/>
      <c r="F632" s="23"/>
      <c r="G632" s="23"/>
      <c r="H632" s="23"/>
    </row>
    <row r="633" spans="1:8" ht="14.4">
      <c r="A633" s="23"/>
      <c r="B633" s="23"/>
      <c r="C633" s="23"/>
      <c r="D633" s="23"/>
      <c r="E633" s="23"/>
      <c r="F633" s="23"/>
      <c r="G633" s="23"/>
      <c r="H633" s="23"/>
    </row>
    <row r="634" spans="1:8" ht="14.4">
      <c r="A634" s="23"/>
      <c r="B634" s="23"/>
      <c r="C634" s="23"/>
      <c r="D634" s="23"/>
      <c r="E634" s="23"/>
      <c r="F634" s="23"/>
      <c r="G634" s="23"/>
      <c r="H634" s="23"/>
    </row>
    <row r="635" spans="1:8" ht="14.4">
      <c r="A635" s="23"/>
      <c r="B635" s="23"/>
      <c r="C635" s="23"/>
      <c r="D635" s="23"/>
      <c r="E635" s="23"/>
      <c r="F635" s="23"/>
      <c r="G635" s="23"/>
      <c r="H635" s="23"/>
    </row>
    <row r="636" spans="1:8" ht="14.4">
      <c r="A636" s="23"/>
      <c r="B636" s="23"/>
      <c r="C636" s="23"/>
      <c r="D636" s="23"/>
      <c r="E636" s="23"/>
      <c r="F636" s="23"/>
      <c r="G636" s="23"/>
      <c r="H636" s="23"/>
    </row>
    <row r="637" spans="1:8" ht="14.4">
      <c r="A637" s="23"/>
      <c r="B637" s="23"/>
      <c r="C637" s="23"/>
      <c r="D637" s="23"/>
      <c r="E637" s="23"/>
      <c r="F637" s="23"/>
      <c r="G637" s="23"/>
      <c r="H637" s="23"/>
    </row>
    <row r="638" spans="1:8" ht="14.4">
      <c r="A638" s="23"/>
      <c r="B638" s="23"/>
      <c r="C638" s="23"/>
      <c r="D638" s="23"/>
      <c r="E638" s="23"/>
      <c r="F638" s="23"/>
      <c r="G638" s="23"/>
      <c r="H638" s="23"/>
    </row>
    <row r="639" spans="1:8" ht="14.4">
      <c r="A639" s="23"/>
      <c r="B639" s="23"/>
      <c r="C639" s="23"/>
      <c r="D639" s="23"/>
      <c r="E639" s="23"/>
      <c r="F639" s="23"/>
      <c r="G639" s="23"/>
      <c r="H639" s="23"/>
    </row>
    <row r="640" spans="1:8" ht="14.4">
      <c r="A640" s="23"/>
      <c r="B640" s="23"/>
      <c r="C640" s="23"/>
      <c r="D640" s="23"/>
      <c r="E640" s="23"/>
      <c r="F640" s="23"/>
      <c r="G640" s="23"/>
      <c r="H640" s="23"/>
    </row>
    <row r="641" spans="1:8" ht="14.4">
      <c r="A641" s="23"/>
      <c r="B641" s="23"/>
      <c r="C641" s="23"/>
      <c r="D641" s="23"/>
      <c r="E641" s="23"/>
      <c r="F641" s="23"/>
      <c r="G641" s="23"/>
      <c r="H641" s="23"/>
    </row>
    <row r="642" spans="1:8" ht="14.4">
      <c r="A642" s="23"/>
      <c r="B642" s="23"/>
      <c r="C642" s="23"/>
      <c r="D642" s="23"/>
      <c r="E642" s="23"/>
      <c r="F642" s="23"/>
      <c r="G642" s="23"/>
      <c r="H642" s="23"/>
    </row>
    <row r="643" spans="1:8" ht="14.4">
      <c r="A643" s="23"/>
      <c r="B643" s="23"/>
      <c r="C643" s="23"/>
      <c r="D643" s="23"/>
      <c r="E643" s="23"/>
      <c r="F643" s="23"/>
      <c r="G643" s="23"/>
      <c r="H643" s="23"/>
    </row>
    <row r="644" spans="1:8" ht="14.4">
      <c r="A644" s="23"/>
      <c r="B644" s="23"/>
      <c r="C644" s="23"/>
      <c r="D644" s="23"/>
      <c r="E644" s="23"/>
      <c r="F644" s="23"/>
      <c r="G644" s="23"/>
      <c r="H644" s="23"/>
    </row>
    <row r="645" spans="1:8" ht="14.4">
      <c r="A645" s="23"/>
      <c r="B645" s="23"/>
      <c r="C645" s="23"/>
      <c r="D645" s="23"/>
      <c r="E645" s="23"/>
      <c r="F645" s="23"/>
      <c r="G645" s="23"/>
      <c r="H645" s="23"/>
    </row>
    <row r="646" spans="1:8" ht="14.4">
      <c r="A646" s="23"/>
      <c r="B646" s="23"/>
      <c r="C646" s="23"/>
      <c r="D646" s="23"/>
      <c r="E646" s="23"/>
      <c r="F646" s="23"/>
      <c r="G646" s="23"/>
      <c r="H646" s="23"/>
    </row>
    <row r="647" spans="1:8" ht="14.4">
      <c r="A647" s="23"/>
      <c r="B647" s="23"/>
      <c r="C647" s="23"/>
      <c r="D647" s="23"/>
      <c r="E647" s="23"/>
      <c r="F647" s="23"/>
      <c r="G647" s="23"/>
      <c r="H647" s="23"/>
    </row>
    <row r="648" spans="1:8" ht="14.4">
      <c r="A648" s="23"/>
      <c r="B648" s="23"/>
      <c r="C648" s="23"/>
      <c r="D648" s="23"/>
      <c r="E648" s="23"/>
      <c r="F648" s="23"/>
      <c r="G648" s="23"/>
      <c r="H648" s="23"/>
    </row>
    <row r="649" spans="1:8" ht="14.4">
      <c r="A649" s="23"/>
      <c r="B649" s="23"/>
      <c r="C649" s="23"/>
      <c r="D649" s="23"/>
      <c r="E649" s="23"/>
      <c r="F649" s="23"/>
      <c r="G649" s="23"/>
      <c r="H649" s="23"/>
    </row>
    <row r="650" spans="1:8" ht="14.4">
      <c r="A650" s="23"/>
      <c r="B650" s="23"/>
      <c r="C650" s="23"/>
      <c r="D650" s="23"/>
      <c r="E650" s="23"/>
      <c r="F650" s="23"/>
      <c r="G650" s="23"/>
      <c r="H650" s="23"/>
    </row>
    <row r="651" spans="1:8" ht="14.4">
      <c r="A651" s="23"/>
      <c r="B651" s="23"/>
      <c r="C651" s="23"/>
      <c r="D651" s="23"/>
      <c r="E651" s="23"/>
      <c r="F651" s="23"/>
      <c r="G651" s="23"/>
      <c r="H651" s="23"/>
    </row>
    <row r="652" spans="1:8" ht="14.4">
      <c r="A652" s="23"/>
      <c r="B652" s="23"/>
      <c r="C652" s="23"/>
      <c r="D652" s="23"/>
      <c r="E652" s="23"/>
      <c r="F652" s="23"/>
      <c r="G652" s="23"/>
      <c r="H652" s="23"/>
    </row>
    <row r="653" spans="1:8" ht="14.4">
      <c r="A653" s="23"/>
      <c r="B653" s="23"/>
      <c r="C653" s="23"/>
      <c r="D653" s="23"/>
      <c r="E653" s="23"/>
      <c r="F653" s="23"/>
      <c r="G653" s="23"/>
      <c r="H653" s="23"/>
    </row>
    <row r="654" spans="1:8" ht="14.4">
      <c r="A654" s="23"/>
      <c r="B654" s="23"/>
      <c r="C654" s="23"/>
      <c r="D654" s="23"/>
      <c r="E654" s="23"/>
      <c r="F654" s="23"/>
      <c r="G654" s="23"/>
      <c r="H654" s="23"/>
    </row>
    <row r="655" spans="1:8" ht="14.4">
      <c r="A655" s="23"/>
      <c r="B655" s="23"/>
      <c r="C655" s="23"/>
      <c r="D655" s="23"/>
      <c r="E655" s="23"/>
      <c r="F655" s="23"/>
      <c r="G655" s="23"/>
      <c r="H655" s="23"/>
    </row>
    <row r="656" spans="1:8" ht="14.4">
      <c r="A656" s="23"/>
      <c r="B656" s="23"/>
      <c r="C656" s="23"/>
      <c r="D656" s="23"/>
      <c r="E656" s="23"/>
      <c r="F656" s="23"/>
      <c r="G656" s="23"/>
      <c r="H656" s="23"/>
    </row>
    <row r="657" spans="1:8" ht="14.4">
      <c r="A657" s="23"/>
      <c r="B657" s="23"/>
      <c r="C657" s="23"/>
      <c r="D657" s="23"/>
      <c r="E657" s="23"/>
      <c r="F657" s="23"/>
      <c r="G657" s="23"/>
      <c r="H657" s="23"/>
    </row>
    <row r="658" spans="1:8" ht="14.4">
      <c r="A658" s="23"/>
      <c r="B658" s="23"/>
      <c r="C658" s="23"/>
      <c r="D658" s="23"/>
      <c r="E658" s="23"/>
      <c r="F658" s="23"/>
      <c r="G658" s="23"/>
      <c r="H658" s="23"/>
    </row>
    <row r="659" spans="1:8" ht="14.4">
      <c r="A659" s="23"/>
      <c r="B659" s="23"/>
      <c r="C659" s="23"/>
      <c r="D659" s="23"/>
      <c r="E659" s="23"/>
      <c r="F659" s="23"/>
      <c r="G659" s="23"/>
      <c r="H659" s="23"/>
    </row>
    <row r="660" spans="1:8" ht="14.4">
      <c r="A660" s="23"/>
      <c r="B660" s="23"/>
      <c r="C660" s="23"/>
      <c r="D660" s="23"/>
      <c r="E660" s="23"/>
      <c r="F660" s="23"/>
      <c r="G660" s="23"/>
      <c r="H660" s="23"/>
    </row>
    <row r="661" spans="1:8" ht="14.4">
      <c r="A661" s="23"/>
      <c r="B661" s="23"/>
      <c r="C661" s="23"/>
      <c r="D661" s="23"/>
      <c r="E661" s="23"/>
      <c r="F661" s="23"/>
      <c r="G661" s="23"/>
      <c r="H661" s="23"/>
    </row>
    <row r="662" spans="1:8" ht="14.4">
      <c r="A662" s="23"/>
      <c r="B662" s="23"/>
      <c r="C662" s="23"/>
      <c r="D662" s="23"/>
      <c r="E662" s="23"/>
      <c r="F662" s="23"/>
      <c r="G662" s="23"/>
      <c r="H662" s="23"/>
    </row>
    <row r="663" spans="1:8" ht="14.4">
      <c r="A663" s="23"/>
      <c r="B663" s="23"/>
      <c r="C663" s="23"/>
      <c r="D663" s="23"/>
      <c r="E663" s="23"/>
      <c r="F663" s="23"/>
      <c r="G663" s="23"/>
      <c r="H663" s="23"/>
    </row>
    <row r="664" spans="1:8" ht="14.4">
      <c r="A664" s="23"/>
      <c r="B664" s="23"/>
      <c r="C664" s="23"/>
      <c r="D664" s="23"/>
      <c r="E664" s="23"/>
      <c r="F664" s="23"/>
      <c r="G664" s="23"/>
      <c r="H664" s="23"/>
    </row>
    <row r="665" spans="1:8" ht="14.4">
      <c r="A665" s="23"/>
      <c r="B665" s="23"/>
      <c r="C665" s="23"/>
      <c r="D665" s="23"/>
      <c r="E665" s="23"/>
      <c r="F665" s="23"/>
      <c r="G665" s="23"/>
      <c r="H665" s="23"/>
    </row>
    <row r="666" spans="1:8" ht="14.4">
      <c r="A666" s="23"/>
      <c r="B666" s="23"/>
      <c r="C666" s="23"/>
      <c r="D666" s="23"/>
      <c r="E666" s="23"/>
      <c r="F666" s="23"/>
      <c r="G666" s="23"/>
      <c r="H666" s="23"/>
    </row>
    <row r="667" spans="1:8" ht="14.4">
      <c r="A667" s="23"/>
      <c r="B667" s="23"/>
      <c r="C667" s="23"/>
      <c r="D667" s="23"/>
      <c r="E667" s="23"/>
      <c r="F667" s="23"/>
      <c r="G667" s="23"/>
      <c r="H667" s="23"/>
    </row>
    <row r="668" spans="1:8" ht="14.4">
      <c r="A668" s="23"/>
      <c r="B668" s="23"/>
      <c r="C668" s="23"/>
      <c r="D668" s="23"/>
      <c r="E668" s="23"/>
      <c r="F668" s="23"/>
      <c r="G668" s="23"/>
      <c r="H668" s="23"/>
    </row>
    <row r="669" spans="1:8" ht="14.4">
      <c r="A669" s="23"/>
      <c r="B669" s="23"/>
      <c r="C669" s="23"/>
      <c r="D669" s="23"/>
      <c r="E669" s="23"/>
      <c r="F669" s="23"/>
      <c r="G669" s="23"/>
      <c r="H669" s="23"/>
    </row>
    <row r="670" spans="1:8" ht="14.4">
      <c r="A670" s="23"/>
      <c r="B670" s="23"/>
      <c r="C670" s="23"/>
      <c r="D670" s="23"/>
      <c r="E670" s="23"/>
      <c r="F670" s="23"/>
      <c r="G670" s="23"/>
      <c r="H670" s="23"/>
    </row>
    <row r="671" spans="1:8" ht="14.4">
      <c r="A671" s="23"/>
      <c r="B671" s="23"/>
      <c r="C671" s="23"/>
      <c r="D671" s="23"/>
      <c r="E671" s="23"/>
      <c r="F671" s="23"/>
      <c r="G671" s="23"/>
      <c r="H671" s="23"/>
    </row>
    <row r="672" spans="1:8" ht="14.4">
      <c r="A672" s="23"/>
      <c r="B672" s="23"/>
      <c r="C672" s="23"/>
      <c r="D672" s="23"/>
      <c r="E672" s="23"/>
      <c r="F672" s="23"/>
      <c r="G672" s="23"/>
      <c r="H672" s="23"/>
    </row>
    <row r="673" spans="1:8" ht="14.4">
      <c r="A673" s="23"/>
      <c r="B673" s="23"/>
      <c r="C673" s="23"/>
      <c r="D673" s="23"/>
      <c r="E673" s="23"/>
      <c r="F673" s="23"/>
      <c r="G673" s="23"/>
      <c r="H673" s="23"/>
    </row>
    <row r="674" spans="1:8" ht="14.4">
      <c r="A674" s="23"/>
      <c r="B674" s="23"/>
      <c r="C674" s="23"/>
      <c r="D674" s="23"/>
      <c r="E674" s="23"/>
      <c r="F674" s="23"/>
      <c r="G674" s="23"/>
      <c r="H674" s="23"/>
    </row>
    <row r="675" spans="1:8" ht="14.4">
      <c r="A675" s="23"/>
      <c r="B675" s="23"/>
      <c r="C675" s="23"/>
      <c r="D675" s="23"/>
      <c r="E675" s="23"/>
      <c r="F675" s="23"/>
      <c r="G675" s="23"/>
      <c r="H675" s="23"/>
    </row>
    <row r="676" spans="1:8" ht="14.4">
      <c r="A676" s="23"/>
      <c r="B676" s="23"/>
      <c r="C676" s="23"/>
      <c r="D676" s="23"/>
      <c r="E676" s="23"/>
      <c r="F676" s="23"/>
      <c r="G676" s="23"/>
      <c r="H676" s="23"/>
    </row>
    <row r="677" spans="1:8" ht="14.4">
      <c r="A677" s="23"/>
      <c r="B677" s="23"/>
      <c r="C677" s="23"/>
      <c r="D677" s="23"/>
      <c r="E677" s="23"/>
      <c r="F677" s="23"/>
      <c r="G677" s="23"/>
      <c r="H677" s="23"/>
    </row>
    <row r="678" spans="1:8" ht="14.4">
      <c r="A678" s="23"/>
      <c r="B678" s="23"/>
      <c r="C678" s="23"/>
      <c r="D678" s="23"/>
      <c r="E678" s="23"/>
      <c r="F678" s="23"/>
      <c r="G678" s="23"/>
      <c r="H678" s="23"/>
    </row>
    <row r="679" spans="1:8" ht="14.4">
      <c r="A679" s="23"/>
      <c r="B679" s="23"/>
      <c r="C679" s="23"/>
      <c r="D679" s="23"/>
      <c r="E679" s="23"/>
      <c r="F679" s="23"/>
      <c r="G679" s="23"/>
      <c r="H679" s="23"/>
    </row>
    <row r="680" spans="1:8" ht="14.4">
      <c r="A680" s="23"/>
      <c r="B680" s="23"/>
      <c r="C680" s="23"/>
      <c r="D680" s="23"/>
      <c r="E680" s="23"/>
      <c r="F680" s="23"/>
      <c r="G680" s="23"/>
      <c r="H680" s="23"/>
    </row>
    <row r="681" spans="1:8" ht="14.4">
      <c r="A681" s="23"/>
      <c r="B681" s="23"/>
      <c r="C681" s="23"/>
      <c r="D681" s="23"/>
      <c r="E681" s="23"/>
      <c r="F681" s="23"/>
      <c r="G681" s="23"/>
      <c r="H681" s="23"/>
    </row>
    <row r="682" spans="1:8" ht="14.4">
      <c r="A682" s="23"/>
      <c r="B682" s="23"/>
      <c r="C682" s="23"/>
      <c r="D682" s="23"/>
      <c r="E682" s="23"/>
      <c r="F682" s="23"/>
      <c r="G682" s="23"/>
      <c r="H682" s="23"/>
    </row>
    <row r="683" spans="1:8" ht="14.4">
      <c r="A683" s="23"/>
      <c r="B683" s="23"/>
      <c r="C683" s="23"/>
      <c r="D683" s="23"/>
      <c r="E683" s="23"/>
      <c r="F683" s="23"/>
      <c r="G683" s="23"/>
      <c r="H683" s="23"/>
    </row>
    <row r="684" spans="1:8" ht="14.4">
      <c r="A684" s="23"/>
      <c r="B684" s="23"/>
      <c r="C684" s="23"/>
      <c r="D684" s="23"/>
      <c r="E684" s="23"/>
      <c r="F684" s="23"/>
      <c r="G684" s="23"/>
      <c r="H684" s="23"/>
    </row>
    <row r="685" spans="1:8" ht="14.4">
      <c r="A685" s="23"/>
      <c r="B685" s="23"/>
      <c r="C685" s="23"/>
      <c r="D685" s="23"/>
      <c r="E685" s="23"/>
      <c r="F685" s="23"/>
      <c r="G685" s="23"/>
      <c r="H685" s="23"/>
    </row>
    <row r="686" spans="1:8" ht="14.4">
      <c r="A686" s="23"/>
      <c r="B686" s="23"/>
      <c r="C686" s="23"/>
      <c r="D686" s="23"/>
      <c r="E686" s="23"/>
      <c r="F686" s="23"/>
      <c r="G686" s="23"/>
      <c r="H686" s="23"/>
    </row>
    <row r="687" spans="1:8" ht="14.4">
      <c r="A687" s="23"/>
      <c r="B687" s="23"/>
      <c r="C687" s="23"/>
      <c r="D687" s="23"/>
      <c r="E687" s="23"/>
      <c r="F687" s="23"/>
      <c r="G687" s="23"/>
      <c r="H687" s="23"/>
    </row>
    <row r="688" spans="1:8" ht="14.4">
      <c r="A688" s="23"/>
      <c r="B688" s="23"/>
      <c r="C688" s="23"/>
      <c r="D688" s="23"/>
      <c r="E688" s="23"/>
      <c r="F688" s="23"/>
      <c r="G688" s="23"/>
      <c r="H688" s="23"/>
    </row>
    <row r="689" spans="1:8" ht="14.4">
      <c r="A689" s="23"/>
      <c r="B689" s="23"/>
      <c r="C689" s="23"/>
      <c r="D689" s="23"/>
      <c r="E689" s="23"/>
      <c r="F689" s="23"/>
      <c r="G689" s="23"/>
      <c r="H689" s="23"/>
    </row>
    <row r="690" spans="1:8" ht="14.4">
      <c r="A690" s="23"/>
      <c r="B690" s="23"/>
      <c r="C690" s="23"/>
      <c r="D690" s="23"/>
      <c r="E690" s="23"/>
      <c r="F690" s="23"/>
      <c r="G690" s="23"/>
      <c r="H690" s="23"/>
    </row>
    <row r="691" spans="1:8" ht="14.4">
      <c r="A691" s="23"/>
      <c r="B691" s="23"/>
      <c r="C691" s="23"/>
      <c r="D691" s="23"/>
      <c r="E691" s="23"/>
      <c r="F691" s="23"/>
      <c r="G691" s="23"/>
      <c r="H691" s="23"/>
    </row>
    <row r="692" spans="1:8" ht="14.4">
      <c r="A692" s="23"/>
      <c r="B692" s="23"/>
      <c r="C692" s="23"/>
      <c r="D692" s="23"/>
      <c r="E692" s="23"/>
      <c r="F692" s="23"/>
      <c r="G692" s="23"/>
      <c r="H692" s="23"/>
    </row>
    <row r="693" spans="1:8" ht="14.4">
      <c r="A693" s="23"/>
      <c r="B693" s="23"/>
      <c r="C693" s="23"/>
      <c r="D693" s="23"/>
      <c r="E693" s="23"/>
      <c r="F693" s="23"/>
      <c r="G693" s="23"/>
      <c r="H693" s="23"/>
    </row>
    <row r="694" spans="1:8" ht="14.4">
      <c r="A694" s="23"/>
      <c r="B694" s="23"/>
      <c r="C694" s="23"/>
      <c r="D694" s="23"/>
      <c r="E694" s="23"/>
      <c r="F694" s="23"/>
      <c r="G694" s="23"/>
      <c r="H694" s="23"/>
    </row>
    <row r="695" spans="1:8" ht="14.4">
      <c r="A695" s="23"/>
      <c r="B695" s="23"/>
      <c r="C695" s="23"/>
      <c r="D695" s="23"/>
      <c r="E695" s="23"/>
      <c r="F695" s="23"/>
      <c r="G695" s="23"/>
      <c r="H695" s="23"/>
    </row>
    <row r="696" spans="1:8" ht="14.4">
      <c r="A696" s="23"/>
      <c r="B696" s="23"/>
      <c r="C696" s="23"/>
      <c r="D696" s="23"/>
      <c r="E696" s="23"/>
      <c r="F696" s="23"/>
      <c r="G696" s="23"/>
      <c r="H696" s="23"/>
    </row>
    <row r="697" spans="1:8" ht="14.4">
      <c r="A697" s="23"/>
      <c r="B697" s="23"/>
      <c r="C697" s="23"/>
      <c r="D697" s="23"/>
      <c r="E697" s="23"/>
      <c r="F697" s="23"/>
      <c r="G697" s="23"/>
      <c r="H697" s="23"/>
    </row>
    <row r="698" spans="1:8" ht="14.4">
      <c r="A698" s="23"/>
      <c r="B698" s="23"/>
      <c r="C698" s="23"/>
      <c r="D698" s="23"/>
      <c r="E698" s="23"/>
      <c r="F698" s="23"/>
      <c r="G698" s="23"/>
      <c r="H698" s="23"/>
    </row>
    <row r="699" spans="1:8" ht="14.4">
      <c r="A699" s="23"/>
      <c r="B699" s="23"/>
      <c r="C699" s="23"/>
      <c r="D699" s="23"/>
      <c r="E699" s="23"/>
      <c r="F699" s="23"/>
      <c r="G699" s="23"/>
      <c r="H699" s="23"/>
    </row>
    <row r="700" spans="1:8" ht="14.4">
      <c r="A700" s="23"/>
      <c r="B700" s="23"/>
      <c r="C700" s="23"/>
      <c r="D700" s="23"/>
      <c r="E700" s="23"/>
      <c r="F700" s="23"/>
      <c r="G700" s="23"/>
      <c r="H700" s="23"/>
    </row>
    <row r="701" spans="1:8" ht="14.4">
      <c r="A701" s="23"/>
      <c r="B701" s="23"/>
      <c r="C701" s="23"/>
      <c r="D701" s="23"/>
      <c r="E701" s="23"/>
      <c r="F701" s="23"/>
      <c r="G701" s="23"/>
      <c r="H701" s="23"/>
    </row>
    <row r="702" spans="1:8" ht="14.4">
      <c r="A702" s="23"/>
      <c r="B702" s="23"/>
      <c r="C702" s="23"/>
      <c r="D702" s="23"/>
      <c r="E702" s="23"/>
      <c r="F702" s="23"/>
      <c r="G702" s="23"/>
      <c r="H702" s="23"/>
    </row>
    <row r="703" spans="1:8" ht="14.4">
      <c r="A703" s="23"/>
      <c r="B703" s="23"/>
      <c r="C703" s="23"/>
      <c r="D703" s="23"/>
      <c r="E703" s="23"/>
      <c r="F703" s="23"/>
      <c r="G703" s="23"/>
      <c r="H703" s="23"/>
    </row>
    <row r="704" spans="1:8" ht="14.4">
      <c r="A704" s="23"/>
      <c r="B704" s="23"/>
      <c r="C704" s="23"/>
      <c r="D704" s="23"/>
      <c r="E704" s="23"/>
      <c r="F704" s="23"/>
      <c r="G704" s="23"/>
      <c r="H704" s="23"/>
    </row>
    <row r="705" spans="1:8" ht="14.4">
      <c r="A705" s="23"/>
      <c r="B705" s="23"/>
      <c r="C705" s="23"/>
      <c r="D705" s="23"/>
      <c r="E705" s="23"/>
      <c r="F705" s="23"/>
      <c r="G705" s="23"/>
      <c r="H705" s="23"/>
    </row>
    <row r="706" spans="1:8" ht="14.4">
      <c r="A706" s="23"/>
      <c r="B706" s="23"/>
      <c r="C706" s="23"/>
      <c r="D706" s="23"/>
      <c r="E706" s="23"/>
      <c r="F706" s="23"/>
      <c r="G706" s="23"/>
      <c r="H706" s="23"/>
    </row>
    <row r="707" spans="1:8" ht="14.4">
      <c r="A707" s="23"/>
      <c r="B707" s="23"/>
      <c r="C707" s="23"/>
      <c r="D707" s="23"/>
      <c r="E707" s="23"/>
      <c r="F707" s="23"/>
      <c r="G707" s="23"/>
      <c r="H707" s="23"/>
    </row>
    <row r="708" spans="1:8" ht="14.4">
      <c r="A708" s="23"/>
      <c r="B708" s="23"/>
      <c r="C708" s="23"/>
      <c r="D708" s="23"/>
      <c r="E708" s="23"/>
      <c r="F708" s="23"/>
      <c r="G708" s="23"/>
      <c r="H708" s="23"/>
    </row>
    <row r="709" spans="1:8" ht="14.4">
      <c r="A709" s="23"/>
      <c r="B709" s="23"/>
      <c r="C709" s="23"/>
      <c r="D709" s="23"/>
      <c r="E709" s="23"/>
      <c r="F709" s="23"/>
      <c r="G709" s="23"/>
      <c r="H709" s="23"/>
    </row>
    <row r="710" spans="1:8" ht="14.4">
      <c r="A710" s="23"/>
      <c r="B710" s="23"/>
      <c r="C710" s="23"/>
      <c r="D710" s="23"/>
      <c r="E710" s="23"/>
      <c r="F710" s="23"/>
      <c r="G710" s="23"/>
      <c r="H710" s="23"/>
    </row>
    <row r="711" spans="1:8" ht="14.4">
      <c r="A711" s="23"/>
      <c r="B711" s="23"/>
      <c r="C711" s="23"/>
      <c r="D711" s="23"/>
      <c r="E711" s="23"/>
      <c r="F711" s="23"/>
      <c r="G711" s="23"/>
      <c r="H711" s="23"/>
    </row>
    <row r="712" spans="1:8" ht="14.4">
      <c r="A712" s="23"/>
      <c r="B712" s="23"/>
      <c r="C712" s="23"/>
      <c r="D712" s="23"/>
      <c r="E712" s="23"/>
      <c r="F712" s="23"/>
      <c r="G712" s="23"/>
      <c r="H712" s="23"/>
    </row>
    <row r="713" spans="1:8" ht="14.4">
      <c r="A713" s="23"/>
      <c r="B713" s="23"/>
      <c r="C713" s="23"/>
      <c r="D713" s="23"/>
      <c r="E713" s="23"/>
      <c r="F713" s="23"/>
      <c r="G713" s="23"/>
      <c r="H713" s="23"/>
    </row>
    <row r="714" spans="1:8" ht="14.4">
      <c r="A714" s="23"/>
      <c r="B714" s="23"/>
      <c r="C714" s="23"/>
      <c r="D714" s="23"/>
      <c r="E714" s="23"/>
      <c r="F714" s="23"/>
      <c r="G714" s="23"/>
      <c r="H714" s="23"/>
    </row>
    <row r="715" spans="1:8" ht="14.4">
      <c r="A715" s="23"/>
      <c r="B715" s="23"/>
      <c r="C715" s="23"/>
      <c r="D715" s="23"/>
      <c r="E715" s="23"/>
      <c r="F715" s="23"/>
      <c r="G715" s="23"/>
      <c r="H715" s="23"/>
    </row>
    <row r="716" spans="1:8" ht="14.4">
      <c r="A716" s="23"/>
      <c r="B716" s="23"/>
      <c r="C716" s="23"/>
      <c r="D716" s="23"/>
      <c r="E716" s="23"/>
      <c r="F716" s="23"/>
      <c r="G716" s="23"/>
      <c r="H716" s="23"/>
    </row>
    <row r="717" spans="1:8" ht="14.4">
      <c r="A717" s="23"/>
      <c r="B717" s="23"/>
      <c r="C717" s="23"/>
      <c r="D717" s="23"/>
      <c r="E717" s="23"/>
      <c r="F717" s="23"/>
      <c r="G717" s="23"/>
      <c r="H717" s="23"/>
    </row>
    <row r="718" spans="1:8" ht="14.4">
      <c r="A718" s="23"/>
      <c r="B718" s="23"/>
      <c r="C718" s="23"/>
      <c r="D718" s="23"/>
      <c r="E718" s="23"/>
      <c r="F718" s="23"/>
      <c r="G718" s="23"/>
      <c r="H718" s="23"/>
    </row>
    <row r="719" spans="1:8" ht="14.4">
      <c r="A719" s="23"/>
      <c r="B719" s="23"/>
      <c r="C719" s="23"/>
      <c r="D719" s="23"/>
      <c r="E719" s="23"/>
      <c r="F719" s="23"/>
      <c r="G719" s="23"/>
      <c r="H719" s="23"/>
    </row>
    <row r="720" spans="1:8" ht="14.4">
      <c r="A720" s="23"/>
      <c r="B720" s="23"/>
      <c r="C720" s="23"/>
      <c r="D720" s="23"/>
      <c r="E720" s="23"/>
      <c r="F720" s="23"/>
      <c r="G720" s="23"/>
      <c r="H720" s="23"/>
    </row>
    <row r="721" spans="1:8" ht="14.4">
      <c r="A721" s="23"/>
      <c r="B721" s="23"/>
      <c r="C721" s="23"/>
      <c r="D721" s="23"/>
      <c r="E721" s="23"/>
      <c r="F721" s="23"/>
      <c r="G721" s="23"/>
      <c r="H721" s="23"/>
    </row>
    <row r="722" spans="1:8" ht="14.4">
      <c r="A722" s="23"/>
      <c r="B722" s="23"/>
      <c r="C722" s="23"/>
      <c r="D722" s="23"/>
      <c r="E722" s="23"/>
      <c r="F722" s="23"/>
      <c r="G722" s="23"/>
      <c r="H722" s="23"/>
    </row>
    <row r="723" spans="1:8" ht="14.4">
      <c r="A723" s="23"/>
      <c r="B723" s="23"/>
      <c r="C723" s="23"/>
      <c r="D723" s="23"/>
      <c r="E723" s="23"/>
      <c r="F723" s="23"/>
      <c r="G723" s="23"/>
      <c r="H723" s="23"/>
    </row>
    <row r="724" spans="1:8" ht="14.4">
      <c r="A724" s="23"/>
      <c r="B724" s="23"/>
      <c r="C724" s="23"/>
      <c r="D724" s="23"/>
      <c r="E724" s="23"/>
      <c r="F724" s="23"/>
      <c r="G724" s="23"/>
      <c r="H724" s="23"/>
    </row>
    <row r="725" spans="1:8" ht="14.4">
      <c r="A725" s="23"/>
      <c r="B725" s="23"/>
      <c r="C725" s="23"/>
      <c r="D725" s="23"/>
      <c r="E725" s="23"/>
      <c r="F725" s="23"/>
      <c r="G725" s="23"/>
      <c r="H725" s="23"/>
    </row>
    <row r="726" spans="1:8" ht="14.4">
      <c r="A726" s="23"/>
      <c r="B726" s="23"/>
      <c r="C726" s="23"/>
      <c r="D726" s="23"/>
      <c r="E726" s="23"/>
      <c r="F726" s="23"/>
      <c r="G726" s="23"/>
      <c r="H726" s="23"/>
    </row>
    <row r="727" spans="1:8" ht="14.4">
      <c r="A727" s="23"/>
      <c r="B727" s="23"/>
      <c r="C727" s="23"/>
      <c r="D727" s="23"/>
      <c r="E727" s="23"/>
      <c r="F727" s="23"/>
      <c r="G727" s="23"/>
      <c r="H727" s="23"/>
    </row>
    <row r="728" spans="1:8" ht="14.4">
      <c r="A728" s="23"/>
      <c r="B728" s="23"/>
      <c r="C728" s="23"/>
      <c r="D728" s="23"/>
      <c r="E728" s="23"/>
      <c r="F728" s="23"/>
      <c r="G728" s="23"/>
      <c r="H728" s="23"/>
    </row>
    <row r="729" spans="1:8" ht="14.4">
      <c r="A729" s="23"/>
      <c r="B729" s="23"/>
      <c r="C729" s="23"/>
      <c r="D729" s="23"/>
      <c r="E729" s="23"/>
      <c r="F729" s="23"/>
      <c r="G729" s="23"/>
      <c r="H729" s="23"/>
    </row>
    <row r="730" spans="1:8" ht="14.4">
      <c r="A730" s="23"/>
      <c r="B730" s="23"/>
      <c r="C730" s="23"/>
      <c r="D730" s="23"/>
      <c r="E730" s="23"/>
      <c r="F730" s="23"/>
      <c r="G730" s="23"/>
      <c r="H730" s="23"/>
    </row>
    <row r="731" spans="1:8" ht="14.4">
      <c r="A731" s="23"/>
      <c r="B731" s="23"/>
      <c r="C731" s="23"/>
      <c r="D731" s="23"/>
      <c r="E731" s="23"/>
      <c r="F731" s="23"/>
      <c r="G731" s="23"/>
      <c r="H731" s="23"/>
    </row>
    <row r="732" spans="1:8" ht="14.4">
      <c r="A732" s="23"/>
      <c r="B732" s="23"/>
      <c r="C732" s="23"/>
      <c r="D732" s="23"/>
      <c r="E732" s="23"/>
      <c r="F732" s="23"/>
      <c r="G732" s="23"/>
      <c r="H732" s="23"/>
    </row>
    <row r="733" spans="1:8" ht="14.4">
      <c r="A733" s="23"/>
      <c r="B733" s="23"/>
      <c r="C733" s="23"/>
      <c r="D733" s="23"/>
      <c r="E733" s="23"/>
      <c r="F733" s="23"/>
      <c r="G733" s="23"/>
      <c r="H733" s="23"/>
    </row>
    <row r="734" spans="1:8" ht="14.4">
      <c r="A734" s="23"/>
      <c r="B734" s="23"/>
      <c r="C734" s="23"/>
      <c r="D734" s="23"/>
      <c r="E734" s="23"/>
      <c r="F734" s="23"/>
      <c r="G734" s="23"/>
      <c r="H734" s="23"/>
    </row>
    <row r="735" spans="1:8" ht="14.4">
      <c r="A735" s="23"/>
      <c r="B735" s="23"/>
      <c r="C735" s="23"/>
      <c r="D735" s="23"/>
      <c r="E735" s="23"/>
      <c r="F735" s="23"/>
      <c r="G735" s="23"/>
      <c r="H735" s="23"/>
    </row>
    <row r="736" spans="1:8" ht="14.4">
      <c r="A736" s="23"/>
      <c r="B736" s="23"/>
      <c r="C736" s="23"/>
      <c r="D736" s="23"/>
      <c r="E736" s="23"/>
      <c r="F736" s="23"/>
      <c r="G736" s="23"/>
      <c r="H736" s="23"/>
    </row>
    <row r="737" spans="1:8" ht="14.4">
      <c r="A737" s="23"/>
      <c r="B737" s="23"/>
      <c r="C737" s="23"/>
      <c r="D737" s="23"/>
      <c r="E737" s="23"/>
      <c r="F737" s="23"/>
      <c r="G737" s="23"/>
      <c r="H737" s="23"/>
    </row>
    <row r="738" spans="1:8" ht="14.4">
      <c r="A738" s="23"/>
      <c r="B738" s="23"/>
      <c r="C738" s="23"/>
      <c r="D738" s="23"/>
      <c r="E738" s="23"/>
      <c r="F738" s="23"/>
      <c r="G738" s="23"/>
      <c r="H738" s="23"/>
    </row>
    <row r="739" spans="1:8" ht="14.4">
      <c r="A739" s="23"/>
      <c r="B739" s="23"/>
      <c r="C739" s="23"/>
      <c r="D739" s="23"/>
      <c r="E739" s="23"/>
      <c r="F739" s="23"/>
      <c r="G739" s="23"/>
      <c r="H739" s="23"/>
    </row>
    <row r="740" spans="1:8" ht="14.4">
      <c r="A740" s="23"/>
      <c r="B740" s="23"/>
      <c r="C740" s="23"/>
      <c r="D740" s="23"/>
      <c r="E740" s="23"/>
      <c r="F740" s="23"/>
      <c r="G740" s="23"/>
      <c r="H740" s="23"/>
    </row>
    <row r="741" spans="1:8" ht="14.4">
      <c r="A741" s="23"/>
      <c r="B741" s="23"/>
      <c r="C741" s="23"/>
      <c r="D741" s="23"/>
      <c r="E741" s="23"/>
      <c r="F741" s="23"/>
      <c r="G741" s="23"/>
      <c r="H741" s="23"/>
    </row>
    <row r="742" spans="1:8" ht="14.4">
      <c r="A742" s="23"/>
      <c r="B742" s="23"/>
      <c r="C742" s="23"/>
      <c r="D742" s="23"/>
      <c r="E742" s="23"/>
      <c r="F742" s="23"/>
      <c r="G742" s="23"/>
      <c r="H742" s="23"/>
    </row>
    <row r="743" spans="1:8" ht="14.4">
      <c r="A743" s="23"/>
      <c r="B743" s="23"/>
      <c r="C743" s="23"/>
      <c r="D743" s="23"/>
      <c r="E743" s="23"/>
      <c r="F743" s="23"/>
      <c r="G743" s="23"/>
      <c r="H743" s="23"/>
    </row>
    <row r="744" spans="1:8" ht="14.4">
      <c r="A744" s="23"/>
      <c r="B744" s="23"/>
      <c r="C744" s="23"/>
      <c r="D744" s="23"/>
      <c r="E744" s="23"/>
      <c r="F744" s="23"/>
      <c r="G744" s="23"/>
      <c r="H744" s="23"/>
    </row>
    <row r="745" spans="1:8" ht="14.4">
      <c r="A745" s="23"/>
      <c r="B745" s="23"/>
      <c r="C745" s="23"/>
      <c r="D745" s="23"/>
      <c r="E745" s="23"/>
      <c r="F745" s="23"/>
      <c r="G745" s="23"/>
      <c r="H745" s="23"/>
    </row>
    <row r="746" spans="1:8" ht="14.4">
      <c r="A746" s="23"/>
      <c r="B746" s="23"/>
      <c r="C746" s="23"/>
      <c r="D746" s="23"/>
      <c r="E746" s="23"/>
      <c r="F746" s="23"/>
      <c r="G746" s="23"/>
      <c r="H746" s="23"/>
    </row>
    <row r="747" spans="1:8" ht="14.4">
      <c r="A747" s="23"/>
      <c r="B747" s="23"/>
      <c r="C747" s="23"/>
      <c r="D747" s="23"/>
      <c r="E747" s="23"/>
      <c r="F747" s="23"/>
      <c r="G747" s="23"/>
      <c r="H747" s="23"/>
    </row>
    <row r="748" spans="1:8" ht="14.4">
      <c r="A748" s="23"/>
      <c r="B748" s="23"/>
      <c r="C748" s="23"/>
      <c r="D748" s="23"/>
      <c r="E748" s="23"/>
      <c r="F748" s="23"/>
      <c r="G748" s="23"/>
      <c r="H748" s="23"/>
    </row>
    <row r="749" spans="1:8" ht="14.4">
      <c r="A749" s="23"/>
      <c r="B749" s="23"/>
      <c r="C749" s="23"/>
      <c r="D749" s="23"/>
      <c r="E749" s="23"/>
      <c r="F749" s="23"/>
      <c r="G749" s="23"/>
      <c r="H749" s="23"/>
    </row>
    <row r="750" spans="1:8" ht="14.4">
      <c r="A750" s="23"/>
      <c r="B750" s="23"/>
      <c r="C750" s="23"/>
      <c r="D750" s="23"/>
      <c r="E750" s="23"/>
      <c r="F750" s="23"/>
      <c r="G750" s="23"/>
      <c r="H750" s="23"/>
    </row>
    <row r="751" spans="1:8" ht="14.4">
      <c r="A751" s="23"/>
      <c r="B751" s="23"/>
      <c r="C751" s="23"/>
      <c r="D751" s="23"/>
      <c r="E751" s="23"/>
      <c r="F751" s="23"/>
      <c r="G751" s="23"/>
      <c r="H751" s="23"/>
    </row>
    <row r="752" spans="1:8" ht="14.4">
      <c r="A752" s="23"/>
      <c r="B752" s="23"/>
      <c r="C752" s="23"/>
      <c r="D752" s="23"/>
      <c r="E752" s="23"/>
      <c r="F752" s="23"/>
      <c r="G752" s="23"/>
      <c r="H752" s="23"/>
    </row>
    <row r="753" spans="1:8" ht="14.4">
      <c r="A753" s="23"/>
      <c r="B753" s="23"/>
      <c r="C753" s="23"/>
      <c r="D753" s="23"/>
      <c r="E753" s="23"/>
      <c r="F753" s="23"/>
      <c r="G753" s="23"/>
      <c r="H753" s="23"/>
    </row>
    <row r="754" spans="1:8" ht="14.4">
      <c r="A754" s="23"/>
      <c r="B754" s="23"/>
      <c r="C754" s="23"/>
      <c r="D754" s="23"/>
      <c r="E754" s="23"/>
      <c r="F754" s="23"/>
      <c r="G754" s="23"/>
      <c r="H754" s="23"/>
    </row>
    <row r="755" spans="1:8" ht="14.4">
      <c r="A755" s="23"/>
      <c r="B755" s="23"/>
      <c r="C755" s="23"/>
      <c r="D755" s="23"/>
      <c r="E755" s="23"/>
      <c r="F755" s="23"/>
      <c r="G755" s="23"/>
      <c r="H755" s="23"/>
    </row>
    <row r="756" spans="1:8" ht="14.4">
      <c r="A756" s="23"/>
      <c r="B756" s="23"/>
      <c r="C756" s="23"/>
      <c r="D756" s="23"/>
      <c r="E756" s="23"/>
      <c r="F756" s="23"/>
      <c r="G756" s="23"/>
      <c r="H756" s="23"/>
    </row>
    <row r="757" spans="1:8" ht="14.4">
      <c r="A757" s="23"/>
      <c r="B757" s="23"/>
      <c r="C757" s="23"/>
      <c r="D757" s="23"/>
      <c r="E757" s="23"/>
      <c r="F757" s="23"/>
      <c r="G757" s="23"/>
      <c r="H757" s="23"/>
    </row>
    <row r="758" spans="1:8" ht="14.4">
      <c r="A758" s="23"/>
      <c r="B758" s="23"/>
      <c r="C758" s="23"/>
      <c r="D758" s="23"/>
      <c r="E758" s="23"/>
      <c r="F758" s="23"/>
      <c r="G758" s="23"/>
      <c r="H758" s="23"/>
    </row>
    <row r="759" spans="1:8" ht="14.4">
      <c r="A759" s="23"/>
      <c r="B759" s="23"/>
      <c r="C759" s="23"/>
      <c r="D759" s="23"/>
      <c r="E759" s="23"/>
      <c r="F759" s="23"/>
      <c r="G759" s="23"/>
      <c r="H759" s="23"/>
    </row>
    <row r="760" spans="1:8" ht="14.4">
      <c r="A760" s="23"/>
      <c r="B760" s="23"/>
      <c r="C760" s="23"/>
      <c r="D760" s="23"/>
      <c r="E760" s="23"/>
      <c r="F760" s="23"/>
      <c r="G760" s="23"/>
      <c r="H760" s="23"/>
    </row>
    <row r="761" spans="1:8" ht="14.4">
      <c r="A761" s="23"/>
      <c r="B761" s="23"/>
      <c r="C761" s="23"/>
      <c r="D761" s="23"/>
      <c r="E761" s="23"/>
      <c r="F761" s="23"/>
      <c r="G761" s="23"/>
      <c r="H761" s="23"/>
    </row>
    <row r="762" spans="1:8" ht="14.4">
      <c r="A762" s="23"/>
      <c r="B762" s="23"/>
      <c r="C762" s="23"/>
      <c r="D762" s="23"/>
      <c r="E762" s="23"/>
      <c r="F762" s="23"/>
      <c r="G762" s="23"/>
      <c r="H762" s="23"/>
    </row>
    <row r="763" spans="1:8" ht="14.4">
      <c r="A763" s="23"/>
      <c r="B763" s="23"/>
      <c r="C763" s="23"/>
      <c r="D763" s="23"/>
      <c r="E763" s="23"/>
      <c r="F763" s="23"/>
      <c r="G763" s="23"/>
      <c r="H763" s="23"/>
    </row>
    <row r="764" spans="1:8" ht="14.4">
      <c r="A764" s="23"/>
      <c r="B764" s="23"/>
      <c r="C764" s="23"/>
      <c r="D764" s="23"/>
      <c r="E764" s="23"/>
      <c r="F764" s="23"/>
      <c r="G764" s="23"/>
      <c r="H764" s="23"/>
    </row>
    <row r="765" spans="1:8" ht="14.4">
      <c r="A765" s="23"/>
      <c r="B765" s="23"/>
      <c r="C765" s="23"/>
      <c r="D765" s="23"/>
      <c r="E765" s="23"/>
      <c r="F765" s="23"/>
      <c r="G765" s="23"/>
      <c r="H765" s="23"/>
    </row>
    <row r="766" spans="1:8" ht="14.4">
      <c r="A766" s="23"/>
      <c r="B766" s="23"/>
      <c r="C766" s="23"/>
      <c r="D766" s="23"/>
      <c r="E766" s="23"/>
      <c r="F766" s="23"/>
      <c r="G766" s="23"/>
      <c r="H766" s="23"/>
    </row>
    <row r="767" spans="1:8" ht="14.4">
      <c r="A767" s="23"/>
      <c r="B767" s="23"/>
      <c r="C767" s="23"/>
      <c r="D767" s="23"/>
      <c r="E767" s="23"/>
      <c r="F767" s="23"/>
      <c r="G767" s="23"/>
      <c r="H767" s="23"/>
    </row>
    <row r="768" spans="1:8" ht="14.4">
      <c r="A768" s="23"/>
      <c r="B768" s="23"/>
      <c r="C768" s="23"/>
      <c r="D768" s="23"/>
      <c r="E768" s="23"/>
      <c r="F768" s="23"/>
      <c r="G768" s="23"/>
      <c r="H768" s="23"/>
    </row>
    <row r="769" spans="1:8" ht="14.4">
      <c r="A769" s="23"/>
      <c r="B769" s="23"/>
      <c r="C769" s="23"/>
      <c r="D769" s="23"/>
      <c r="E769" s="23"/>
      <c r="F769" s="23"/>
      <c r="G769" s="23"/>
      <c r="H769" s="23"/>
    </row>
    <row r="770" spans="1:8" ht="14.4">
      <c r="A770" s="23"/>
      <c r="B770" s="23"/>
      <c r="C770" s="23"/>
      <c r="D770" s="23"/>
      <c r="E770" s="23"/>
      <c r="F770" s="23"/>
      <c r="G770" s="23"/>
      <c r="H770" s="23"/>
    </row>
    <row r="771" spans="1:8" ht="14.4">
      <c r="A771" s="23"/>
      <c r="B771" s="23"/>
      <c r="C771" s="23"/>
      <c r="D771" s="23"/>
      <c r="E771" s="23"/>
      <c r="F771" s="23"/>
      <c r="G771" s="23"/>
      <c r="H771" s="23"/>
    </row>
    <row r="772" spans="1:8" ht="14.4">
      <c r="A772" s="23"/>
      <c r="B772" s="23"/>
      <c r="C772" s="23"/>
      <c r="D772" s="23"/>
      <c r="E772" s="23"/>
      <c r="F772" s="23"/>
      <c r="G772" s="23"/>
      <c r="H772" s="23"/>
    </row>
    <row r="773" spans="1:8" ht="14.4">
      <c r="A773" s="23"/>
      <c r="B773" s="23"/>
      <c r="C773" s="23"/>
      <c r="D773" s="23"/>
      <c r="E773" s="23"/>
      <c r="F773" s="23"/>
      <c r="G773" s="23"/>
      <c r="H773" s="23"/>
    </row>
    <row r="774" spans="1:8" ht="14.4">
      <c r="A774" s="23"/>
      <c r="B774" s="23"/>
      <c r="C774" s="23"/>
      <c r="D774" s="23"/>
      <c r="E774" s="23"/>
      <c r="F774" s="23"/>
      <c r="G774" s="23"/>
      <c r="H774" s="23"/>
    </row>
    <row r="775" spans="1:8" ht="14.4">
      <c r="A775" s="23"/>
      <c r="B775" s="23"/>
      <c r="C775" s="23"/>
      <c r="D775" s="23"/>
      <c r="E775" s="23"/>
      <c r="F775" s="23"/>
      <c r="G775" s="23"/>
      <c r="H775" s="23"/>
    </row>
    <row r="776" spans="1:8" ht="14.4">
      <c r="A776" s="23"/>
      <c r="B776" s="23"/>
      <c r="C776" s="23"/>
      <c r="D776" s="23"/>
      <c r="E776" s="23"/>
      <c r="F776" s="23"/>
      <c r="G776" s="23"/>
      <c r="H776" s="23"/>
    </row>
    <row r="777" spans="1:8" ht="14.4">
      <c r="A777" s="23"/>
      <c r="B777" s="23"/>
      <c r="C777" s="23"/>
      <c r="D777" s="23"/>
      <c r="E777" s="23"/>
      <c r="F777" s="23"/>
      <c r="G777" s="23"/>
      <c r="H777" s="23"/>
    </row>
    <row r="778" spans="1:8" ht="14.4">
      <c r="A778" s="23"/>
      <c r="B778" s="23"/>
      <c r="C778" s="23"/>
      <c r="D778" s="23"/>
      <c r="E778" s="23"/>
      <c r="F778" s="23"/>
      <c r="G778" s="23"/>
      <c r="H778" s="23"/>
    </row>
    <row r="779" spans="1:8" ht="14.4">
      <c r="A779" s="23"/>
      <c r="B779" s="23"/>
      <c r="C779" s="23"/>
      <c r="D779" s="23"/>
      <c r="E779" s="23"/>
      <c r="F779" s="23"/>
      <c r="G779" s="23"/>
      <c r="H779" s="23"/>
    </row>
    <row r="780" spans="1:8" ht="14.4">
      <c r="A780" s="23"/>
      <c r="B780" s="23"/>
      <c r="C780" s="23"/>
      <c r="D780" s="23"/>
      <c r="E780" s="23"/>
      <c r="F780" s="23"/>
      <c r="G780" s="23"/>
      <c r="H780" s="23"/>
    </row>
    <row r="781" spans="1:8" ht="14.4">
      <c r="A781" s="23"/>
      <c r="B781" s="23"/>
      <c r="C781" s="23"/>
      <c r="D781" s="23"/>
      <c r="E781" s="23"/>
      <c r="F781" s="23"/>
      <c r="G781" s="23"/>
      <c r="H781" s="23"/>
    </row>
    <row r="782" spans="1:8" ht="14.4">
      <c r="A782" s="23"/>
      <c r="B782" s="23"/>
      <c r="C782" s="23"/>
      <c r="D782" s="23"/>
      <c r="E782" s="23"/>
      <c r="F782" s="23"/>
      <c r="G782" s="23"/>
      <c r="H782" s="23"/>
    </row>
    <row r="783" spans="1:8" ht="14.4">
      <c r="A783" s="23"/>
      <c r="B783" s="23"/>
      <c r="C783" s="23"/>
      <c r="D783" s="23"/>
      <c r="E783" s="23"/>
      <c r="F783" s="23"/>
      <c r="G783" s="23"/>
      <c r="H783" s="23"/>
    </row>
    <row r="784" spans="1:8" ht="14.4">
      <c r="A784" s="23"/>
      <c r="B784" s="23"/>
      <c r="C784" s="23"/>
      <c r="D784" s="23"/>
      <c r="E784" s="23"/>
      <c r="F784" s="23"/>
      <c r="G784" s="23"/>
      <c r="H784" s="23"/>
    </row>
    <row r="785" spans="1:8" ht="14.4">
      <c r="A785" s="23"/>
      <c r="B785" s="23"/>
      <c r="C785" s="23"/>
      <c r="D785" s="23"/>
      <c r="E785" s="23"/>
      <c r="F785" s="23"/>
      <c r="G785" s="23"/>
      <c r="H785" s="23"/>
    </row>
    <row r="786" spans="1:8" ht="14.4">
      <c r="A786" s="23"/>
      <c r="B786" s="23"/>
      <c r="C786" s="23"/>
      <c r="D786" s="23"/>
      <c r="E786" s="23"/>
      <c r="F786" s="23"/>
      <c r="G786" s="23"/>
      <c r="H786" s="23"/>
    </row>
    <row r="787" spans="1:8" ht="14.4">
      <c r="A787" s="23"/>
      <c r="B787" s="23"/>
      <c r="C787" s="23"/>
      <c r="D787" s="23"/>
      <c r="E787" s="23"/>
      <c r="F787" s="23"/>
      <c r="G787" s="23"/>
      <c r="H787" s="23"/>
    </row>
    <row r="788" spans="1:8" ht="14.4">
      <c r="A788" s="23"/>
      <c r="B788" s="23"/>
      <c r="C788" s="23"/>
      <c r="D788" s="23"/>
      <c r="E788" s="23"/>
      <c r="F788" s="23"/>
      <c r="G788" s="23"/>
      <c r="H788" s="23"/>
    </row>
    <row r="789" spans="1:8" ht="14.4">
      <c r="A789" s="23"/>
      <c r="B789" s="23"/>
      <c r="C789" s="23"/>
      <c r="D789" s="23"/>
      <c r="E789" s="23"/>
      <c r="F789" s="23"/>
      <c r="G789" s="23"/>
      <c r="H789" s="23"/>
    </row>
    <row r="790" spans="1:8" ht="14.4">
      <c r="A790" s="23"/>
      <c r="B790" s="23"/>
      <c r="C790" s="23"/>
      <c r="D790" s="23"/>
      <c r="E790" s="23"/>
      <c r="F790" s="23"/>
      <c r="G790" s="23"/>
      <c r="H790" s="23"/>
    </row>
    <row r="791" spans="1:8" ht="14.4">
      <c r="A791" s="23"/>
      <c r="B791" s="23"/>
      <c r="C791" s="23"/>
      <c r="D791" s="23"/>
      <c r="E791" s="23"/>
      <c r="F791" s="23"/>
      <c r="G791" s="23"/>
      <c r="H791" s="23"/>
    </row>
    <row r="792" spans="1:8" ht="14.4">
      <c r="A792" s="23"/>
      <c r="B792" s="23"/>
      <c r="C792" s="23"/>
      <c r="D792" s="23"/>
      <c r="E792" s="23"/>
      <c r="F792" s="23"/>
      <c r="G792" s="23"/>
      <c r="H792" s="23"/>
    </row>
    <row r="793" spans="1:8" ht="14.4">
      <c r="A793" s="23"/>
      <c r="B793" s="23"/>
      <c r="C793" s="23"/>
      <c r="D793" s="23"/>
      <c r="E793" s="23"/>
      <c r="F793" s="23"/>
      <c r="G793" s="23"/>
      <c r="H793" s="23"/>
    </row>
    <row r="794" spans="1:8" ht="14.4">
      <c r="A794" s="23"/>
      <c r="B794" s="23"/>
      <c r="C794" s="23"/>
      <c r="D794" s="23"/>
      <c r="E794" s="23"/>
      <c r="F794" s="23"/>
      <c r="G794" s="23"/>
      <c r="H794" s="23"/>
    </row>
    <row r="795" spans="1:8" ht="14.4">
      <c r="A795" s="23"/>
      <c r="B795" s="23"/>
      <c r="C795" s="23"/>
      <c r="D795" s="23"/>
      <c r="E795" s="23"/>
      <c r="F795" s="23"/>
      <c r="G795" s="23"/>
      <c r="H795" s="23"/>
    </row>
    <row r="796" spans="1:8" ht="14.4">
      <c r="A796" s="23"/>
      <c r="B796" s="23"/>
      <c r="C796" s="23"/>
      <c r="D796" s="23"/>
      <c r="E796" s="23"/>
      <c r="F796" s="23"/>
      <c r="G796" s="23"/>
      <c r="H796" s="23"/>
    </row>
    <row r="797" spans="1:8" ht="14.4">
      <c r="A797" s="23"/>
      <c r="B797" s="23"/>
      <c r="C797" s="23"/>
      <c r="D797" s="23"/>
      <c r="E797" s="23"/>
      <c r="F797" s="23"/>
      <c r="G797" s="23"/>
      <c r="H797" s="23"/>
    </row>
    <row r="798" spans="1:8" ht="14.4">
      <c r="A798" s="23"/>
      <c r="B798" s="23"/>
      <c r="C798" s="23"/>
      <c r="D798" s="23"/>
      <c r="E798" s="23"/>
      <c r="F798" s="23"/>
      <c r="G798" s="23"/>
      <c r="H798" s="23"/>
    </row>
    <row r="799" spans="1:8" ht="14.4">
      <c r="A799" s="23"/>
      <c r="B799" s="23"/>
      <c r="C799" s="23"/>
      <c r="D799" s="23"/>
      <c r="E799" s="23"/>
      <c r="F799" s="23"/>
      <c r="G799" s="23"/>
      <c r="H799" s="23"/>
    </row>
    <row r="800" spans="1:8" ht="14.4">
      <c r="A800" s="23"/>
      <c r="B800" s="23"/>
      <c r="C800" s="23"/>
      <c r="D800" s="23"/>
      <c r="E800" s="23"/>
      <c r="F800" s="23"/>
      <c r="G800" s="23"/>
      <c r="H800" s="23"/>
    </row>
    <row r="801" spans="1:8" ht="14.4">
      <c r="A801" s="23"/>
      <c r="B801" s="23"/>
      <c r="C801" s="23"/>
      <c r="D801" s="23"/>
      <c r="E801" s="23"/>
      <c r="F801" s="23"/>
      <c r="G801" s="23"/>
      <c r="H801" s="23"/>
    </row>
    <row r="802" spans="1:8" ht="14.4">
      <c r="A802" s="23"/>
      <c r="B802" s="23"/>
      <c r="C802" s="23"/>
      <c r="D802" s="23"/>
      <c r="E802" s="23"/>
      <c r="F802" s="23"/>
      <c r="G802" s="23"/>
      <c r="H802" s="23"/>
    </row>
    <row r="803" spans="1:8" ht="14.4">
      <c r="A803" s="23"/>
      <c r="B803" s="23"/>
      <c r="C803" s="23"/>
      <c r="D803" s="23"/>
      <c r="E803" s="23"/>
      <c r="F803" s="23"/>
      <c r="G803" s="23"/>
      <c r="H803" s="23"/>
    </row>
    <row r="804" spans="1:8" ht="14.4">
      <c r="A804" s="23"/>
      <c r="B804" s="23"/>
      <c r="C804" s="23"/>
      <c r="D804" s="23"/>
      <c r="E804" s="23"/>
      <c r="F804" s="23"/>
      <c r="G804" s="23"/>
      <c r="H804" s="23"/>
    </row>
    <row r="805" spans="1:8" ht="14.4">
      <c r="A805" s="23"/>
      <c r="B805" s="23"/>
      <c r="C805" s="23"/>
      <c r="D805" s="23"/>
      <c r="E805" s="23"/>
      <c r="F805" s="23"/>
      <c r="G805" s="23"/>
      <c r="H805" s="23"/>
    </row>
    <row r="806" spans="1:8" ht="14.4">
      <c r="A806" s="23"/>
      <c r="B806" s="23"/>
      <c r="C806" s="23"/>
      <c r="D806" s="23"/>
      <c r="E806" s="23"/>
      <c r="F806" s="23"/>
      <c r="G806" s="23"/>
      <c r="H806" s="23"/>
    </row>
    <row r="807" spans="1:8" ht="14.4">
      <c r="A807" s="23"/>
      <c r="B807" s="23"/>
      <c r="C807" s="23"/>
      <c r="D807" s="23"/>
      <c r="E807" s="23"/>
      <c r="F807" s="23"/>
      <c r="G807" s="23"/>
      <c r="H807" s="23"/>
    </row>
    <row r="808" spans="1:8" ht="14.4">
      <c r="A808" s="23"/>
      <c r="B808" s="23"/>
      <c r="C808" s="23"/>
      <c r="D808" s="23"/>
      <c r="E808" s="23"/>
      <c r="F808" s="23"/>
      <c r="G808" s="23"/>
      <c r="H808" s="23"/>
    </row>
    <row r="809" spans="1:8" ht="14.4">
      <c r="A809" s="23"/>
      <c r="B809" s="23"/>
      <c r="C809" s="23"/>
      <c r="D809" s="23"/>
      <c r="E809" s="23"/>
      <c r="F809" s="23"/>
      <c r="G809" s="23"/>
      <c r="H809" s="23"/>
    </row>
    <row r="810" spans="1:8" ht="14.4">
      <c r="A810" s="23"/>
      <c r="B810" s="23"/>
      <c r="C810" s="23"/>
      <c r="D810" s="23"/>
      <c r="E810" s="23"/>
      <c r="F810" s="23"/>
      <c r="G810" s="23"/>
      <c r="H810" s="23"/>
    </row>
    <row r="811" spans="1:8" ht="14.4">
      <c r="A811" s="23"/>
      <c r="B811" s="23"/>
      <c r="C811" s="23"/>
      <c r="D811" s="23"/>
      <c r="E811" s="23"/>
      <c r="F811" s="23"/>
      <c r="G811" s="23"/>
      <c r="H811" s="23"/>
    </row>
    <row r="812" spans="1:8" ht="14.4">
      <c r="A812" s="23"/>
      <c r="B812" s="23"/>
      <c r="C812" s="23"/>
      <c r="D812" s="23"/>
      <c r="E812" s="23"/>
      <c r="F812" s="23"/>
      <c r="G812" s="23"/>
      <c r="H812" s="23"/>
    </row>
    <row r="813" spans="1:8" ht="14.4">
      <c r="A813" s="23"/>
      <c r="B813" s="23"/>
      <c r="C813" s="23"/>
      <c r="D813" s="23"/>
      <c r="E813" s="23"/>
      <c r="F813" s="23"/>
      <c r="G813" s="23"/>
      <c r="H813" s="23"/>
    </row>
    <row r="814" spans="1:8" ht="14.4">
      <c r="A814" s="23"/>
      <c r="B814" s="23"/>
      <c r="C814" s="23"/>
      <c r="D814" s="23"/>
      <c r="E814" s="23"/>
      <c r="F814" s="23"/>
      <c r="G814" s="23"/>
      <c r="H814" s="23"/>
    </row>
    <row r="815" spans="1:8" ht="14.4">
      <c r="A815" s="23"/>
      <c r="B815" s="23"/>
      <c r="C815" s="23"/>
      <c r="D815" s="23"/>
      <c r="E815" s="23"/>
      <c r="F815" s="23"/>
      <c r="G815" s="23"/>
      <c r="H815" s="23"/>
    </row>
    <row r="816" spans="1:8" ht="14.4">
      <c r="A816" s="23"/>
      <c r="B816" s="23"/>
      <c r="C816" s="23"/>
      <c r="D816" s="23"/>
      <c r="E816" s="23"/>
      <c r="F816" s="23"/>
      <c r="G816" s="23"/>
      <c r="H816" s="23"/>
    </row>
    <row r="817" spans="1:8" ht="14.4">
      <c r="A817" s="23"/>
      <c r="B817" s="23"/>
      <c r="C817" s="23"/>
      <c r="D817" s="23"/>
      <c r="E817" s="23"/>
      <c r="F817" s="23"/>
      <c r="G817" s="23"/>
      <c r="H817" s="23"/>
    </row>
    <row r="818" spans="1:8" ht="14.4">
      <c r="A818" s="23"/>
      <c r="B818" s="23"/>
      <c r="C818" s="23"/>
      <c r="D818" s="23"/>
      <c r="E818" s="23"/>
      <c r="F818" s="23"/>
      <c r="G818" s="23"/>
      <c r="H818" s="23"/>
    </row>
    <row r="819" spans="1:8" ht="14.4">
      <c r="A819" s="23"/>
      <c r="B819" s="23"/>
      <c r="C819" s="23"/>
      <c r="D819" s="23"/>
      <c r="E819" s="23"/>
      <c r="F819" s="23"/>
      <c r="G819" s="23"/>
      <c r="H819" s="23"/>
    </row>
    <row r="820" spans="1:8" ht="14.4">
      <c r="A820" s="23"/>
      <c r="B820" s="23"/>
      <c r="C820" s="23"/>
      <c r="D820" s="23"/>
      <c r="E820" s="23"/>
      <c r="F820" s="23"/>
      <c r="G820" s="23"/>
      <c r="H820" s="23"/>
    </row>
    <row r="821" spans="1:8" ht="14.4">
      <c r="A821" s="23"/>
      <c r="B821" s="23"/>
      <c r="C821" s="23"/>
      <c r="D821" s="23"/>
      <c r="E821" s="23"/>
      <c r="F821" s="23"/>
      <c r="G821" s="23"/>
      <c r="H821" s="23"/>
    </row>
    <row r="822" spans="1:8" ht="14.4">
      <c r="A822" s="23"/>
      <c r="B822" s="23"/>
      <c r="C822" s="23"/>
      <c r="D822" s="23"/>
      <c r="E822" s="23"/>
      <c r="F822" s="23"/>
      <c r="G822" s="23"/>
      <c r="H822" s="23"/>
    </row>
    <row r="823" spans="1:8" ht="14.4">
      <c r="A823" s="23"/>
      <c r="B823" s="23"/>
      <c r="C823" s="23"/>
      <c r="D823" s="23"/>
      <c r="E823" s="23"/>
      <c r="F823" s="23"/>
      <c r="G823" s="23"/>
      <c r="H823" s="23"/>
    </row>
    <row r="824" spans="1:8" ht="14.4">
      <c r="A824" s="23"/>
      <c r="B824" s="23"/>
      <c r="C824" s="23"/>
      <c r="D824" s="23"/>
      <c r="E824" s="23"/>
      <c r="F824" s="23"/>
      <c r="G824" s="23"/>
      <c r="H824" s="23"/>
    </row>
    <row r="825" spans="1:8" ht="14.4">
      <c r="A825" s="23"/>
      <c r="B825" s="23"/>
      <c r="C825" s="23"/>
      <c r="D825" s="23"/>
      <c r="E825" s="23"/>
      <c r="F825" s="23"/>
      <c r="G825" s="23"/>
      <c r="H825" s="23"/>
    </row>
    <row r="826" spans="1:8" ht="14.4">
      <c r="A826" s="23"/>
      <c r="B826" s="23"/>
      <c r="C826" s="23"/>
      <c r="D826" s="23"/>
      <c r="E826" s="23"/>
      <c r="F826" s="23"/>
      <c r="G826" s="23"/>
      <c r="H826" s="23"/>
    </row>
    <row r="827" spans="1:8" ht="14.4">
      <c r="A827" s="23"/>
      <c r="B827" s="23"/>
      <c r="C827" s="23"/>
      <c r="D827" s="23"/>
      <c r="E827" s="23"/>
      <c r="F827" s="23"/>
      <c r="G827" s="23"/>
      <c r="H827" s="23"/>
    </row>
    <row r="828" spans="1:8" ht="14.4">
      <c r="A828" s="23"/>
      <c r="B828" s="23"/>
      <c r="C828" s="23"/>
      <c r="D828" s="23"/>
      <c r="E828" s="23"/>
      <c r="F828" s="23"/>
      <c r="G828" s="23"/>
      <c r="H828" s="23"/>
    </row>
    <row r="829" spans="1:8" ht="14.4">
      <c r="A829" s="23"/>
      <c r="B829" s="23"/>
      <c r="C829" s="23"/>
      <c r="D829" s="23"/>
      <c r="E829" s="23"/>
      <c r="F829" s="23"/>
      <c r="G829" s="23"/>
      <c r="H829" s="23"/>
    </row>
    <row r="830" spans="1:8" ht="14.4">
      <c r="A830" s="23"/>
      <c r="B830" s="23"/>
      <c r="C830" s="23"/>
      <c r="D830" s="23"/>
      <c r="E830" s="23"/>
      <c r="F830" s="23"/>
      <c r="G830" s="23"/>
      <c r="H830" s="23"/>
    </row>
    <row r="831" spans="1:8" ht="14.4">
      <c r="A831" s="23"/>
      <c r="B831" s="23"/>
      <c r="C831" s="23"/>
      <c r="D831" s="23"/>
      <c r="E831" s="23"/>
      <c r="F831" s="23"/>
      <c r="G831" s="23"/>
      <c r="H831" s="23"/>
    </row>
    <row r="832" spans="1:8" ht="14.4">
      <c r="A832" s="23"/>
      <c r="B832" s="23"/>
      <c r="C832" s="23"/>
      <c r="D832" s="23"/>
      <c r="E832" s="23"/>
      <c r="F832" s="23"/>
      <c r="G832" s="23"/>
      <c r="H832" s="23"/>
    </row>
    <row r="833" spans="1:8" ht="14.4">
      <c r="A833" s="23"/>
      <c r="B833" s="23"/>
      <c r="C833" s="23"/>
      <c r="D833" s="23"/>
      <c r="E833" s="23"/>
      <c r="F833" s="23"/>
      <c r="G833" s="23"/>
      <c r="H833" s="23"/>
    </row>
    <row r="834" spans="1:8" ht="14.4">
      <c r="A834" s="23"/>
      <c r="B834" s="23"/>
      <c r="C834" s="23"/>
      <c r="D834" s="23"/>
      <c r="E834" s="23"/>
      <c r="F834" s="23"/>
      <c r="G834" s="23"/>
      <c r="H834" s="23"/>
    </row>
    <row r="835" spans="1:8" ht="14.4">
      <c r="A835" s="23"/>
      <c r="B835" s="23"/>
      <c r="C835" s="23"/>
      <c r="D835" s="23"/>
      <c r="E835" s="23"/>
      <c r="F835" s="23"/>
      <c r="G835" s="23"/>
      <c r="H835" s="23"/>
    </row>
    <row r="836" spans="1:8" ht="14.4">
      <c r="A836" s="23"/>
      <c r="B836" s="23"/>
      <c r="C836" s="23"/>
      <c r="D836" s="23"/>
      <c r="E836" s="23"/>
      <c r="F836" s="23"/>
      <c r="G836" s="23"/>
      <c r="H836" s="23"/>
    </row>
    <row r="837" spans="1:8" ht="14.4">
      <c r="A837" s="23"/>
      <c r="B837" s="23"/>
      <c r="C837" s="23"/>
      <c r="D837" s="23"/>
      <c r="E837" s="23"/>
      <c r="F837" s="23"/>
      <c r="G837" s="23"/>
      <c r="H837" s="23"/>
    </row>
    <row r="838" spans="1:8" ht="14.4">
      <c r="A838" s="23"/>
      <c r="B838" s="23"/>
      <c r="C838" s="23"/>
      <c r="D838" s="23"/>
      <c r="E838" s="23"/>
      <c r="F838" s="23"/>
      <c r="G838" s="23"/>
      <c r="H838" s="23"/>
    </row>
    <row r="839" spans="1:8" ht="14.4">
      <c r="A839" s="23"/>
      <c r="B839" s="23"/>
      <c r="C839" s="23"/>
      <c r="D839" s="23"/>
      <c r="E839" s="23"/>
      <c r="F839" s="23"/>
      <c r="G839" s="23"/>
      <c r="H839" s="23"/>
    </row>
    <row r="840" spans="1:8" ht="14.4">
      <c r="A840" s="23"/>
      <c r="B840" s="23"/>
      <c r="C840" s="23"/>
      <c r="D840" s="23"/>
      <c r="E840" s="23"/>
      <c r="F840" s="23"/>
      <c r="G840" s="23"/>
      <c r="H840" s="23"/>
    </row>
    <row r="841" spans="1:8" ht="14.4">
      <c r="A841" s="23"/>
      <c r="B841" s="23"/>
      <c r="C841" s="23"/>
      <c r="D841" s="23"/>
      <c r="E841" s="23"/>
      <c r="F841" s="23"/>
      <c r="G841" s="23"/>
      <c r="H841" s="23"/>
    </row>
    <row r="842" spans="1:8" ht="14.4">
      <c r="A842" s="23"/>
      <c r="B842" s="23"/>
      <c r="C842" s="23"/>
      <c r="D842" s="23"/>
      <c r="E842" s="23"/>
      <c r="F842" s="23"/>
      <c r="G842" s="23"/>
      <c r="H842" s="23"/>
    </row>
    <row r="843" spans="1:8" ht="14.4">
      <c r="A843" s="23"/>
      <c r="B843" s="23"/>
      <c r="C843" s="23"/>
      <c r="D843" s="23"/>
      <c r="E843" s="23"/>
      <c r="F843" s="23"/>
      <c r="G843" s="23"/>
      <c r="H843" s="23"/>
    </row>
    <row r="844" spans="1:8" ht="14.4">
      <c r="A844" s="23"/>
      <c r="B844" s="23"/>
      <c r="C844" s="23"/>
      <c r="D844" s="23"/>
      <c r="E844" s="23"/>
      <c r="F844" s="23"/>
      <c r="G844" s="23"/>
      <c r="H844" s="23"/>
    </row>
    <row r="845" spans="1:8" ht="14.4">
      <c r="A845" s="23"/>
      <c r="B845" s="23"/>
      <c r="C845" s="23"/>
      <c r="D845" s="23"/>
      <c r="E845" s="23"/>
      <c r="F845" s="23"/>
      <c r="G845" s="23"/>
      <c r="H845" s="23"/>
    </row>
    <row r="846" spans="1:8" ht="14.4">
      <c r="A846" s="23"/>
      <c r="B846" s="23"/>
      <c r="C846" s="23"/>
      <c r="D846" s="23"/>
      <c r="E846" s="23"/>
      <c r="F846" s="23"/>
      <c r="G846" s="23"/>
      <c r="H846" s="23"/>
    </row>
    <row r="847" spans="1:8" ht="14.4">
      <c r="A847" s="23"/>
      <c r="B847" s="23"/>
      <c r="C847" s="23"/>
      <c r="D847" s="23"/>
      <c r="E847" s="23"/>
      <c r="F847" s="23"/>
      <c r="G847" s="23"/>
      <c r="H847" s="23"/>
    </row>
    <row r="848" spans="1:8" ht="14.4">
      <c r="A848" s="23"/>
      <c r="B848" s="23"/>
      <c r="C848" s="23"/>
      <c r="D848" s="23"/>
      <c r="E848" s="23"/>
      <c r="F848" s="23"/>
      <c r="G848" s="23"/>
      <c r="H848" s="23"/>
    </row>
    <row r="849" spans="1:8" ht="14.4">
      <c r="A849" s="23"/>
      <c r="B849" s="23"/>
      <c r="C849" s="23"/>
      <c r="D849" s="23"/>
      <c r="E849" s="23"/>
      <c r="F849" s="23"/>
      <c r="G849" s="23"/>
      <c r="H849" s="23"/>
    </row>
    <row r="850" spans="1:8" ht="14.4">
      <c r="A850" s="23"/>
      <c r="B850" s="23"/>
      <c r="C850" s="23"/>
      <c r="D850" s="23"/>
      <c r="E850" s="23"/>
      <c r="F850" s="23"/>
      <c r="G850" s="23"/>
      <c r="H850" s="23"/>
    </row>
    <row r="851" spans="1:8" ht="14.4">
      <c r="A851" s="23"/>
      <c r="B851" s="23"/>
      <c r="C851" s="23"/>
      <c r="D851" s="23"/>
      <c r="E851" s="23"/>
      <c r="F851" s="23"/>
      <c r="G851" s="23"/>
      <c r="H851" s="23"/>
    </row>
    <row r="852" spans="1:8" ht="14.4">
      <c r="A852" s="23"/>
      <c r="B852" s="23"/>
      <c r="C852" s="23"/>
      <c r="D852" s="23"/>
      <c r="E852" s="23"/>
      <c r="F852" s="23"/>
      <c r="G852" s="23"/>
      <c r="H852" s="23"/>
    </row>
    <row r="853" spans="1:8" ht="14.4">
      <c r="A853" s="23"/>
      <c r="B853" s="23"/>
      <c r="C853" s="23"/>
      <c r="D853" s="23"/>
      <c r="E853" s="23"/>
      <c r="F853" s="23"/>
      <c r="G853" s="23"/>
      <c r="H853" s="23"/>
    </row>
    <row r="854" spans="1:8" ht="14.4">
      <c r="A854" s="23"/>
      <c r="B854" s="23"/>
      <c r="C854" s="23"/>
      <c r="D854" s="23"/>
      <c r="E854" s="23"/>
      <c r="F854" s="23"/>
      <c r="G854" s="23"/>
      <c r="H854" s="23"/>
    </row>
    <row r="855" spans="1:8" ht="14.4">
      <c r="A855" s="23"/>
      <c r="B855" s="23"/>
      <c r="C855" s="23"/>
      <c r="D855" s="23"/>
      <c r="E855" s="23"/>
      <c r="F855" s="23"/>
      <c r="G855" s="23"/>
      <c r="H855" s="23"/>
    </row>
    <row r="856" spans="1:8" ht="14.4">
      <c r="A856" s="23"/>
      <c r="B856" s="23"/>
      <c r="C856" s="23"/>
      <c r="D856" s="23"/>
      <c r="E856" s="23"/>
      <c r="F856" s="23"/>
      <c r="G856" s="23"/>
      <c r="H856" s="23"/>
    </row>
    <row r="857" spans="1:8" ht="14.4">
      <c r="A857" s="23"/>
      <c r="B857" s="23"/>
      <c r="C857" s="23"/>
      <c r="D857" s="23"/>
      <c r="E857" s="23"/>
      <c r="F857" s="23"/>
      <c r="G857" s="23"/>
      <c r="H857" s="23"/>
    </row>
    <row r="858" spans="1:8" ht="14.4">
      <c r="A858" s="23"/>
      <c r="B858" s="23"/>
      <c r="C858" s="23"/>
      <c r="D858" s="23"/>
      <c r="E858" s="23"/>
      <c r="F858" s="23"/>
      <c r="G858" s="23"/>
      <c r="H858" s="23"/>
    </row>
    <row r="859" spans="1:8" ht="14.4">
      <c r="A859" s="23"/>
      <c r="B859" s="23"/>
      <c r="C859" s="23"/>
      <c r="D859" s="23"/>
      <c r="E859" s="23"/>
      <c r="F859" s="23"/>
      <c r="G859" s="23"/>
      <c r="H859" s="23"/>
    </row>
    <row r="860" spans="1:8" ht="14.4">
      <c r="A860" s="23"/>
      <c r="B860" s="23"/>
      <c r="C860" s="23"/>
      <c r="D860" s="23"/>
      <c r="E860" s="23"/>
      <c r="F860" s="23"/>
      <c r="G860" s="23"/>
      <c r="H860" s="23"/>
    </row>
    <row r="861" spans="1:8" ht="14.4">
      <c r="A861" s="23"/>
      <c r="B861" s="23"/>
      <c r="C861" s="23"/>
      <c r="D861" s="23"/>
      <c r="E861" s="23"/>
      <c r="F861" s="23"/>
      <c r="G861" s="23"/>
      <c r="H861" s="23"/>
    </row>
    <row r="862" spans="1:8" ht="14.4">
      <c r="A862" s="23"/>
      <c r="B862" s="23"/>
      <c r="C862" s="23"/>
      <c r="D862" s="23"/>
      <c r="E862" s="23"/>
      <c r="F862" s="23"/>
      <c r="G862" s="23"/>
      <c r="H862" s="23"/>
    </row>
    <row r="863" spans="1:8" ht="14.4">
      <c r="A863" s="23"/>
      <c r="B863" s="23"/>
      <c r="C863" s="23"/>
      <c r="D863" s="23"/>
      <c r="E863" s="23"/>
      <c r="F863" s="23"/>
      <c r="G863" s="23"/>
      <c r="H863" s="23"/>
    </row>
    <row r="864" spans="1:8" ht="14.4">
      <c r="A864" s="23"/>
      <c r="B864" s="23"/>
      <c r="C864" s="23"/>
      <c r="D864" s="23"/>
      <c r="E864" s="23"/>
      <c r="F864" s="23"/>
      <c r="G864" s="23"/>
      <c r="H864" s="23"/>
    </row>
    <row r="865" spans="1:8" ht="14.4">
      <c r="A865" s="23"/>
      <c r="B865" s="23"/>
      <c r="C865" s="23"/>
      <c r="D865" s="23"/>
      <c r="E865" s="23"/>
      <c r="F865" s="23"/>
      <c r="G865" s="23"/>
      <c r="H865" s="23"/>
    </row>
    <row r="866" spans="1:8" ht="14.4">
      <c r="A866" s="23"/>
      <c r="B866" s="23"/>
      <c r="C866" s="23"/>
      <c r="D866" s="23"/>
      <c r="E866" s="23"/>
      <c r="F866" s="23"/>
      <c r="G866" s="23"/>
      <c r="H866" s="23"/>
    </row>
    <row r="867" spans="1:8" ht="14.4">
      <c r="A867" s="23"/>
      <c r="B867" s="23"/>
      <c r="C867" s="23"/>
      <c r="D867" s="23"/>
      <c r="E867" s="23"/>
      <c r="F867" s="23"/>
      <c r="G867" s="23"/>
      <c r="H867" s="23"/>
    </row>
    <row r="868" spans="1:8" ht="14.4">
      <c r="A868" s="23"/>
      <c r="B868" s="23"/>
      <c r="C868" s="23"/>
      <c r="D868" s="23"/>
      <c r="E868" s="23"/>
      <c r="F868" s="23"/>
      <c r="G868" s="23"/>
      <c r="H868" s="23"/>
    </row>
    <row r="869" spans="1:8" ht="14.4">
      <c r="A869" s="23"/>
      <c r="B869" s="23"/>
      <c r="C869" s="23"/>
      <c r="D869" s="23"/>
      <c r="E869" s="23"/>
      <c r="F869" s="23"/>
      <c r="G869" s="23"/>
      <c r="H869" s="23"/>
    </row>
    <row r="870" spans="1:8" ht="14.4">
      <c r="A870" s="23"/>
      <c r="B870" s="23"/>
      <c r="C870" s="23"/>
      <c r="D870" s="23"/>
      <c r="E870" s="23"/>
      <c r="F870" s="23"/>
      <c r="G870" s="23"/>
      <c r="H870" s="23"/>
    </row>
    <row r="871" spans="1:8" ht="14.4">
      <c r="A871" s="23"/>
      <c r="B871" s="23"/>
      <c r="C871" s="23"/>
      <c r="D871" s="23"/>
      <c r="E871" s="23"/>
      <c r="F871" s="23"/>
      <c r="G871" s="23"/>
      <c r="H871" s="23"/>
    </row>
    <row r="872" spans="1:8" ht="14.4">
      <c r="A872" s="23"/>
      <c r="B872" s="23"/>
      <c r="C872" s="23"/>
      <c r="D872" s="23"/>
      <c r="E872" s="23"/>
      <c r="F872" s="23"/>
      <c r="G872" s="23"/>
      <c r="H872" s="23"/>
    </row>
    <row r="873" spans="1:8" ht="14.4">
      <c r="A873" s="23"/>
      <c r="B873" s="23"/>
      <c r="C873" s="23"/>
      <c r="D873" s="23"/>
      <c r="E873" s="23"/>
      <c r="F873" s="23"/>
      <c r="G873" s="23"/>
      <c r="H873" s="23"/>
    </row>
    <row r="874" spans="1:8" ht="14.4">
      <c r="A874" s="23"/>
      <c r="B874" s="23"/>
      <c r="C874" s="23"/>
      <c r="D874" s="23"/>
      <c r="E874" s="23"/>
      <c r="F874" s="23"/>
      <c r="G874" s="23"/>
      <c r="H874" s="23"/>
    </row>
    <row r="875" spans="1:8" ht="14.4">
      <c r="A875" s="23"/>
      <c r="B875" s="23"/>
      <c r="C875" s="23"/>
      <c r="D875" s="23"/>
      <c r="E875" s="23"/>
      <c r="F875" s="23"/>
      <c r="G875" s="23"/>
      <c r="H875" s="23"/>
    </row>
    <row r="876" spans="1:8" ht="14.4">
      <c r="A876" s="23"/>
      <c r="B876" s="23"/>
      <c r="C876" s="23"/>
      <c r="D876" s="23"/>
      <c r="E876" s="23"/>
      <c r="F876" s="23"/>
      <c r="G876" s="23"/>
      <c r="H876" s="23"/>
    </row>
    <row r="877" spans="1:8" ht="14.4">
      <c r="A877" s="23"/>
      <c r="B877" s="23"/>
      <c r="C877" s="23"/>
      <c r="D877" s="23"/>
      <c r="E877" s="23"/>
      <c r="F877" s="23"/>
      <c r="G877" s="23"/>
      <c r="H877" s="23"/>
    </row>
    <row r="878" spans="1:8" ht="14.4">
      <c r="A878" s="23"/>
      <c r="B878" s="23"/>
      <c r="C878" s="23"/>
      <c r="D878" s="23"/>
      <c r="E878" s="23"/>
      <c r="F878" s="23"/>
      <c r="G878" s="23"/>
      <c r="H878" s="23"/>
    </row>
    <row r="879" spans="1:8" ht="14.4">
      <c r="A879" s="23"/>
      <c r="B879" s="23"/>
      <c r="C879" s="23"/>
      <c r="D879" s="23"/>
      <c r="E879" s="23"/>
      <c r="F879" s="23"/>
      <c r="G879" s="23"/>
      <c r="H879" s="23"/>
    </row>
    <row r="880" spans="1:8" ht="14.4">
      <c r="A880" s="23"/>
      <c r="B880" s="23"/>
      <c r="C880" s="23"/>
      <c r="D880" s="23"/>
      <c r="E880" s="23"/>
      <c r="F880" s="23"/>
      <c r="G880" s="23"/>
      <c r="H880" s="23"/>
    </row>
    <row r="881" spans="1:8" ht="14.4">
      <c r="A881" s="23"/>
      <c r="B881" s="23"/>
      <c r="C881" s="23"/>
      <c r="D881" s="23"/>
      <c r="E881" s="23"/>
      <c r="F881" s="23"/>
      <c r="G881" s="23"/>
      <c r="H881" s="23"/>
    </row>
    <row r="882" spans="1:8" ht="14.4">
      <c r="A882" s="23"/>
      <c r="B882" s="23"/>
      <c r="C882" s="23"/>
      <c r="D882" s="23"/>
      <c r="E882" s="23"/>
      <c r="F882" s="23"/>
      <c r="G882" s="23"/>
      <c r="H882" s="23"/>
    </row>
    <row r="883" spans="1:8" ht="14.4">
      <c r="A883" s="23"/>
      <c r="B883" s="23"/>
      <c r="C883" s="23"/>
      <c r="D883" s="23"/>
      <c r="E883" s="23"/>
      <c r="F883" s="23"/>
      <c r="G883" s="23"/>
      <c r="H883" s="23"/>
    </row>
    <row r="884" spans="1:8" ht="14.4">
      <c r="A884" s="23"/>
      <c r="B884" s="23"/>
      <c r="C884" s="23"/>
      <c r="D884" s="23"/>
      <c r="E884" s="23"/>
      <c r="F884" s="23"/>
      <c r="G884" s="23"/>
      <c r="H884" s="23"/>
    </row>
    <row r="885" spans="1:8" ht="14.4">
      <c r="A885" s="23"/>
      <c r="B885" s="23"/>
      <c r="C885" s="23"/>
      <c r="D885" s="23"/>
      <c r="E885" s="23"/>
      <c r="F885" s="23"/>
      <c r="G885" s="23"/>
      <c r="H885" s="23"/>
    </row>
    <row r="886" spans="1:8" ht="14.4">
      <c r="A886" s="23"/>
      <c r="B886" s="23"/>
      <c r="C886" s="23"/>
      <c r="D886" s="23"/>
      <c r="E886" s="23"/>
      <c r="F886" s="23"/>
      <c r="G886" s="23"/>
      <c r="H886" s="23"/>
    </row>
    <row r="887" spans="1:8" ht="14.4">
      <c r="A887" s="23"/>
      <c r="B887" s="23"/>
      <c r="C887" s="23"/>
      <c r="D887" s="23"/>
      <c r="E887" s="23"/>
      <c r="F887" s="23"/>
      <c r="G887" s="23"/>
      <c r="H887" s="23"/>
    </row>
    <row r="888" spans="1:8" ht="14.4">
      <c r="A888" s="23"/>
      <c r="B888" s="23"/>
      <c r="C888" s="23"/>
      <c r="D888" s="23"/>
      <c r="E888" s="23"/>
      <c r="F888" s="23"/>
      <c r="G888" s="23"/>
      <c r="H888" s="23"/>
    </row>
    <row r="889" spans="1:8" ht="14.4">
      <c r="A889" s="23"/>
      <c r="B889" s="23"/>
      <c r="C889" s="23"/>
      <c r="D889" s="23"/>
      <c r="E889" s="23"/>
      <c r="F889" s="23"/>
      <c r="G889" s="23"/>
      <c r="H889" s="23"/>
    </row>
    <row r="890" spans="1:8" ht="14.4">
      <c r="A890" s="23"/>
      <c r="B890" s="23"/>
      <c r="C890" s="23"/>
      <c r="D890" s="23"/>
      <c r="E890" s="23"/>
      <c r="F890" s="23"/>
      <c r="G890" s="23"/>
      <c r="H890" s="23"/>
    </row>
    <row r="891" spans="1:8" ht="14.4">
      <c r="A891" s="23"/>
      <c r="B891" s="23"/>
      <c r="C891" s="23"/>
      <c r="D891" s="23"/>
      <c r="E891" s="23"/>
      <c r="F891" s="23"/>
      <c r="G891" s="23"/>
      <c r="H891" s="23"/>
    </row>
    <row r="892" spans="1:8" ht="14.4">
      <c r="A892" s="23"/>
      <c r="B892" s="23"/>
      <c r="C892" s="23"/>
      <c r="D892" s="23"/>
      <c r="E892" s="23"/>
      <c r="F892" s="23"/>
      <c r="G892" s="23"/>
      <c r="H892" s="23"/>
    </row>
    <row r="893" spans="1:8" ht="14.4">
      <c r="A893" s="23"/>
      <c r="B893" s="23"/>
      <c r="C893" s="23"/>
      <c r="D893" s="23"/>
      <c r="E893" s="23"/>
      <c r="F893" s="23"/>
      <c r="G893" s="23"/>
      <c r="H893" s="23"/>
    </row>
    <row r="894" spans="1:8" ht="14.4">
      <c r="A894" s="23"/>
      <c r="B894" s="23"/>
      <c r="C894" s="23"/>
      <c r="D894" s="23"/>
      <c r="E894" s="23"/>
      <c r="F894" s="23"/>
      <c r="G894" s="23"/>
      <c r="H894" s="23"/>
    </row>
    <row r="895" spans="1:8" ht="14.4">
      <c r="A895" s="23"/>
      <c r="B895" s="23"/>
      <c r="C895" s="23"/>
      <c r="D895" s="23"/>
      <c r="E895" s="23"/>
      <c r="F895" s="23"/>
      <c r="G895" s="23"/>
      <c r="H895" s="23"/>
    </row>
    <row r="896" spans="1:8" ht="14.4">
      <c r="A896" s="23"/>
      <c r="B896" s="23"/>
      <c r="C896" s="23"/>
      <c r="D896" s="23"/>
      <c r="E896" s="23"/>
      <c r="F896" s="23"/>
      <c r="G896" s="23"/>
      <c r="H896" s="23"/>
    </row>
    <row r="897" spans="1:8" ht="14.4">
      <c r="A897" s="23"/>
      <c r="B897" s="23"/>
      <c r="C897" s="23"/>
      <c r="D897" s="23"/>
      <c r="E897" s="23"/>
      <c r="F897" s="23"/>
      <c r="G897" s="23"/>
      <c r="H897" s="23"/>
    </row>
    <row r="898" spans="1:8" ht="14.4">
      <c r="A898" s="23"/>
      <c r="B898" s="23"/>
      <c r="C898" s="23"/>
      <c r="D898" s="23"/>
      <c r="E898" s="23"/>
      <c r="F898" s="23"/>
      <c r="G898" s="23"/>
      <c r="H898" s="23"/>
    </row>
    <row r="899" spans="1:8" ht="14.4">
      <c r="A899" s="23"/>
      <c r="B899" s="23"/>
      <c r="C899" s="23"/>
      <c r="D899" s="23"/>
      <c r="E899" s="23"/>
      <c r="F899" s="23"/>
      <c r="G899" s="23"/>
      <c r="H899" s="23"/>
    </row>
    <row r="900" spans="1:8" ht="14.4">
      <c r="A900" s="23"/>
      <c r="B900" s="23"/>
      <c r="C900" s="23"/>
      <c r="D900" s="23"/>
      <c r="E900" s="23"/>
      <c r="F900" s="23"/>
      <c r="G900" s="23"/>
      <c r="H900" s="23"/>
    </row>
    <row r="901" spans="1:8" ht="14.4">
      <c r="A901" s="23"/>
      <c r="B901" s="23"/>
      <c r="C901" s="23"/>
      <c r="D901" s="23"/>
      <c r="E901" s="23"/>
      <c r="F901" s="23"/>
      <c r="G901" s="23"/>
      <c r="H901" s="23"/>
    </row>
    <row r="902" spans="1:8" ht="14.4">
      <c r="A902" s="23"/>
      <c r="B902" s="23"/>
      <c r="C902" s="23"/>
      <c r="D902" s="23"/>
      <c r="E902" s="23"/>
      <c r="F902" s="23"/>
      <c r="G902" s="23"/>
      <c r="H902" s="23"/>
    </row>
    <row r="903" spans="1:8" ht="14.4">
      <c r="A903" s="23"/>
      <c r="B903" s="23"/>
      <c r="C903" s="23"/>
      <c r="D903" s="23"/>
      <c r="E903" s="23"/>
      <c r="F903" s="23"/>
      <c r="G903" s="23"/>
      <c r="H903" s="23"/>
    </row>
    <row r="904" spans="1:8" ht="14.4">
      <c r="A904" s="23"/>
      <c r="B904" s="23"/>
      <c r="C904" s="23"/>
      <c r="D904" s="23"/>
      <c r="E904" s="23"/>
      <c r="F904" s="23"/>
      <c r="G904" s="23"/>
      <c r="H904" s="23"/>
    </row>
    <row r="905" spans="1:8" ht="14.4">
      <c r="A905" s="23"/>
      <c r="B905" s="23"/>
      <c r="C905" s="23"/>
      <c r="D905" s="23"/>
      <c r="E905" s="23"/>
      <c r="F905" s="23"/>
      <c r="G905" s="23"/>
      <c r="H905" s="23"/>
    </row>
    <row r="906" spans="1:8" ht="14.4">
      <c r="A906" s="23"/>
      <c r="B906" s="23"/>
      <c r="C906" s="23"/>
      <c r="D906" s="23"/>
      <c r="E906" s="23"/>
      <c r="F906" s="23"/>
      <c r="G906" s="23"/>
      <c r="H906" s="23"/>
    </row>
    <row r="907" spans="1:8" ht="14.4">
      <c r="A907" s="23"/>
      <c r="B907" s="23"/>
      <c r="C907" s="23"/>
      <c r="D907" s="23"/>
      <c r="E907" s="23"/>
      <c r="F907" s="23"/>
      <c r="G907" s="23"/>
      <c r="H907" s="23"/>
    </row>
    <row r="908" spans="1:8" ht="14.4">
      <c r="A908" s="23"/>
      <c r="B908" s="23"/>
      <c r="C908" s="23"/>
      <c r="D908" s="23"/>
      <c r="E908" s="23"/>
      <c r="F908" s="23"/>
      <c r="G908" s="23"/>
      <c r="H908" s="23"/>
    </row>
    <row r="909" spans="1:8" ht="14.4">
      <c r="A909" s="23"/>
      <c r="B909" s="23"/>
      <c r="C909" s="23"/>
      <c r="D909" s="23"/>
      <c r="E909" s="23"/>
      <c r="F909" s="23"/>
      <c r="G909" s="23"/>
      <c r="H909" s="23"/>
    </row>
    <row r="910" spans="1:8" ht="14.4">
      <c r="A910" s="23"/>
      <c r="B910" s="23"/>
      <c r="C910" s="23"/>
      <c r="D910" s="23"/>
      <c r="E910" s="23"/>
      <c r="F910" s="23"/>
      <c r="G910" s="23"/>
      <c r="H910" s="23"/>
    </row>
    <row r="911" spans="1:8" ht="14.4">
      <c r="A911" s="23"/>
      <c r="B911" s="23"/>
      <c r="C911" s="23"/>
      <c r="D911" s="23"/>
      <c r="E911" s="23"/>
      <c r="F911" s="23"/>
      <c r="G911" s="23"/>
      <c r="H911" s="23"/>
    </row>
    <row r="912" spans="1:8" ht="14.4">
      <c r="A912" s="23"/>
      <c r="B912" s="23"/>
      <c r="C912" s="23"/>
      <c r="D912" s="23"/>
      <c r="E912" s="23"/>
      <c r="F912" s="23"/>
      <c r="G912" s="23"/>
      <c r="H912" s="23"/>
    </row>
    <row r="913" spans="1:8" ht="14.4">
      <c r="A913" s="23"/>
      <c r="B913" s="23"/>
      <c r="C913" s="23"/>
      <c r="D913" s="23"/>
      <c r="E913" s="23"/>
      <c r="F913" s="23"/>
      <c r="G913" s="23"/>
      <c r="H913" s="23"/>
    </row>
    <row r="914" spans="1:8" ht="14.4">
      <c r="A914" s="23"/>
      <c r="B914" s="23"/>
      <c r="C914" s="23"/>
      <c r="D914" s="23"/>
      <c r="E914" s="23"/>
      <c r="F914" s="23"/>
      <c r="G914" s="23"/>
      <c r="H914" s="23"/>
    </row>
    <row r="915" spans="1:8" ht="14.4">
      <c r="A915" s="23"/>
      <c r="B915" s="23"/>
      <c r="C915" s="23"/>
      <c r="D915" s="23"/>
      <c r="E915" s="23"/>
      <c r="F915" s="23"/>
      <c r="G915" s="23"/>
      <c r="H915" s="23"/>
    </row>
    <row r="916" spans="1:8" ht="14.4">
      <c r="A916" s="23"/>
      <c r="B916" s="23"/>
      <c r="C916" s="23"/>
      <c r="D916" s="23"/>
      <c r="E916" s="23"/>
      <c r="F916" s="23"/>
      <c r="G916" s="23"/>
      <c r="H916" s="23"/>
    </row>
    <row r="917" spans="1:8" ht="14.4">
      <c r="A917" s="23"/>
      <c r="B917" s="23"/>
      <c r="C917" s="23"/>
      <c r="D917" s="23"/>
      <c r="E917" s="23"/>
      <c r="F917" s="23"/>
      <c r="G917" s="23"/>
      <c r="H917" s="23"/>
    </row>
    <row r="918" spans="1:8" ht="14.4">
      <c r="A918" s="23"/>
      <c r="B918" s="23"/>
      <c r="C918" s="23"/>
      <c r="D918" s="23"/>
      <c r="E918" s="23"/>
      <c r="F918" s="23"/>
      <c r="G918" s="23"/>
      <c r="H918" s="23"/>
    </row>
    <row r="919" spans="1:8" ht="14.4">
      <c r="A919" s="23"/>
      <c r="B919" s="23"/>
      <c r="C919" s="23"/>
      <c r="D919" s="23"/>
      <c r="E919" s="23"/>
      <c r="F919" s="23"/>
      <c r="G919" s="23"/>
      <c r="H919" s="23"/>
    </row>
    <row r="920" spans="1:8" ht="14.4">
      <c r="A920" s="23"/>
      <c r="B920" s="23"/>
      <c r="C920" s="23"/>
      <c r="D920" s="23"/>
      <c r="E920" s="23"/>
      <c r="F920" s="23"/>
      <c r="G920" s="23"/>
      <c r="H920" s="23"/>
    </row>
    <row r="921" spans="1:8" ht="14.4">
      <c r="A921" s="23"/>
      <c r="B921" s="23"/>
      <c r="C921" s="23"/>
      <c r="D921" s="23"/>
      <c r="E921" s="23"/>
      <c r="F921" s="23"/>
      <c r="G921" s="23"/>
      <c r="H921" s="23"/>
    </row>
    <row r="922" spans="1:8" ht="14.4">
      <c r="A922" s="23"/>
      <c r="B922" s="23"/>
      <c r="C922" s="23"/>
      <c r="D922" s="23"/>
      <c r="E922" s="23"/>
      <c r="F922" s="23"/>
      <c r="G922" s="23"/>
      <c r="H922" s="23"/>
    </row>
    <row r="923" spans="1:8" ht="14.4">
      <c r="A923" s="23"/>
      <c r="B923" s="23"/>
      <c r="C923" s="23"/>
      <c r="D923" s="23"/>
      <c r="E923" s="23"/>
      <c r="F923" s="23"/>
      <c r="G923" s="23"/>
      <c r="H923" s="23"/>
    </row>
    <row r="924" spans="1:8" ht="14.4">
      <c r="A924" s="23"/>
      <c r="B924" s="23"/>
      <c r="C924" s="23"/>
      <c r="D924" s="23"/>
      <c r="E924" s="23"/>
      <c r="F924" s="23"/>
      <c r="G924" s="23"/>
      <c r="H924" s="23"/>
    </row>
    <row r="925" spans="1:8" ht="14.4">
      <c r="A925" s="23"/>
      <c r="B925" s="23"/>
      <c r="C925" s="23"/>
      <c r="D925" s="23"/>
      <c r="E925" s="23"/>
      <c r="F925" s="23"/>
      <c r="G925" s="23"/>
      <c r="H925" s="23"/>
    </row>
    <row r="926" spans="1:8" ht="14.4">
      <c r="A926" s="23"/>
      <c r="B926" s="23"/>
      <c r="C926" s="23"/>
      <c r="D926" s="23"/>
      <c r="E926" s="23"/>
      <c r="F926" s="23"/>
      <c r="G926" s="23"/>
      <c r="H926" s="23"/>
    </row>
    <row r="927" spans="1:8" ht="14.4">
      <c r="A927" s="23"/>
      <c r="B927" s="23"/>
      <c r="C927" s="23"/>
      <c r="D927" s="23"/>
      <c r="E927" s="23"/>
      <c r="F927" s="23"/>
      <c r="G927" s="23"/>
      <c r="H927" s="23"/>
    </row>
    <row r="928" spans="1:8" ht="14.4">
      <c r="A928" s="23"/>
      <c r="B928" s="23"/>
      <c r="C928" s="23"/>
      <c r="D928" s="23"/>
      <c r="E928" s="23"/>
      <c r="F928" s="23"/>
      <c r="G928" s="23"/>
      <c r="H928" s="23"/>
    </row>
    <row r="929" spans="1:8" ht="14.4">
      <c r="A929" s="23"/>
      <c r="B929" s="23"/>
      <c r="C929" s="23"/>
      <c r="D929" s="23"/>
      <c r="E929" s="23"/>
      <c r="F929" s="23"/>
      <c r="G929" s="23"/>
      <c r="H929" s="23"/>
    </row>
    <row r="930" spans="1:8" ht="14.4">
      <c r="A930" s="23"/>
      <c r="B930" s="23"/>
      <c r="C930" s="23"/>
      <c r="D930" s="23"/>
      <c r="E930" s="23"/>
      <c r="F930" s="23"/>
      <c r="G930" s="23"/>
      <c r="H930" s="23"/>
    </row>
    <row r="931" spans="1:8" ht="14.4">
      <c r="A931" s="23"/>
      <c r="B931" s="23"/>
      <c r="C931" s="23"/>
      <c r="D931" s="23"/>
      <c r="E931" s="23"/>
      <c r="F931" s="23"/>
      <c r="G931" s="23"/>
      <c r="H931" s="23"/>
    </row>
    <row r="932" spans="1:8" ht="14.4">
      <c r="A932" s="23"/>
      <c r="B932" s="23"/>
      <c r="C932" s="23"/>
      <c r="D932" s="23"/>
      <c r="E932" s="23"/>
      <c r="F932" s="23"/>
      <c r="G932" s="23"/>
      <c r="H932" s="23"/>
    </row>
    <row r="933" spans="1:8" ht="14.4">
      <c r="A933" s="23"/>
      <c r="B933" s="23"/>
      <c r="C933" s="23"/>
      <c r="D933" s="23"/>
      <c r="E933" s="23"/>
      <c r="F933" s="23"/>
      <c r="G933" s="23"/>
      <c r="H933" s="23"/>
    </row>
    <row r="934" spans="1:8" ht="14.4">
      <c r="A934" s="23"/>
      <c r="B934" s="23"/>
      <c r="C934" s="23"/>
      <c r="D934" s="23"/>
      <c r="E934" s="23"/>
      <c r="F934" s="23"/>
      <c r="G934" s="23"/>
      <c r="H934" s="23"/>
    </row>
    <row r="935" spans="1:8" ht="14.4">
      <c r="A935" s="23"/>
      <c r="B935" s="23"/>
      <c r="C935" s="23"/>
      <c r="D935" s="23"/>
      <c r="E935" s="23"/>
      <c r="F935" s="23"/>
      <c r="G935" s="23"/>
      <c r="H935" s="23"/>
    </row>
    <row r="936" spans="1:8" ht="14.4">
      <c r="A936" s="23"/>
      <c r="B936" s="23"/>
      <c r="C936" s="23"/>
      <c r="D936" s="23"/>
      <c r="E936" s="23"/>
      <c r="F936" s="23"/>
      <c r="G936" s="23"/>
      <c r="H936" s="23"/>
    </row>
    <row r="937" spans="1:8" ht="14.4">
      <c r="A937" s="23"/>
      <c r="B937" s="23"/>
      <c r="C937" s="23"/>
      <c r="D937" s="23"/>
      <c r="E937" s="23"/>
      <c r="F937" s="23"/>
      <c r="G937" s="23"/>
      <c r="H937" s="23"/>
    </row>
    <row r="938" spans="1:8" ht="14.4">
      <c r="A938" s="23"/>
      <c r="B938" s="23"/>
      <c r="C938" s="23"/>
      <c r="D938" s="23"/>
      <c r="E938" s="23"/>
      <c r="F938" s="23"/>
      <c r="G938" s="23"/>
      <c r="H938" s="23"/>
    </row>
    <row r="939" spans="1:8" ht="14.4">
      <c r="A939" s="23"/>
      <c r="B939" s="23"/>
      <c r="C939" s="23"/>
      <c r="D939" s="23"/>
      <c r="E939" s="23"/>
      <c r="F939" s="23"/>
      <c r="G939" s="23"/>
      <c r="H939" s="23"/>
    </row>
    <row r="940" spans="1:8" ht="14.4">
      <c r="A940" s="23"/>
      <c r="B940" s="23"/>
      <c r="C940" s="23"/>
      <c r="D940" s="23"/>
      <c r="E940" s="23"/>
      <c r="F940" s="23"/>
      <c r="G940" s="23"/>
      <c r="H940" s="23"/>
    </row>
    <row r="941" spans="1:8" ht="14.4">
      <c r="A941" s="23"/>
      <c r="B941" s="23"/>
      <c r="C941" s="23"/>
      <c r="D941" s="23"/>
      <c r="E941" s="23"/>
      <c r="F941" s="23"/>
      <c r="G941" s="23"/>
      <c r="H941" s="23"/>
    </row>
    <row r="942" spans="1:8" ht="14.4">
      <c r="A942" s="23"/>
      <c r="B942" s="23"/>
      <c r="C942" s="23"/>
      <c r="D942" s="23"/>
      <c r="E942" s="23"/>
      <c r="F942" s="23"/>
      <c r="G942" s="23"/>
      <c r="H942" s="23"/>
    </row>
    <row r="943" spans="1:8" ht="14.4">
      <c r="A943" s="23"/>
      <c r="B943" s="23"/>
      <c r="C943" s="23"/>
      <c r="D943" s="23"/>
      <c r="E943" s="23"/>
      <c r="F943" s="23"/>
      <c r="G943" s="23"/>
      <c r="H943" s="23"/>
    </row>
    <row r="944" spans="1:8" ht="14.4">
      <c r="A944" s="23"/>
      <c r="B944" s="23"/>
      <c r="C944" s="23"/>
      <c r="D944" s="23"/>
      <c r="E944" s="23"/>
      <c r="F944" s="23"/>
      <c r="G944" s="23"/>
      <c r="H944" s="23"/>
    </row>
    <row r="945" spans="1:8" ht="14.4">
      <c r="A945" s="23"/>
      <c r="B945" s="23"/>
      <c r="C945" s="23"/>
      <c r="D945" s="23"/>
      <c r="E945" s="23"/>
      <c r="F945" s="23"/>
      <c r="G945" s="23"/>
      <c r="H945" s="23"/>
    </row>
    <row r="946" spans="1:8" ht="14.4">
      <c r="A946" s="23"/>
      <c r="B946" s="23"/>
      <c r="C946" s="23"/>
      <c r="D946" s="23"/>
      <c r="E946" s="23"/>
      <c r="F946" s="23"/>
      <c r="G946" s="23"/>
      <c r="H946" s="23"/>
    </row>
    <row r="947" spans="1:8" ht="14.4">
      <c r="A947" s="23"/>
      <c r="B947" s="23"/>
      <c r="C947" s="23"/>
      <c r="D947" s="23"/>
      <c r="E947" s="23"/>
      <c r="F947" s="23"/>
      <c r="G947" s="23"/>
      <c r="H947" s="23"/>
    </row>
    <row r="948" spans="1:8" ht="14.4">
      <c r="A948" s="23"/>
      <c r="B948" s="23"/>
      <c r="C948" s="23"/>
      <c r="D948" s="23"/>
      <c r="E948" s="23"/>
      <c r="F948" s="23"/>
      <c r="G948" s="23"/>
      <c r="H948" s="23"/>
    </row>
    <row r="949" spans="1:8" ht="14.4">
      <c r="A949" s="23"/>
      <c r="B949" s="23"/>
      <c r="C949" s="23"/>
      <c r="D949" s="23"/>
      <c r="E949" s="23"/>
      <c r="F949" s="23"/>
      <c r="G949" s="23"/>
      <c r="H949" s="23"/>
    </row>
    <row r="950" spans="1:8" ht="14.4">
      <c r="A950" s="23"/>
      <c r="B950" s="23"/>
      <c r="C950" s="23"/>
      <c r="D950" s="23"/>
      <c r="E950" s="23"/>
      <c r="F950" s="23"/>
      <c r="G950" s="23"/>
      <c r="H950" s="23"/>
    </row>
    <row r="951" spans="1:8" ht="14.4">
      <c r="A951" s="23"/>
      <c r="B951" s="23"/>
      <c r="C951" s="23"/>
      <c r="D951" s="23"/>
      <c r="E951" s="23"/>
      <c r="F951" s="23"/>
      <c r="G951" s="23"/>
      <c r="H951" s="23"/>
    </row>
    <row r="952" spans="1:8" ht="14.4">
      <c r="A952" s="23"/>
      <c r="B952" s="23"/>
      <c r="C952" s="23"/>
      <c r="D952" s="23"/>
      <c r="E952" s="23"/>
      <c r="F952" s="23"/>
      <c r="G952" s="23"/>
      <c r="H952" s="23"/>
    </row>
    <row r="953" spans="1:8" ht="14.4">
      <c r="A953" s="23"/>
      <c r="B953" s="23"/>
      <c r="C953" s="23"/>
      <c r="D953" s="23"/>
      <c r="E953" s="23"/>
      <c r="F953" s="23"/>
      <c r="G953" s="23"/>
      <c r="H953" s="23"/>
    </row>
    <row r="954" spans="1:8" ht="14.4">
      <c r="A954" s="23"/>
      <c r="B954" s="23"/>
      <c r="C954" s="23"/>
      <c r="D954" s="23"/>
      <c r="E954" s="23"/>
      <c r="F954" s="23"/>
      <c r="G954" s="23"/>
      <c r="H954" s="23"/>
    </row>
    <row r="955" spans="1:8" ht="14.4">
      <c r="A955" s="23"/>
      <c r="B955" s="23"/>
      <c r="C955" s="23"/>
      <c r="D955" s="23"/>
      <c r="E955" s="23"/>
      <c r="F955" s="23"/>
      <c r="G955" s="23"/>
      <c r="H955" s="23"/>
    </row>
    <row r="956" spans="1:8" ht="14.4">
      <c r="A956" s="23"/>
      <c r="B956" s="23"/>
      <c r="C956" s="23"/>
      <c r="D956" s="23"/>
      <c r="E956" s="23"/>
      <c r="F956" s="23"/>
      <c r="G956" s="23"/>
      <c r="H956" s="23"/>
    </row>
    <row r="957" spans="1:8" ht="14.4">
      <c r="A957" s="23"/>
      <c r="B957" s="23"/>
      <c r="C957" s="23"/>
      <c r="D957" s="23"/>
      <c r="E957" s="23"/>
      <c r="F957" s="23"/>
      <c r="G957" s="23"/>
      <c r="H957" s="23"/>
    </row>
    <row r="958" spans="1:8" ht="14.4">
      <c r="A958" s="23"/>
      <c r="B958" s="23"/>
      <c r="C958" s="23"/>
      <c r="D958" s="23"/>
      <c r="E958" s="23"/>
      <c r="F958" s="23"/>
      <c r="G958" s="23"/>
      <c r="H958" s="23"/>
    </row>
    <row r="959" spans="1:8" ht="14.4">
      <c r="A959" s="23"/>
      <c r="B959" s="23"/>
      <c r="C959" s="23"/>
      <c r="D959" s="23"/>
      <c r="E959" s="23"/>
      <c r="F959" s="23"/>
      <c r="G959" s="23"/>
      <c r="H959" s="23"/>
    </row>
    <row r="960" spans="1:8" ht="14.4">
      <c r="A960" s="23"/>
      <c r="B960" s="23"/>
      <c r="C960" s="23"/>
      <c r="D960" s="23"/>
      <c r="E960" s="23"/>
      <c r="F960" s="23"/>
      <c r="G960" s="23"/>
      <c r="H960" s="23"/>
    </row>
    <row r="961" spans="1:8" ht="14.4">
      <c r="A961" s="23"/>
      <c r="B961" s="23"/>
      <c r="C961" s="23"/>
      <c r="D961" s="23"/>
      <c r="E961" s="23"/>
      <c r="F961" s="23"/>
      <c r="G961" s="23"/>
      <c r="H961" s="23"/>
    </row>
    <row r="962" spans="1:8" ht="14.4">
      <c r="A962" s="23"/>
      <c r="B962" s="23"/>
      <c r="C962" s="23"/>
      <c r="D962" s="23"/>
      <c r="E962" s="23"/>
      <c r="F962" s="23"/>
      <c r="G962" s="23"/>
      <c r="H962" s="23"/>
    </row>
    <row r="963" spans="1:8" ht="14.4">
      <c r="A963" s="23"/>
      <c r="B963" s="23"/>
      <c r="C963" s="23"/>
      <c r="D963" s="23"/>
      <c r="E963" s="23"/>
      <c r="F963" s="23"/>
      <c r="G963" s="23"/>
      <c r="H963" s="23"/>
    </row>
    <row r="964" spans="1:8" ht="14.4">
      <c r="A964" s="23"/>
      <c r="B964" s="23"/>
      <c r="C964" s="23"/>
      <c r="D964" s="23"/>
      <c r="E964" s="23"/>
      <c r="F964" s="23"/>
      <c r="G964" s="23"/>
      <c r="H964" s="23"/>
    </row>
    <row r="965" spans="1:8" ht="14.4">
      <c r="A965" s="23"/>
      <c r="B965" s="23"/>
      <c r="C965" s="23"/>
      <c r="D965" s="23"/>
      <c r="E965" s="23"/>
      <c r="F965" s="23"/>
      <c r="G965" s="23"/>
      <c r="H965" s="23"/>
    </row>
    <row r="966" spans="1:8" ht="14.4">
      <c r="A966" s="23"/>
      <c r="B966" s="23"/>
      <c r="C966" s="23"/>
      <c r="D966" s="23"/>
      <c r="E966" s="23"/>
      <c r="F966" s="23"/>
      <c r="G966" s="23"/>
      <c r="H966" s="23"/>
    </row>
  </sheetData>
  <mergeCells count="1">
    <mergeCell ref="C30:F30"/>
  </mergeCells>
  <pageMargins left="0.7" right="0.7" top="0.75" bottom="0.75" header="0.3" footer="0.3"/>
  <pageSetup paperSize="9" scale="6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88"/>
  <sheetViews>
    <sheetView topLeftCell="A121" zoomScale="83" zoomScaleNormal="83" workbookViewId="0">
      <selection activeCell="D494" sqref="D494"/>
    </sheetView>
  </sheetViews>
  <sheetFormatPr defaultColWidth="12.59765625" defaultRowHeight="15" customHeight="1"/>
  <cols>
    <col min="1" max="1" width="3.19921875" customWidth="1"/>
    <col min="2" max="2" width="4.19921875" customWidth="1"/>
    <col min="3" max="3" width="56.69921875" customWidth="1"/>
    <col min="4" max="4" width="62.3984375" customWidth="1"/>
    <col min="5" max="5" width="13.5" customWidth="1"/>
    <col min="6" max="6" width="7.09765625" customWidth="1"/>
    <col min="7" max="7" width="15.59765625" customWidth="1"/>
    <col min="8" max="8" width="16" customWidth="1"/>
    <col min="9" max="9" width="15.59765625" customWidth="1"/>
    <col min="10" max="10" width="19" customWidth="1"/>
    <col min="11" max="11" width="5.69921875" customWidth="1"/>
    <col min="12" max="12" width="4.19921875" customWidth="1"/>
    <col min="13" max="13" width="9.3984375" customWidth="1"/>
    <col min="14" max="14" width="12.59765625" customWidth="1"/>
    <col min="15" max="22" width="7.59765625" customWidth="1"/>
  </cols>
  <sheetData>
    <row r="1" spans="1:28" ht="14.4">
      <c r="A1" s="48"/>
      <c r="B1" s="49"/>
      <c r="C1" s="48"/>
      <c r="D1" s="50"/>
      <c r="E1" s="51"/>
      <c r="F1" s="52"/>
      <c r="G1" s="48"/>
      <c r="H1" s="49"/>
      <c r="I1" s="48"/>
      <c r="J1" s="48"/>
      <c r="K1" s="48"/>
      <c r="L1" s="48"/>
      <c r="M1" s="53"/>
      <c r="N1" s="54"/>
      <c r="O1" s="48"/>
      <c r="P1" s="48"/>
      <c r="Q1" s="48"/>
      <c r="R1" s="48"/>
      <c r="S1" s="48"/>
      <c r="T1" s="48"/>
      <c r="U1" s="55"/>
      <c r="V1" s="55"/>
      <c r="W1" s="55"/>
      <c r="X1" s="55"/>
      <c r="Y1" s="55"/>
      <c r="Z1" s="55"/>
      <c r="AA1" s="55"/>
      <c r="AB1" s="55"/>
    </row>
    <row r="2" spans="1:28" ht="14.4">
      <c r="A2" s="48"/>
      <c r="B2" s="56"/>
      <c r="C2" s="57"/>
      <c r="D2" s="58"/>
      <c r="E2" s="59"/>
      <c r="F2" s="60"/>
      <c r="G2" s="61"/>
      <c r="H2" s="62"/>
      <c r="I2" s="61"/>
      <c r="J2" s="61"/>
      <c r="K2" s="63"/>
      <c r="L2" s="48"/>
      <c r="M2" s="53"/>
      <c r="N2" s="54"/>
      <c r="O2" s="48"/>
      <c r="P2" s="48"/>
      <c r="Q2" s="48"/>
      <c r="R2" s="48"/>
      <c r="S2" s="48"/>
      <c r="T2" s="48"/>
      <c r="U2" s="55"/>
      <c r="V2" s="55"/>
      <c r="W2" s="55"/>
      <c r="X2" s="55"/>
      <c r="Y2" s="55"/>
      <c r="Z2" s="55"/>
      <c r="AA2" s="55"/>
      <c r="AB2" s="55"/>
    </row>
    <row r="3" spans="1:28" ht="25.5" customHeight="1">
      <c r="A3" s="48"/>
      <c r="B3" s="64"/>
      <c r="C3" s="65" t="str">
        <f>NOTES!B3</f>
        <v>Project Name :  Starbucks #6212, University Park Village</v>
      </c>
      <c r="D3" s="66"/>
      <c r="E3" s="51"/>
      <c r="F3" s="52"/>
      <c r="G3" s="67"/>
      <c r="H3" s="68"/>
      <c r="I3" s="67"/>
      <c r="J3" s="48"/>
      <c r="K3" s="69"/>
      <c r="L3" s="48"/>
      <c r="M3" s="53"/>
      <c r="N3" s="54"/>
      <c r="O3" s="48"/>
      <c r="P3" s="48"/>
      <c r="Q3" s="48"/>
      <c r="R3" s="48"/>
      <c r="S3" s="48"/>
      <c r="T3" s="48"/>
      <c r="U3" s="55"/>
      <c r="V3" s="55"/>
      <c r="W3" s="55"/>
      <c r="X3" s="55"/>
      <c r="Y3" s="55"/>
      <c r="Z3" s="55"/>
      <c r="AA3" s="55"/>
      <c r="AB3" s="55"/>
    </row>
    <row r="4" spans="1:28" ht="25.5" customHeight="1">
      <c r="A4" s="48"/>
      <c r="B4" s="64"/>
      <c r="C4" s="65" t="str">
        <f>NOTES!B4</f>
        <v>Location : 1620 S University Dr, Fort Worth, TX 76107</v>
      </c>
      <c r="D4" s="66"/>
      <c r="E4" s="51"/>
      <c r="F4" s="52"/>
      <c r="G4" s="70"/>
      <c r="H4" s="71"/>
      <c r="I4" s="70"/>
      <c r="J4" s="70"/>
      <c r="K4" s="69"/>
      <c r="L4" s="48"/>
      <c r="M4" s="53"/>
      <c r="N4" s="54"/>
      <c r="O4" s="48"/>
      <c r="P4" s="48"/>
      <c r="Q4" s="48"/>
      <c r="R4" s="48"/>
      <c r="S4" s="48"/>
      <c r="T4" s="48"/>
      <c r="U4" s="55"/>
      <c r="V4" s="55"/>
      <c r="W4" s="55"/>
      <c r="X4" s="55"/>
      <c r="Y4" s="55"/>
      <c r="Z4" s="55"/>
      <c r="AA4" s="55"/>
      <c r="AB4" s="55"/>
    </row>
    <row r="5" spans="1:28" ht="25.5" customHeight="1">
      <c r="A5" s="48"/>
      <c r="B5" s="64"/>
      <c r="C5" s="65" t="str">
        <f>NOTES!B5</f>
        <v>Date of Drawings : Permit Set 8/28/2025</v>
      </c>
      <c r="D5" s="72"/>
      <c r="E5" s="51"/>
      <c r="F5" s="52"/>
      <c r="G5" s="70"/>
      <c r="H5" s="71"/>
      <c r="I5" s="70"/>
      <c r="J5" s="70"/>
      <c r="K5" s="69"/>
      <c r="L5" s="48"/>
      <c r="M5" s="53"/>
      <c r="N5" s="54"/>
      <c r="O5" s="48"/>
      <c r="P5" s="48"/>
      <c r="Q5" s="48"/>
      <c r="R5" s="48"/>
      <c r="S5" s="48"/>
      <c r="T5" s="48"/>
      <c r="U5" s="55"/>
      <c r="V5" s="55"/>
      <c r="W5" s="55"/>
      <c r="X5" s="55"/>
      <c r="Y5" s="55"/>
      <c r="Z5" s="55"/>
      <c r="AA5" s="55"/>
      <c r="AB5" s="55"/>
    </row>
    <row r="6" spans="1:28" ht="25.5" customHeight="1">
      <c r="A6" s="48"/>
      <c r="B6" s="64"/>
      <c r="C6" s="73"/>
      <c r="D6" s="50"/>
      <c r="E6" s="74"/>
      <c r="F6" s="52"/>
      <c r="G6" s="48"/>
      <c r="H6" s="49"/>
      <c r="I6" s="48"/>
      <c r="J6" s="48"/>
      <c r="K6" s="69"/>
      <c r="L6" s="48"/>
      <c r="M6" s="53"/>
      <c r="N6" s="54"/>
      <c r="O6" s="48"/>
      <c r="P6" s="48"/>
      <c r="Q6" s="48"/>
      <c r="R6" s="48"/>
      <c r="S6" s="48"/>
      <c r="T6" s="48"/>
      <c r="U6" s="55"/>
      <c r="V6" s="55"/>
      <c r="W6" s="55"/>
      <c r="X6" s="55"/>
      <c r="Y6" s="55"/>
      <c r="Z6" s="55"/>
      <c r="AA6" s="55"/>
      <c r="AB6" s="55"/>
    </row>
    <row r="7" spans="1:28" ht="25.5" customHeight="1">
      <c r="A7" s="48"/>
      <c r="B7" s="64"/>
      <c r="C7" s="73"/>
      <c r="D7" s="50"/>
      <c r="E7" s="74"/>
      <c r="F7" s="52"/>
      <c r="G7" s="75" t="s">
        <v>82</v>
      </c>
      <c r="H7" s="49"/>
      <c r="I7" s="48"/>
      <c r="J7" s="48"/>
      <c r="K7" s="69"/>
      <c r="L7" s="48"/>
      <c r="M7" s="53"/>
      <c r="N7" s="54"/>
      <c r="O7" s="48"/>
      <c r="P7" s="48"/>
      <c r="Q7" s="48"/>
      <c r="R7" s="48"/>
      <c r="S7" s="48"/>
      <c r="T7" s="48"/>
      <c r="U7" s="55"/>
      <c r="V7" s="55"/>
      <c r="W7" s="55"/>
      <c r="X7" s="55"/>
      <c r="Y7" s="55"/>
      <c r="Z7" s="55"/>
      <c r="AA7" s="55"/>
      <c r="AB7" s="55"/>
    </row>
    <row r="8" spans="1:28" ht="25.5" customHeight="1">
      <c r="A8" s="48"/>
      <c r="B8" s="64"/>
      <c r="C8" s="73"/>
      <c r="D8" s="50"/>
      <c r="E8" s="74"/>
      <c r="F8" s="52"/>
      <c r="G8" s="76" t="s">
        <v>83</v>
      </c>
      <c r="H8" s="49"/>
      <c r="I8" s="48"/>
      <c r="J8" s="48"/>
      <c r="K8" s="69"/>
      <c r="L8" s="48"/>
      <c r="M8" s="53"/>
      <c r="N8" s="54"/>
      <c r="O8" s="48"/>
      <c r="P8" s="48"/>
      <c r="Q8" s="48"/>
      <c r="R8" s="48"/>
      <c r="S8" s="48"/>
      <c r="T8" s="48"/>
      <c r="U8" s="55"/>
      <c r="V8" s="55"/>
      <c r="W8" s="55"/>
      <c r="X8" s="55"/>
      <c r="Y8" s="55"/>
      <c r="Z8" s="55"/>
      <c r="AA8" s="55"/>
      <c r="AB8" s="55"/>
    </row>
    <row r="9" spans="1:28" ht="25.5" customHeight="1">
      <c r="A9" s="48"/>
      <c r="B9" s="64"/>
      <c r="C9" s="73" t="s">
        <v>71</v>
      </c>
      <c r="D9" s="50"/>
      <c r="E9" s="538"/>
      <c r="F9" s="535"/>
      <c r="G9" s="535"/>
      <c r="H9" s="535"/>
      <c r="I9" s="535"/>
      <c r="J9" s="535"/>
      <c r="K9" s="69"/>
      <c r="L9" s="48"/>
      <c r="M9" s="53"/>
      <c r="N9" s="54"/>
      <c r="O9" s="48"/>
      <c r="P9" s="48"/>
      <c r="Q9" s="48"/>
      <c r="R9" s="48"/>
      <c r="S9" s="48"/>
      <c r="T9" s="48"/>
      <c r="U9" s="55"/>
      <c r="V9" s="55"/>
      <c r="W9" s="55"/>
      <c r="X9" s="55"/>
      <c r="Y9" s="55"/>
      <c r="Z9" s="55"/>
      <c r="AA9" s="55"/>
      <c r="AB9" s="55"/>
    </row>
    <row r="10" spans="1:28" ht="15" customHeight="1">
      <c r="A10" s="48"/>
      <c r="B10" s="77"/>
      <c r="C10" s="78"/>
      <c r="D10" s="79"/>
      <c r="E10" s="80"/>
      <c r="F10" s="81"/>
      <c r="G10" s="82"/>
      <c r="H10" s="83"/>
      <c r="I10" s="82"/>
      <c r="J10" s="82"/>
      <c r="K10" s="69"/>
      <c r="L10" s="48"/>
      <c r="M10" s="53"/>
      <c r="N10" s="54"/>
      <c r="O10" s="48"/>
      <c r="P10" s="48"/>
      <c r="Q10" s="48"/>
      <c r="R10" s="48"/>
      <c r="S10" s="48"/>
      <c r="T10" s="48"/>
      <c r="U10" s="48"/>
      <c r="V10" s="48"/>
      <c r="W10" s="55"/>
      <c r="X10" s="55"/>
      <c r="Y10" s="55"/>
      <c r="Z10" s="55"/>
      <c r="AA10" s="55"/>
      <c r="AB10" s="55"/>
    </row>
    <row r="11" spans="1:28" ht="29.25" customHeight="1">
      <c r="A11" s="84"/>
      <c r="B11" s="85"/>
      <c r="C11" s="86" t="s">
        <v>84</v>
      </c>
      <c r="D11" s="87" t="s">
        <v>85</v>
      </c>
      <c r="E11" s="88" t="s">
        <v>86</v>
      </c>
      <c r="F11" s="89" t="s">
        <v>87</v>
      </c>
      <c r="G11" s="90" t="s">
        <v>88</v>
      </c>
      <c r="H11" s="90" t="s">
        <v>89</v>
      </c>
      <c r="I11" s="90" t="s">
        <v>90</v>
      </c>
      <c r="J11" s="89" t="s">
        <v>91</v>
      </c>
      <c r="K11" s="91"/>
      <c r="L11" s="84"/>
      <c r="M11" s="92" t="s">
        <v>92</v>
      </c>
      <c r="N11" s="93" t="s">
        <v>93</v>
      </c>
      <c r="O11" s="84"/>
      <c r="P11" s="84"/>
      <c r="Q11" s="84"/>
      <c r="R11" s="84"/>
      <c r="S11" s="84"/>
      <c r="T11" s="84"/>
      <c r="U11" s="84"/>
      <c r="V11" s="84"/>
      <c r="W11" s="94"/>
      <c r="X11" s="94"/>
      <c r="Y11" s="94"/>
      <c r="Z11" s="94"/>
      <c r="AA11" s="94"/>
      <c r="AB11" s="94"/>
    </row>
    <row r="12" spans="1:28" ht="4.5" customHeight="1">
      <c r="A12" s="48"/>
      <c r="B12" s="77"/>
      <c r="C12" s="78"/>
      <c r="D12" s="79"/>
      <c r="E12" s="80"/>
      <c r="F12" s="81"/>
      <c r="G12" s="82"/>
      <c r="H12" s="83"/>
      <c r="I12" s="82"/>
      <c r="J12" s="82"/>
      <c r="K12" s="69"/>
      <c r="L12" s="48"/>
      <c r="M12" s="95"/>
      <c r="N12" s="96"/>
      <c r="O12" s="48"/>
      <c r="P12" s="48"/>
      <c r="Q12" s="48"/>
      <c r="R12" s="48"/>
      <c r="S12" s="48"/>
      <c r="T12" s="48"/>
      <c r="U12" s="48"/>
      <c r="V12" s="48"/>
      <c r="W12" s="55"/>
      <c r="X12" s="55"/>
      <c r="Y12" s="55"/>
      <c r="Z12" s="55"/>
      <c r="AA12" s="55"/>
      <c r="AB12" s="55"/>
    </row>
    <row r="13" spans="1:28" ht="9.75" customHeight="1">
      <c r="A13" s="48"/>
      <c r="B13" s="77"/>
      <c r="C13" s="78"/>
      <c r="D13" s="79"/>
      <c r="E13" s="80"/>
      <c r="F13" s="81"/>
      <c r="G13" s="82"/>
      <c r="H13" s="83"/>
      <c r="I13" s="82"/>
      <c r="J13" s="82"/>
      <c r="K13" s="69"/>
      <c r="L13" s="48"/>
      <c r="M13" s="97"/>
      <c r="N13" s="96"/>
      <c r="O13" s="48"/>
      <c r="P13" s="48"/>
      <c r="Q13" s="48"/>
      <c r="R13" s="48"/>
      <c r="S13" s="48"/>
      <c r="T13" s="48"/>
      <c r="U13" s="48"/>
      <c r="V13" s="48"/>
      <c r="W13" s="55"/>
      <c r="X13" s="55"/>
      <c r="Y13" s="55"/>
      <c r="Z13" s="55"/>
      <c r="AA13" s="55"/>
      <c r="AB13" s="55"/>
    </row>
    <row r="14" spans="1:28" ht="15.75" customHeight="1">
      <c r="A14" s="78"/>
      <c r="B14" s="98"/>
      <c r="C14" s="99" t="s">
        <v>4</v>
      </c>
      <c r="D14" s="100"/>
      <c r="E14" s="101"/>
      <c r="F14" s="102"/>
      <c r="G14" s="103"/>
      <c r="H14" s="104"/>
      <c r="I14" s="103"/>
      <c r="J14" s="103"/>
      <c r="K14" s="105"/>
      <c r="L14" s="23"/>
      <c r="M14" s="106"/>
      <c r="N14" s="107"/>
      <c r="O14" s="78"/>
      <c r="P14" s="78"/>
      <c r="Q14" s="78"/>
      <c r="R14" s="78"/>
      <c r="S14" s="78"/>
      <c r="T14" s="78"/>
      <c r="U14" s="78"/>
      <c r="V14" s="78"/>
      <c r="W14" s="108"/>
      <c r="X14" s="108"/>
      <c r="Y14" s="108"/>
      <c r="Z14" s="108"/>
      <c r="AA14" s="108"/>
      <c r="AB14" s="108"/>
    </row>
    <row r="15" spans="1:28" ht="15.75" customHeight="1">
      <c r="A15" s="78"/>
      <c r="B15" s="98"/>
      <c r="C15" s="109" t="s">
        <v>94</v>
      </c>
      <c r="D15" s="110"/>
      <c r="E15" s="111"/>
      <c r="F15" s="111"/>
      <c r="G15" s="112"/>
      <c r="H15" s="113"/>
      <c r="I15" s="112"/>
      <c r="J15" s="112"/>
      <c r="K15" s="105"/>
      <c r="L15" s="23"/>
      <c r="M15" s="106"/>
      <c r="N15" s="107"/>
      <c r="O15" s="78"/>
      <c r="P15" s="78"/>
      <c r="Q15" s="78"/>
      <c r="R15" s="78"/>
      <c r="S15" s="78"/>
      <c r="T15" s="78"/>
      <c r="U15" s="78"/>
      <c r="V15" s="78"/>
      <c r="W15" s="108"/>
      <c r="X15" s="108"/>
      <c r="Y15" s="108"/>
      <c r="Z15" s="108"/>
      <c r="AA15" s="108"/>
      <c r="AB15" s="108"/>
    </row>
    <row r="16" spans="1:28" ht="15.75" customHeight="1">
      <c r="A16" s="78"/>
      <c r="B16" s="98"/>
      <c r="C16" s="114" t="s">
        <v>95</v>
      </c>
      <c r="D16" s="115" t="s">
        <v>96</v>
      </c>
      <c r="E16" s="116">
        <v>10</v>
      </c>
      <c r="F16" s="116" t="s">
        <v>97</v>
      </c>
      <c r="G16" s="117">
        <v>3</v>
      </c>
      <c r="H16" s="118" t="s">
        <v>98</v>
      </c>
      <c r="I16" s="119">
        <f t="shared" ref="I16:I19" si="0">E16*N16*(1+M16)</f>
        <v>0</v>
      </c>
      <c r="J16" s="119">
        <f t="shared" ref="J16:J19" si="1">SUM(I16)</f>
        <v>0</v>
      </c>
      <c r="K16" s="69"/>
      <c r="L16" s="48"/>
      <c r="M16" s="97">
        <v>0</v>
      </c>
      <c r="N16" s="96">
        <v>0</v>
      </c>
      <c r="O16" s="78"/>
      <c r="P16" s="78"/>
      <c r="Q16" s="78"/>
      <c r="R16" s="78"/>
      <c r="S16" s="78"/>
      <c r="T16" s="78"/>
      <c r="U16" s="78"/>
      <c r="V16" s="78"/>
      <c r="W16" s="108"/>
      <c r="X16" s="108"/>
      <c r="Y16" s="108"/>
      <c r="Z16" s="108"/>
      <c r="AA16" s="108"/>
      <c r="AB16" s="108"/>
    </row>
    <row r="17" spans="1:28" ht="15.75" customHeight="1">
      <c r="A17" s="48"/>
      <c r="B17" s="77"/>
      <c r="C17" s="114" t="s">
        <v>99</v>
      </c>
      <c r="D17" s="115" t="s">
        <v>100</v>
      </c>
      <c r="E17" s="120">
        <v>260</v>
      </c>
      <c r="F17" s="121" t="s">
        <v>101</v>
      </c>
      <c r="G17" s="117">
        <v>6.5</v>
      </c>
      <c r="H17" s="118" t="s">
        <v>102</v>
      </c>
      <c r="I17" s="119">
        <f t="shared" si="0"/>
        <v>0</v>
      </c>
      <c r="J17" s="119">
        <f t="shared" si="1"/>
        <v>0</v>
      </c>
      <c r="K17" s="69"/>
      <c r="L17" s="48"/>
      <c r="M17" s="97">
        <v>0</v>
      </c>
      <c r="N17" s="96">
        <v>0</v>
      </c>
      <c r="O17" s="48"/>
      <c r="P17" s="48"/>
      <c r="Q17" s="48"/>
      <c r="R17" s="48"/>
      <c r="S17" s="48"/>
      <c r="T17" s="48"/>
      <c r="U17" s="48"/>
      <c r="V17" s="48"/>
      <c r="W17" s="55"/>
      <c r="X17" s="55"/>
      <c r="Y17" s="55"/>
      <c r="Z17" s="55"/>
      <c r="AA17" s="55"/>
      <c r="AB17" s="55"/>
    </row>
    <row r="18" spans="1:28" ht="27.75" customHeight="1">
      <c r="A18" s="48"/>
      <c r="B18" s="77"/>
      <c r="C18" s="114" t="s">
        <v>103</v>
      </c>
      <c r="D18" s="115" t="s">
        <v>104</v>
      </c>
      <c r="E18" s="120">
        <v>236.9</v>
      </c>
      <c r="F18" s="121" t="s">
        <v>101</v>
      </c>
      <c r="G18" s="117">
        <v>6</v>
      </c>
      <c r="H18" s="118" t="s">
        <v>102</v>
      </c>
      <c r="I18" s="119">
        <f t="shared" si="0"/>
        <v>0</v>
      </c>
      <c r="J18" s="119">
        <f t="shared" si="1"/>
        <v>0</v>
      </c>
      <c r="K18" s="69"/>
      <c r="L18" s="48"/>
      <c r="M18" s="97">
        <v>0</v>
      </c>
      <c r="N18" s="96">
        <v>0</v>
      </c>
      <c r="O18" s="48"/>
      <c r="P18" s="48"/>
      <c r="Q18" s="48"/>
      <c r="R18" s="48"/>
      <c r="S18" s="48"/>
      <c r="T18" s="48"/>
      <c r="U18" s="48"/>
      <c r="V18" s="48"/>
      <c r="W18" s="55"/>
      <c r="X18" s="55"/>
      <c r="Y18" s="55"/>
      <c r="Z18" s="55"/>
      <c r="AA18" s="55"/>
      <c r="AB18" s="55"/>
    </row>
    <row r="19" spans="1:28" ht="15.75" customHeight="1">
      <c r="A19" s="48"/>
      <c r="B19" s="77"/>
      <c r="C19" s="114" t="s">
        <v>105</v>
      </c>
      <c r="D19" s="115" t="s">
        <v>106</v>
      </c>
      <c r="E19" s="120">
        <v>184.5</v>
      </c>
      <c r="F19" s="121" t="s">
        <v>101</v>
      </c>
      <c r="G19" s="117">
        <v>1.9</v>
      </c>
      <c r="H19" s="118" t="s">
        <v>98</v>
      </c>
      <c r="I19" s="119">
        <f t="shared" si="0"/>
        <v>0</v>
      </c>
      <c r="J19" s="119">
        <f t="shared" si="1"/>
        <v>0</v>
      </c>
      <c r="K19" s="69"/>
      <c r="L19" s="48"/>
      <c r="M19" s="97">
        <v>0</v>
      </c>
      <c r="N19" s="96">
        <v>0</v>
      </c>
      <c r="O19" s="48"/>
      <c r="P19" s="48"/>
      <c r="Q19" s="48"/>
      <c r="R19" s="48"/>
      <c r="S19" s="48"/>
      <c r="T19" s="48"/>
      <c r="U19" s="48"/>
      <c r="V19" s="48"/>
      <c r="W19" s="55"/>
      <c r="X19" s="55"/>
      <c r="Y19" s="55"/>
      <c r="Z19" s="55"/>
      <c r="AA19" s="55"/>
      <c r="AB19" s="55"/>
    </row>
    <row r="20" spans="1:28" ht="15.75" customHeight="1">
      <c r="A20" s="48"/>
      <c r="B20" s="77"/>
      <c r="C20" s="114"/>
      <c r="D20" s="115"/>
      <c r="E20" s="120"/>
      <c r="F20" s="121"/>
      <c r="G20" s="117"/>
      <c r="H20" s="118"/>
      <c r="I20" s="119"/>
      <c r="J20" s="119"/>
      <c r="K20" s="105"/>
      <c r="L20" s="23"/>
      <c r="M20" s="106"/>
      <c r="N20" s="107"/>
      <c r="O20" s="48"/>
      <c r="P20" s="48"/>
      <c r="Q20" s="48"/>
      <c r="R20" s="48"/>
      <c r="S20" s="48"/>
      <c r="T20" s="48"/>
      <c r="U20" s="48"/>
      <c r="V20" s="48"/>
      <c r="W20" s="55"/>
      <c r="X20" s="55"/>
      <c r="Y20" s="55"/>
      <c r="Z20" s="55"/>
      <c r="AA20" s="55"/>
      <c r="AB20" s="55"/>
    </row>
    <row r="21" spans="1:28" ht="15.75" customHeight="1">
      <c r="A21" s="48"/>
      <c r="B21" s="77"/>
      <c r="C21" s="109" t="s">
        <v>107</v>
      </c>
      <c r="D21" s="115"/>
      <c r="E21" s="120"/>
      <c r="F21" s="121"/>
      <c r="G21" s="117"/>
      <c r="H21" s="118"/>
      <c r="I21" s="119"/>
      <c r="J21" s="119"/>
      <c r="K21" s="105"/>
      <c r="L21" s="23"/>
      <c r="M21" s="106"/>
      <c r="N21" s="107"/>
      <c r="O21" s="48"/>
      <c r="P21" s="48"/>
      <c r="Q21" s="48"/>
      <c r="R21" s="48"/>
      <c r="S21" s="48"/>
      <c r="T21" s="48"/>
      <c r="U21" s="48"/>
      <c r="V21" s="48"/>
      <c r="W21" s="55"/>
      <c r="X21" s="55"/>
      <c r="Y21" s="55"/>
      <c r="Z21" s="55"/>
      <c r="AA21" s="55"/>
      <c r="AB21" s="55"/>
    </row>
    <row r="22" spans="1:28" ht="15.75" customHeight="1">
      <c r="A22" s="48"/>
      <c r="B22" s="77"/>
      <c r="C22" s="114" t="s">
        <v>108</v>
      </c>
      <c r="D22" s="115" t="s">
        <v>109</v>
      </c>
      <c r="E22" s="120">
        <v>2082.8000000000002</v>
      </c>
      <c r="F22" s="121" t="s">
        <v>101</v>
      </c>
      <c r="G22" s="117">
        <v>42</v>
      </c>
      <c r="H22" s="118" t="s">
        <v>102</v>
      </c>
      <c r="I22" s="119">
        <f t="shared" ref="I22:I33" si="2">E22*N22*(1+M22)</f>
        <v>0</v>
      </c>
      <c r="J22" s="119">
        <f t="shared" ref="J22:J33" si="3">SUM(I22)</f>
        <v>0</v>
      </c>
      <c r="K22" s="69"/>
      <c r="L22" s="48"/>
      <c r="M22" s="97">
        <v>0</v>
      </c>
      <c r="N22" s="96">
        <v>0</v>
      </c>
      <c r="O22" s="48"/>
      <c r="P22" s="48"/>
      <c r="Q22" s="48"/>
      <c r="R22" s="48"/>
      <c r="S22" s="48"/>
      <c r="T22" s="48"/>
      <c r="U22" s="48"/>
      <c r="V22" s="48"/>
      <c r="W22" s="55"/>
      <c r="X22" s="55"/>
      <c r="Y22" s="55"/>
      <c r="Z22" s="55"/>
      <c r="AA22" s="55"/>
      <c r="AB22" s="55"/>
    </row>
    <row r="23" spans="1:28" ht="15.75" customHeight="1">
      <c r="A23" s="48"/>
      <c r="B23" s="77"/>
      <c r="C23" s="114" t="s">
        <v>110</v>
      </c>
      <c r="D23" s="115" t="s">
        <v>111</v>
      </c>
      <c r="E23" s="120">
        <v>2721.69</v>
      </c>
      <c r="F23" s="121" t="s">
        <v>101</v>
      </c>
      <c r="G23" s="117">
        <v>14</v>
      </c>
      <c r="H23" s="118" t="s">
        <v>102</v>
      </c>
      <c r="I23" s="119">
        <f t="shared" si="2"/>
        <v>0</v>
      </c>
      <c r="J23" s="119">
        <f t="shared" si="3"/>
        <v>0</v>
      </c>
      <c r="K23" s="69"/>
      <c r="L23" s="48"/>
      <c r="M23" s="97">
        <v>0</v>
      </c>
      <c r="N23" s="96">
        <v>0</v>
      </c>
      <c r="O23" s="48"/>
      <c r="P23" s="48"/>
      <c r="Q23" s="48"/>
      <c r="R23" s="48"/>
      <c r="S23" s="48"/>
      <c r="T23" s="48"/>
      <c r="U23" s="48"/>
      <c r="V23" s="48"/>
      <c r="W23" s="55"/>
      <c r="X23" s="55"/>
      <c r="Y23" s="55"/>
      <c r="Z23" s="55"/>
      <c r="AA23" s="55"/>
      <c r="AB23" s="55"/>
    </row>
    <row r="24" spans="1:28" ht="15.75" customHeight="1">
      <c r="A24" s="48"/>
      <c r="B24" s="77"/>
      <c r="C24" s="114" t="s">
        <v>112</v>
      </c>
      <c r="D24" s="115" t="s">
        <v>113</v>
      </c>
      <c r="E24" s="120">
        <v>15</v>
      </c>
      <c r="F24" s="121" t="s">
        <v>97</v>
      </c>
      <c r="G24" s="117">
        <v>4</v>
      </c>
      <c r="H24" s="118" t="s">
        <v>98</v>
      </c>
      <c r="I24" s="119">
        <f t="shared" si="2"/>
        <v>0</v>
      </c>
      <c r="J24" s="119">
        <f t="shared" si="3"/>
        <v>0</v>
      </c>
      <c r="K24" s="69"/>
      <c r="L24" s="48"/>
      <c r="M24" s="97">
        <v>0</v>
      </c>
      <c r="N24" s="96">
        <v>0</v>
      </c>
      <c r="O24" s="48"/>
      <c r="P24" s="48"/>
      <c r="Q24" s="48"/>
      <c r="R24" s="48"/>
      <c r="S24" s="48"/>
      <c r="T24" s="48"/>
      <c r="U24" s="48"/>
      <c r="V24" s="48"/>
      <c r="W24" s="55"/>
      <c r="X24" s="55"/>
      <c r="Y24" s="55"/>
      <c r="Z24" s="55"/>
      <c r="AA24" s="55"/>
      <c r="AB24" s="55"/>
    </row>
    <row r="25" spans="1:28" ht="15.75" customHeight="1">
      <c r="A25" s="48"/>
      <c r="B25" s="77"/>
      <c r="C25" s="114" t="s">
        <v>112</v>
      </c>
      <c r="D25" s="115" t="s">
        <v>114</v>
      </c>
      <c r="E25" s="120">
        <v>371.03</v>
      </c>
      <c r="F25" s="121" t="s">
        <v>101</v>
      </c>
      <c r="G25" s="117">
        <v>6</v>
      </c>
      <c r="H25" s="118" t="s">
        <v>102</v>
      </c>
      <c r="I25" s="119">
        <f t="shared" si="2"/>
        <v>0</v>
      </c>
      <c r="J25" s="119">
        <f t="shared" si="3"/>
        <v>0</v>
      </c>
      <c r="K25" s="69"/>
      <c r="L25" s="48"/>
      <c r="M25" s="97">
        <v>0</v>
      </c>
      <c r="N25" s="96">
        <v>0</v>
      </c>
      <c r="O25" s="48"/>
      <c r="P25" s="48"/>
      <c r="Q25" s="48"/>
      <c r="R25" s="48"/>
      <c r="S25" s="48"/>
      <c r="T25" s="48"/>
      <c r="U25" s="48"/>
      <c r="V25" s="48"/>
      <c r="W25" s="55"/>
      <c r="X25" s="55"/>
      <c r="Y25" s="55"/>
      <c r="Z25" s="55"/>
      <c r="AA25" s="55"/>
      <c r="AB25" s="55"/>
    </row>
    <row r="26" spans="1:28" ht="15.75" customHeight="1">
      <c r="A26" s="48"/>
      <c r="B26" s="77"/>
      <c r="C26" s="114" t="s">
        <v>115</v>
      </c>
      <c r="D26" s="115"/>
      <c r="E26" s="120">
        <v>1</v>
      </c>
      <c r="F26" s="121" t="s">
        <v>97</v>
      </c>
      <c r="G26" s="117">
        <v>0.5</v>
      </c>
      <c r="H26" s="118" t="s">
        <v>98</v>
      </c>
      <c r="I26" s="119">
        <f t="shared" si="2"/>
        <v>0</v>
      </c>
      <c r="J26" s="119">
        <f t="shared" si="3"/>
        <v>0</v>
      </c>
      <c r="K26" s="69"/>
      <c r="L26" s="48"/>
      <c r="M26" s="97">
        <v>0</v>
      </c>
      <c r="N26" s="96">
        <v>0</v>
      </c>
      <c r="O26" s="48"/>
      <c r="P26" s="48"/>
      <c r="Q26" s="48"/>
      <c r="R26" s="48"/>
      <c r="S26" s="48"/>
      <c r="T26" s="48"/>
      <c r="U26" s="48"/>
      <c r="V26" s="48"/>
      <c r="W26" s="55"/>
      <c r="X26" s="55"/>
      <c r="Y26" s="55"/>
      <c r="Z26" s="55"/>
      <c r="AA26" s="55"/>
      <c r="AB26" s="55"/>
    </row>
    <row r="27" spans="1:28" ht="15.75" customHeight="1">
      <c r="A27" s="48"/>
      <c r="B27" s="77"/>
      <c r="C27" s="114" t="s">
        <v>116</v>
      </c>
      <c r="D27" s="115"/>
      <c r="E27" s="120">
        <v>2</v>
      </c>
      <c r="F27" s="121" t="s">
        <v>97</v>
      </c>
      <c r="G27" s="117">
        <v>3</v>
      </c>
      <c r="H27" s="118" t="s">
        <v>102</v>
      </c>
      <c r="I27" s="119">
        <f t="shared" si="2"/>
        <v>0</v>
      </c>
      <c r="J27" s="119">
        <f t="shared" si="3"/>
        <v>0</v>
      </c>
      <c r="K27" s="69"/>
      <c r="L27" s="48"/>
      <c r="M27" s="97">
        <v>0</v>
      </c>
      <c r="N27" s="96">
        <v>0</v>
      </c>
      <c r="O27" s="48"/>
      <c r="P27" s="48"/>
      <c r="Q27" s="48"/>
      <c r="R27" s="48"/>
      <c r="S27" s="48"/>
      <c r="T27" s="48"/>
      <c r="U27" s="48"/>
      <c r="V27" s="48"/>
      <c r="W27" s="55"/>
      <c r="X27" s="55"/>
      <c r="Y27" s="55"/>
      <c r="Z27" s="55"/>
      <c r="AA27" s="55"/>
      <c r="AB27" s="55"/>
    </row>
    <row r="28" spans="1:28" ht="15.75" customHeight="1">
      <c r="A28" s="48"/>
      <c r="B28" s="77"/>
      <c r="C28" s="114" t="s">
        <v>117</v>
      </c>
      <c r="D28" s="115" t="s">
        <v>118</v>
      </c>
      <c r="E28" s="120">
        <v>11</v>
      </c>
      <c r="F28" s="121" t="s">
        <v>97</v>
      </c>
      <c r="G28" s="117">
        <v>3.2</v>
      </c>
      <c r="H28" s="118" t="s">
        <v>98</v>
      </c>
      <c r="I28" s="119">
        <f t="shared" si="2"/>
        <v>0</v>
      </c>
      <c r="J28" s="119">
        <f t="shared" si="3"/>
        <v>0</v>
      </c>
      <c r="K28" s="69"/>
      <c r="L28" s="48"/>
      <c r="M28" s="97">
        <v>0</v>
      </c>
      <c r="N28" s="96">
        <v>0</v>
      </c>
      <c r="O28" s="48"/>
      <c r="P28" s="48"/>
      <c r="Q28" s="48"/>
      <c r="R28" s="48"/>
      <c r="S28" s="48"/>
      <c r="T28" s="48"/>
      <c r="U28" s="48"/>
      <c r="V28" s="48"/>
      <c r="W28" s="55"/>
      <c r="X28" s="55"/>
      <c r="Y28" s="55"/>
      <c r="Z28" s="55"/>
      <c r="AA28" s="55"/>
      <c r="AB28" s="55"/>
    </row>
    <row r="29" spans="1:28" ht="15.75" customHeight="1">
      <c r="A29" s="48"/>
      <c r="B29" s="77"/>
      <c r="C29" s="114" t="s">
        <v>119</v>
      </c>
      <c r="D29" s="115"/>
      <c r="E29" s="120">
        <v>2</v>
      </c>
      <c r="F29" s="121" t="s">
        <v>97</v>
      </c>
      <c r="G29" s="117">
        <v>1</v>
      </c>
      <c r="H29" s="118" t="s">
        <v>98</v>
      </c>
      <c r="I29" s="119">
        <f t="shared" si="2"/>
        <v>0</v>
      </c>
      <c r="J29" s="119">
        <f t="shared" si="3"/>
        <v>0</v>
      </c>
      <c r="K29" s="69"/>
      <c r="L29" s="48"/>
      <c r="M29" s="97">
        <v>0</v>
      </c>
      <c r="N29" s="96">
        <v>0</v>
      </c>
      <c r="O29" s="48"/>
      <c r="P29" s="48"/>
      <c r="Q29" s="48"/>
      <c r="R29" s="48"/>
      <c r="S29" s="48"/>
      <c r="T29" s="48"/>
      <c r="U29" s="48"/>
      <c r="V29" s="48"/>
      <c r="W29" s="55"/>
      <c r="X29" s="55"/>
      <c r="Y29" s="55"/>
      <c r="Z29" s="55"/>
      <c r="AA29" s="55"/>
      <c r="AB29" s="55"/>
    </row>
    <row r="30" spans="1:28" ht="15.75" customHeight="1">
      <c r="A30" s="48"/>
      <c r="B30" s="77"/>
      <c r="C30" s="114" t="s">
        <v>120</v>
      </c>
      <c r="D30" s="115"/>
      <c r="E30" s="120">
        <v>2</v>
      </c>
      <c r="F30" s="121" t="s">
        <v>97</v>
      </c>
      <c r="G30" s="117">
        <v>2</v>
      </c>
      <c r="H30" s="118" t="s">
        <v>98</v>
      </c>
      <c r="I30" s="119">
        <f t="shared" si="2"/>
        <v>0</v>
      </c>
      <c r="J30" s="119">
        <f t="shared" si="3"/>
        <v>0</v>
      </c>
      <c r="K30" s="69"/>
      <c r="L30" s="48"/>
      <c r="M30" s="97">
        <v>0</v>
      </c>
      <c r="N30" s="96">
        <v>0</v>
      </c>
      <c r="O30" s="48"/>
      <c r="P30" s="48"/>
      <c r="Q30" s="48"/>
      <c r="R30" s="48"/>
      <c r="S30" s="48"/>
      <c r="T30" s="48"/>
      <c r="U30" s="48"/>
      <c r="V30" s="48"/>
      <c r="W30" s="55"/>
      <c r="X30" s="55"/>
      <c r="Y30" s="55"/>
      <c r="Z30" s="55"/>
      <c r="AA30" s="55"/>
      <c r="AB30" s="55"/>
    </row>
    <row r="31" spans="1:28" ht="15.75" customHeight="1">
      <c r="A31" s="48"/>
      <c r="B31" s="77"/>
      <c r="C31" s="114" t="s">
        <v>121</v>
      </c>
      <c r="D31" s="115" t="s">
        <v>122</v>
      </c>
      <c r="E31" s="120">
        <v>2652.9</v>
      </c>
      <c r="F31" s="121" t="s">
        <v>101</v>
      </c>
      <c r="G31" s="117">
        <v>18</v>
      </c>
      <c r="H31" s="118" t="s">
        <v>102</v>
      </c>
      <c r="I31" s="119">
        <f t="shared" si="2"/>
        <v>0</v>
      </c>
      <c r="J31" s="119">
        <f t="shared" si="3"/>
        <v>0</v>
      </c>
      <c r="K31" s="69"/>
      <c r="L31" s="48"/>
      <c r="M31" s="97">
        <v>0</v>
      </c>
      <c r="N31" s="96">
        <v>0</v>
      </c>
      <c r="O31" s="48"/>
      <c r="P31" s="48"/>
      <c r="Q31" s="48"/>
      <c r="R31" s="48"/>
      <c r="S31" s="48"/>
      <c r="T31" s="48"/>
      <c r="U31" s="48"/>
      <c r="V31" s="48"/>
      <c r="W31" s="55"/>
      <c r="X31" s="55"/>
      <c r="Y31" s="55"/>
      <c r="Z31" s="55"/>
      <c r="AA31" s="55"/>
      <c r="AB31" s="55"/>
    </row>
    <row r="32" spans="1:28" ht="15.75" customHeight="1">
      <c r="A32" s="48"/>
      <c r="B32" s="77"/>
      <c r="C32" s="114" t="s">
        <v>123</v>
      </c>
      <c r="D32" s="115" t="s">
        <v>124</v>
      </c>
      <c r="E32" s="120">
        <v>129.18</v>
      </c>
      <c r="F32" s="121" t="s">
        <v>101</v>
      </c>
      <c r="G32" s="117">
        <v>4</v>
      </c>
      <c r="H32" s="118" t="s">
        <v>98</v>
      </c>
      <c r="I32" s="119">
        <f t="shared" si="2"/>
        <v>0</v>
      </c>
      <c r="J32" s="119">
        <f t="shared" si="3"/>
        <v>0</v>
      </c>
      <c r="K32" s="69"/>
      <c r="L32" s="48"/>
      <c r="M32" s="97">
        <v>0</v>
      </c>
      <c r="N32" s="96">
        <v>0</v>
      </c>
      <c r="O32" s="48"/>
      <c r="P32" s="48"/>
      <c r="Q32" s="48"/>
      <c r="R32" s="48"/>
      <c r="S32" s="48"/>
      <c r="T32" s="48"/>
      <c r="U32" s="48"/>
      <c r="V32" s="48"/>
      <c r="W32" s="55"/>
      <c r="X32" s="55"/>
      <c r="Y32" s="55"/>
      <c r="Z32" s="55"/>
      <c r="AA32" s="55"/>
      <c r="AB32" s="55"/>
    </row>
    <row r="33" spans="1:28" ht="15.75" customHeight="1">
      <c r="A33" s="48"/>
      <c r="B33" s="77"/>
      <c r="C33" s="114" t="s">
        <v>125</v>
      </c>
      <c r="D33" s="115"/>
      <c r="E33" s="120">
        <v>9</v>
      </c>
      <c r="F33" s="121" t="s">
        <v>97</v>
      </c>
      <c r="G33" s="117">
        <v>4.5</v>
      </c>
      <c r="H33" s="118" t="s">
        <v>98</v>
      </c>
      <c r="I33" s="119">
        <f t="shared" si="2"/>
        <v>0</v>
      </c>
      <c r="J33" s="119">
        <f t="shared" si="3"/>
        <v>0</v>
      </c>
      <c r="K33" s="69"/>
      <c r="L33" s="48"/>
      <c r="M33" s="97">
        <v>0</v>
      </c>
      <c r="N33" s="96">
        <v>0</v>
      </c>
      <c r="O33" s="48"/>
      <c r="P33" s="48"/>
      <c r="Q33" s="48"/>
      <c r="R33" s="48"/>
      <c r="S33" s="48"/>
      <c r="T33" s="48"/>
      <c r="U33" s="48"/>
      <c r="V33" s="48"/>
      <c r="W33" s="55"/>
      <c r="X33" s="55"/>
      <c r="Y33" s="55"/>
      <c r="Z33" s="55"/>
      <c r="AA33" s="55"/>
      <c r="AB33" s="55"/>
    </row>
    <row r="34" spans="1:28" ht="15.75" customHeight="1">
      <c r="A34" s="48"/>
      <c r="B34" s="77"/>
      <c r="C34" s="114"/>
      <c r="D34" s="115"/>
      <c r="E34" s="120"/>
      <c r="F34" s="121"/>
      <c r="G34" s="117"/>
      <c r="H34" s="122"/>
      <c r="I34" s="123"/>
      <c r="J34" s="123"/>
      <c r="K34" s="105"/>
      <c r="L34" s="23"/>
      <c r="M34" s="106"/>
      <c r="N34" s="107"/>
      <c r="O34" s="48"/>
      <c r="P34" s="48"/>
      <c r="Q34" s="48"/>
      <c r="R34" s="48"/>
      <c r="S34" s="48"/>
      <c r="T34" s="48"/>
      <c r="U34" s="48"/>
      <c r="V34" s="48"/>
      <c r="W34" s="55"/>
      <c r="X34" s="55"/>
      <c r="Y34" s="55"/>
      <c r="Z34" s="55"/>
      <c r="AA34" s="55"/>
      <c r="AB34" s="55"/>
    </row>
    <row r="35" spans="1:28" ht="15.75" customHeight="1">
      <c r="A35" s="48"/>
      <c r="B35" s="77"/>
      <c r="C35" s="109" t="s">
        <v>126</v>
      </c>
      <c r="D35" s="115"/>
      <c r="E35" s="120"/>
      <c r="F35" s="121"/>
      <c r="G35" s="117"/>
      <c r="H35" s="122"/>
      <c r="I35" s="123"/>
      <c r="J35" s="123"/>
      <c r="K35" s="105"/>
      <c r="L35" s="23"/>
      <c r="M35" s="106"/>
      <c r="N35" s="107"/>
      <c r="O35" s="48"/>
      <c r="P35" s="48"/>
      <c r="Q35" s="48"/>
      <c r="R35" s="48"/>
      <c r="S35" s="48"/>
      <c r="T35" s="48"/>
      <c r="U35" s="48"/>
      <c r="V35" s="48"/>
      <c r="W35" s="55"/>
      <c r="X35" s="55"/>
      <c r="Y35" s="55"/>
      <c r="Z35" s="55"/>
      <c r="AA35" s="55"/>
      <c r="AB35" s="55"/>
    </row>
    <row r="36" spans="1:28" ht="30.75" customHeight="1">
      <c r="A36" s="48"/>
      <c r="B36" s="77"/>
      <c r="C36" s="114" t="s">
        <v>127</v>
      </c>
      <c r="D36" s="115" t="s">
        <v>128</v>
      </c>
      <c r="E36" s="120">
        <v>78.75</v>
      </c>
      <c r="F36" s="121" t="s">
        <v>101</v>
      </c>
      <c r="G36" s="117">
        <v>2</v>
      </c>
      <c r="H36" s="118" t="s">
        <v>98</v>
      </c>
      <c r="I36" s="119">
        <f t="shared" ref="I36:I39" si="4">E36*N36*(1+M36)</f>
        <v>0</v>
      </c>
      <c r="J36" s="119">
        <f t="shared" ref="J36:J39" si="5">SUM(I36)</f>
        <v>0</v>
      </c>
      <c r="K36" s="69"/>
      <c r="L36" s="48"/>
      <c r="M36" s="97">
        <v>0</v>
      </c>
      <c r="N36" s="96">
        <v>0</v>
      </c>
      <c r="O36" s="48"/>
      <c r="P36" s="48"/>
      <c r="Q36" s="48"/>
      <c r="R36" s="48"/>
      <c r="S36" s="48"/>
      <c r="T36" s="48"/>
      <c r="U36" s="48"/>
      <c r="V36" s="48"/>
      <c r="W36" s="55"/>
      <c r="X36" s="55"/>
      <c r="Y36" s="55"/>
      <c r="Z36" s="55"/>
      <c r="AA36" s="55"/>
      <c r="AB36" s="55"/>
    </row>
    <row r="37" spans="1:28" ht="30.75" customHeight="1">
      <c r="A37" s="48"/>
      <c r="B37" s="77"/>
      <c r="C37" s="114" t="s">
        <v>129</v>
      </c>
      <c r="D37" s="115" t="s">
        <v>128</v>
      </c>
      <c r="E37" s="120">
        <v>78.75</v>
      </c>
      <c r="F37" s="121" t="s">
        <v>101</v>
      </c>
      <c r="G37" s="117">
        <v>2</v>
      </c>
      <c r="H37" s="118" t="s">
        <v>98</v>
      </c>
      <c r="I37" s="119">
        <f t="shared" si="4"/>
        <v>0</v>
      </c>
      <c r="J37" s="119">
        <f t="shared" si="5"/>
        <v>0</v>
      </c>
      <c r="K37" s="69"/>
      <c r="L37" s="48"/>
      <c r="M37" s="97">
        <v>0</v>
      </c>
      <c r="N37" s="96">
        <v>0</v>
      </c>
      <c r="O37" s="48"/>
      <c r="P37" s="48"/>
      <c r="Q37" s="48"/>
      <c r="R37" s="48"/>
      <c r="S37" s="48"/>
      <c r="T37" s="48"/>
      <c r="U37" s="48"/>
      <c r="V37" s="48"/>
      <c r="W37" s="55"/>
      <c r="X37" s="55"/>
      <c r="Y37" s="55"/>
      <c r="Z37" s="55"/>
      <c r="AA37" s="55"/>
      <c r="AB37" s="55"/>
    </row>
    <row r="38" spans="1:28" ht="15.75" customHeight="1">
      <c r="A38" s="48"/>
      <c r="B38" s="77"/>
      <c r="C38" s="114" t="s">
        <v>130</v>
      </c>
      <c r="D38" s="115"/>
      <c r="E38" s="120">
        <v>1210.9000000000001</v>
      </c>
      <c r="F38" s="121" t="s">
        <v>101</v>
      </c>
      <c r="G38" s="117">
        <v>12</v>
      </c>
      <c r="H38" s="118" t="s">
        <v>102</v>
      </c>
      <c r="I38" s="119">
        <f t="shared" si="4"/>
        <v>0</v>
      </c>
      <c r="J38" s="119">
        <f t="shared" si="5"/>
        <v>0</v>
      </c>
      <c r="K38" s="69"/>
      <c r="L38" s="48"/>
      <c r="M38" s="97">
        <v>0</v>
      </c>
      <c r="N38" s="96">
        <v>0</v>
      </c>
      <c r="O38" s="48"/>
      <c r="P38" s="48"/>
      <c r="Q38" s="48"/>
      <c r="R38" s="48"/>
      <c r="S38" s="48"/>
      <c r="T38" s="48"/>
      <c r="U38" s="48"/>
      <c r="V38" s="48"/>
      <c r="W38" s="55"/>
      <c r="X38" s="55"/>
      <c r="Y38" s="55"/>
      <c r="Z38" s="55"/>
      <c r="AA38" s="55"/>
      <c r="AB38" s="55"/>
    </row>
    <row r="39" spans="1:28" ht="31.5" customHeight="1">
      <c r="A39" s="48"/>
      <c r="B39" s="77"/>
      <c r="C39" s="114" t="s">
        <v>131</v>
      </c>
      <c r="D39" s="115"/>
      <c r="E39" s="120">
        <v>270.7</v>
      </c>
      <c r="F39" s="121" t="s">
        <v>101</v>
      </c>
      <c r="G39" s="117">
        <v>4</v>
      </c>
      <c r="H39" s="118" t="s">
        <v>102</v>
      </c>
      <c r="I39" s="119">
        <f t="shared" si="4"/>
        <v>0</v>
      </c>
      <c r="J39" s="119">
        <f t="shared" si="5"/>
        <v>0</v>
      </c>
      <c r="K39" s="69"/>
      <c r="L39" s="48"/>
      <c r="M39" s="97">
        <v>0</v>
      </c>
      <c r="N39" s="96">
        <v>0</v>
      </c>
      <c r="O39" s="48"/>
      <c r="P39" s="48"/>
      <c r="Q39" s="48"/>
      <c r="R39" s="48"/>
      <c r="S39" s="48"/>
      <c r="T39" s="48"/>
      <c r="U39" s="48"/>
      <c r="V39" s="48"/>
      <c r="W39" s="55"/>
      <c r="X39" s="55"/>
      <c r="Y39" s="55"/>
      <c r="Z39" s="55"/>
      <c r="AA39" s="55"/>
      <c r="AB39" s="55"/>
    </row>
    <row r="40" spans="1:28" ht="15.75" customHeight="1">
      <c r="A40" s="48"/>
      <c r="B40" s="77"/>
      <c r="C40" s="114"/>
      <c r="D40" s="110"/>
      <c r="E40" s="120"/>
      <c r="F40" s="121"/>
      <c r="G40" s="117"/>
      <c r="H40" s="118"/>
      <c r="I40" s="119"/>
      <c r="J40" s="119"/>
      <c r="K40" s="105"/>
      <c r="L40" s="23"/>
      <c r="M40" s="106"/>
      <c r="N40" s="107"/>
      <c r="O40" s="48"/>
      <c r="P40" s="48"/>
      <c r="Q40" s="48"/>
      <c r="R40" s="48"/>
      <c r="S40" s="48"/>
      <c r="T40" s="48"/>
      <c r="U40" s="48"/>
      <c r="V40" s="48"/>
      <c r="W40" s="55"/>
      <c r="X40" s="55"/>
      <c r="Y40" s="55"/>
      <c r="Z40" s="55"/>
      <c r="AA40" s="55"/>
      <c r="AB40" s="55"/>
    </row>
    <row r="41" spans="1:28" ht="15.75" customHeight="1">
      <c r="A41" s="48"/>
      <c r="B41" s="77"/>
      <c r="C41" s="109" t="s">
        <v>132</v>
      </c>
      <c r="D41" s="110"/>
      <c r="E41" s="120"/>
      <c r="F41" s="121"/>
      <c r="G41" s="117"/>
      <c r="H41" s="118"/>
      <c r="I41" s="119"/>
      <c r="J41" s="119"/>
      <c r="K41" s="105"/>
      <c r="L41" s="23"/>
      <c r="M41" s="106"/>
      <c r="N41" s="107"/>
      <c r="O41" s="48"/>
      <c r="P41" s="48"/>
      <c r="Q41" s="48"/>
      <c r="R41" s="48"/>
      <c r="S41" s="48"/>
      <c r="T41" s="48"/>
      <c r="U41" s="48"/>
      <c r="V41" s="48"/>
      <c r="W41" s="55"/>
      <c r="X41" s="55"/>
      <c r="Y41" s="55"/>
      <c r="Z41" s="55"/>
      <c r="AA41" s="55"/>
      <c r="AB41" s="55"/>
    </row>
    <row r="42" spans="1:28" ht="15.75" customHeight="1">
      <c r="A42" s="48"/>
      <c r="B42" s="77"/>
      <c r="C42" s="114" t="s">
        <v>133</v>
      </c>
      <c r="D42" s="110" t="s">
        <v>134</v>
      </c>
      <c r="E42" s="120">
        <v>2</v>
      </c>
      <c r="F42" s="121" t="s">
        <v>97</v>
      </c>
      <c r="G42" s="117">
        <v>1.5</v>
      </c>
      <c r="H42" s="118" t="s">
        <v>135</v>
      </c>
      <c r="I42" s="119">
        <f t="shared" ref="I42:I62" si="6">E42*N42*(1+M42)</f>
        <v>0</v>
      </c>
      <c r="J42" s="119">
        <f t="shared" ref="J42:J62" si="7">SUM(I42)</f>
        <v>0</v>
      </c>
      <c r="K42" s="69"/>
      <c r="L42" s="48"/>
      <c r="M42" s="97">
        <v>0</v>
      </c>
      <c r="N42" s="96">
        <v>0</v>
      </c>
      <c r="O42" s="48"/>
      <c r="P42" s="48"/>
      <c r="Q42" s="48"/>
      <c r="R42" s="48"/>
      <c r="S42" s="48"/>
      <c r="T42" s="48"/>
      <c r="U42" s="48"/>
      <c r="V42" s="48"/>
      <c r="W42" s="55"/>
      <c r="X42" s="55"/>
      <c r="Y42" s="55"/>
      <c r="Z42" s="55"/>
      <c r="AA42" s="55"/>
      <c r="AB42" s="55"/>
    </row>
    <row r="43" spans="1:28" ht="15.75" customHeight="1">
      <c r="A43" s="48"/>
      <c r="B43" s="77"/>
      <c r="C43" s="114" t="s">
        <v>136</v>
      </c>
      <c r="D43" s="110" t="s">
        <v>134</v>
      </c>
      <c r="E43" s="120">
        <v>1</v>
      </c>
      <c r="F43" s="121" t="s">
        <v>97</v>
      </c>
      <c r="G43" s="117">
        <v>1.5</v>
      </c>
      <c r="H43" s="118" t="s">
        <v>135</v>
      </c>
      <c r="I43" s="119">
        <f t="shared" si="6"/>
        <v>0</v>
      </c>
      <c r="J43" s="119">
        <f t="shared" si="7"/>
        <v>0</v>
      </c>
      <c r="K43" s="69"/>
      <c r="L43" s="48"/>
      <c r="M43" s="97">
        <v>0</v>
      </c>
      <c r="N43" s="96">
        <v>0</v>
      </c>
      <c r="O43" s="48"/>
      <c r="P43" s="48"/>
      <c r="Q43" s="48"/>
      <c r="R43" s="48"/>
      <c r="S43" s="48"/>
      <c r="T43" s="48"/>
      <c r="U43" s="48"/>
      <c r="V43" s="48"/>
      <c r="W43" s="55"/>
      <c r="X43" s="55"/>
      <c r="Y43" s="55"/>
      <c r="Z43" s="55"/>
      <c r="AA43" s="55"/>
      <c r="AB43" s="55"/>
    </row>
    <row r="44" spans="1:28" ht="15.75" customHeight="1">
      <c r="A44" s="48"/>
      <c r="B44" s="77"/>
      <c r="C44" s="114" t="s">
        <v>137</v>
      </c>
      <c r="D44" s="110" t="s">
        <v>134</v>
      </c>
      <c r="E44" s="120">
        <v>1</v>
      </c>
      <c r="F44" s="121" t="s">
        <v>97</v>
      </c>
      <c r="G44" s="117">
        <v>1.5</v>
      </c>
      <c r="H44" s="118" t="s">
        <v>135</v>
      </c>
      <c r="I44" s="119">
        <f t="shared" si="6"/>
        <v>0</v>
      </c>
      <c r="J44" s="119">
        <f t="shared" si="7"/>
        <v>0</v>
      </c>
      <c r="K44" s="69"/>
      <c r="L44" s="48"/>
      <c r="M44" s="97">
        <v>0</v>
      </c>
      <c r="N44" s="96">
        <v>0</v>
      </c>
      <c r="O44" s="48"/>
      <c r="P44" s="48"/>
      <c r="Q44" s="48"/>
      <c r="R44" s="48"/>
      <c r="S44" s="48"/>
      <c r="T44" s="48"/>
      <c r="U44" s="48"/>
      <c r="V44" s="48"/>
      <c r="W44" s="55"/>
      <c r="X44" s="55"/>
      <c r="Y44" s="55"/>
      <c r="Z44" s="55"/>
      <c r="AA44" s="55"/>
      <c r="AB44" s="55"/>
    </row>
    <row r="45" spans="1:28" ht="15.75" customHeight="1">
      <c r="A45" s="48"/>
      <c r="B45" s="77"/>
      <c r="C45" s="114" t="s">
        <v>138</v>
      </c>
      <c r="D45" s="110" t="s">
        <v>134</v>
      </c>
      <c r="E45" s="120">
        <v>1</v>
      </c>
      <c r="F45" s="121" t="s">
        <v>97</v>
      </c>
      <c r="G45" s="117">
        <v>2</v>
      </c>
      <c r="H45" s="118" t="s">
        <v>139</v>
      </c>
      <c r="I45" s="119">
        <f t="shared" si="6"/>
        <v>0</v>
      </c>
      <c r="J45" s="119">
        <f t="shared" si="7"/>
        <v>0</v>
      </c>
      <c r="K45" s="69"/>
      <c r="L45" s="48"/>
      <c r="M45" s="97">
        <v>0</v>
      </c>
      <c r="N45" s="96">
        <v>0</v>
      </c>
      <c r="O45" s="48"/>
      <c r="P45" s="48"/>
      <c r="Q45" s="48"/>
      <c r="R45" s="48"/>
      <c r="S45" s="48"/>
      <c r="T45" s="48"/>
      <c r="U45" s="48"/>
      <c r="V45" s="48"/>
      <c r="W45" s="55"/>
      <c r="X45" s="55"/>
      <c r="Y45" s="55"/>
      <c r="Z45" s="55"/>
      <c r="AA45" s="55"/>
      <c r="AB45" s="55"/>
    </row>
    <row r="46" spans="1:28" ht="15.75" customHeight="1">
      <c r="A46" s="48"/>
      <c r="B46" s="77"/>
      <c r="C46" s="114" t="s">
        <v>140</v>
      </c>
      <c r="D46" s="110" t="s">
        <v>134</v>
      </c>
      <c r="E46" s="120">
        <v>2</v>
      </c>
      <c r="F46" s="121" t="s">
        <v>97</v>
      </c>
      <c r="G46" s="117">
        <v>0.5</v>
      </c>
      <c r="H46" s="118" t="s">
        <v>141</v>
      </c>
      <c r="I46" s="119">
        <f t="shared" si="6"/>
        <v>0</v>
      </c>
      <c r="J46" s="119">
        <f t="shared" si="7"/>
        <v>0</v>
      </c>
      <c r="K46" s="69"/>
      <c r="L46" s="48"/>
      <c r="M46" s="97">
        <v>0</v>
      </c>
      <c r="N46" s="96">
        <v>0</v>
      </c>
      <c r="O46" s="48"/>
      <c r="P46" s="48"/>
      <c r="Q46" s="48"/>
      <c r="R46" s="48"/>
      <c r="S46" s="48"/>
      <c r="T46" s="48"/>
      <c r="U46" s="48"/>
      <c r="V46" s="48"/>
      <c r="W46" s="55"/>
      <c r="X46" s="55"/>
      <c r="Y46" s="55"/>
      <c r="Z46" s="55"/>
      <c r="AA46" s="55"/>
      <c r="AB46" s="55"/>
    </row>
    <row r="47" spans="1:28" ht="15.75" customHeight="1">
      <c r="A47" s="48"/>
      <c r="B47" s="77"/>
      <c r="C47" s="114" t="s">
        <v>142</v>
      </c>
      <c r="D47" s="110" t="s">
        <v>134</v>
      </c>
      <c r="E47" s="120">
        <v>1</v>
      </c>
      <c r="F47" s="121" t="s">
        <v>97</v>
      </c>
      <c r="G47" s="117">
        <v>0.25</v>
      </c>
      <c r="H47" s="118" t="s">
        <v>141</v>
      </c>
      <c r="I47" s="119">
        <f t="shared" si="6"/>
        <v>0</v>
      </c>
      <c r="J47" s="119">
        <f t="shared" si="7"/>
        <v>0</v>
      </c>
      <c r="K47" s="69"/>
      <c r="L47" s="48"/>
      <c r="M47" s="97">
        <v>0</v>
      </c>
      <c r="N47" s="96">
        <v>0</v>
      </c>
      <c r="O47" s="48"/>
      <c r="P47" s="48"/>
      <c r="Q47" s="48"/>
      <c r="R47" s="48"/>
      <c r="S47" s="48"/>
      <c r="T47" s="48"/>
      <c r="U47" s="48"/>
      <c r="V47" s="48"/>
      <c r="W47" s="55"/>
      <c r="X47" s="55"/>
      <c r="Y47" s="55"/>
      <c r="Z47" s="55"/>
      <c r="AA47" s="55"/>
      <c r="AB47" s="55"/>
    </row>
    <row r="48" spans="1:28" ht="15.75" customHeight="1">
      <c r="A48" s="48"/>
      <c r="B48" s="77"/>
      <c r="C48" s="114" t="s">
        <v>143</v>
      </c>
      <c r="D48" s="110" t="s">
        <v>134</v>
      </c>
      <c r="E48" s="120">
        <v>4</v>
      </c>
      <c r="F48" s="121" t="s">
        <v>97</v>
      </c>
      <c r="G48" s="117">
        <v>2</v>
      </c>
      <c r="H48" s="118" t="s">
        <v>141</v>
      </c>
      <c r="I48" s="119">
        <f t="shared" si="6"/>
        <v>0</v>
      </c>
      <c r="J48" s="119">
        <f t="shared" si="7"/>
        <v>0</v>
      </c>
      <c r="K48" s="69"/>
      <c r="L48" s="48"/>
      <c r="M48" s="97">
        <v>0</v>
      </c>
      <c r="N48" s="96">
        <v>0</v>
      </c>
      <c r="O48" s="48"/>
      <c r="P48" s="48"/>
      <c r="Q48" s="48"/>
      <c r="R48" s="48"/>
      <c r="S48" s="48"/>
      <c r="T48" s="48"/>
      <c r="U48" s="48"/>
      <c r="V48" s="48"/>
      <c r="W48" s="55"/>
      <c r="X48" s="55"/>
      <c r="Y48" s="55"/>
      <c r="Z48" s="55"/>
      <c r="AA48" s="55"/>
      <c r="AB48" s="55"/>
    </row>
    <row r="49" spans="1:28" ht="15.75" customHeight="1">
      <c r="A49" s="48"/>
      <c r="B49" s="77"/>
      <c r="C49" s="114" t="s">
        <v>144</v>
      </c>
      <c r="D49" s="110" t="s">
        <v>134</v>
      </c>
      <c r="E49" s="120">
        <v>2</v>
      </c>
      <c r="F49" s="121" t="s">
        <v>97</v>
      </c>
      <c r="G49" s="117">
        <v>2</v>
      </c>
      <c r="H49" s="118" t="s">
        <v>135</v>
      </c>
      <c r="I49" s="119">
        <f t="shared" si="6"/>
        <v>0</v>
      </c>
      <c r="J49" s="119">
        <f t="shared" si="7"/>
        <v>0</v>
      </c>
      <c r="K49" s="69"/>
      <c r="L49" s="48"/>
      <c r="M49" s="97">
        <v>0</v>
      </c>
      <c r="N49" s="96">
        <v>0</v>
      </c>
      <c r="O49" s="48"/>
      <c r="P49" s="48"/>
      <c r="Q49" s="48"/>
      <c r="R49" s="48"/>
      <c r="S49" s="48"/>
      <c r="T49" s="48"/>
      <c r="U49" s="48"/>
      <c r="V49" s="48"/>
      <c r="W49" s="55"/>
      <c r="X49" s="55"/>
      <c r="Y49" s="55"/>
      <c r="Z49" s="55"/>
      <c r="AA49" s="55"/>
      <c r="AB49" s="55"/>
    </row>
    <row r="50" spans="1:28" ht="15.75" customHeight="1">
      <c r="A50" s="48"/>
      <c r="B50" s="77"/>
      <c r="C50" s="114" t="s">
        <v>145</v>
      </c>
      <c r="D50" s="110" t="s">
        <v>134</v>
      </c>
      <c r="E50" s="120">
        <v>1</v>
      </c>
      <c r="F50" s="121" t="s">
        <v>97</v>
      </c>
      <c r="G50" s="117">
        <v>2</v>
      </c>
      <c r="H50" s="118" t="s">
        <v>146</v>
      </c>
      <c r="I50" s="119">
        <f t="shared" si="6"/>
        <v>0</v>
      </c>
      <c r="J50" s="119">
        <f t="shared" si="7"/>
        <v>0</v>
      </c>
      <c r="K50" s="69"/>
      <c r="L50" s="48"/>
      <c r="M50" s="97">
        <v>0</v>
      </c>
      <c r="N50" s="96">
        <v>0</v>
      </c>
      <c r="O50" s="48"/>
      <c r="P50" s="48"/>
      <c r="Q50" s="48"/>
      <c r="R50" s="48"/>
      <c r="S50" s="48"/>
      <c r="T50" s="48"/>
      <c r="U50" s="48"/>
      <c r="V50" s="48"/>
      <c r="W50" s="55"/>
      <c r="X50" s="55"/>
      <c r="Y50" s="55"/>
      <c r="Z50" s="55"/>
      <c r="AA50" s="55"/>
      <c r="AB50" s="55"/>
    </row>
    <row r="51" spans="1:28" ht="15.75" customHeight="1">
      <c r="A51" s="48"/>
      <c r="B51" s="77"/>
      <c r="C51" s="114" t="s">
        <v>147</v>
      </c>
      <c r="D51" s="110" t="s">
        <v>134</v>
      </c>
      <c r="E51" s="120">
        <v>1</v>
      </c>
      <c r="F51" s="121" t="s">
        <v>97</v>
      </c>
      <c r="G51" s="117">
        <v>0.5</v>
      </c>
      <c r="H51" s="118" t="s">
        <v>141</v>
      </c>
      <c r="I51" s="119">
        <f t="shared" si="6"/>
        <v>0</v>
      </c>
      <c r="J51" s="119">
        <f t="shared" si="7"/>
        <v>0</v>
      </c>
      <c r="K51" s="69"/>
      <c r="L51" s="48"/>
      <c r="M51" s="97">
        <v>0</v>
      </c>
      <c r="N51" s="96">
        <v>0</v>
      </c>
      <c r="O51" s="48"/>
      <c r="P51" s="48"/>
      <c r="Q51" s="48"/>
      <c r="R51" s="48"/>
      <c r="S51" s="48"/>
      <c r="T51" s="48"/>
      <c r="U51" s="48"/>
      <c r="V51" s="48"/>
      <c r="W51" s="55"/>
      <c r="X51" s="55"/>
      <c r="Y51" s="55"/>
      <c r="Z51" s="55"/>
      <c r="AA51" s="55"/>
      <c r="AB51" s="55"/>
    </row>
    <row r="52" spans="1:28" ht="15.75" customHeight="1">
      <c r="A52" s="48"/>
      <c r="B52" s="77"/>
      <c r="C52" s="114" t="s">
        <v>148</v>
      </c>
      <c r="D52" s="110" t="s">
        <v>134</v>
      </c>
      <c r="E52" s="120">
        <v>1</v>
      </c>
      <c r="F52" s="121" t="s">
        <v>97</v>
      </c>
      <c r="G52" s="117">
        <v>1</v>
      </c>
      <c r="H52" s="118" t="s">
        <v>135</v>
      </c>
      <c r="I52" s="119">
        <f t="shared" si="6"/>
        <v>0</v>
      </c>
      <c r="J52" s="119">
        <f t="shared" si="7"/>
        <v>0</v>
      </c>
      <c r="K52" s="69"/>
      <c r="L52" s="48"/>
      <c r="M52" s="97">
        <v>0</v>
      </c>
      <c r="N52" s="96">
        <v>0</v>
      </c>
      <c r="O52" s="48"/>
      <c r="P52" s="48"/>
      <c r="Q52" s="48"/>
      <c r="R52" s="48"/>
      <c r="S52" s="48"/>
      <c r="T52" s="48"/>
      <c r="U52" s="48"/>
      <c r="V52" s="48"/>
      <c r="W52" s="55"/>
      <c r="X52" s="55"/>
      <c r="Y52" s="55"/>
      <c r="Z52" s="55"/>
      <c r="AA52" s="55"/>
      <c r="AB52" s="55"/>
    </row>
    <row r="53" spans="1:28" ht="15.75" customHeight="1">
      <c r="A53" s="48"/>
      <c r="B53" s="77"/>
      <c r="C53" s="114" t="s">
        <v>149</v>
      </c>
      <c r="D53" s="110" t="s">
        <v>134</v>
      </c>
      <c r="E53" s="120">
        <v>6</v>
      </c>
      <c r="F53" s="121" t="s">
        <v>97</v>
      </c>
      <c r="G53" s="117">
        <v>3</v>
      </c>
      <c r="H53" s="118" t="s">
        <v>141</v>
      </c>
      <c r="I53" s="119">
        <f t="shared" si="6"/>
        <v>0</v>
      </c>
      <c r="J53" s="119">
        <f t="shared" si="7"/>
        <v>0</v>
      </c>
      <c r="K53" s="69"/>
      <c r="L53" s="48"/>
      <c r="M53" s="97">
        <v>0</v>
      </c>
      <c r="N53" s="96">
        <v>0</v>
      </c>
      <c r="O53" s="48"/>
      <c r="P53" s="48"/>
      <c r="Q53" s="48"/>
      <c r="R53" s="48"/>
      <c r="S53" s="48"/>
      <c r="T53" s="48"/>
      <c r="U53" s="48"/>
      <c r="V53" s="48"/>
      <c r="W53" s="55"/>
      <c r="X53" s="55"/>
      <c r="Y53" s="55"/>
      <c r="Z53" s="55"/>
      <c r="AA53" s="55"/>
      <c r="AB53" s="55"/>
    </row>
    <row r="54" spans="1:28" ht="15.75" customHeight="1">
      <c r="A54" s="48"/>
      <c r="B54" s="77"/>
      <c r="C54" s="114" t="s">
        <v>150</v>
      </c>
      <c r="D54" s="110" t="s">
        <v>134</v>
      </c>
      <c r="E54" s="120">
        <v>1</v>
      </c>
      <c r="F54" s="121" t="s">
        <v>97</v>
      </c>
      <c r="G54" s="117">
        <v>1</v>
      </c>
      <c r="H54" s="118" t="s">
        <v>135</v>
      </c>
      <c r="I54" s="119">
        <f t="shared" si="6"/>
        <v>0</v>
      </c>
      <c r="J54" s="119">
        <f t="shared" si="7"/>
        <v>0</v>
      </c>
      <c r="K54" s="69"/>
      <c r="L54" s="48"/>
      <c r="M54" s="97">
        <v>0</v>
      </c>
      <c r="N54" s="96">
        <v>0</v>
      </c>
      <c r="O54" s="48"/>
      <c r="P54" s="48"/>
      <c r="Q54" s="48"/>
      <c r="R54" s="48"/>
      <c r="S54" s="48"/>
      <c r="T54" s="48"/>
      <c r="U54" s="48"/>
      <c r="V54" s="48"/>
      <c r="W54" s="55"/>
      <c r="X54" s="55"/>
      <c r="Y54" s="55"/>
      <c r="Z54" s="55"/>
      <c r="AA54" s="55"/>
      <c r="AB54" s="55"/>
    </row>
    <row r="55" spans="1:28" ht="15.75" customHeight="1">
      <c r="A55" s="48"/>
      <c r="B55" s="77"/>
      <c r="C55" s="114" t="s">
        <v>151</v>
      </c>
      <c r="D55" s="110" t="s">
        <v>134</v>
      </c>
      <c r="E55" s="120">
        <v>1</v>
      </c>
      <c r="F55" s="121" t="s">
        <v>97</v>
      </c>
      <c r="G55" s="117">
        <v>0.5</v>
      </c>
      <c r="H55" s="118" t="s">
        <v>141</v>
      </c>
      <c r="I55" s="119">
        <f t="shared" si="6"/>
        <v>0</v>
      </c>
      <c r="J55" s="119">
        <f t="shared" si="7"/>
        <v>0</v>
      </c>
      <c r="K55" s="69"/>
      <c r="L55" s="48"/>
      <c r="M55" s="97">
        <v>0</v>
      </c>
      <c r="N55" s="96">
        <v>0</v>
      </c>
      <c r="O55" s="48"/>
      <c r="P55" s="48"/>
      <c r="Q55" s="48"/>
      <c r="R55" s="48"/>
      <c r="S55" s="48"/>
      <c r="T55" s="48"/>
      <c r="U55" s="48"/>
      <c r="V55" s="48"/>
      <c r="W55" s="55"/>
      <c r="X55" s="55"/>
      <c r="Y55" s="55"/>
      <c r="Z55" s="55"/>
      <c r="AA55" s="55"/>
      <c r="AB55" s="55"/>
    </row>
    <row r="56" spans="1:28" ht="15.75" customHeight="1">
      <c r="A56" s="48"/>
      <c r="B56" s="77"/>
      <c r="C56" s="114" t="s">
        <v>152</v>
      </c>
      <c r="D56" s="110" t="s">
        <v>134</v>
      </c>
      <c r="E56" s="120">
        <v>1</v>
      </c>
      <c r="F56" s="121" t="s">
        <v>97</v>
      </c>
      <c r="G56" s="117">
        <v>0.25</v>
      </c>
      <c r="H56" s="118" t="s">
        <v>141</v>
      </c>
      <c r="I56" s="119">
        <f t="shared" si="6"/>
        <v>0</v>
      </c>
      <c r="J56" s="119">
        <f t="shared" si="7"/>
        <v>0</v>
      </c>
      <c r="K56" s="69"/>
      <c r="L56" s="48"/>
      <c r="M56" s="97">
        <v>0</v>
      </c>
      <c r="N56" s="96">
        <v>0</v>
      </c>
      <c r="O56" s="48"/>
      <c r="P56" s="48"/>
      <c r="Q56" s="48"/>
      <c r="R56" s="48"/>
      <c r="S56" s="48"/>
      <c r="T56" s="48"/>
      <c r="U56" s="48"/>
      <c r="V56" s="48"/>
      <c r="W56" s="55"/>
      <c r="X56" s="55"/>
      <c r="Y56" s="55"/>
      <c r="Z56" s="55"/>
      <c r="AA56" s="55"/>
      <c r="AB56" s="55"/>
    </row>
    <row r="57" spans="1:28" ht="15.75" customHeight="1">
      <c r="A57" s="48"/>
      <c r="B57" s="77"/>
      <c r="C57" s="114" t="s">
        <v>153</v>
      </c>
      <c r="D57" s="110" t="s">
        <v>134</v>
      </c>
      <c r="E57" s="120">
        <v>1</v>
      </c>
      <c r="F57" s="121" t="s">
        <v>97</v>
      </c>
      <c r="G57" s="117">
        <v>0.5</v>
      </c>
      <c r="H57" s="118" t="s">
        <v>135</v>
      </c>
      <c r="I57" s="119">
        <f t="shared" si="6"/>
        <v>0</v>
      </c>
      <c r="J57" s="119">
        <f t="shared" si="7"/>
        <v>0</v>
      </c>
      <c r="K57" s="69"/>
      <c r="L57" s="48"/>
      <c r="M57" s="97">
        <v>0</v>
      </c>
      <c r="N57" s="96">
        <v>0</v>
      </c>
      <c r="O57" s="48"/>
      <c r="P57" s="48"/>
      <c r="Q57" s="48"/>
      <c r="R57" s="48"/>
      <c r="S57" s="48"/>
      <c r="T57" s="48"/>
      <c r="U57" s="48"/>
      <c r="V57" s="48"/>
      <c r="W57" s="55"/>
      <c r="X57" s="55"/>
      <c r="Y57" s="55"/>
      <c r="Z57" s="55"/>
      <c r="AA57" s="55"/>
      <c r="AB57" s="55"/>
    </row>
    <row r="58" spans="1:28" ht="15.75" customHeight="1">
      <c r="A58" s="48"/>
      <c r="B58" s="77"/>
      <c r="C58" s="114" t="s">
        <v>154</v>
      </c>
      <c r="D58" s="110" t="s">
        <v>134</v>
      </c>
      <c r="E58" s="120">
        <v>2</v>
      </c>
      <c r="F58" s="121" t="s">
        <v>97</v>
      </c>
      <c r="G58" s="117">
        <v>3</v>
      </c>
      <c r="H58" s="118" t="s">
        <v>135</v>
      </c>
      <c r="I58" s="119">
        <f t="shared" si="6"/>
        <v>0</v>
      </c>
      <c r="J58" s="119">
        <f t="shared" si="7"/>
        <v>0</v>
      </c>
      <c r="K58" s="69"/>
      <c r="L58" s="48"/>
      <c r="M58" s="97">
        <v>0</v>
      </c>
      <c r="N58" s="96">
        <v>0</v>
      </c>
      <c r="O58" s="48"/>
      <c r="P58" s="48"/>
      <c r="Q58" s="48"/>
      <c r="R58" s="48"/>
      <c r="S58" s="48"/>
      <c r="T58" s="48"/>
      <c r="U58" s="48"/>
      <c r="V58" s="48"/>
      <c r="W58" s="55"/>
      <c r="X58" s="55"/>
      <c r="Y58" s="55"/>
      <c r="Z58" s="55"/>
      <c r="AA58" s="55"/>
      <c r="AB58" s="55"/>
    </row>
    <row r="59" spans="1:28" ht="15.75" customHeight="1">
      <c r="A59" s="48"/>
      <c r="B59" s="77"/>
      <c r="C59" s="114" t="s">
        <v>155</v>
      </c>
      <c r="D59" s="110" t="s">
        <v>134</v>
      </c>
      <c r="E59" s="120">
        <v>1</v>
      </c>
      <c r="F59" s="121" t="s">
        <v>97</v>
      </c>
      <c r="G59" s="117">
        <v>0.25</v>
      </c>
      <c r="H59" s="118" t="s">
        <v>141</v>
      </c>
      <c r="I59" s="119">
        <f t="shared" si="6"/>
        <v>0</v>
      </c>
      <c r="J59" s="119">
        <f t="shared" si="7"/>
        <v>0</v>
      </c>
      <c r="K59" s="69"/>
      <c r="L59" s="48"/>
      <c r="M59" s="97">
        <v>0</v>
      </c>
      <c r="N59" s="96">
        <v>0</v>
      </c>
      <c r="O59" s="48"/>
      <c r="P59" s="48"/>
      <c r="Q59" s="48"/>
      <c r="R59" s="48"/>
      <c r="S59" s="48"/>
      <c r="T59" s="48"/>
      <c r="U59" s="48"/>
      <c r="V59" s="48"/>
      <c r="W59" s="55"/>
      <c r="X59" s="55"/>
      <c r="Y59" s="55"/>
      <c r="Z59" s="55"/>
      <c r="AA59" s="55"/>
      <c r="AB59" s="55"/>
    </row>
    <row r="60" spans="1:28" ht="15.75" customHeight="1">
      <c r="A60" s="48"/>
      <c r="B60" s="77"/>
      <c r="C60" s="114" t="s">
        <v>156</v>
      </c>
      <c r="D60" s="110" t="s">
        <v>134</v>
      </c>
      <c r="E60" s="120">
        <v>1</v>
      </c>
      <c r="F60" s="121" t="s">
        <v>97</v>
      </c>
      <c r="G60" s="117">
        <v>0.5</v>
      </c>
      <c r="H60" s="118" t="s">
        <v>141</v>
      </c>
      <c r="I60" s="119">
        <f t="shared" si="6"/>
        <v>0</v>
      </c>
      <c r="J60" s="119">
        <f t="shared" si="7"/>
        <v>0</v>
      </c>
      <c r="K60" s="69"/>
      <c r="L60" s="48"/>
      <c r="M60" s="97">
        <v>0</v>
      </c>
      <c r="N60" s="96">
        <v>0</v>
      </c>
      <c r="O60" s="48"/>
      <c r="P60" s="48"/>
      <c r="Q60" s="48"/>
      <c r="R60" s="48"/>
      <c r="S60" s="48"/>
      <c r="T60" s="48"/>
      <c r="U60" s="48"/>
      <c r="V60" s="48"/>
      <c r="W60" s="55"/>
      <c r="X60" s="55"/>
      <c r="Y60" s="55"/>
      <c r="Z60" s="55"/>
      <c r="AA60" s="55"/>
      <c r="AB60" s="55"/>
    </row>
    <row r="61" spans="1:28" ht="15.75" customHeight="1">
      <c r="A61" s="48"/>
      <c r="B61" s="77"/>
      <c r="C61" s="114" t="s">
        <v>157</v>
      </c>
      <c r="D61" s="110" t="s">
        <v>134</v>
      </c>
      <c r="E61" s="120">
        <v>1</v>
      </c>
      <c r="F61" s="121" t="s">
        <v>97</v>
      </c>
      <c r="G61" s="117">
        <v>0.25</v>
      </c>
      <c r="H61" s="118" t="s">
        <v>141</v>
      </c>
      <c r="I61" s="119">
        <f t="shared" si="6"/>
        <v>0</v>
      </c>
      <c r="J61" s="119">
        <f t="shared" si="7"/>
        <v>0</v>
      </c>
      <c r="K61" s="69"/>
      <c r="L61" s="48"/>
      <c r="M61" s="97">
        <v>0</v>
      </c>
      <c r="N61" s="96">
        <v>0</v>
      </c>
      <c r="O61" s="48"/>
      <c r="P61" s="48"/>
      <c r="Q61" s="48"/>
      <c r="R61" s="48"/>
      <c r="S61" s="48"/>
      <c r="T61" s="48"/>
      <c r="U61" s="48"/>
      <c r="V61" s="48"/>
      <c r="W61" s="55"/>
      <c r="X61" s="55"/>
      <c r="Y61" s="55"/>
      <c r="Z61" s="55"/>
      <c r="AA61" s="55"/>
      <c r="AB61" s="55"/>
    </row>
    <row r="62" spans="1:28" ht="15.75" customHeight="1">
      <c r="A62" s="48"/>
      <c r="B62" s="77"/>
      <c r="C62" s="114" t="s">
        <v>158</v>
      </c>
      <c r="D62" s="110" t="s">
        <v>134</v>
      </c>
      <c r="E62" s="120">
        <v>2</v>
      </c>
      <c r="F62" s="121" t="s">
        <v>97</v>
      </c>
      <c r="G62" s="117">
        <v>2</v>
      </c>
      <c r="H62" s="118" t="s">
        <v>135</v>
      </c>
      <c r="I62" s="119">
        <f t="shared" si="6"/>
        <v>0</v>
      </c>
      <c r="J62" s="119">
        <f t="shared" si="7"/>
        <v>0</v>
      </c>
      <c r="K62" s="69"/>
      <c r="L62" s="48"/>
      <c r="M62" s="97">
        <v>0</v>
      </c>
      <c r="N62" s="96">
        <v>0</v>
      </c>
      <c r="O62" s="48"/>
      <c r="P62" s="48"/>
      <c r="Q62" s="48"/>
      <c r="R62" s="48"/>
      <c r="S62" s="48"/>
      <c r="T62" s="48"/>
      <c r="U62" s="48"/>
      <c r="V62" s="48"/>
      <c r="W62" s="55"/>
      <c r="X62" s="55"/>
      <c r="Y62" s="55"/>
      <c r="Z62" s="55"/>
      <c r="AA62" s="55"/>
      <c r="AB62" s="55"/>
    </row>
    <row r="63" spans="1:28" ht="15.75" customHeight="1">
      <c r="A63" s="48"/>
      <c r="B63" s="77"/>
      <c r="C63" s="124"/>
      <c r="D63" s="125" t="str">
        <f>C14</f>
        <v>DEMOLITION</v>
      </c>
      <c r="E63" s="126" t="s">
        <v>159</v>
      </c>
      <c r="F63" s="127"/>
      <c r="G63" s="128"/>
      <c r="H63" s="129"/>
      <c r="I63" s="128">
        <f t="shared" ref="I63:J63" si="8">SUM(I16:I62)</f>
        <v>0</v>
      </c>
      <c r="J63" s="130">
        <f t="shared" si="8"/>
        <v>0</v>
      </c>
      <c r="K63" s="105"/>
      <c r="L63" s="23"/>
      <c r="M63" s="131"/>
      <c r="N63" s="132"/>
      <c r="O63" s="48"/>
      <c r="P63" s="48"/>
      <c r="Q63" s="48"/>
      <c r="R63" s="48"/>
      <c r="S63" s="48"/>
      <c r="T63" s="48"/>
      <c r="U63" s="48"/>
      <c r="V63" s="48"/>
      <c r="W63" s="55"/>
      <c r="X63" s="55"/>
      <c r="Y63" s="55"/>
      <c r="Z63" s="55"/>
      <c r="AA63" s="55"/>
      <c r="AB63" s="55"/>
    </row>
    <row r="64" spans="1:28" ht="15.75" customHeight="1">
      <c r="A64" s="48"/>
      <c r="B64" s="77"/>
      <c r="C64" s="78"/>
      <c r="D64" s="537" t="s">
        <v>160</v>
      </c>
      <c r="E64" s="532"/>
      <c r="F64" s="133">
        <v>0</v>
      </c>
      <c r="G64" s="134"/>
      <c r="H64" s="135"/>
      <c r="I64" s="128"/>
      <c r="J64" s="136">
        <f>F64*J63</f>
        <v>0</v>
      </c>
      <c r="K64" s="69"/>
      <c r="L64" s="48"/>
      <c r="M64" s="97"/>
      <c r="N64" s="96"/>
      <c r="O64" s="48"/>
      <c r="P64" s="48"/>
      <c r="Q64" s="48"/>
      <c r="R64" s="48"/>
      <c r="S64" s="48"/>
      <c r="T64" s="48"/>
      <c r="U64" s="48"/>
      <c r="V64" s="48"/>
      <c r="W64" s="55"/>
      <c r="X64" s="55"/>
      <c r="Y64" s="55"/>
      <c r="Z64" s="55"/>
      <c r="AA64" s="55"/>
      <c r="AB64" s="55"/>
    </row>
    <row r="65" spans="1:28" ht="15.75" customHeight="1">
      <c r="A65" s="48"/>
      <c r="B65" s="77"/>
      <c r="C65" s="78"/>
      <c r="D65" s="537" t="s">
        <v>161</v>
      </c>
      <c r="E65" s="532"/>
      <c r="F65" s="137"/>
      <c r="G65" s="138"/>
      <c r="H65" s="139"/>
      <c r="I65" s="138"/>
      <c r="J65" s="140">
        <f>SUM(J63:J64)</f>
        <v>0</v>
      </c>
      <c r="K65" s="69"/>
      <c r="L65" s="48"/>
      <c r="M65" s="97"/>
      <c r="N65" s="96"/>
      <c r="O65" s="48"/>
      <c r="P65" s="48"/>
      <c r="Q65" s="48"/>
      <c r="R65" s="48"/>
      <c r="S65" s="48"/>
      <c r="T65" s="48"/>
      <c r="U65" s="48"/>
      <c r="V65" s="48"/>
      <c r="W65" s="55"/>
      <c r="X65" s="55"/>
      <c r="Y65" s="55"/>
      <c r="Z65" s="55"/>
      <c r="AA65" s="55"/>
      <c r="AB65" s="55"/>
    </row>
    <row r="66" spans="1:28" ht="14.4">
      <c r="A66" s="48"/>
      <c r="B66" s="77"/>
      <c r="C66" s="78"/>
      <c r="D66" s="79"/>
      <c r="E66" s="141"/>
      <c r="F66" s="141"/>
      <c r="G66" s="141"/>
      <c r="H66" s="141"/>
      <c r="I66" s="141"/>
      <c r="J66" s="141"/>
      <c r="K66" s="69"/>
      <c r="L66" s="141"/>
      <c r="M66" s="95"/>
      <c r="N66" s="96"/>
      <c r="O66" s="48"/>
      <c r="P66" s="48"/>
      <c r="Q66" s="48"/>
      <c r="R66" s="48"/>
      <c r="S66" s="48"/>
      <c r="T66" s="48"/>
      <c r="U66" s="48"/>
      <c r="V66" s="48"/>
      <c r="W66" s="55"/>
      <c r="X66" s="55"/>
      <c r="Y66" s="55"/>
      <c r="Z66" s="55"/>
      <c r="AA66" s="55"/>
      <c r="AB66" s="55"/>
    </row>
    <row r="67" spans="1:28" ht="14.4">
      <c r="A67" s="48"/>
      <c r="B67" s="77"/>
      <c r="C67" s="142" t="s">
        <v>162</v>
      </c>
      <c r="D67" s="100"/>
      <c r="E67" s="101"/>
      <c r="F67" s="102"/>
      <c r="G67" s="103"/>
      <c r="H67" s="104"/>
      <c r="I67" s="103"/>
      <c r="J67" s="103"/>
      <c r="K67" s="105"/>
      <c r="L67" s="23"/>
      <c r="M67" s="95"/>
      <c r="N67" s="96"/>
      <c r="O67" s="48"/>
      <c r="P67" s="48"/>
      <c r="Q67" s="48"/>
      <c r="R67" s="48"/>
      <c r="S67" s="48"/>
      <c r="T67" s="48"/>
      <c r="U67" s="48"/>
      <c r="V67" s="48"/>
      <c r="W67" s="55"/>
      <c r="X67" s="55"/>
      <c r="Y67" s="55"/>
      <c r="Z67" s="55"/>
      <c r="AA67" s="55"/>
      <c r="AB67" s="55"/>
    </row>
    <row r="68" spans="1:28" ht="14.4">
      <c r="A68" s="48"/>
      <c r="B68" s="77"/>
      <c r="C68" s="143" t="str">
        <f>Landscaping!A2</f>
        <v>PLANTS</v>
      </c>
      <c r="D68" s="144"/>
      <c r="E68" s="145"/>
      <c r="F68" s="145"/>
      <c r="G68" s="146"/>
      <c r="H68" s="147"/>
      <c r="I68" s="148"/>
      <c r="J68" s="148"/>
      <c r="K68" s="105"/>
      <c r="L68" s="23"/>
      <c r="M68" s="97"/>
      <c r="N68" s="149"/>
      <c r="O68" s="48"/>
      <c r="P68" s="48"/>
      <c r="Q68" s="48"/>
      <c r="R68" s="48"/>
      <c r="S68" s="48"/>
      <c r="T68" s="48"/>
      <c r="U68" s="48"/>
      <c r="V68" s="48"/>
      <c r="W68" s="55"/>
      <c r="X68" s="55"/>
      <c r="Y68" s="55"/>
      <c r="Z68" s="55"/>
      <c r="AA68" s="55"/>
      <c r="AB68" s="55"/>
    </row>
    <row r="69" spans="1:28" ht="14.4">
      <c r="A69" s="48"/>
      <c r="B69" s="77"/>
      <c r="C69" s="150" t="str">
        <f>Landscaping!A3</f>
        <v>Mixture of Plants</v>
      </c>
      <c r="D69" s="110" t="str">
        <f>Landscaping!B3</f>
        <v>Sanseviera-Tall, Flowering Annuals-Small, Sweet Potato Vine- Low/Hanging</v>
      </c>
      <c r="E69" s="120">
        <f>Landscaping!C3</f>
        <v>7.8</v>
      </c>
      <c r="F69" s="121" t="s">
        <v>101</v>
      </c>
      <c r="G69" s="151">
        <v>0.25</v>
      </c>
      <c r="H69" s="118" t="s">
        <v>163</v>
      </c>
      <c r="I69" s="119">
        <f t="shared" ref="I69:I76" si="9">E69*N69*(1+M69)</f>
        <v>0</v>
      </c>
      <c r="J69" s="119">
        <f t="shared" ref="J69:J76" si="10">SUM(I69)</f>
        <v>0</v>
      </c>
      <c r="K69" s="69"/>
      <c r="L69" s="48"/>
      <c r="M69" s="97">
        <v>0</v>
      </c>
      <c r="N69" s="96">
        <v>0</v>
      </c>
      <c r="O69" s="48"/>
      <c r="P69" s="48"/>
      <c r="Q69" s="48"/>
      <c r="R69" s="48"/>
      <c r="S69" s="48"/>
      <c r="T69" s="48"/>
      <c r="U69" s="48"/>
      <c r="V69" s="48"/>
      <c r="W69" s="55"/>
      <c r="X69" s="55"/>
      <c r="Y69" s="55"/>
      <c r="Z69" s="55"/>
      <c r="AA69" s="55"/>
      <c r="AB69" s="55"/>
    </row>
    <row r="70" spans="1:28" ht="14.4">
      <c r="A70" s="48"/>
      <c r="B70" s="77"/>
      <c r="C70" s="150" t="str">
        <f>Landscaping!A4</f>
        <v>Bird of Paradise</v>
      </c>
      <c r="D70" s="121" t="str">
        <f>Landscaping!B4</f>
        <v>Tall Height</v>
      </c>
      <c r="E70" s="120">
        <f>Landscaping!C4</f>
        <v>1</v>
      </c>
      <c r="F70" s="121" t="s">
        <v>97</v>
      </c>
      <c r="G70" s="151">
        <v>0.25</v>
      </c>
      <c r="H70" s="118" t="s">
        <v>164</v>
      </c>
      <c r="I70" s="119">
        <f t="shared" si="9"/>
        <v>0</v>
      </c>
      <c r="J70" s="119">
        <f t="shared" si="10"/>
        <v>0</v>
      </c>
      <c r="K70" s="69"/>
      <c r="L70" s="48"/>
      <c r="M70" s="97">
        <v>0</v>
      </c>
      <c r="N70" s="96">
        <v>0</v>
      </c>
      <c r="O70" s="48"/>
      <c r="P70" s="48"/>
      <c r="Q70" s="48"/>
      <c r="R70" s="48"/>
      <c r="S70" s="48"/>
      <c r="T70" s="48"/>
      <c r="U70" s="48"/>
      <c r="V70" s="48"/>
      <c r="W70" s="55"/>
      <c r="X70" s="55"/>
      <c r="Y70" s="55"/>
      <c r="Z70" s="55"/>
      <c r="AA70" s="55"/>
      <c r="AB70" s="55"/>
    </row>
    <row r="71" spans="1:28" ht="14.4">
      <c r="A71" s="48"/>
      <c r="B71" s="77"/>
      <c r="C71" s="150" t="str">
        <f>Landscaping!A5</f>
        <v>Limelight</v>
      </c>
      <c r="D71" s="121" t="str">
        <f>Landscaping!B5</f>
        <v>Medium Height</v>
      </c>
      <c r="E71" s="120">
        <f>Landscaping!C5</f>
        <v>2</v>
      </c>
      <c r="F71" s="121" t="s">
        <v>97</v>
      </c>
      <c r="G71" s="151">
        <v>0.25</v>
      </c>
      <c r="H71" s="118" t="s">
        <v>164</v>
      </c>
      <c r="I71" s="119">
        <f t="shared" si="9"/>
        <v>0</v>
      </c>
      <c r="J71" s="119">
        <f t="shared" si="10"/>
        <v>0</v>
      </c>
      <c r="K71" s="69"/>
      <c r="L71" s="48"/>
      <c r="M71" s="97">
        <v>0</v>
      </c>
      <c r="N71" s="96">
        <v>0</v>
      </c>
      <c r="O71" s="48"/>
      <c r="P71" s="48"/>
      <c r="Q71" s="48"/>
      <c r="R71" s="48"/>
      <c r="S71" s="48"/>
      <c r="T71" s="48"/>
      <c r="U71" s="48"/>
      <c r="V71" s="48"/>
      <c r="W71" s="55"/>
      <c r="X71" s="55"/>
      <c r="Y71" s="55"/>
      <c r="Z71" s="55"/>
      <c r="AA71" s="55"/>
      <c r="AB71" s="55"/>
    </row>
    <row r="72" spans="1:28" ht="14.4">
      <c r="A72" s="48"/>
      <c r="B72" s="77"/>
      <c r="C72" s="150" t="str">
        <f>Landscaping!A6</f>
        <v>ZZ Plant</v>
      </c>
      <c r="D72" s="121" t="str">
        <f>Landscaping!B6</f>
        <v>Medium Height</v>
      </c>
      <c r="E72" s="120">
        <f>Landscaping!C6</f>
        <v>2</v>
      </c>
      <c r="F72" s="121" t="s">
        <v>97</v>
      </c>
      <c r="G72" s="151">
        <v>0.25</v>
      </c>
      <c r="H72" s="118" t="s">
        <v>164</v>
      </c>
      <c r="I72" s="119">
        <f t="shared" si="9"/>
        <v>0</v>
      </c>
      <c r="J72" s="119">
        <f t="shared" si="10"/>
        <v>0</v>
      </c>
      <c r="K72" s="69"/>
      <c r="L72" s="48"/>
      <c r="M72" s="97">
        <v>0</v>
      </c>
      <c r="N72" s="96">
        <v>0</v>
      </c>
      <c r="O72" s="48"/>
      <c r="P72" s="48"/>
      <c r="Q72" s="48"/>
      <c r="R72" s="48"/>
      <c r="S72" s="48"/>
      <c r="T72" s="48"/>
      <c r="U72" s="48"/>
      <c r="V72" s="48"/>
      <c r="W72" s="55"/>
      <c r="X72" s="55"/>
      <c r="Y72" s="55"/>
      <c r="Z72" s="55"/>
      <c r="AA72" s="55"/>
      <c r="AB72" s="55"/>
    </row>
    <row r="73" spans="1:28" ht="14.4">
      <c r="A73" s="48"/>
      <c r="B73" s="77"/>
      <c r="C73" s="150" t="str">
        <f>Landscaping!A7</f>
        <v>Golden Pathos</v>
      </c>
      <c r="D73" s="121" t="str">
        <f>Landscaping!B7</f>
        <v>Low Height</v>
      </c>
      <c r="E73" s="120">
        <f>Landscaping!C7</f>
        <v>1</v>
      </c>
      <c r="F73" s="121" t="s">
        <v>97</v>
      </c>
      <c r="G73" s="151">
        <v>0.25</v>
      </c>
      <c r="H73" s="118" t="s">
        <v>164</v>
      </c>
      <c r="I73" s="119">
        <f t="shared" si="9"/>
        <v>0</v>
      </c>
      <c r="J73" s="119">
        <f t="shared" si="10"/>
        <v>0</v>
      </c>
      <c r="K73" s="69"/>
      <c r="L73" s="48"/>
      <c r="M73" s="97">
        <v>0</v>
      </c>
      <c r="N73" s="96">
        <v>0</v>
      </c>
      <c r="O73" s="48"/>
      <c r="P73" s="48"/>
      <c r="Q73" s="48"/>
      <c r="R73" s="48"/>
      <c r="S73" s="48"/>
      <c r="T73" s="48"/>
      <c r="U73" s="48"/>
      <c r="V73" s="48"/>
      <c r="W73" s="55"/>
      <c r="X73" s="55"/>
      <c r="Y73" s="55"/>
      <c r="Z73" s="55"/>
      <c r="AA73" s="55"/>
      <c r="AB73" s="55"/>
    </row>
    <row r="74" spans="1:28" ht="14.4">
      <c r="A74" s="48"/>
      <c r="B74" s="77"/>
      <c r="C74" s="150" t="str">
        <f>Landscaping!A8</f>
        <v>Prayer Plant</v>
      </c>
      <c r="D74" s="121" t="str">
        <f>Landscaping!B8</f>
        <v>Low Height</v>
      </c>
      <c r="E74" s="120">
        <f>Landscaping!C8</f>
        <v>1</v>
      </c>
      <c r="F74" s="121" t="s">
        <v>97</v>
      </c>
      <c r="G74" s="151">
        <v>0.25</v>
      </c>
      <c r="H74" s="118" t="s">
        <v>164</v>
      </c>
      <c r="I74" s="119">
        <f t="shared" si="9"/>
        <v>0</v>
      </c>
      <c r="J74" s="119">
        <f t="shared" si="10"/>
        <v>0</v>
      </c>
      <c r="K74" s="69"/>
      <c r="L74" s="48"/>
      <c r="M74" s="97">
        <v>0</v>
      </c>
      <c r="N74" s="96">
        <v>0</v>
      </c>
      <c r="O74" s="48"/>
      <c r="P74" s="48"/>
      <c r="Q74" s="48"/>
      <c r="R74" s="48"/>
      <c r="S74" s="48"/>
      <c r="T74" s="48"/>
      <c r="U74" s="48"/>
      <c r="V74" s="48"/>
      <c r="W74" s="55"/>
      <c r="X74" s="55"/>
      <c r="Y74" s="55"/>
      <c r="Z74" s="55"/>
      <c r="AA74" s="55"/>
      <c r="AB74" s="55"/>
    </row>
    <row r="75" spans="1:28" ht="14.4">
      <c r="A75" s="48"/>
      <c r="B75" s="77"/>
      <c r="C75" s="150" t="str">
        <f>Landscaping!A9</f>
        <v>Bird's Nest Fern</v>
      </c>
      <c r="D75" s="121" t="str">
        <f>Landscaping!B9</f>
        <v>Low Height</v>
      </c>
      <c r="E75" s="120">
        <f>Landscaping!C9</f>
        <v>1</v>
      </c>
      <c r="F75" s="121" t="s">
        <v>97</v>
      </c>
      <c r="G75" s="151">
        <v>0.25</v>
      </c>
      <c r="H75" s="118" t="s">
        <v>164</v>
      </c>
      <c r="I75" s="119">
        <f t="shared" si="9"/>
        <v>0</v>
      </c>
      <c r="J75" s="119">
        <f t="shared" si="10"/>
        <v>0</v>
      </c>
      <c r="K75" s="69"/>
      <c r="L75" s="48"/>
      <c r="M75" s="97">
        <v>0</v>
      </c>
      <c r="N75" s="96">
        <v>0</v>
      </c>
      <c r="O75" s="48"/>
      <c r="P75" s="48"/>
      <c r="Q75" s="48"/>
      <c r="R75" s="48"/>
      <c r="S75" s="48"/>
      <c r="T75" s="48"/>
      <c r="U75" s="48"/>
      <c r="V75" s="48"/>
      <c r="W75" s="55"/>
      <c r="X75" s="55"/>
      <c r="Y75" s="55"/>
      <c r="Z75" s="55"/>
      <c r="AA75" s="55"/>
      <c r="AB75" s="55"/>
    </row>
    <row r="76" spans="1:28" ht="14.4">
      <c r="A76" s="48"/>
      <c r="B76" s="77"/>
      <c r="C76" s="150" t="str">
        <f>Landscaping!A10</f>
        <v>Sanseviera</v>
      </c>
      <c r="D76" s="121" t="str">
        <f>Landscaping!B10</f>
        <v>Low Height</v>
      </c>
      <c r="E76" s="120">
        <f>Landscaping!C10</f>
        <v>1</v>
      </c>
      <c r="F76" s="121" t="s">
        <v>97</v>
      </c>
      <c r="G76" s="151">
        <v>0.25</v>
      </c>
      <c r="H76" s="118" t="s">
        <v>164</v>
      </c>
      <c r="I76" s="119">
        <f t="shared" si="9"/>
        <v>0</v>
      </c>
      <c r="J76" s="119">
        <f t="shared" si="10"/>
        <v>0</v>
      </c>
      <c r="K76" s="69"/>
      <c r="L76" s="48"/>
      <c r="M76" s="97">
        <v>0</v>
      </c>
      <c r="N76" s="96">
        <v>0</v>
      </c>
      <c r="O76" s="48"/>
      <c r="P76" s="48"/>
      <c r="Q76" s="48"/>
      <c r="R76" s="48"/>
      <c r="S76" s="48"/>
      <c r="T76" s="48"/>
      <c r="U76" s="48"/>
      <c r="V76" s="48"/>
      <c r="W76" s="55"/>
      <c r="X76" s="55"/>
      <c r="Y76" s="55"/>
      <c r="Z76" s="55"/>
      <c r="AA76" s="55"/>
      <c r="AB76" s="55"/>
    </row>
    <row r="77" spans="1:28" ht="14.4">
      <c r="A77" s="48"/>
      <c r="B77" s="77"/>
      <c r="C77" s="143"/>
      <c r="D77" s="121"/>
      <c r="E77" s="120"/>
      <c r="F77" s="121"/>
      <c r="G77" s="151"/>
      <c r="H77" s="118"/>
      <c r="I77" s="119"/>
      <c r="J77" s="119"/>
      <c r="K77" s="69"/>
      <c r="L77" s="48"/>
      <c r="M77" s="97"/>
      <c r="N77" s="96"/>
      <c r="O77" s="48"/>
      <c r="P77" s="48"/>
      <c r="Q77" s="48"/>
      <c r="R77" s="48"/>
      <c r="S77" s="48"/>
      <c r="T77" s="48"/>
      <c r="U77" s="48"/>
      <c r="V77" s="48"/>
      <c r="W77" s="55"/>
      <c r="X77" s="55"/>
      <c r="Y77" s="55"/>
      <c r="Z77" s="55"/>
      <c r="AA77" s="55"/>
      <c r="AB77" s="55"/>
    </row>
    <row r="78" spans="1:28" ht="14.4">
      <c r="A78" s="48"/>
      <c r="B78" s="77"/>
      <c r="C78" s="143" t="str">
        <f>Landscaping!A12</f>
        <v>PLANTER</v>
      </c>
      <c r="D78" s="121"/>
      <c r="E78" s="120"/>
      <c r="F78" s="121"/>
      <c r="G78" s="151"/>
      <c r="H78" s="118"/>
      <c r="I78" s="119"/>
      <c r="J78" s="119"/>
      <c r="K78" s="69"/>
      <c r="L78" s="48"/>
      <c r="M78" s="97"/>
      <c r="N78" s="96"/>
      <c r="O78" s="48"/>
      <c r="P78" s="48"/>
      <c r="Q78" s="48"/>
      <c r="R78" s="48"/>
      <c r="S78" s="48"/>
      <c r="T78" s="48"/>
      <c r="U78" s="48"/>
      <c r="V78" s="48"/>
      <c r="W78" s="55"/>
      <c r="X78" s="55"/>
      <c r="Y78" s="55"/>
      <c r="Z78" s="55"/>
      <c r="AA78" s="55"/>
      <c r="AB78" s="55"/>
    </row>
    <row r="79" spans="1:28" ht="14.4">
      <c r="A79" s="48"/>
      <c r="B79" s="77"/>
      <c r="C79" s="143" t="s">
        <v>165</v>
      </c>
      <c r="D79" s="121"/>
      <c r="E79" s="120"/>
      <c r="F79" s="121"/>
      <c r="G79" s="151"/>
      <c r="H79" s="118"/>
      <c r="I79" s="119"/>
      <c r="J79" s="119"/>
      <c r="K79" s="69"/>
      <c r="L79" s="48"/>
      <c r="M79" s="97"/>
      <c r="N79" s="96"/>
      <c r="O79" s="48"/>
      <c r="P79" s="48"/>
      <c r="Q79" s="48"/>
      <c r="R79" s="48"/>
      <c r="S79" s="48"/>
      <c r="T79" s="48"/>
      <c r="U79" s="48"/>
      <c r="V79" s="48"/>
      <c r="W79" s="55"/>
      <c r="X79" s="55"/>
      <c r="Y79" s="55"/>
      <c r="Z79" s="55"/>
      <c r="AA79" s="55"/>
      <c r="AB79" s="55"/>
    </row>
    <row r="80" spans="1:28" ht="14.4">
      <c r="A80" s="48"/>
      <c r="B80" s="77"/>
      <c r="C80" s="150" t="str">
        <f>Landscaping!A14</f>
        <v>Auroa Clay Outdoor Planters Large</v>
      </c>
      <c r="D80" s="121" t="str">
        <f>Landscaping!B14</f>
        <v>furnished by SB and install by GC</v>
      </c>
      <c r="E80" s="120">
        <f>Landscaping!C14</f>
        <v>1</v>
      </c>
      <c r="F80" s="121" t="s">
        <v>97</v>
      </c>
      <c r="G80" s="151">
        <v>1.25</v>
      </c>
      <c r="H80" s="118" t="s">
        <v>163</v>
      </c>
      <c r="I80" s="119">
        <f>E80*N80*(1+M80)</f>
        <v>0</v>
      </c>
      <c r="J80" s="119">
        <f>SUM(I80)</f>
        <v>0</v>
      </c>
      <c r="K80" s="69"/>
      <c r="L80" s="48"/>
      <c r="M80" s="97">
        <v>0</v>
      </c>
      <c r="N80" s="96">
        <v>0</v>
      </c>
      <c r="O80" s="48"/>
      <c r="P80" s="48"/>
      <c r="Q80" s="48"/>
      <c r="R80" s="48"/>
      <c r="S80" s="48"/>
      <c r="T80" s="48"/>
      <c r="U80" s="48"/>
      <c r="V80" s="48"/>
      <c r="W80" s="55"/>
      <c r="X80" s="55"/>
      <c r="Y80" s="55"/>
      <c r="Z80" s="55"/>
      <c r="AA80" s="55"/>
      <c r="AB80" s="55"/>
    </row>
    <row r="81" spans="1:28" ht="14.4">
      <c r="A81" s="48"/>
      <c r="B81" s="77"/>
      <c r="C81" s="143" t="s">
        <v>166</v>
      </c>
      <c r="D81" s="121"/>
      <c r="E81" s="120"/>
      <c r="F81" s="121"/>
      <c r="G81" s="151"/>
      <c r="H81" s="118"/>
      <c r="I81" s="119"/>
      <c r="J81" s="119"/>
      <c r="K81" s="69"/>
      <c r="L81" s="48"/>
      <c r="M81" s="97"/>
      <c r="N81" s="96"/>
      <c r="O81" s="48"/>
      <c r="P81" s="48"/>
      <c r="Q81" s="48"/>
      <c r="R81" s="48"/>
      <c r="S81" s="48"/>
      <c r="T81" s="48"/>
      <c r="U81" s="48"/>
      <c r="V81" s="48"/>
      <c r="W81" s="55"/>
      <c r="X81" s="55"/>
      <c r="Y81" s="55"/>
      <c r="Z81" s="55"/>
      <c r="AA81" s="55"/>
      <c r="AB81" s="55"/>
    </row>
    <row r="82" spans="1:28" ht="14.4">
      <c r="A82" s="48"/>
      <c r="B82" s="77"/>
      <c r="C82" s="150" t="str">
        <f>Landscaping!A16</f>
        <v>Parker Pedestal Med Planter-Alabaster, Standard Entry</v>
      </c>
      <c r="D82" s="121" t="str">
        <f>Landscaping!B16</f>
        <v>furnished by SB and install by GC</v>
      </c>
      <c r="E82" s="120">
        <f>Landscaping!C16</f>
        <v>1</v>
      </c>
      <c r="F82" s="121" t="s">
        <v>97</v>
      </c>
      <c r="G82" s="151">
        <v>1</v>
      </c>
      <c r="H82" s="118" t="s">
        <v>163</v>
      </c>
      <c r="I82" s="119">
        <f>E82*N82*(1+M82)</f>
        <v>0</v>
      </c>
      <c r="J82" s="119">
        <f>SUM(I82)</f>
        <v>0</v>
      </c>
      <c r="K82" s="69"/>
      <c r="L82" s="48"/>
      <c r="M82" s="97">
        <v>0</v>
      </c>
      <c r="N82" s="96">
        <v>0</v>
      </c>
      <c r="O82" s="48"/>
      <c r="P82" s="48"/>
      <c r="Q82" s="48"/>
      <c r="R82" s="48"/>
      <c r="S82" s="48"/>
      <c r="T82" s="48"/>
      <c r="U82" s="48"/>
      <c r="V82" s="48"/>
      <c r="W82" s="55"/>
      <c r="X82" s="55"/>
      <c r="Y82" s="55"/>
      <c r="Z82" s="55"/>
      <c r="AA82" s="55"/>
      <c r="AB82" s="55"/>
    </row>
    <row r="83" spans="1:28" ht="14.4">
      <c r="A83" s="48"/>
      <c r="B83" s="77"/>
      <c r="C83" s="150" t="str">
        <f>Landscaping!A17</f>
        <v>Flueted  Ceramic- TableTop White-Small</v>
      </c>
      <c r="D83" s="121" t="str">
        <f>Landscaping!B17</f>
        <v>furnished by SB and install by GC</v>
      </c>
      <c r="E83" s="120">
        <f>Landscaping!C17</f>
        <v>2</v>
      </c>
      <c r="F83" s="121" t="s">
        <v>97</v>
      </c>
      <c r="G83" s="151">
        <v>0.25</v>
      </c>
      <c r="H83" s="118" t="s">
        <v>164</v>
      </c>
      <c r="I83" s="119"/>
      <c r="J83" s="119"/>
      <c r="K83" s="69"/>
      <c r="L83" s="48"/>
      <c r="M83" s="97"/>
      <c r="N83" s="96"/>
      <c r="O83" s="48"/>
      <c r="P83" s="48"/>
      <c r="Q83" s="48"/>
      <c r="R83" s="48"/>
      <c r="S83" s="48"/>
      <c r="T83" s="48"/>
      <c r="U83" s="48"/>
      <c r="V83" s="48"/>
      <c r="W83" s="55"/>
      <c r="X83" s="55"/>
      <c r="Y83" s="55"/>
      <c r="Z83" s="55"/>
      <c r="AA83" s="55"/>
      <c r="AB83" s="55"/>
    </row>
    <row r="84" spans="1:28" ht="14.4">
      <c r="A84" s="48"/>
      <c r="B84" s="77"/>
      <c r="C84" s="150" t="str">
        <f>Landscaping!A18</f>
        <v>Flueted  Ceramic- TableTop White-Medium</v>
      </c>
      <c r="D84" s="121" t="str">
        <f>Landscaping!B18</f>
        <v>furnished by SB and install by GC</v>
      </c>
      <c r="E84" s="120">
        <f>Landscaping!C18</f>
        <v>2</v>
      </c>
      <c r="F84" s="121" t="s">
        <v>97</v>
      </c>
      <c r="G84" s="151">
        <v>0.25</v>
      </c>
      <c r="H84" s="118" t="s">
        <v>164</v>
      </c>
      <c r="I84" s="119">
        <f>E84*N84*(1+M84)</f>
        <v>0</v>
      </c>
      <c r="J84" s="119">
        <f>SUM(I84)</f>
        <v>0</v>
      </c>
      <c r="K84" s="69"/>
      <c r="L84" s="48"/>
      <c r="M84" s="97">
        <v>0</v>
      </c>
      <c r="N84" s="96">
        <v>0</v>
      </c>
      <c r="O84" s="48"/>
      <c r="P84" s="48"/>
      <c r="Q84" s="48"/>
      <c r="R84" s="48"/>
      <c r="S84" s="48"/>
      <c r="T84" s="48"/>
      <c r="U84" s="48"/>
      <c r="V84" s="48"/>
      <c r="W84" s="55"/>
      <c r="X84" s="55"/>
      <c r="Y84" s="55"/>
      <c r="Z84" s="55"/>
      <c r="AA84" s="55"/>
      <c r="AB84" s="55"/>
    </row>
    <row r="85" spans="1:28" ht="14.4">
      <c r="A85" s="48"/>
      <c r="B85" s="77"/>
      <c r="C85" s="150"/>
      <c r="D85" s="121">
        <f>Landscaping!B19</f>
        <v>0</v>
      </c>
      <c r="E85" s="120"/>
      <c r="F85" s="121"/>
      <c r="G85" s="151"/>
      <c r="H85" s="118"/>
      <c r="I85" s="119"/>
      <c r="J85" s="119"/>
      <c r="K85" s="69"/>
      <c r="L85" s="48"/>
      <c r="M85" s="97"/>
      <c r="N85" s="96"/>
      <c r="O85" s="48"/>
      <c r="P85" s="48"/>
      <c r="Q85" s="48"/>
      <c r="R85" s="48"/>
      <c r="S85" s="48"/>
      <c r="T85" s="48"/>
      <c r="U85" s="48"/>
      <c r="V85" s="48"/>
      <c r="W85" s="55"/>
      <c r="X85" s="55"/>
      <c r="Y85" s="55"/>
      <c r="Z85" s="55"/>
      <c r="AA85" s="55"/>
      <c r="AB85" s="55"/>
    </row>
    <row r="86" spans="1:28" ht="14.4">
      <c r="A86" s="48"/>
      <c r="B86" s="77"/>
      <c r="C86" s="143" t="str">
        <f>Landscaping!A20</f>
        <v>MISCELLANEOUS</v>
      </c>
      <c r="D86" s="121"/>
      <c r="E86" s="120"/>
      <c r="F86" s="121"/>
      <c r="G86" s="151"/>
      <c r="H86" s="118"/>
      <c r="I86" s="119"/>
      <c r="J86" s="119"/>
      <c r="K86" s="69"/>
      <c r="L86" s="48"/>
      <c r="M86" s="152"/>
      <c r="N86" s="96"/>
      <c r="O86" s="48"/>
      <c r="P86" s="48"/>
      <c r="Q86" s="48"/>
      <c r="R86" s="48"/>
      <c r="S86" s="48"/>
      <c r="T86" s="48"/>
      <c r="U86" s="48"/>
      <c r="V86" s="48"/>
      <c r="W86" s="55"/>
      <c r="X86" s="55"/>
      <c r="Y86" s="55"/>
      <c r="Z86" s="55"/>
      <c r="AA86" s="55"/>
      <c r="AB86" s="55"/>
    </row>
    <row r="87" spans="1:28" ht="14.4">
      <c r="A87" s="48"/>
      <c r="B87" s="77"/>
      <c r="C87" s="150" t="str">
        <f>Landscaping!A21</f>
        <v>Umbrella Base</v>
      </c>
      <c r="D87" s="121" t="str">
        <f>Landscaping!B21</f>
        <v>furnished by SB and install by GC</v>
      </c>
      <c r="E87" s="120">
        <f>Landscaping!C21</f>
        <v>1</v>
      </c>
      <c r="F87" s="121" t="s">
        <v>97</v>
      </c>
      <c r="G87" s="151">
        <v>0.5</v>
      </c>
      <c r="H87" s="118" t="s">
        <v>163</v>
      </c>
      <c r="I87" s="119">
        <f t="shared" ref="I87:I88" si="11">E87*N87*(1+M87)</f>
        <v>0</v>
      </c>
      <c r="J87" s="119">
        <f t="shared" ref="J87:J88" si="12">SUM(I87)</f>
        <v>0</v>
      </c>
      <c r="K87" s="69"/>
      <c r="L87" s="48"/>
      <c r="M87" s="97">
        <v>0</v>
      </c>
      <c r="N87" s="96">
        <v>0</v>
      </c>
      <c r="O87" s="48"/>
      <c r="P87" s="48"/>
      <c r="Q87" s="48"/>
      <c r="R87" s="48"/>
      <c r="S87" s="48"/>
      <c r="T87" s="48"/>
      <c r="U87" s="48"/>
      <c r="V87" s="48"/>
      <c r="W87" s="55"/>
      <c r="X87" s="55"/>
      <c r="Y87" s="55"/>
      <c r="Z87" s="55"/>
      <c r="AA87" s="55"/>
      <c r="AB87" s="55"/>
    </row>
    <row r="88" spans="1:28" ht="14.4">
      <c r="A88" s="48"/>
      <c r="B88" s="77"/>
      <c r="C88" s="150" t="str">
        <f>Landscaping!A22</f>
        <v>Umbrella without Valance</v>
      </c>
      <c r="D88" s="121" t="str">
        <f>Landscaping!B22</f>
        <v>furnished by SB and install by GC</v>
      </c>
      <c r="E88" s="120">
        <f>Landscaping!C22</f>
        <v>1</v>
      </c>
      <c r="F88" s="121" t="s">
        <v>97</v>
      </c>
      <c r="G88" s="151">
        <v>0.75</v>
      </c>
      <c r="H88" s="118" t="s">
        <v>163</v>
      </c>
      <c r="I88" s="119">
        <f t="shared" si="11"/>
        <v>0</v>
      </c>
      <c r="J88" s="119">
        <f t="shared" si="12"/>
        <v>0</v>
      </c>
      <c r="K88" s="69"/>
      <c r="L88" s="48"/>
      <c r="M88" s="97">
        <v>0</v>
      </c>
      <c r="N88" s="96">
        <v>0</v>
      </c>
      <c r="O88" s="48"/>
      <c r="P88" s="48"/>
      <c r="Q88" s="48"/>
      <c r="R88" s="48"/>
      <c r="S88" s="48"/>
      <c r="T88" s="48"/>
      <c r="U88" s="48"/>
      <c r="V88" s="48"/>
      <c r="W88" s="55"/>
      <c r="X88" s="55"/>
      <c r="Y88" s="55"/>
      <c r="Z88" s="55"/>
      <c r="AA88" s="55"/>
      <c r="AB88" s="55"/>
    </row>
    <row r="89" spans="1:28" ht="14.4">
      <c r="A89" s="48"/>
      <c r="B89" s="77"/>
      <c r="C89" s="124"/>
      <c r="D89" s="153" t="str">
        <f>C67</f>
        <v>LANDSCAPING</v>
      </c>
      <c r="E89" s="154" t="s">
        <v>159</v>
      </c>
      <c r="F89" s="127"/>
      <c r="G89" s="155"/>
      <c r="H89" s="156"/>
      <c r="I89" s="155">
        <f t="shared" ref="I89:J89" si="13">SUM(I68:I88)</f>
        <v>0</v>
      </c>
      <c r="J89" s="157">
        <f t="shared" si="13"/>
        <v>0</v>
      </c>
      <c r="K89" s="105"/>
      <c r="L89" s="23"/>
      <c r="M89" s="97"/>
      <c r="N89" s="132"/>
      <c r="O89" s="48"/>
      <c r="P89" s="48"/>
      <c r="Q89" s="48"/>
      <c r="R89" s="48"/>
      <c r="S89" s="48"/>
      <c r="T89" s="48"/>
      <c r="U89" s="48"/>
      <c r="V89" s="48"/>
      <c r="W89" s="55"/>
      <c r="X89" s="55"/>
      <c r="Y89" s="55"/>
      <c r="Z89" s="55"/>
      <c r="AA89" s="55"/>
      <c r="AB89" s="55"/>
    </row>
    <row r="90" spans="1:28" ht="14.4">
      <c r="A90" s="48"/>
      <c r="B90" s="77"/>
      <c r="C90" s="78"/>
      <c r="D90" s="533" t="s">
        <v>160</v>
      </c>
      <c r="E90" s="532"/>
      <c r="F90" s="158">
        <v>0</v>
      </c>
      <c r="G90" s="159"/>
      <c r="H90" s="160"/>
      <c r="I90" s="159"/>
      <c r="J90" s="161">
        <f>F90*J89</f>
        <v>0</v>
      </c>
      <c r="K90" s="69"/>
      <c r="L90" s="48"/>
      <c r="M90" s="95"/>
      <c r="N90" s="96"/>
      <c r="O90" s="48"/>
      <c r="P90" s="48"/>
      <c r="Q90" s="48"/>
      <c r="R90" s="48"/>
      <c r="S90" s="48"/>
      <c r="T90" s="48"/>
      <c r="U90" s="48"/>
      <c r="V90" s="48"/>
      <c r="W90" s="55"/>
      <c r="X90" s="55"/>
      <c r="Y90" s="55"/>
      <c r="Z90" s="55"/>
      <c r="AA90" s="55"/>
      <c r="AB90" s="55"/>
    </row>
    <row r="91" spans="1:28">
      <c r="A91" s="48"/>
      <c r="B91" s="77"/>
      <c r="C91" s="78"/>
      <c r="D91" s="533" t="s">
        <v>161</v>
      </c>
      <c r="E91" s="532"/>
      <c r="F91" s="162"/>
      <c r="G91" s="163"/>
      <c r="H91" s="164"/>
      <c r="I91" s="163"/>
      <c r="J91" s="165">
        <f>SUM(J89:J90)</f>
        <v>0</v>
      </c>
      <c r="K91" s="69"/>
      <c r="L91" s="48"/>
      <c r="M91" s="95"/>
      <c r="N91" s="96"/>
      <c r="O91" s="48"/>
      <c r="P91" s="48"/>
      <c r="Q91" s="48"/>
      <c r="R91" s="48"/>
      <c r="S91" s="48"/>
      <c r="T91" s="48"/>
      <c r="U91" s="48"/>
      <c r="V91" s="48"/>
      <c r="W91" s="55"/>
      <c r="X91" s="55"/>
      <c r="Y91" s="55"/>
      <c r="Z91" s="55"/>
      <c r="AA91" s="55"/>
      <c r="AB91" s="55"/>
    </row>
    <row r="92" spans="1:28" ht="14.4">
      <c r="A92" s="48"/>
      <c r="B92" s="77"/>
      <c r="C92" s="78"/>
      <c r="D92" s="79"/>
      <c r="E92" s="80"/>
      <c r="F92" s="81"/>
      <c r="G92" s="82"/>
      <c r="H92" s="83"/>
      <c r="I92" s="82"/>
      <c r="J92" s="82"/>
      <c r="K92" s="69"/>
      <c r="L92" s="48"/>
      <c r="M92" s="97"/>
      <c r="N92" s="96"/>
      <c r="O92" s="48"/>
      <c r="P92" s="48"/>
      <c r="Q92" s="48"/>
      <c r="R92" s="48"/>
      <c r="S92" s="48"/>
      <c r="T92" s="48"/>
      <c r="U92" s="48"/>
      <c r="V92" s="48"/>
      <c r="W92" s="55"/>
      <c r="X92" s="55"/>
      <c r="Y92" s="55"/>
      <c r="Z92" s="55"/>
      <c r="AA92" s="55"/>
      <c r="AB92" s="55"/>
    </row>
    <row r="93" spans="1:28" ht="14.4">
      <c r="A93" s="23"/>
      <c r="B93" s="166"/>
      <c r="C93" s="99" t="s">
        <v>167</v>
      </c>
      <c r="D93" s="100"/>
      <c r="E93" s="101"/>
      <c r="F93" s="102"/>
      <c r="G93" s="103"/>
      <c r="H93" s="104"/>
      <c r="I93" s="103"/>
      <c r="J93" s="103"/>
      <c r="K93" s="105"/>
      <c r="L93" s="23"/>
      <c r="M93" s="131"/>
      <c r="N93" s="132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ht="14.4">
      <c r="A94" s="23"/>
      <c r="B94" s="166"/>
      <c r="C94" s="109" t="str">
        <f>'Exterior Siding'!B20</f>
        <v>Veneer Siding</v>
      </c>
      <c r="D94" s="167"/>
      <c r="E94" s="145"/>
      <c r="F94" s="145"/>
      <c r="G94" s="168"/>
      <c r="H94" s="169"/>
      <c r="I94" s="170"/>
      <c r="J94" s="170"/>
      <c r="K94" s="105"/>
      <c r="L94" s="23"/>
      <c r="M94" s="131"/>
      <c r="N94" s="132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spans="1:28" ht="14.4">
      <c r="A95" s="23"/>
      <c r="B95" s="166"/>
      <c r="C95" s="114" t="str">
        <f>'Exterior Siding'!B27</f>
        <v>Brick Veneer</v>
      </c>
      <c r="D95" s="171" t="str">
        <f>'Exterior Siding'!C27</f>
        <v>Patching and Repair</v>
      </c>
      <c r="E95" s="172">
        <f>'Exterior Siding'!D27</f>
        <v>164</v>
      </c>
      <c r="F95" s="172" t="str">
        <f>'Exterior Siding'!E27</f>
        <v>SF</v>
      </c>
      <c r="G95" s="120">
        <v>7.65</v>
      </c>
      <c r="H95" s="122" t="s">
        <v>163</v>
      </c>
      <c r="I95" s="123">
        <f>E95*N95*(1+M95)</f>
        <v>0</v>
      </c>
      <c r="J95" s="123">
        <f>I95</f>
        <v>0</v>
      </c>
      <c r="K95" s="105"/>
      <c r="L95" s="23"/>
      <c r="M95" s="106">
        <v>0</v>
      </c>
      <c r="N95" s="107">
        <v>0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spans="1:28" ht="14.4">
      <c r="A96" s="23"/>
      <c r="B96" s="166"/>
      <c r="C96" s="114"/>
      <c r="D96" s="114"/>
      <c r="E96" s="173"/>
      <c r="F96" s="173"/>
      <c r="G96" s="112"/>
      <c r="H96" s="113"/>
      <c r="I96" s="123"/>
      <c r="J96" s="123"/>
      <c r="K96" s="105"/>
      <c r="L96" s="23"/>
      <c r="M96" s="106"/>
      <c r="N96" s="107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spans="1:28" ht="14.4">
      <c r="A97" s="23"/>
      <c r="B97" s="166"/>
      <c r="C97" s="124"/>
      <c r="D97" s="125" t="str">
        <f>C93</f>
        <v>EXTERIOR SIDING</v>
      </c>
      <c r="E97" s="126" t="s">
        <v>159</v>
      </c>
      <c r="F97" s="127"/>
      <c r="G97" s="128"/>
      <c r="H97" s="129"/>
      <c r="I97" s="128">
        <f>SUM(I94:I96)</f>
        <v>0</v>
      </c>
      <c r="J97" s="130">
        <f>SUM(J94:J96)</f>
        <v>0</v>
      </c>
      <c r="K97" s="105"/>
      <c r="L97" s="23"/>
      <c r="M97" s="131"/>
      <c r="N97" s="132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spans="1:28" ht="14.4">
      <c r="A98" s="23"/>
      <c r="B98" s="166"/>
      <c r="C98" s="78"/>
      <c r="D98" s="537" t="s">
        <v>160</v>
      </c>
      <c r="E98" s="532"/>
      <c r="F98" s="133">
        <v>0</v>
      </c>
      <c r="G98" s="174"/>
      <c r="H98" s="175"/>
      <c r="I98" s="174"/>
      <c r="J98" s="136">
        <f>F98*J97</f>
        <v>0</v>
      </c>
      <c r="K98" s="105"/>
      <c r="L98" s="23"/>
      <c r="M98" s="106"/>
      <c r="N98" s="107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spans="1:28" ht="15.6">
      <c r="A99" s="23"/>
      <c r="B99" s="166"/>
      <c r="C99" s="78"/>
      <c r="D99" s="537" t="s">
        <v>161</v>
      </c>
      <c r="E99" s="532"/>
      <c r="F99" s="137"/>
      <c r="G99" s="138"/>
      <c r="H99" s="139"/>
      <c r="I99" s="138"/>
      <c r="J99" s="140">
        <f>SUM(J97:J98)</f>
        <v>0</v>
      </c>
      <c r="K99" s="105"/>
      <c r="L99" s="23"/>
      <c r="M99" s="106"/>
      <c r="N99" s="107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spans="1:28" ht="14.4">
      <c r="A100" s="48"/>
      <c r="B100" s="77"/>
      <c r="C100" s="78"/>
      <c r="D100" s="79"/>
      <c r="E100" s="80"/>
      <c r="F100" s="81"/>
      <c r="G100" s="82"/>
      <c r="H100" s="83"/>
      <c r="I100" s="82"/>
      <c r="J100" s="82"/>
      <c r="K100" s="69"/>
      <c r="L100" s="48"/>
      <c r="M100" s="97"/>
      <c r="N100" s="96"/>
      <c r="O100" s="48"/>
      <c r="P100" s="48"/>
      <c r="Q100" s="48"/>
      <c r="R100" s="48"/>
      <c r="S100" s="48"/>
      <c r="T100" s="48"/>
      <c r="U100" s="48"/>
      <c r="V100" s="48"/>
      <c r="W100" s="55"/>
      <c r="X100" s="55"/>
      <c r="Y100" s="55"/>
      <c r="Z100" s="55"/>
      <c r="AA100" s="55"/>
      <c r="AB100" s="55"/>
    </row>
    <row r="101" spans="1:28" ht="14.4">
      <c r="A101" s="23"/>
      <c r="B101" s="166"/>
      <c r="C101" s="99" t="s">
        <v>168</v>
      </c>
      <c r="D101" s="100"/>
      <c r="E101" s="101"/>
      <c r="F101" s="102"/>
      <c r="G101" s="103"/>
      <c r="H101" s="104"/>
      <c r="I101" s="103"/>
      <c r="J101" s="103"/>
      <c r="K101" s="105"/>
      <c r="L101" s="23"/>
      <c r="M101" s="131"/>
      <c r="N101" s="132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spans="1:28" ht="14.4">
      <c r="A102" s="23"/>
      <c r="B102" s="166"/>
      <c r="C102" s="109" t="str">
        <f>'Exterior Painting'!B7</f>
        <v xml:space="preserve">EXTERIOR FINISHES </v>
      </c>
      <c r="D102" s="167"/>
      <c r="E102" s="145"/>
      <c r="F102" s="145"/>
      <c r="G102" s="168"/>
      <c r="H102" s="169"/>
      <c r="I102" s="170"/>
      <c r="J102" s="170"/>
      <c r="K102" s="105"/>
      <c r="L102" s="23"/>
      <c r="M102" s="131"/>
      <c r="N102" s="132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spans="1:28" ht="14.4">
      <c r="A103" s="23"/>
      <c r="B103" s="166"/>
      <c r="C103" s="109" t="str">
        <f>'Exterior Painting'!B8</f>
        <v>Exterior Patio Railing Finishes, 2 Coats Stain</v>
      </c>
      <c r="D103" s="176"/>
      <c r="E103" s="173"/>
      <c r="F103" s="173"/>
      <c r="G103" s="112"/>
      <c r="H103" s="113"/>
      <c r="I103" s="123"/>
      <c r="J103" s="123"/>
      <c r="K103" s="105"/>
      <c r="L103" s="23"/>
      <c r="M103" s="106"/>
      <c r="N103" s="107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spans="1:28" ht="14.4">
      <c r="A104" s="23"/>
      <c r="B104" s="166"/>
      <c r="C104" s="114" t="str">
        <f>'Exterior Painting'!B11</f>
        <v>Exterior Patio Railings</v>
      </c>
      <c r="D104" s="114"/>
      <c r="E104" s="172">
        <f>'Exterior Painting'!C11</f>
        <v>94.44</v>
      </c>
      <c r="F104" s="172" t="str">
        <f>'Exterior Painting'!D11</f>
        <v>LF</v>
      </c>
      <c r="G104" s="177">
        <v>7.4</v>
      </c>
      <c r="H104" s="122" t="s">
        <v>163</v>
      </c>
      <c r="I104" s="123">
        <f>E104*N104*(1+M104)</f>
        <v>0</v>
      </c>
      <c r="J104" s="123">
        <f>I104</f>
        <v>0</v>
      </c>
      <c r="K104" s="105"/>
      <c r="L104" s="23"/>
      <c r="M104" s="106">
        <v>0</v>
      </c>
      <c r="N104" s="107">
        <v>0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spans="1:28" ht="14.4">
      <c r="A105" s="23"/>
      <c r="B105" s="166"/>
      <c r="C105" s="109" t="str">
        <f>'Exterior Painting'!B12</f>
        <v>Exterior Patio Post Finishes, Primer + 2 Coats Paint</v>
      </c>
      <c r="D105" s="176"/>
      <c r="E105" s="173"/>
      <c r="F105" s="173"/>
      <c r="G105" s="177"/>
      <c r="H105" s="122"/>
      <c r="I105" s="123"/>
      <c r="J105" s="123"/>
      <c r="K105" s="105"/>
      <c r="L105" s="23"/>
      <c r="M105" s="106"/>
      <c r="N105" s="107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spans="1:28" ht="14.4">
      <c r="A106" s="23"/>
      <c r="B106" s="166"/>
      <c r="C106" s="114" t="str">
        <f>'Exterior Painting'!B16</f>
        <v>Exterior Patio Post</v>
      </c>
      <c r="D106" s="114"/>
      <c r="E106" s="172">
        <f>'Exterior Painting'!C16</f>
        <v>85.02</v>
      </c>
      <c r="F106" s="172" t="str">
        <f>'Exterior Painting'!D16</f>
        <v>LF</v>
      </c>
      <c r="G106" s="120">
        <v>7.7</v>
      </c>
      <c r="H106" s="122" t="s">
        <v>164</v>
      </c>
      <c r="I106" s="123">
        <f>E106*N106*(1+M106)</f>
        <v>0</v>
      </c>
      <c r="J106" s="123">
        <f>I106</f>
        <v>0</v>
      </c>
      <c r="K106" s="105"/>
      <c r="L106" s="23"/>
      <c r="M106" s="106">
        <v>0</v>
      </c>
      <c r="N106" s="107">
        <v>0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spans="1:28" ht="14.4">
      <c r="A107" s="23"/>
      <c r="B107" s="166"/>
      <c r="C107" s="124"/>
      <c r="D107" s="125" t="str">
        <f>C101</f>
        <v>EXTERIOR PAINTING</v>
      </c>
      <c r="E107" s="126" t="s">
        <v>159</v>
      </c>
      <c r="F107" s="127"/>
      <c r="G107" s="128"/>
      <c r="H107" s="129"/>
      <c r="I107" s="128">
        <f>SUM(I102:I106)</f>
        <v>0</v>
      </c>
      <c r="J107" s="130">
        <f>SUM(J102:J106)</f>
        <v>0</v>
      </c>
      <c r="K107" s="105"/>
      <c r="L107" s="23"/>
      <c r="M107" s="131"/>
      <c r="N107" s="132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spans="1:28" ht="14.4">
      <c r="A108" s="23"/>
      <c r="B108" s="166"/>
      <c r="C108" s="78"/>
      <c r="D108" s="537" t="s">
        <v>160</v>
      </c>
      <c r="E108" s="532"/>
      <c r="F108" s="133">
        <v>0</v>
      </c>
      <c r="G108" s="174"/>
      <c r="H108" s="175"/>
      <c r="I108" s="174"/>
      <c r="J108" s="136">
        <f>F108*J107</f>
        <v>0</v>
      </c>
      <c r="K108" s="105"/>
      <c r="L108" s="23"/>
      <c r="M108" s="106"/>
      <c r="N108" s="107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spans="1:28" ht="15.6">
      <c r="A109" s="23"/>
      <c r="B109" s="166"/>
      <c r="C109" s="78"/>
      <c r="D109" s="537" t="s">
        <v>161</v>
      </c>
      <c r="E109" s="532"/>
      <c r="F109" s="137"/>
      <c r="G109" s="138"/>
      <c r="H109" s="139"/>
      <c r="I109" s="138"/>
      <c r="J109" s="140">
        <f>SUM(J107:J108)</f>
        <v>0</v>
      </c>
      <c r="K109" s="105"/>
      <c r="L109" s="23"/>
      <c r="M109" s="106"/>
      <c r="N109" s="107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spans="1:28" ht="14.4">
      <c r="A110" s="48"/>
      <c r="B110" s="77"/>
      <c r="C110" s="78"/>
      <c r="D110" s="79"/>
      <c r="E110" s="80"/>
      <c r="F110" s="81"/>
      <c r="G110" s="82"/>
      <c r="H110" s="83"/>
      <c r="I110" s="82"/>
      <c r="J110" s="82"/>
      <c r="K110" s="69"/>
      <c r="L110" s="48"/>
      <c r="M110" s="97"/>
      <c r="N110" s="96"/>
      <c r="O110" s="48"/>
      <c r="P110" s="48"/>
      <c r="Q110" s="48"/>
      <c r="R110" s="48"/>
      <c r="S110" s="48"/>
      <c r="T110" s="48"/>
      <c r="U110" s="48"/>
      <c r="V110" s="48"/>
      <c r="W110" s="55"/>
      <c r="X110" s="55"/>
      <c r="Y110" s="55"/>
      <c r="Z110" s="55"/>
      <c r="AA110" s="55"/>
      <c r="AB110" s="55"/>
    </row>
    <row r="111" spans="1:28" ht="14.4">
      <c r="A111" s="23"/>
      <c r="B111" s="166"/>
      <c r="C111" s="142" t="s">
        <v>169</v>
      </c>
      <c r="D111" s="100"/>
      <c r="E111" s="101"/>
      <c r="F111" s="102"/>
      <c r="G111" s="103"/>
      <c r="H111" s="104"/>
      <c r="I111" s="103"/>
      <c r="J111" s="103"/>
      <c r="K111" s="105"/>
      <c r="L111" s="23"/>
      <c r="M111" s="131"/>
      <c r="N111" s="132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spans="1:28" ht="14.4">
      <c r="A112" s="23"/>
      <c r="B112" s="166"/>
      <c r="C112" s="143" t="str">
        <f>FDI!B76</f>
        <v>METAL STUD</v>
      </c>
      <c r="D112" s="178"/>
      <c r="E112" s="178"/>
      <c r="F112" s="120"/>
      <c r="G112" s="112"/>
      <c r="H112" s="113"/>
      <c r="I112" s="112"/>
      <c r="J112" s="112"/>
      <c r="K112" s="105"/>
      <c r="L112" s="48"/>
      <c r="M112" s="97"/>
      <c r="N112" s="9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spans="1:28" ht="14.4">
      <c r="A113" s="23"/>
      <c r="B113" s="166"/>
      <c r="C113" s="143" t="str">
        <f>FDI!B77</f>
        <v>1-T-N, Partial Height=12'</v>
      </c>
      <c r="D113" s="115"/>
      <c r="E113" s="179"/>
      <c r="F113" s="180"/>
      <c r="G113" s="180"/>
      <c r="H113" s="122"/>
      <c r="I113" s="123"/>
      <c r="J113" s="123">
        <f t="shared" ref="J113:J116" si="14">I113</f>
        <v>0</v>
      </c>
      <c r="K113" s="105"/>
      <c r="L113" s="48"/>
      <c r="M113" s="97"/>
      <c r="N113" s="9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spans="1:28" ht="14.4">
      <c r="A114" s="23"/>
      <c r="B114" s="166"/>
      <c r="C114" s="150" t="str">
        <f>FDI!B78</f>
        <v>1-1/2" 20ga Metal Stud x 12' at 16" OC</v>
      </c>
      <c r="D114" s="115"/>
      <c r="E114" s="181">
        <f>FDI!E78</f>
        <v>4</v>
      </c>
      <c r="F114" s="180" t="str">
        <f>FDI!F78</f>
        <v>EA</v>
      </c>
      <c r="G114" s="180">
        <f>FDI!M78</f>
        <v>1</v>
      </c>
      <c r="H114" s="122" t="s">
        <v>170</v>
      </c>
      <c r="I114" s="123">
        <f t="shared" ref="I114:I116" si="15">E114*N114*(1+M114)</f>
        <v>0</v>
      </c>
      <c r="J114" s="123">
        <f t="shared" si="14"/>
        <v>0</v>
      </c>
      <c r="K114" s="105"/>
      <c r="L114" s="48"/>
      <c r="M114" s="106">
        <v>0</v>
      </c>
      <c r="N114" s="107">
        <v>0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spans="1:28" ht="14.4">
      <c r="A115" s="23"/>
      <c r="B115" s="166"/>
      <c r="C115" s="150" t="str">
        <f>FDI!B79</f>
        <v>1-1/2" 20ga U-Track x 10'</v>
      </c>
      <c r="D115" s="115"/>
      <c r="E115" s="181">
        <f>FDI!E79</f>
        <v>1</v>
      </c>
      <c r="F115" s="180" t="str">
        <f>FDI!F79</f>
        <v>EA</v>
      </c>
      <c r="G115" s="180"/>
      <c r="H115" s="122" t="s">
        <v>170</v>
      </c>
      <c r="I115" s="123">
        <f t="shared" si="15"/>
        <v>0</v>
      </c>
      <c r="J115" s="123">
        <f t="shared" si="14"/>
        <v>0</v>
      </c>
      <c r="K115" s="105"/>
      <c r="L115" s="48"/>
      <c r="M115" s="106">
        <v>0</v>
      </c>
      <c r="N115" s="107">
        <v>0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spans="1:28" ht="14.4">
      <c r="A116" s="23"/>
      <c r="B116" s="166"/>
      <c r="C116" s="150" t="str">
        <f>FDI!B80</f>
        <v>1-1/2" 20ga Metal Stud Bracing x 8' at 48" OC</v>
      </c>
      <c r="D116" s="115"/>
      <c r="E116" s="181">
        <f>FDI!E80</f>
        <v>1</v>
      </c>
      <c r="F116" s="180" t="str">
        <f>FDI!F80</f>
        <v>EA</v>
      </c>
      <c r="G116" s="180"/>
      <c r="H116" s="122" t="s">
        <v>170</v>
      </c>
      <c r="I116" s="123">
        <f t="shared" si="15"/>
        <v>0</v>
      </c>
      <c r="J116" s="123">
        <f t="shared" si="14"/>
        <v>0</v>
      </c>
      <c r="K116" s="105"/>
      <c r="L116" s="48"/>
      <c r="M116" s="106">
        <v>0</v>
      </c>
      <c r="N116" s="107">
        <v>0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spans="1:28" ht="14.4">
      <c r="A117" s="23"/>
      <c r="B117" s="166"/>
      <c r="C117" s="143"/>
      <c r="D117" s="115"/>
      <c r="E117" s="181"/>
      <c r="F117" s="180"/>
      <c r="G117" s="180"/>
      <c r="H117" s="122"/>
      <c r="I117" s="123"/>
      <c r="J117" s="123"/>
      <c r="K117" s="105"/>
      <c r="L117" s="48"/>
      <c r="M117" s="106"/>
      <c r="N117" s="107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spans="1:28" ht="14.4">
      <c r="A118" s="23"/>
      <c r="B118" s="166"/>
      <c r="C118" s="143" t="str">
        <f>FDI!B82</f>
        <v>2-F-N &amp; 3-F-N, Full Height=20'</v>
      </c>
      <c r="D118" s="115"/>
      <c r="E118" s="181"/>
      <c r="F118" s="180"/>
      <c r="G118" s="180"/>
      <c r="H118" s="122"/>
      <c r="I118" s="123"/>
      <c r="J118" s="123"/>
      <c r="K118" s="105"/>
      <c r="L118" s="48"/>
      <c r="M118" s="106"/>
      <c r="N118" s="107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spans="1:28" ht="14.4">
      <c r="A119" s="23"/>
      <c r="B119" s="166"/>
      <c r="C119" s="150" t="str">
        <f>FDI!B83</f>
        <v>3-5/8" 20ga Metal Stud x 20' at 16" OC</v>
      </c>
      <c r="D119" s="115"/>
      <c r="E119" s="181">
        <f>FDI!E83</f>
        <v>34</v>
      </c>
      <c r="F119" s="180" t="str">
        <f>FDI!F83</f>
        <v>EA</v>
      </c>
      <c r="G119" s="180">
        <f>FDI!M83</f>
        <v>6</v>
      </c>
      <c r="H119" s="122" t="s">
        <v>170</v>
      </c>
      <c r="I119" s="123">
        <f t="shared" ref="I119:I121" si="16">E119*N119*(1+M119)</f>
        <v>0</v>
      </c>
      <c r="J119" s="123">
        <f t="shared" ref="J119:J121" si="17">I119</f>
        <v>0</v>
      </c>
      <c r="K119" s="105"/>
      <c r="L119" s="48"/>
      <c r="M119" s="106">
        <v>0</v>
      </c>
      <c r="N119" s="107">
        <v>0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spans="1:28" ht="14.4">
      <c r="A120" s="23"/>
      <c r="B120" s="166"/>
      <c r="C120" s="150" t="str">
        <f>FDI!B84</f>
        <v>3-5/8" 20ga Deflection Track x 10'</v>
      </c>
      <c r="D120" s="115"/>
      <c r="E120" s="181">
        <f>FDI!E84</f>
        <v>5</v>
      </c>
      <c r="F120" s="180" t="str">
        <f>FDI!F84</f>
        <v>EA</v>
      </c>
      <c r="G120" s="180"/>
      <c r="H120" s="122" t="s">
        <v>170</v>
      </c>
      <c r="I120" s="123">
        <f t="shared" si="16"/>
        <v>0</v>
      </c>
      <c r="J120" s="123">
        <f t="shared" si="17"/>
        <v>0</v>
      </c>
      <c r="K120" s="105"/>
      <c r="L120" s="48"/>
      <c r="M120" s="106">
        <v>0</v>
      </c>
      <c r="N120" s="107">
        <v>0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spans="1:28" ht="14.4">
      <c r="A121" s="23"/>
      <c r="B121" s="166"/>
      <c r="C121" s="150" t="str">
        <f>FDI!B85</f>
        <v>3-5/8" 20ga U-Track x 10'</v>
      </c>
      <c r="D121" s="115"/>
      <c r="E121" s="181">
        <f>FDI!E85</f>
        <v>5</v>
      </c>
      <c r="F121" s="180" t="str">
        <f>FDI!F85</f>
        <v>EA</v>
      </c>
      <c r="G121" s="180"/>
      <c r="H121" s="122" t="s">
        <v>170</v>
      </c>
      <c r="I121" s="123">
        <f t="shared" si="16"/>
        <v>0</v>
      </c>
      <c r="J121" s="123">
        <f t="shared" si="17"/>
        <v>0</v>
      </c>
      <c r="K121" s="105"/>
      <c r="L121" s="48"/>
      <c r="M121" s="106">
        <v>0</v>
      </c>
      <c r="N121" s="107">
        <v>0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spans="1:28" ht="14.4">
      <c r="A122" s="23"/>
      <c r="B122" s="166"/>
      <c r="C122" s="143"/>
      <c r="D122" s="115"/>
      <c r="E122" s="181"/>
      <c r="F122" s="180"/>
      <c r="G122" s="180"/>
      <c r="H122" s="122"/>
      <c r="I122" s="123"/>
      <c r="J122" s="123"/>
      <c r="K122" s="105"/>
      <c r="L122" s="48"/>
      <c r="M122" s="106"/>
      <c r="N122" s="107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spans="1:28" ht="14.4">
      <c r="A123" s="23"/>
      <c r="B123" s="166"/>
      <c r="C123" s="143" t="str">
        <f>FDI!B87</f>
        <v>2-P-N, Partial Height=12'</v>
      </c>
      <c r="D123" s="115"/>
      <c r="E123" s="181"/>
      <c r="F123" s="180"/>
      <c r="G123" s="180"/>
      <c r="H123" s="122"/>
      <c r="I123" s="123"/>
      <c r="J123" s="123"/>
      <c r="K123" s="105"/>
      <c r="L123" s="48"/>
      <c r="M123" s="106"/>
      <c r="N123" s="107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spans="1:28" ht="14.4">
      <c r="A124" s="23"/>
      <c r="B124" s="166"/>
      <c r="C124" s="150" t="str">
        <f>FDI!B88</f>
        <v>3-5/8" 20ga Metal Stud x 12' at 16" OC</v>
      </c>
      <c r="D124" s="115"/>
      <c r="E124" s="181">
        <f>FDI!E88</f>
        <v>25</v>
      </c>
      <c r="F124" s="180" t="str">
        <f>FDI!F88</f>
        <v>EA</v>
      </c>
      <c r="G124" s="180">
        <f>FDI!M88</f>
        <v>2</v>
      </c>
      <c r="H124" s="122" t="s">
        <v>170</v>
      </c>
      <c r="I124" s="123">
        <f t="shared" ref="I124:I125" si="18">E124*N124*(1+M124)</f>
        <v>0</v>
      </c>
      <c r="J124" s="123">
        <f t="shared" ref="J124:J125" si="19">I124</f>
        <v>0</v>
      </c>
      <c r="K124" s="105"/>
      <c r="L124" s="48"/>
      <c r="M124" s="106">
        <v>0</v>
      </c>
      <c r="N124" s="107">
        <v>0</v>
      </c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spans="1:28" ht="14.4">
      <c r="A125" s="23"/>
      <c r="B125" s="166"/>
      <c r="C125" s="150" t="str">
        <f>FDI!B89</f>
        <v>3-5/8" 20ga U-Track x 10'</v>
      </c>
      <c r="D125" s="115"/>
      <c r="E125" s="181">
        <f>FDI!E89</f>
        <v>7</v>
      </c>
      <c r="F125" s="180" t="str">
        <f>FDI!F89</f>
        <v>EA</v>
      </c>
      <c r="G125" s="180"/>
      <c r="H125" s="122" t="s">
        <v>170</v>
      </c>
      <c r="I125" s="123">
        <f t="shared" si="18"/>
        <v>0</v>
      </c>
      <c r="J125" s="123">
        <f t="shared" si="19"/>
        <v>0</v>
      </c>
      <c r="K125" s="105"/>
      <c r="L125" s="48"/>
      <c r="M125" s="106">
        <v>0</v>
      </c>
      <c r="N125" s="107">
        <v>0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spans="1:28" ht="14.4">
      <c r="A126" s="23"/>
      <c r="B126" s="166"/>
      <c r="C126" s="143"/>
      <c r="D126" s="115"/>
      <c r="E126" s="181"/>
      <c r="F126" s="180"/>
      <c r="G126" s="180"/>
      <c r="H126" s="122"/>
      <c r="I126" s="123"/>
      <c r="J126" s="123"/>
      <c r="K126" s="105"/>
      <c r="L126" s="48"/>
      <c r="M126" s="106"/>
      <c r="N126" s="107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spans="1:28" ht="14.4">
      <c r="A127" s="23"/>
      <c r="B127" s="166"/>
      <c r="C127" s="143" t="str">
        <f>FDI!B91</f>
        <v>2-T-N &amp; 3-T-N, Parital Height=12'</v>
      </c>
      <c r="D127" s="115"/>
      <c r="E127" s="181"/>
      <c r="F127" s="180"/>
      <c r="G127" s="180"/>
      <c r="H127" s="122"/>
      <c r="I127" s="123"/>
      <c r="J127" s="123"/>
      <c r="K127" s="105"/>
      <c r="L127" s="48"/>
      <c r="M127" s="106"/>
      <c r="N127" s="107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spans="1:28" ht="14.4">
      <c r="A128" s="23"/>
      <c r="B128" s="166"/>
      <c r="C128" s="150" t="str">
        <f>FDI!B92</f>
        <v>3-5/8" 20ga Metal Stud x 12' at 16" OC</v>
      </c>
      <c r="D128" s="115"/>
      <c r="E128" s="181">
        <f>FDI!E92</f>
        <v>47</v>
      </c>
      <c r="F128" s="180" t="str">
        <f>FDI!F92</f>
        <v>EA</v>
      </c>
      <c r="G128" s="180">
        <f>FDI!M92</f>
        <v>4</v>
      </c>
      <c r="H128" s="122" t="s">
        <v>170</v>
      </c>
      <c r="I128" s="123">
        <f t="shared" ref="I128:I130" si="20">E128*N128*(1+M128)</f>
        <v>0</v>
      </c>
      <c r="J128" s="123">
        <f t="shared" ref="J128:J130" si="21">I128</f>
        <v>0</v>
      </c>
      <c r="K128" s="105"/>
      <c r="L128" s="48"/>
      <c r="M128" s="106">
        <v>0</v>
      </c>
      <c r="N128" s="107">
        <v>0</v>
      </c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spans="1:28" ht="14.4">
      <c r="A129" s="23"/>
      <c r="B129" s="166"/>
      <c r="C129" s="150" t="str">
        <f>FDI!B93</f>
        <v>3-5/8" 20ga U-Track x 10'</v>
      </c>
      <c r="D129" s="115"/>
      <c r="E129" s="181">
        <f>FDI!E93</f>
        <v>13</v>
      </c>
      <c r="F129" s="180" t="str">
        <f>FDI!F93</f>
        <v>EA</v>
      </c>
      <c r="G129" s="180"/>
      <c r="H129" s="122" t="s">
        <v>170</v>
      </c>
      <c r="I129" s="123">
        <f t="shared" si="20"/>
        <v>0</v>
      </c>
      <c r="J129" s="123">
        <f t="shared" si="21"/>
        <v>0</v>
      </c>
      <c r="K129" s="105"/>
      <c r="L129" s="48"/>
      <c r="M129" s="106">
        <v>0</v>
      </c>
      <c r="N129" s="107">
        <v>0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spans="1:28" ht="14.4">
      <c r="A130" s="23"/>
      <c r="B130" s="166"/>
      <c r="C130" s="150" t="str">
        <f>FDI!B94</f>
        <v>3-5/8" 20ga Metal Stud Bracing x 8' at 48" OC</v>
      </c>
      <c r="D130" s="115"/>
      <c r="E130" s="181">
        <f>FDI!E94</f>
        <v>16</v>
      </c>
      <c r="F130" s="180" t="str">
        <f>FDI!F94</f>
        <v>EA</v>
      </c>
      <c r="G130" s="180"/>
      <c r="H130" s="122" t="s">
        <v>170</v>
      </c>
      <c r="I130" s="123">
        <f t="shared" si="20"/>
        <v>0</v>
      </c>
      <c r="J130" s="123">
        <f t="shared" si="21"/>
        <v>0</v>
      </c>
      <c r="K130" s="105"/>
      <c r="L130" s="48"/>
      <c r="M130" s="106">
        <v>0</v>
      </c>
      <c r="N130" s="107">
        <v>0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spans="1:28" ht="14.4">
      <c r="A131" s="23"/>
      <c r="B131" s="166"/>
      <c r="C131" s="143"/>
      <c r="D131" s="115"/>
      <c r="E131" s="181"/>
      <c r="F131" s="180"/>
      <c r="G131" s="180"/>
      <c r="H131" s="122"/>
      <c r="I131" s="123"/>
      <c r="J131" s="123"/>
      <c r="K131" s="105"/>
      <c r="L131" s="48"/>
      <c r="M131" s="106"/>
      <c r="N131" s="107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spans="1:28" ht="14.4">
      <c r="A132" s="23"/>
      <c r="B132" s="166"/>
      <c r="C132" s="143" t="str">
        <f>FDI!B96</f>
        <v>3-P-N, Parital Height=2'</v>
      </c>
      <c r="D132" s="115"/>
      <c r="E132" s="181"/>
      <c r="F132" s="180"/>
      <c r="G132" s="180"/>
      <c r="H132" s="122"/>
      <c r="I132" s="123"/>
      <c r="J132" s="123"/>
      <c r="K132" s="105"/>
      <c r="L132" s="48"/>
      <c r="M132" s="106"/>
      <c r="N132" s="107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spans="1:28" ht="14.4">
      <c r="A133" s="23"/>
      <c r="B133" s="166"/>
      <c r="C133" s="150" t="str">
        <f>FDI!B97</f>
        <v>3-5/8" 16ga Metal Stud x 8' at 16" OC</v>
      </c>
      <c r="D133" s="115"/>
      <c r="E133" s="181">
        <f>FDI!E97</f>
        <v>1</v>
      </c>
      <c r="F133" s="180" t="str">
        <f>FDI!F97</f>
        <v>EA</v>
      </c>
      <c r="G133" s="180">
        <f>FDI!M97</f>
        <v>1</v>
      </c>
      <c r="H133" s="122" t="s">
        <v>170</v>
      </c>
      <c r="I133" s="123">
        <f t="shared" ref="I133:I134" si="22">E133*N133*(1+M133)</f>
        <v>0</v>
      </c>
      <c r="J133" s="123">
        <f t="shared" ref="J133:J134" si="23">I133</f>
        <v>0</v>
      </c>
      <c r="K133" s="105"/>
      <c r="L133" s="48"/>
      <c r="M133" s="106">
        <v>0</v>
      </c>
      <c r="N133" s="107">
        <v>0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spans="1:28" ht="14.4">
      <c r="A134" s="23"/>
      <c r="B134" s="166"/>
      <c r="C134" s="150" t="str">
        <f>FDI!B98</f>
        <v>3-5/8" 16ga U-Track x 10'</v>
      </c>
      <c r="D134" s="115"/>
      <c r="E134" s="181">
        <f>FDI!E98</f>
        <v>1</v>
      </c>
      <c r="F134" s="180" t="str">
        <f>FDI!F98</f>
        <v>EA</v>
      </c>
      <c r="G134" s="180"/>
      <c r="H134" s="122" t="s">
        <v>170</v>
      </c>
      <c r="I134" s="123">
        <f t="shared" si="22"/>
        <v>0</v>
      </c>
      <c r="J134" s="123">
        <f t="shared" si="23"/>
        <v>0</v>
      </c>
      <c r="K134" s="105"/>
      <c r="L134" s="48"/>
      <c r="M134" s="106">
        <v>0</v>
      </c>
      <c r="N134" s="107">
        <v>0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spans="1:28" ht="14.4">
      <c r="A135" s="23"/>
      <c r="B135" s="166"/>
      <c r="C135" s="143"/>
      <c r="D135" s="115"/>
      <c r="E135" s="181"/>
      <c r="F135" s="180"/>
      <c r="G135" s="180"/>
      <c r="H135" s="122"/>
      <c r="I135" s="123"/>
      <c r="J135" s="123"/>
      <c r="K135" s="105"/>
      <c r="L135" s="48"/>
      <c r="M135" s="106"/>
      <c r="N135" s="107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spans="1:28" ht="14.4">
      <c r="A136" s="23"/>
      <c r="B136" s="166"/>
      <c r="C136" s="143" t="str">
        <f>FDI!B100</f>
        <v>3-T-N-H, Parital Height=14'</v>
      </c>
      <c r="D136" s="115"/>
      <c r="E136" s="181"/>
      <c r="F136" s="180"/>
      <c r="G136" s="180"/>
      <c r="H136" s="122"/>
      <c r="I136" s="123"/>
      <c r="J136" s="123"/>
      <c r="K136" s="105"/>
      <c r="L136" s="48"/>
      <c r="M136" s="106"/>
      <c r="N136" s="107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14.4">
      <c r="A137" s="23"/>
      <c r="B137" s="166"/>
      <c r="C137" s="150" t="str">
        <f>FDI!B101</f>
        <v>3-5/8" 16ga Metal Stud x 14' at 16" OC</v>
      </c>
      <c r="D137" s="115"/>
      <c r="E137" s="181">
        <f>FDI!E101</f>
        <v>6</v>
      </c>
      <c r="F137" s="180" t="str">
        <f>FDI!F101</f>
        <v>EA</v>
      </c>
      <c r="G137" s="180">
        <f>FDI!M101</f>
        <v>1</v>
      </c>
      <c r="H137" s="122" t="s">
        <v>170</v>
      </c>
      <c r="I137" s="123">
        <f t="shared" ref="I137:I139" si="24">E137*N137*(1+M137)</f>
        <v>0</v>
      </c>
      <c r="J137" s="123">
        <f t="shared" ref="J137:J139" si="25">I137</f>
        <v>0</v>
      </c>
      <c r="K137" s="105"/>
      <c r="L137" s="48"/>
      <c r="M137" s="106">
        <v>0</v>
      </c>
      <c r="N137" s="107">
        <v>0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spans="1:28" ht="14.4">
      <c r="A138" s="23"/>
      <c r="B138" s="166"/>
      <c r="C138" s="150" t="str">
        <f>FDI!B102</f>
        <v>3-5/8" 16ga U-Track x 10'</v>
      </c>
      <c r="D138" s="115"/>
      <c r="E138" s="181">
        <f>FDI!E102</f>
        <v>2</v>
      </c>
      <c r="F138" s="180" t="str">
        <f>FDI!F102</f>
        <v>EA</v>
      </c>
      <c r="G138" s="180"/>
      <c r="H138" s="122" t="s">
        <v>170</v>
      </c>
      <c r="I138" s="123">
        <f t="shared" si="24"/>
        <v>0</v>
      </c>
      <c r="J138" s="123">
        <f t="shared" si="25"/>
        <v>0</v>
      </c>
      <c r="K138" s="105"/>
      <c r="L138" s="48"/>
      <c r="M138" s="106">
        <v>0</v>
      </c>
      <c r="N138" s="107">
        <v>0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spans="1:28" ht="14.4">
      <c r="A139" s="23"/>
      <c r="B139" s="166"/>
      <c r="C139" s="150" t="str">
        <f>FDI!B103</f>
        <v>3-5/8" 20ga Metal Stud Bracing x 8' at 48" OC</v>
      </c>
      <c r="D139" s="115"/>
      <c r="E139" s="181">
        <f>FDI!E103</f>
        <v>2</v>
      </c>
      <c r="F139" s="180" t="str">
        <f>FDI!F103</f>
        <v>EA</v>
      </c>
      <c r="G139" s="180"/>
      <c r="H139" s="122" t="s">
        <v>170</v>
      </c>
      <c r="I139" s="123">
        <f t="shared" si="24"/>
        <v>0</v>
      </c>
      <c r="J139" s="123">
        <f t="shared" si="25"/>
        <v>0</v>
      </c>
      <c r="K139" s="105"/>
      <c r="L139" s="48"/>
      <c r="M139" s="106">
        <v>0</v>
      </c>
      <c r="N139" s="107">
        <v>0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spans="1:28" ht="14.4">
      <c r="A140" s="23"/>
      <c r="B140" s="166"/>
      <c r="C140" s="143"/>
      <c r="D140" s="115"/>
      <c r="E140" s="181"/>
      <c r="F140" s="180"/>
      <c r="G140" s="180"/>
      <c r="H140" s="122"/>
      <c r="I140" s="123"/>
      <c r="J140" s="123"/>
      <c r="K140" s="105"/>
      <c r="L140" s="48"/>
      <c r="M140" s="106"/>
      <c r="N140" s="107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spans="1:28" ht="14.4">
      <c r="A141" s="23"/>
      <c r="B141" s="166"/>
      <c r="C141" s="143" t="str">
        <f>FDI!B105</f>
        <v>4-F-N, Full Height=20'</v>
      </c>
      <c r="D141" s="115"/>
      <c r="E141" s="181"/>
      <c r="F141" s="180"/>
      <c r="G141" s="180"/>
      <c r="H141" s="122"/>
      <c r="I141" s="123"/>
      <c r="J141" s="123"/>
      <c r="K141" s="105"/>
      <c r="L141" s="48"/>
      <c r="M141" s="106"/>
      <c r="N141" s="107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spans="1:28" ht="14.4">
      <c r="A142" s="23"/>
      <c r="B142" s="166"/>
      <c r="C142" s="150" t="str">
        <f>FDI!B106</f>
        <v>6" 20ga Metal Stud x 20' at 16" OC</v>
      </c>
      <c r="D142" s="115"/>
      <c r="E142" s="181">
        <f>FDI!E106</f>
        <v>3</v>
      </c>
      <c r="F142" s="180" t="str">
        <f>FDI!F106</f>
        <v>EA</v>
      </c>
      <c r="G142" s="180">
        <f>FDI!M106</f>
        <v>1</v>
      </c>
      <c r="H142" s="122" t="s">
        <v>170</v>
      </c>
      <c r="I142" s="123">
        <f t="shared" ref="I142:I144" si="26">E142*N142*(1+M142)</f>
        <v>0</v>
      </c>
      <c r="J142" s="123">
        <f t="shared" ref="J142:J144" si="27">I142</f>
        <v>0</v>
      </c>
      <c r="K142" s="105"/>
      <c r="L142" s="48"/>
      <c r="M142" s="106">
        <v>0</v>
      </c>
      <c r="N142" s="107">
        <v>0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spans="1:28" ht="14.4">
      <c r="A143" s="23"/>
      <c r="B143" s="166"/>
      <c r="C143" s="150" t="str">
        <f>FDI!B107</f>
        <v>6" 20ga Deflection Track x 10'</v>
      </c>
      <c r="D143" s="115"/>
      <c r="E143" s="181">
        <f>FDI!E107</f>
        <v>1</v>
      </c>
      <c r="F143" s="180" t="str">
        <f>FDI!F107</f>
        <v>EA</v>
      </c>
      <c r="G143" s="180"/>
      <c r="H143" s="122" t="s">
        <v>170</v>
      </c>
      <c r="I143" s="123">
        <f t="shared" si="26"/>
        <v>0</v>
      </c>
      <c r="J143" s="123">
        <f t="shared" si="27"/>
        <v>0</v>
      </c>
      <c r="K143" s="105"/>
      <c r="L143" s="48"/>
      <c r="M143" s="106">
        <v>0</v>
      </c>
      <c r="N143" s="107">
        <v>0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spans="1:28" ht="14.4">
      <c r="A144" s="23"/>
      <c r="B144" s="166"/>
      <c r="C144" s="150" t="str">
        <f>FDI!B108</f>
        <v>6" 20ga U-Track x 10'</v>
      </c>
      <c r="D144" s="115"/>
      <c r="E144" s="181">
        <f>FDI!E108</f>
        <v>1</v>
      </c>
      <c r="F144" s="180" t="str">
        <f>FDI!F108</f>
        <v>EA</v>
      </c>
      <c r="G144" s="180"/>
      <c r="H144" s="122" t="s">
        <v>170</v>
      </c>
      <c r="I144" s="123">
        <f t="shared" si="26"/>
        <v>0</v>
      </c>
      <c r="J144" s="123">
        <f t="shared" si="27"/>
        <v>0</v>
      </c>
      <c r="K144" s="105"/>
      <c r="L144" s="48"/>
      <c r="M144" s="106">
        <v>0</v>
      </c>
      <c r="N144" s="107">
        <v>0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spans="1:28" ht="14.4">
      <c r="A145" s="23"/>
      <c r="B145" s="166"/>
      <c r="C145" s="143"/>
      <c r="D145" s="115"/>
      <c r="E145" s="181"/>
      <c r="F145" s="180"/>
      <c r="G145" s="180"/>
      <c r="H145" s="122"/>
      <c r="I145" s="123"/>
      <c r="J145" s="123"/>
      <c r="K145" s="105"/>
      <c r="L145" s="48"/>
      <c r="M145" s="106"/>
      <c r="N145" s="107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28" ht="14.4">
      <c r="A146" s="23"/>
      <c r="B146" s="166"/>
      <c r="C146" s="143" t="str">
        <f>FDI!B110</f>
        <v>4-T-N, Full Height=14'</v>
      </c>
      <c r="D146" s="115"/>
      <c r="E146" s="181"/>
      <c r="F146" s="180"/>
      <c r="G146" s="180"/>
      <c r="H146" s="122"/>
      <c r="I146" s="123"/>
      <c r="J146" s="123"/>
      <c r="K146" s="105"/>
      <c r="L146" s="48"/>
      <c r="M146" s="106"/>
      <c r="N146" s="107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spans="1:28" ht="14.4">
      <c r="A147" s="23"/>
      <c r="B147" s="166"/>
      <c r="C147" s="150" t="str">
        <f>FDI!B111</f>
        <v>6" 20ga Metal Stud x 14' at 16" OC</v>
      </c>
      <c r="D147" s="115"/>
      <c r="E147" s="181">
        <f>FDI!E111</f>
        <v>7</v>
      </c>
      <c r="F147" s="180" t="str">
        <f>FDI!F111</f>
        <v>EA</v>
      </c>
      <c r="G147" s="180">
        <f>FDI!M111</f>
        <v>2</v>
      </c>
      <c r="H147" s="122" t="s">
        <v>170</v>
      </c>
      <c r="I147" s="123">
        <f t="shared" ref="I147:I149" si="28">E147*N147*(1+M147)</f>
        <v>0</v>
      </c>
      <c r="J147" s="123">
        <f t="shared" ref="J147:J149" si="29">I147</f>
        <v>0</v>
      </c>
      <c r="K147" s="105"/>
      <c r="L147" s="48"/>
      <c r="M147" s="106">
        <v>0</v>
      </c>
      <c r="N147" s="107">
        <v>0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spans="1:28" ht="14.4">
      <c r="A148" s="23"/>
      <c r="B148" s="166"/>
      <c r="C148" s="150" t="str">
        <f>FDI!B112</f>
        <v>6" 20ga U-Track x 10'</v>
      </c>
      <c r="D148" s="115"/>
      <c r="E148" s="181">
        <f>FDI!E112</f>
        <v>2</v>
      </c>
      <c r="F148" s="180" t="str">
        <f>FDI!F112</f>
        <v>EA</v>
      </c>
      <c r="G148" s="180"/>
      <c r="H148" s="122" t="s">
        <v>170</v>
      </c>
      <c r="I148" s="123">
        <f t="shared" si="28"/>
        <v>0</v>
      </c>
      <c r="J148" s="123">
        <f t="shared" si="29"/>
        <v>0</v>
      </c>
      <c r="K148" s="105"/>
      <c r="L148" s="48"/>
      <c r="M148" s="106">
        <v>0</v>
      </c>
      <c r="N148" s="107">
        <v>0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spans="1:28" ht="14.4">
      <c r="A149" s="23"/>
      <c r="B149" s="166"/>
      <c r="C149" s="150" t="str">
        <f>FDI!B113</f>
        <v>6" 20ga Metal Stud Bracing x 8' at 48" OC</v>
      </c>
      <c r="D149" s="115"/>
      <c r="E149" s="181">
        <f>FDI!E113</f>
        <v>3</v>
      </c>
      <c r="F149" s="180" t="str">
        <f>FDI!F113</f>
        <v>EA</v>
      </c>
      <c r="G149" s="180"/>
      <c r="H149" s="122" t="s">
        <v>170</v>
      </c>
      <c r="I149" s="123">
        <f t="shared" si="28"/>
        <v>0</v>
      </c>
      <c r="J149" s="123">
        <f t="shared" si="29"/>
        <v>0</v>
      </c>
      <c r="K149" s="105"/>
      <c r="L149" s="48"/>
      <c r="M149" s="106">
        <v>0</v>
      </c>
      <c r="N149" s="107">
        <v>0</v>
      </c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spans="1:28" ht="14.4">
      <c r="A150" s="23"/>
      <c r="B150" s="166"/>
      <c r="C150" s="143"/>
      <c r="D150" s="115"/>
      <c r="E150" s="181"/>
      <c r="F150" s="180"/>
      <c r="G150" s="180"/>
      <c r="H150" s="122"/>
      <c r="I150" s="123"/>
      <c r="J150" s="123"/>
      <c r="K150" s="105"/>
      <c r="L150" s="48"/>
      <c r="M150" s="106"/>
      <c r="N150" s="107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spans="1:28" ht="14.4">
      <c r="A151" s="23"/>
      <c r="B151" s="166"/>
      <c r="C151" s="143" t="str">
        <f>FDI!B115</f>
        <v>4-T-N &amp; 5-T-N, Full Height=12'</v>
      </c>
      <c r="D151" s="115"/>
      <c r="E151" s="181"/>
      <c r="F151" s="180"/>
      <c r="G151" s="180"/>
      <c r="H151" s="122"/>
      <c r="I151" s="123"/>
      <c r="J151" s="123"/>
      <c r="K151" s="105"/>
      <c r="L151" s="48"/>
      <c r="M151" s="106"/>
      <c r="N151" s="107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spans="1:28" ht="14.4">
      <c r="A152" s="23"/>
      <c r="B152" s="166"/>
      <c r="C152" s="150" t="str">
        <f>FDI!B116</f>
        <v>6" 20ga Metal Stud x 12' at 16" OC</v>
      </c>
      <c r="D152" s="115"/>
      <c r="E152" s="181">
        <f>FDI!E116</f>
        <v>33</v>
      </c>
      <c r="F152" s="180" t="str">
        <f>FDI!F116</f>
        <v>EA</v>
      </c>
      <c r="G152" s="180">
        <f>FDI!M116</f>
        <v>6</v>
      </c>
      <c r="H152" s="122" t="s">
        <v>170</v>
      </c>
      <c r="I152" s="123">
        <f t="shared" ref="I152:I154" si="30">E152*N152*(1+M152)</f>
        <v>0</v>
      </c>
      <c r="J152" s="123">
        <f t="shared" ref="J152:J154" si="31">I152</f>
        <v>0</v>
      </c>
      <c r="K152" s="105"/>
      <c r="L152" s="48"/>
      <c r="M152" s="106">
        <v>0</v>
      </c>
      <c r="N152" s="107">
        <v>0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spans="1:28" ht="14.4">
      <c r="A153" s="23"/>
      <c r="B153" s="166"/>
      <c r="C153" s="150" t="str">
        <f>FDI!B117</f>
        <v>6" 20ga U-Track x 10'</v>
      </c>
      <c r="D153" s="115"/>
      <c r="E153" s="181">
        <f>FDI!E117</f>
        <v>9</v>
      </c>
      <c r="F153" s="180" t="str">
        <f>FDI!F117</f>
        <v>EA</v>
      </c>
      <c r="G153" s="180"/>
      <c r="H153" s="122" t="s">
        <v>170</v>
      </c>
      <c r="I153" s="123">
        <f t="shared" si="30"/>
        <v>0</v>
      </c>
      <c r="J153" s="123">
        <f t="shared" si="31"/>
        <v>0</v>
      </c>
      <c r="K153" s="105"/>
      <c r="L153" s="48"/>
      <c r="M153" s="106">
        <v>0</v>
      </c>
      <c r="N153" s="107">
        <v>0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28" ht="14.4">
      <c r="A154" s="23"/>
      <c r="B154" s="166"/>
      <c r="C154" s="150" t="str">
        <f>FDI!B118</f>
        <v>6" 20ga Metal Stud Bracing x 8' at 48" OC</v>
      </c>
      <c r="D154" s="115"/>
      <c r="E154" s="181">
        <f>FDI!E118</f>
        <v>11</v>
      </c>
      <c r="F154" s="180" t="str">
        <f>FDI!F118</f>
        <v>EA</v>
      </c>
      <c r="G154" s="180"/>
      <c r="H154" s="122" t="s">
        <v>170</v>
      </c>
      <c r="I154" s="123">
        <f t="shared" si="30"/>
        <v>0</v>
      </c>
      <c r="J154" s="123">
        <f t="shared" si="31"/>
        <v>0</v>
      </c>
      <c r="K154" s="105"/>
      <c r="L154" s="48"/>
      <c r="M154" s="106">
        <v>0</v>
      </c>
      <c r="N154" s="107">
        <v>0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spans="1:28" ht="14.4">
      <c r="A155" s="23"/>
      <c r="B155" s="166"/>
      <c r="C155" s="143"/>
      <c r="D155" s="115"/>
      <c r="E155" s="181"/>
      <c r="F155" s="180"/>
      <c r="G155" s="180"/>
      <c r="H155" s="122"/>
      <c r="I155" s="123"/>
      <c r="J155" s="123"/>
      <c r="K155" s="105"/>
      <c r="L155" s="48"/>
      <c r="M155" s="106"/>
      <c r="N155" s="107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spans="1:28" ht="14.4">
      <c r="A156" s="23"/>
      <c r="B156" s="166"/>
      <c r="C156" s="143" t="str">
        <f>FDI!B120</f>
        <v>Soffit, Full Height=12'</v>
      </c>
      <c r="D156" s="115"/>
      <c r="E156" s="181"/>
      <c r="F156" s="180"/>
      <c r="G156" s="180"/>
      <c r="H156" s="122"/>
      <c r="I156" s="123"/>
      <c r="J156" s="123"/>
      <c r="K156" s="105"/>
      <c r="L156" s="48"/>
      <c r="M156" s="106"/>
      <c r="N156" s="107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spans="1:28" ht="14.4">
      <c r="A157" s="23"/>
      <c r="B157" s="166"/>
      <c r="C157" s="150" t="str">
        <f>FDI!B121</f>
        <v>3-5/8" 20ga Metal Stud x 12' at 16" OC</v>
      </c>
      <c r="D157" s="115"/>
      <c r="E157" s="181">
        <f>FDI!E121</f>
        <v>67</v>
      </c>
      <c r="F157" s="180" t="str">
        <f>FDI!F121</f>
        <v>EA</v>
      </c>
      <c r="G157" s="180">
        <f>FDI!M121</f>
        <v>11</v>
      </c>
      <c r="H157" s="122" t="s">
        <v>170</v>
      </c>
      <c r="I157" s="123">
        <f t="shared" ref="I157:I160" si="32">E157*N157*(1+M157)</f>
        <v>0</v>
      </c>
      <c r="J157" s="123">
        <f t="shared" ref="J157:J160" si="33">I157</f>
        <v>0</v>
      </c>
      <c r="K157" s="105"/>
      <c r="L157" s="48"/>
      <c r="M157" s="106">
        <v>0</v>
      </c>
      <c r="N157" s="107">
        <v>0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spans="1:28" ht="14.4">
      <c r="A158" s="23"/>
      <c r="B158" s="166"/>
      <c r="C158" s="150" t="str">
        <f>FDI!B122</f>
        <v>3-5/8" 20ga Deflection Track x 10'</v>
      </c>
      <c r="D158" s="115"/>
      <c r="E158" s="181">
        <f>FDI!E122</f>
        <v>9</v>
      </c>
      <c r="F158" s="180" t="str">
        <f>FDI!F122</f>
        <v>EA</v>
      </c>
      <c r="G158" s="180"/>
      <c r="H158" s="122" t="s">
        <v>170</v>
      </c>
      <c r="I158" s="123">
        <f t="shared" si="32"/>
        <v>0</v>
      </c>
      <c r="J158" s="123">
        <f t="shared" si="33"/>
        <v>0</v>
      </c>
      <c r="K158" s="105"/>
      <c r="L158" s="48"/>
      <c r="M158" s="106">
        <v>0</v>
      </c>
      <c r="N158" s="107">
        <v>0</v>
      </c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spans="1:28" ht="14.4">
      <c r="A159" s="23"/>
      <c r="B159" s="166"/>
      <c r="C159" s="150" t="str">
        <f>FDI!B123</f>
        <v>3-5/8" 20ga U-Track x 10'</v>
      </c>
      <c r="D159" s="115"/>
      <c r="E159" s="181">
        <f>FDI!E123</f>
        <v>9</v>
      </c>
      <c r="F159" s="180" t="str">
        <f>FDI!F123</f>
        <v>EA</v>
      </c>
      <c r="G159" s="180"/>
      <c r="H159" s="122" t="s">
        <v>170</v>
      </c>
      <c r="I159" s="123">
        <f t="shared" si="32"/>
        <v>0</v>
      </c>
      <c r="J159" s="123">
        <f t="shared" si="33"/>
        <v>0</v>
      </c>
      <c r="K159" s="105"/>
      <c r="L159" s="48"/>
      <c r="M159" s="106">
        <v>0</v>
      </c>
      <c r="N159" s="107">
        <v>0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spans="1:28" ht="14.4">
      <c r="A160" s="23"/>
      <c r="B160" s="166"/>
      <c r="C160" s="150" t="str">
        <f>FDI!B124</f>
        <v>3-5/8" 20ga Metal Stud Bracing x 12' at 48" OC</v>
      </c>
      <c r="D160" s="115"/>
      <c r="E160" s="181">
        <f>FDI!E124</f>
        <v>22</v>
      </c>
      <c r="F160" s="180" t="str">
        <f>FDI!F124</f>
        <v>EA</v>
      </c>
      <c r="G160" s="180"/>
      <c r="H160" s="122" t="s">
        <v>170</v>
      </c>
      <c r="I160" s="123">
        <f t="shared" si="32"/>
        <v>0</v>
      </c>
      <c r="J160" s="123">
        <f t="shared" si="33"/>
        <v>0</v>
      </c>
      <c r="K160" s="105"/>
      <c r="L160" s="48"/>
      <c r="M160" s="106">
        <v>0</v>
      </c>
      <c r="N160" s="107">
        <v>0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spans="1:28" ht="14.4">
      <c r="A161" s="23"/>
      <c r="B161" s="166"/>
      <c r="C161" s="143"/>
      <c r="D161" s="115"/>
      <c r="E161" s="181"/>
      <c r="F161" s="180"/>
      <c r="G161" s="180"/>
      <c r="H161" s="122"/>
      <c r="I161" s="123"/>
      <c r="J161" s="123"/>
      <c r="K161" s="105"/>
      <c r="L161" s="48"/>
      <c r="M161" s="106"/>
      <c r="N161" s="107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spans="1:28" ht="14.4">
      <c r="A162" s="23"/>
      <c r="B162" s="166"/>
      <c r="C162" s="143" t="str">
        <f>FDI!B126</f>
        <v>Soffit &amp; Header, Partial Height=8'</v>
      </c>
      <c r="D162" s="115"/>
      <c r="E162" s="181"/>
      <c r="F162" s="180"/>
      <c r="G162" s="180"/>
      <c r="H162" s="122"/>
      <c r="I162" s="123"/>
      <c r="J162" s="123"/>
      <c r="K162" s="105"/>
      <c r="L162" s="48"/>
      <c r="M162" s="106"/>
      <c r="N162" s="107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spans="1:28" ht="14.4">
      <c r="A163" s="23"/>
      <c r="B163" s="166"/>
      <c r="C163" s="150" t="str">
        <f>FDI!B127</f>
        <v>3-5/8" 20ga Metal Stud x 8' at 16" OC</v>
      </c>
      <c r="D163" s="115"/>
      <c r="E163" s="181">
        <f>FDI!E127</f>
        <v>15</v>
      </c>
      <c r="F163" s="180" t="str">
        <f>FDI!F127</f>
        <v>EA</v>
      </c>
      <c r="G163" s="180">
        <f>FDI!M127</f>
        <v>19</v>
      </c>
      <c r="H163" s="122" t="s">
        <v>170</v>
      </c>
      <c r="I163" s="123">
        <f t="shared" ref="I163:I164" si="34">E163*N163*(1+M163)</f>
        <v>0</v>
      </c>
      <c r="J163" s="123">
        <f t="shared" ref="J163:J164" si="35">I163</f>
        <v>0</v>
      </c>
      <c r="K163" s="105"/>
      <c r="L163" s="48"/>
      <c r="M163" s="106">
        <v>0</v>
      </c>
      <c r="N163" s="107">
        <v>0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spans="1:28" ht="14.4">
      <c r="A164" s="23"/>
      <c r="B164" s="166"/>
      <c r="C164" s="150" t="str">
        <f>FDI!B128</f>
        <v>3-5/8" 20ga U-Track x 10'</v>
      </c>
      <c r="D164" s="115"/>
      <c r="E164" s="181">
        <f>FDI!E128</f>
        <v>31</v>
      </c>
      <c r="F164" s="180" t="str">
        <f>FDI!F128</f>
        <v>EA</v>
      </c>
      <c r="G164" s="180"/>
      <c r="H164" s="122" t="s">
        <v>170</v>
      </c>
      <c r="I164" s="123">
        <f t="shared" si="34"/>
        <v>0</v>
      </c>
      <c r="J164" s="123">
        <f t="shared" si="35"/>
        <v>0</v>
      </c>
      <c r="K164" s="105"/>
      <c r="L164" s="48"/>
      <c r="M164" s="106">
        <v>0</v>
      </c>
      <c r="N164" s="107">
        <v>0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spans="1:28" ht="14.4">
      <c r="A165" s="23"/>
      <c r="B165" s="166"/>
      <c r="C165" s="143"/>
      <c r="D165" s="115"/>
      <c r="E165" s="181"/>
      <c r="F165" s="180"/>
      <c r="G165" s="180"/>
      <c r="H165" s="122"/>
      <c r="I165" s="123"/>
      <c r="J165" s="123"/>
      <c r="K165" s="105"/>
      <c r="L165" s="48"/>
      <c r="M165" s="106"/>
      <c r="N165" s="107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spans="1:28" ht="14.4">
      <c r="A166" s="23"/>
      <c r="B166" s="166"/>
      <c r="C166" s="143" t="str">
        <f>FDI!B130</f>
        <v>Box Header, Full Height=10'</v>
      </c>
      <c r="D166" s="115"/>
      <c r="E166" s="181"/>
      <c r="F166" s="180"/>
      <c r="G166" s="180"/>
      <c r="H166" s="122"/>
      <c r="I166" s="123"/>
      <c r="J166" s="123"/>
      <c r="K166" s="105"/>
      <c r="L166" s="48"/>
      <c r="M166" s="106"/>
      <c r="N166" s="107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spans="1:28" ht="14.4">
      <c r="A167" s="23"/>
      <c r="B167" s="166"/>
      <c r="C167" s="150" t="str">
        <f>FDI!B131</f>
        <v>3-5/8" 20ga Metal Stud x 10' at 16" OC</v>
      </c>
      <c r="D167" s="115"/>
      <c r="E167" s="181">
        <f>FDI!E131</f>
        <v>7</v>
      </c>
      <c r="F167" s="180" t="str">
        <f>FDI!F131</f>
        <v>EA</v>
      </c>
      <c r="G167" s="180">
        <f>FDI!M131</f>
        <v>2</v>
      </c>
      <c r="H167" s="122" t="s">
        <v>170</v>
      </c>
      <c r="I167" s="123">
        <f t="shared" ref="I167:I169" si="36">E167*N167*(1+M167)</f>
        <v>0</v>
      </c>
      <c r="J167" s="123">
        <f t="shared" ref="J167:J169" si="37">I167</f>
        <v>0</v>
      </c>
      <c r="K167" s="105"/>
      <c r="L167" s="48"/>
      <c r="M167" s="106">
        <v>0</v>
      </c>
      <c r="N167" s="107">
        <v>0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spans="1:28" ht="14.4">
      <c r="A168" s="23"/>
      <c r="B168" s="166"/>
      <c r="C168" s="150" t="str">
        <f>FDI!B132</f>
        <v>3-5/8" 20ga Deflection Track x 10'</v>
      </c>
      <c r="D168" s="115"/>
      <c r="E168" s="181">
        <f>FDI!E132</f>
        <v>1</v>
      </c>
      <c r="F168" s="180" t="str">
        <f>FDI!F132</f>
        <v>EA</v>
      </c>
      <c r="G168" s="180"/>
      <c r="H168" s="122" t="s">
        <v>170</v>
      </c>
      <c r="I168" s="123">
        <f t="shared" si="36"/>
        <v>0</v>
      </c>
      <c r="J168" s="123">
        <f t="shared" si="37"/>
        <v>0</v>
      </c>
      <c r="K168" s="105"/>
      <c r="L168" s="48"/>
      <c r="M168" s="106">
        <v>0</v>
      </c>
      <c r="N168" s="107">
        <v>0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spans="1:28" ht="14.4">
      <c r="A169" s="23"/>
      <c r="B169" s="166"/>
      <c r="C169" s="150" t="str">
        <f>FDI!B133</f>
        <v>3-5/8" 20ga U-Track x 10'</v>
      </c>
      <c r="D169" s="115"/>
      <c r="E169" s="181">
        <f>FDI!E133</f>
        <v>1</v>
      </c>
      <c r="F169" s="180" t="str">
        <f>FDI!F133</f>
        <v>EA</v>
      </c>
      <c r="G169" s="180"/>
      <c r="H169" s="122" t="s">
        <v>170</v>
      </c>
      <c r="I169" s="123">
        <f t="shared" si="36"/>
        <v>0</v>
      </c>
      <c r="J169" s="123">
        <f t="shared" si="37"/>
        <v>0</v>
      </c>
      <c r="K169" s="105"/>
      <c r="L169" s="48"/>
      <c r="M169" s="106">
        <v>0</v>
      </c>
      <c r="N169" s="107">
        <v>0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ht="14.4">
      <c r="A170" s="23"/>
      <c r="B170" s="166"/>
      <c r="C170" s="143"/>
      <c r="D170" s="115"/>
      <c r="E170" s="181"/>
      <c r="F170" s="180"/>
      <c r="G170" s="180"/>
      <c r="H170" s="122"/>
      <c r="I170" s="123"/>
      <c r="J170" s="123"/>
      <c r="K170" s="105"/>
      <c r="L170" s="48"/>
      <c r="M170" s="106"/>
      <c r="N170" s="107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:28" ht="14.4">
      <c r="A171" s="23"/>
      <c r="B171" s="166"/>
      <c r="C171" s="143" t="str">
        <f>FDI!B135</f>
        <v>Water Heater Shelf, Partial Height=6'</v>
      </c>
      <c r="D171" s="115"/>
      <c r="E171" s="181"/>
      <c r="F171" s="180"/>
      <c r="G171" s="180"/>
      <c r="H171" s="122"/>
      <c r="I171" s="123"/>
      <c r="J171" s="123"/>
      <c r="K171" s="105"/>
      <c r="L171" s="48"/>
      <c r="M171" s="106"/>
      <c r="N171" s="107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spans="1:28" ht="14.4">
      <c r="A172" s="23"/>
      <c r="B172" s="166"/>
      <c r="C172" s="150" t="str">
        <f>FDI!B136</f>
        <v>(2) 6" 16ga Metal Stud x 12' at 8" OC</v>
      </c>
      <c r="D172" s="115"/>
      <c r="E172" s="181">
        <f>FDI!E136</f>
        <v>8</v>
      </c>
      <c r="F172" s="180" t="str">
        <f>FDI!F136</f>
        <v>EA</v>
      </c>
      <c r="G172" s="180">
        <f>FDI!M136</f>
        <v>1</v>
      </c>
      <c r="H172" s="122" t="s">
        <v>170</v>
      </c>
      <c r="I172" s="123">
        <f t="shared" ref="I172:I174" si="38">E172*N172*(1+M172)</f>
        <v>0</v>
      </c>
      <c r="J172" s="123">
        <f t="shared" ref="J172:J174" si="39">I172</f>
        <v>0</v>
      </c>
      <c r="K172" s="105"/>
      <c r="L172" s="48"/>
      <c r="M172" s="106">
        <v>0</v>
      </c>
      <c r="N172" s="107">
        <v>0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spans="1:28" ht="14.4">
      <c r="A173" s="23"/>
      <c r="B173" s="166"/>
      <c r="C173" s="150" t="str">
        <f>FDI!B137</f>
        <v>6" 16ga U-Track x 10'</v>
      </c>
      <c r="D173" s="115"/>
      <c r="E173" s="181">
        <f>FDI!E137</f>
        <v>1</v>
      </c>
      <c r="F173" s="180" t="str">
        <f>FDI!F137</f>
        <v>EA</v>
      </c>
      <c r="G173" s="180">
        <f>FDI!M137</f>
        <v>1</v>
      </c>
      <c r="H173" s="122" t="s">
        <v>170</v>
      </c>
      <c r="I173" s="123">
        <f t="shared" si="38"/>
        <v>0</v>
      </c>
      <c r="J173" s="123">
        <f t="shared" si="39"/>
        <v>0</v>
      </c>
      <c r="K173" s="105"/>
      <c r="L173" s="48"/>
      <c r="M173" s="106">
        <v>0</v>
      </c>
      <c r="N173" s="107">
        <v>0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spans="1:28" ht="14.4">
      <c r="A174" s="23"/>
      <c r="B174" s="166"/>
      <c r="C174" s="150" t="str">
        <f>FDI!B138</f>
        <v>(2) 6" 16ga CSJ x 8' at 8" OC</v>
      </c>
      <c r="D174" s="115"/>
      <c r="E174" s="181">
        <f>FDI!E138</f>
        <v>5</v>
      </c>
      <c r="F174" s="180" t="str">
        <f>FDI!F138</f>
        <v>EA</v>
      </c>
      <c r="G174" s="180">
        <f>FDI!M138</f>
        <v>1</v>
      </c>
      <c r="H174" s="122" t="s">
        <v>170</v>
      </c>
      <c r="I174" s="123">
        <f t="shared" si="38"/>
        <v>0</v>
      </c>
      <c r="J174" s="123">
        <f t="shared" si="39"/>
        <v>0</v>
      </c>
      <c r="K174" s="105"/>
      <c r="L174" s="48"/>
      <c r="M174" s="106">
        <v>0</v>
      </c>
      <c r="N174" s="107">
        <v>0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spans="1:28" ht="14.4">
      <c r="A175" s="23"/>
      <c r="B175" s="166"/>
      <c r="C175" s="143"/>
      <c r="D175" s="115"/>
      <c r="E175" s="181"/>
      <c r="F175" s="180"/>
      <c r="G175" s="180"/>
      <c r="H175" s="122"/>
      <c r="I175" s="123"/>
      <c r="J175" s="123"/>
      <c r="K175" s="105"/>
      <c r="L175" s="48"/>
      <c r="M175" s="106"/>
      <c r="N175" s="107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spans="1:28" ht="14.4">
      <c r="A176" s="23"/>
      <c r="B176" s="166"/>
      <c r="C176" s="143" t="str">
        <f>FDI!B140</f>
        <v>Jamb Studs and Headers</v>
      </c>
      <c r="D176" s="115"/>
      <c r="E176" s="181"/>
      <c r="F176" s="180"/>
      <c r="G176" s="180"/>
      <c r="H176" s="122"/>
      <c r="I176" s="123"/>
      <c r="J176" s="123"/>
      <c r="K176" s="105"/>
      <c r="L176" s="48"/>
      <c r="M176" s="106"/>
      <c r="N176" s="107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spans="1:28" ht="14.4">
      <c r="A177" s="23"/>
      <c r="B177" s="166"/>
      <c r="C177" s="150" t="str">
        <f>FDI!B141</f>
        <v>6" 20ga Metal Stud x 12'</v>
      </c>
      <c r="D177" s="115"/>
      <c r="E177" s="181">
        <f>FDI!E141</f>
        <v>6</v>
      </c>
      <c r="F177" s="180" t="str">
        <f>FDI!F141</f>
        <v>EA</v>
      </c>
      <c r="G177" s="180"/>
      <c r="H177" s="122" t="s">
        <v>170</v>
      </c>
      <c r="I177" s="123">
        <f t="shared" ref="I177:I179" si="40">E177*N177*(1+M177)</f>
        <v>0</v>
      </c>
      <c r="J177" s="123">
        <f t="shared" ref="J177:J179" si="41">I177</f>
        <v>0</v>
      </c>
      <c r="K177" s="105"/>
      <c r="L177" s="48"/>
      <c r="M177" s="106">
        <v>0</v>
      </c>
      <c r="N177" s="107">
        <v>0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spans="1:28" ht="14.4">
      <c r="A178" s="23"/>
      <c r="B178" s="166"/>
      <c r="C178" s="150" t="str">
        <f>FDI!B142</f>
        <v>3 5/8" 20ga U-Track x 10'</v>
      </c>
      <c r="D178" s="115"/>
      <c r="E178" s="181">
        <f>FDI!E142</f>
        <v>6</v>
      </c>
      <c r="F178" s="180" t="str">
        <f>FDI!F142</f>
        <v>EA</v>
      </c>
      <c r="G178" s="180"/>
      <c r="H178" s="122" t="s">
        <v>170</v>
      </c>
      <c r="I178" s="123">
        <f t="shared" si="40"/>
        <v>0</v>
      </c>
      <c r="J178" s="123">
        <f t="shared" si="41"/>
        <v>0</v>
      </c>
      <c r="K178" s="105"/>
      <c r="L178" s="48"/>
      <c r="M178" s="106">
        <v>0</v>
      </c>
      <c r="N178" s="107">
        <v>0</v>
      </c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spans="1:28" ht="14.4">
      <c r="A179" s="23"/>
      <c r="B179" s="166"/>
      <c r="C179" s="150" t="str">
        <f>FDI!B143</f>
        <v>3 5/8" 20ga Metal Stud x 12'</v>
      </c>
      <c r="D179" s="115"/>
      <c r="E179" s="181">
        <f>FDI!E143</f>
        <v>8</v>
      </c>
      <c r="F179" s="180" t="str">
        <f>FDI!F143</f>
        <v>EA</v>
      </c>
      <c r="G179" s="180"/>
      <c r="H179" s="122" t="s">
        <v>170</v>
      </c>
      <c r="I179" s="123">
        <f t="shared" si="40"/>
        <v>0</v>
      </c>
      <c r="J179" s="123">
        <f t="shared" si="41"/>
        <v>0</v>
      </c>
      <c r="K179" s="105"/>
      <c r="L179" s="48"/>
      <c r="M179" s="106">
        <v>0</v>
      </c>
      <c r="N179" s="107">
        <v>0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spans="1:28" ht="14.4">
      <c r="A180" s="23"/>
      <c r="B180" s="166"/>
      <c r="C180" s="182"/>
      <c r="D180" s="125" t="str">
        <f>C111</f>
        <v>METAL STUD FRAMING</v>
      </c>
      <c r="E180" s="126" t="s">
        <v>159</v>
      </c>
      <c r="F180" s="183"/>
      <c r="G180" s="128"/>
      <c r="H180" s="184"/>
      <c r="I180" s="128">
        <f t="shared" ref="I180:J180" si="42">SUM(I112:I179)</f>
        <v>0</v>
      </c>
      <c r="J180" s="130">
        <f t="shared" si="42"/>
        <v>0</v>
      </c>
      <c r="K180" s="105"/>
      <c r="L180" s="23"/>
      <c r="M180" s="131"/>
      <c r="N180" s="132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spans="1:28" ht="15" customHeight="1">
      <c r="A181" s="48"/>
      <c r="B181" s="77"/>
      <c r="C181" s="185"/>
      <c r="D181" s="537" t="s">
        <v>160</v>
      </c>
      <c r="E181" s="532"/>
      <c r="F181" s="133">
        <v>0</v>
      </c>
      <c r="G181" s="174"/>
      <c r="H181" s="186"/>
      <c r="I181" s="174"/>
      <c r="J181" s="136">
        <f>F181*J180</f>
        <v>0</v>
      </c>
      <c r="K181" s="69"/>
      <c r="L181" s="48"/>
      <c r="M181" s="95"/>
      <c r="N181" s="96"/>
      <c r="O181" s="48"/>
      <c r="P181" s="48"/>
      <c r="Q181" s="48"/>
      <c r="R181" s="48"/>
      <c r="S181" s="48"/>
      <c r="T181" s="48"/>
      <c r="U181" s="48"/>
      <c r="V181" s="48"/>
      <c r="W181" s="55"/>
      <c r="X181" s="55"/>
      <c r="Y181" s="55"/>
      <c r="Z181" s="55"/>
      <c r="AA181" s="55"/>
      <c r="AB181" s="55"/>
    </row>
    <row r="182" spans="1:28" ht="15" customHeight="1">
      <c r="A182" s="48"/>
      <c r="B182" s="77"/>
      <c r="C182" s="185"/>
      <c r="D182" s="537" t="s">
        <v>161</v>
      </c>
      <c r="E182" s="532"/>
      <c r="F182" s="187"/>
      <c r="G182" s="138"/>
      <c r="H182" s="188"/>
      <c r="I182" s="138"/>
      <c r="J182" s="140">
        <f>SUM(J180:J181)</f>
        <v>0</v>
      </c>
      <c r="K182" s="69"/>
      <c r="L182" s="48"/>
      <c r="M182" s="95"/>
      <c r="N182" s="96"/>
      <c r="O182" s="48"/>
      <c r="P182" s="48"/>
      <c r="Q182" s="48"/>
      <c r="R182" s="48"/>
      <c r="S182" s="48"/>
      <c r="T182" s="48"/>
      <c r="U182" s="48"/>
      <c r="V182" s="48"/>
      <c r="W182" s="55"/>
      <c r="X182" s="55"/>
      <c r="Y182" s="55"/>
      <c r="Z182" s="55"/>
      <c r="AA182" s="55"/>
      <c r="AB182" s="55"/>
    </row>
    <row r="183" spans="1:28" ht="14.4">
      <c r="A183" s="48"/>
      <c r="B183" s="77"/>
      <c r="C183" s="78"/>
      <c r="D183" s="79"/>
      <c r="E183" s="80"/>
      <c r="F183" s="81"/>
      <c r="G183" s="82"/>
      <c r="H183" s="83"/>
      <c r="I183" s="82"/>
      <c r="J183" s="82"/>
      <c r="K183" s="69"/>
      <c r="L183" s="48"/>
      <c r="M183" s="97"/>
      <c r="N183" s="96"/>
      <c r="O183" s="48"/>
      <c r="P183" s="48"/>
      <c r="Q183" s="48"/>
      <c r="R183" s="48"/>
      <c r="S183" s="48"/>
      <c r="T183" s="48"/>
      <c r="U183" s="48"/>
      <c r="V183" s="48"/>
      <c r="W183" s="55"/>
      <c r="X183" s="55"/>
      <c r="Y183" s="55"/>
      <c r="Z183" s="55"/>
      <c r="AA183" s="55"/>
      <c r="AB183" s="55"/>
    </row>
    <row r="184" spans="1:28" ht="14.4">
      <c r="A184" s="23"/>
      <c r="B184" s="166"/>
      <c r="C184" s="142" t="s">
        <v>171</v>
      </c>
      <c r="D184" s="100"/>
      <c r="E184" s="101"/>
      <c r="F184" s="102"/>
      <c r="G184" s="103"/>
      <c r="H184" s="104"/>
      <c r="I184" s="103"/>
      <c r="J184" s="103"/>
      <c r="K184" s="105"/>
      <c r="L184" s="23"/>
      <c r="M184" s="131"/>
      <c r="N184" s="132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spans="1:28" ht="14.4">
      <c r="A185" s="23"/>
      <c r="B185" s="166"/>
      <c r="C185" s="143" t="str">
        <f>FDI!B59</f>
        <v>WALLS</v>
      </c>
      <c r="D185" s="178"/>
      <c r="E185" s="115"/>
      <c r="F185" s="120"/>
      <c r="G185" s="189"/>
      <c r="H185" s="113"/>
      <c r="I185" s="112"/>
      <c r="J185" s="112"/>
      <c r="K185" s="105"/>
      <c r="L185" s="48"/>
      <c r="M185" s="97"/>
      <c r="N185" s="96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8" ht="14.4">
      <c r="A186" s="23"/>
      <c r="B186" s="166"/>
      <c r="C186" s="150" t="str">
        <f>FDI!B60</f>
        <v>5/8" Gypsum Board Type X</v>
      </c>
      <c r="D186" s="178"/>
      <c r="E186" s="115">
        <f>FDI!C60</f>
        <v>2725</v>
      </c>
      <c r="F186" s="120" t="str">
        <f>FDI!D60</f>
        <v>SF</v>
      </c>
      <c r="G186" s="120">
        <f>FDI!M60</f>
        <v>46</v>
      </c>
      <c r="H186" s="122" t="s">
        <v>170</v>
      </c>
      <c r="I186" s="123">
        <f t="shared" ref="I186:I188" si="43">E186*N186*(1+M186)</f>
        <v>0</v>
      </c>
      <c r="J186" s="123">
        <f t="shared" ref="J186:J188" si="44">I186</f>
        <v>0</v>
      </c>
      <c r="K186" s="105"/>
      <c r="L186" s="48"/>
      <c r="M186" s="106">
        <v>0</v>
      </c>
      <c r="N186" s="107">
        <v>0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ht="14.4">
      <c r="A187" s="23"/>
      <c r="B187" s="166"/>
      <c r="C187" s="150" t="str">
        <f>FDI!B61</f>
        <v>5/8" Gypsum Board Type X MR</v>
      </c>
      <c r="D187" s="178"/>
      <c r="E187" s="115">
        <f>FDI!C61</f>
        <v>1484</v>
      </c>
      <c r="F187" s="120" t="str">
        <f>FDI!D61</f>
        <v>SF</v>
      </c>
      <c r="G187" s="120">
        <f>FDI!M61</f>
        <v>25</v>
      </c>
      <c r="H187" s="122" t="s">
        <v>170</v>
      </c>
      <c r="I187" s="123">
        <f t="shared" si="43"/>
        <v>0</v>
      </c>
      <c r="J187" s="123">
        <f t="shared" si="44"/>
        <v>0</v>
      </c>
      <c r="K187" s="105"/>
      <c r="L187" s="48"/>
      <c r="M187" s="106">
        <v>0</v>
      </c>
      <c r="N187" s="107">
        <v>0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spans="1:28" ht="14.4">
      <c r="A188" s="23"/>
      <c r="B188" s="166"/>
      <c r="C188" s="150" t="str">
        <f>FDI!B62</f>
        <v>1/4" Cement Backer Board</v>
      </c>
      <c r="D188" s="178"/>
      <c r="E188" s="115">
        <f>FDI!C62</f>
        <v>780</v>
      </c>
      <c r="F188" s="120" t="str">
        <f>FDI!D62</f>
        <v>SF</v>
      </c>
      <c r="G188" s="120">
        <f>FDI!M62</f>
        <v>8</v>
      </c>
      <c r="H188" s="122" t="s">
        <v>170</v>
      </c>
      <c r="I188" s="123">
        <f t="shared" si="43"/>
        <v>0</v>
      </c>
      <c r="J188" s="123">
        <f t="shared" si="44"/>
        <v>0</v>
      </c>
      <c r="K188" s="105"/>
      <c r="L188" s="23"/>
      <c r="M188" s="106">
        <v>0</v>
      </c>
      <c r="N188" s="107">
        <v>0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spans="1:28" ht="14.4">
      <c r="A189" s="23"/>
      <c r="B189" s="166"/>
      <c r="C189" s="143"/>
      <c r="D189" s="178"/>
      <c r="E189" s="115"/>
      <c r="F189" s="120"/>
      <c r="G189" s="120"/>
      <c r="H189" s="122"/>
      <c r="I189" s="123"/>
      <c r="J189" s="123"/>
      <c r="K189" s="105"/>
      <c r="L189" s="23"/>
      <c r="M189" s="106"/>
      <c r="N189" s="107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spans="1:28" ht="14.4">
      <c r="A190" s="23"/>
      <c r="B190" s="166"/>
      <c r="C190" s="143" t="str">
        <f>FDI!B64</f>
        <v>CEILINGS</v>
      </c>
      <c r="D190" s="178"/>
      <c r="E190" s="115"/>
      <c r="F190" s="120"/>
      <c r="G190" s="120"/>
      <c r="H190" s="122"/>
      <c r="I190" s="123"/>
      <c r="J190" s="123"/>
      <c r="K190" s="105"/>
      <c r="L190" s="23"/>
      <c r="M190" s="106"/>
      <c r="N190" s="107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spans="1:28" ht="14.4">
      <c r="A191" s="23"/>
      <c r="B191" s="166"/>
      <c r="C191" s="150" t="str">
        <f>FDI!B65</f>
        <v>5/8" Gypsum Board Type X</v>
      </c>
      <c r="D191" s="178"/>
      <c r="E191" s="115">
        <f>FDI!C65</f>
        <v>1444</v>
      </c>
      <c r="F191" s="120" t="str">
        <f>FDI!D65</f>
        <v>SF</v>
      </c>
      <c r="G191" s="120">
        <f>FDI!M65</f>
        <v>25</v>
      </c>
      <c r="H191" s="122" t="s">
        <v>170</v>
      </c>
      <c r="I191" s="123">
        <f t="shared" ref="I191:I193" si="45">E191*N191*(1+M191)</f>
        <v>0</v>
      </c>
      <c r="J191" s="123">
        <f t="shared" ref="J191:J193" si="46">I191</f>
        <v>0</v>
      </c>
      <c r="K191" s="105"/>
      <c r="L191" s="23"/>
      <c r="M191" s="106">
        <v>0</v>
      </c>
      <c r="N191" s="107">
        <v>0</v>
      </c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spans="1:28" ht="14.4">
      <c r="A192" s="23"/>
      <c r="B192" s="166"/>
      <c r="C192" s="150" t="str">
        <f>FDI!B66</f>
        <v>1/2" Cement Backer Board</v>
      </c>
      <c r="D192" s="178"/>
      <c r="E192" s="115">
        <f>FDI!C66</f>
        <v>20</v>
      </c>
      <c r="F192" s="120" t="str">
        <f>FDI!D66</f>
        <v>SF</v>
      </c>
      <c r="G192" s="120">
        <f>FDI!M66</f>
        <v>1</v>
      </c>
      <c r="H192" s="122" t="s">
        <v>170</v>
      </c>
      <c r="I192" s="123">
        <f t="shared" si="45"/>
        <v>0</v>
      </c>
      <c r="J192" s="123">
        <f t="shared" si="46"/>
        <v>0</v>
      </c>
      <c r="K192" s="105"/>
      <c r="L192" s="23"/>
      <c r="M192" s="106">
        <v>0</v>
      </c>
      <c r="N192" s="107">
        <v>0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spans="1:28" ht="14.4">
      <c r="A193" s="23"/>
      <c r="B193" s="166"/>
      <c r="C193" s="150" t="str">
        <f>FDI!B67</f>
        <v>Suspended Ceiling System</v>
      </c>
      <c r="D193" s="178"/>
      <c r="E193" s="115">
        <f>FDI!C67</f>
        <v>1444</v>
      </c>
      <c r="F193" s="120" t="str">
        <f>FDI!D67</f>
        <v>SF</v>
      </c>
      <c r="G193" s="120">
        <f>FDI!M67</f>
        <v>19</v>
      </c>
      <c r="H193" s="122" t="s">
        <v>170</v>
      </c>
      <c r="I193" s="123">
        <f t="shared" si="45"/>
        <v>0</v>
      </c>
      <c r="J193" s="123">
        <f t="shared" si="46"/>
        <v>0</v>
      </c>
      <c r="K193" s="105"/>
      <c r="L193" s="23"/>
      <c r="M193" s="106">
        <v>0</v>
      </c>
      <c r="N193" s="107">
        <v>0</v>
      </c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spans="1:28" ht="14.4">
      <c r="A194" s="23"/>
      <c r="B194" s="166"/>
      <c r="C194" s="143"/>
      <c r="D194" s="178"/>
      <c r="E194" s="115"/>
      <c r="F194" s="120"/>
      <c r="G194" s="120"/>
      <c r="H194" s="122"/>
      <c r="I194" s="123"/>
      <c r="J194" s="123"/>
      <c r="K194" s="105"/>
      <c r="L194" s="23"/>
      <c r="M194" s="106"/>
      <c r="N194" s="107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spans="1:28" ht="14.4">
      <c r="A195" s="23"/>
      <c r="B195" s="166"/>
      <c r="C195" s="143" t="str">
        <f>FDI!B69</f>
        <v>MISCELLANEOUS</v>
      </c>
      <c r="D195" s="178"/>
      <c r="E195" s="115"/>
      <c r="F195" s="120"/>
      <c r="G195" s="120"/>
      <c r="H195" s="122"/>
      <c r="I195" s="123"/>
      <c r="J195" s="123"/>
      <c r="K195" s="105"/>
      <c r="L195" s="23"/>
      <c r="M195" s="106"/>
      <c r="N195" s="107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spans="1:28" ht="14.4">
      <c r="A196" s="23"/>
      <c r="B196" s="166"/>
      <c r="C196" s="150" t="str">
        <f>FDI!B70</f>
        <v>Corner Beads x 10'</v>
      </c>
      <c r="D196" s="178"/>
      <c r="E196" s="115">
        <f>FDI!C70</f>
        <v>55</v>
      </c>
      <c r="F196" s="120" t="str">
        <f>FDI!D70</f>
        <v>EA</v>
      </c>
      <c r="G196" s="120"/>
      <c r="H196" s="122" t="s">
        <v>170</v>
      </c>
      <c r="I196" s="123">
        <f t="shared" ref="I196:I200" si="47">E196*N196*(1+M196)</f>
        <v>0</v>
      </c>
      <c r="J196" s="123">
        <f t="shared" ref="J196:J200" si="48">I196</f>
        <v>0</v>
      </c>
      <c r="K196" s="105"/>
      <c r="L196" s="23"/>
      <c r="M196" s="106">
        <v>0</v>
      </c>
      <c r="N196" s="107">
        <v>0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spans="1:28" ht="14.4">
      <c r="A197" s="23"/>
      <c r="B197" s="166"/>
      <c r="C197" s="150" t="str">
        <f>FDI!B71</f>
        <v>Corner Beads x 12'</v>
      </c>
      <c r="D197" s="178"/>
      <c r="E197" s="115">
        <f>FDI!C71</f>
        <v>7</v>
      </c>
      <c r="F197" s="120" t="str">
        <f>FDI!D71</f>
        <v>EA</v>
      </c>
      <c r="G197" s="120"/>
      <c r="H197" s="122" t="s">
        <v>170</v>
      </c>
      <c r="I197" s="123">
        <f t="shared" si="47"/>
        <v>0</v>
      </c>
      <c r="J197" s="123">
        <f t="shared" si="48"/>
        <v>0</v>
      </c>
      <c r="K197" s="105"/>
      <c r="L197" s="23"/>
      <c r="M197" s="106">
        <v>0</v>
      </c>
      <c r="N197" s="107">
        <v>0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spans="1:28" ht="14.4">
      <c r="A198" s="23"/>
      <c r="B198" s="166"/>
      <c r="C198" s="150" t="str">
        <f>FDI!B72</f>
        <v>White Dot-Wespac 3.5 gal</v>
      </c>
      <c r="D198" s="178"/>
      <c r="E198" s="115">
        <f>FDI!C72</f>
        <v>15</v>
      </c>
      <c r="F198" s="120" t="str">
        <f>FDI!D72</f>
        <v>BOX</v>
      </c>
      <c r="G198" s="120"/>
      <c r="H198" s="122" t="s">
        <v>170</v>
      </c>
      <c r="I198" s="123">
        <f t="shared" si="47"/>
        <v>0</v>
      </c>
      <c r="J198" s="123">
        <f t="shared" si="48"/>
        <v>0</v>
      </c>
      <c r="K198" s="105"/>
      <c r="L198" s="23"/>
      <c r="M198" s="106">
        <v>0</v>
      </c>
      <c r="N198" s="107">
        <v>0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spans="1:28" ht="14.4">
      <c r="A199" s="23"/>
      <c r="B199" s="166"/>
      <c r="C199" s="150" t="str">
        <f>FDI!B73</f>
        <v>Tape Paper 500 Ft Roll</v>
      </c>
      <c r="D199" s="178"/>
      <c r="E199" s="115">
        <f>FDI!C73</f>
        <v>5</v>
      </c>
      <c r="F199" s="120" t="str">
        <f>FDI!D73</f>
        <v>ROLLS</v>
      </c>
      <c r="G199" s="120"/>
      <c r="H199" s="122" t="s">
        <v>170</v>
      </c>
      <c r="I199" s="123">
        <f t="shared" si="47"/>
        <v>0</v>
      </c>
      <c r="J199" s="123">
        <f t="shared" si="48"/>
        <v>0</v>
      </c>
      <c r="K199" s="105"/>
      <c r="L199" s="23"/>
      <c r="M199" s="106">
        <v>0</v>
      </c>
      <c r="N199" s="107">
        <v>0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28" ht="14.4">
      <c r="A200" s="23"/>
      <c r="B200" s="166"/>
      <c r="C200" s="150" t="str">
        <f>FDI!B74</f>
        <v>Fine Drywall Screws 1 5/8" Pointers (25lb)</v>
      </c>
      <c r="D200" s="178"/>
      <c r="E200" s="115">
        <f>FDI!C74</f>
        <v>1</v>
      </c>
      <c r="F200" s="120" t="str">
        <f>FDI!D74</f>
        <v>BOX</v>
      </c>
      <c r="G200" s="120"/>
      <c r="H200" s="122" t="s">
        <v>170</v>
      </c>
      <c r="I200" s="123">
        <f t="shared" si="47"/>
        <v>0</v>
      </c>
      <c r="J200" s="123">
        <f t="shared" si="48"/>
        <v>0</v>
      </c>
      <c r="K200" s="105"/>
      <c r="L200" s="23"/>
      <c r="M200" s="106">
        <v>0</v>
      </c>
      <c r="N200" s="107">
        <v>0</v>
      </c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spans="1:28" ht="14.4">
      <c r="A201" s="23"/>
      <c r="B201" s="166"/>
      <c r="C201" s="182"/>
      <c r="D201" s="125" t="str">
        <f>C184</f>
        <v>DRYWALL</v>
      </c>
      <c r="E201" s="126" t="s">
        <v>159</v>
      </c>
      <c r="F201" s="183"/>
      <c r="G201" s="128"/>
      <c r="H201" s="129"/>
      <c r="I201" s="128">
        <f t="shared" ref="I201:J201" si="49">SUM(I185:I200)</f>
        <v>0</v>
      </c>
      <c r="J201" s="130">
        <f t="shared" si="49"/>
        <v>0</v>
      </c>
      <c r="K201" s="105"/>
      <c r="L201" s="23"/>
      <c r="M201" s="131"/>
      <c r="N201" s="132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spans="1:28" ht="15" customHeight="1">
      <c r="A202" s="48"/>
      <c r="B202" s="77"/>
      <c r="C202" s="185"/>
      <c r="D202" s="537" t="s">
        <v>160</v>
      </c>
      <c r="E202" s="532"/>
      <c r="F202" s="133">
        <v>0</v>
      </c>
      <c r="G202" s="174"/>
      <c r="H202" s="175"/>
      <c r="I202" s="174"/>
      <c r="J202" s="136">
        <f>F202*J201</f>
        <v>0</v>
      </c>
      <c r="K202" s="69"/>
      <c r="L202" s="48"/>
      <c r="M202" s="95"/>
      <c r="N202" s="96"/>
      <c r="O202" s="48"/>
      <c r="P202" s="48"/>
      <c r="Q202" s="48"/>
      <c r="R202" s="48"/>
      <c r="S202" s="48"/>
      <c r="T202" s="48"/>
      <c r="U202" s="48"/>
      <c r="V202" s="48"/>
      <c r="W202" s="55"/>
      <c r="X202" s="55"/>
      <c r="Y202" s="55"/>
      <c r="Z202" s="55"/>
      <c r="AA202" s="55"/>
      <c r="AB202" s="55"/>
    </row>
    <row r="203" spans="1:28" ht="15" customHeight="1">
      <c r="A203" s="48"/>
      <c r="B203" s="77"/>
      <c r="C203" s="185"/>
      <c r="D203" s="537" t="s">
        <v>161</v>
      </c>
      <c r="E203" s="532"/>
      <c r="F203" s="187"/>
      <c r="G203" s="138"/>
      <c r="H203" s="139"/>
      <c r="I203" s="138"/>
      <c r="J203" s="140">
        <f>SUM(J201:J202)</f>
        <v>0</v>
      </c>
      <c r="K203" s="69"/>
      <c r="L203" s="48"/>
      <c r="M203" s="95"/>
      <c r="N203" s="96"/>
      <c r="O203" s="48"/>
      <c r="P203" s="48"/>
      <c r="Q203" s="48"/>
      <c r="R203" s="48"/>
      <c r="S203" s="48"/>
      <c r="T203" s="48"/>
      <c r="U203" s="48"/>
      <c r="V203" s="48"/>
      <c r="W203" s="55"/>
      <c r="X203" s="55"/>
      <c r="Y203" s="55"/>
      <c r="Z203" s="55"/>
      <c r="AA203" s="55"/>
      <c r="AB203" s="55"/>
    </row>
    <row r="204" spans="1:28" ht="14.4">
      <c r="A204" s="48"/>
      <c r="B204" s="77"/>
      <c r="C204" s="78"/>
      <c r="D204" s="79"/>
      <c r="E204" s="80"/>
      <c r="F204" s="81"/>
      <c r="G204" s="82"/>
      <c r="H204" s="83"/>
      <c r="I204" s="82"/>
      <c r="J204" s="82"/>
      <c r="K204" s="69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55"/>
      <c r="X204" s="55"/>
      <c r="Y204" s="55"/>
      <c r="Z204" s="55"/>
      <c r="AA204" s="55"/>
      <c r="AB204" s="55"/>
    </row>
    <row r="205" spans="1:28" ht="14.4">
      <c r="A205" s="23"/>
      <c r="B205" s="166"/>
      <c r="C205" s="142" t="s">
        <v>172</v>
      </c>
      <c r="D205" s="100"/>
      <c r="E205" s="101"/>
      <c r="F205" s="102"/>
      <c r="G205" s="103"/>
      <c r="H205" s="104"/>
      <c r="I205" s="103"/>
      <c r="J205" s="103"/>
      <c r="K205" s="105"/>
      <c r="L205" s="23"/>
      <c r="M205" s="131"/>
      <c r="N205" s="132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spans="1:28" ht="14.4">
      <c r="A206" s="23"/>
      <c r="B206" s="166"/>
      <c r="C206" s="143" t="s">
        <v>172</v>
      </c>
      <c r="D206" s="178"/>
      <c r="E206" s="115"/>
      <c r="F206" s="120"/>
      <c r="G206" s="189"/>
      <c r="H206" s="113"/>
      <c r="I206" s="112"/>
      <c r="J206" s="112"/>
      <c r="K206" s="105"/>
      <c r="L206" s="48"/>
      <c r="M206" s="97"/>
      <c r="N206" s="96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spans="1:28" ht="14.4">
      <c r="A207" s="23"/>
      <c r="B207" s="166"/>
      <c r="C207" s="190">
        <f>'Flooring &amp; Tile'!B7</f>
        <v>19795</v>
      </c>
      <c r="D207" s="178" t="str">
        <f>'Flooring &amp; Tile'!C7</f>
        <v>Polyvinyl Floor Tile - Eco-Grip - Pewter - 60" x 96" x 1/4" thk</v>
      </c>
      <c r="E207" s="181">
        <f>'Flooring &amp; Tile'!D7</f>
        <v>98.7</v>
      </c>
      <c r="F207" s="120" t="str">
        <f>'Flooring &amp; Tile'!H7</f>
        <v>SY</v>
      </c>
      <c r="G207" s="120">
        <f>'Flooring &amp; Tile'!K7/4</f>
        <v>26.75</v>
      </c>
      <c r="H207" s="122" t="s">
        <v>170</v>
      </c>
      <c r="I207" s="123">
        <f t="shared" ref="I207:I210" si="50">E207*N207*(1+M207)</f>
        <v>0</v>
      </c>
      <c r="J207" s="123">
        <f t="shared" ref="J207:J210" si="51">I207</f>
        <v>0</v>
      </c>
      <c r="K207" s="105"/>
      <c r="L207" s="48"/>
      <c r="M207" s="106">
        <v>0</v>
      </c>
      <c r="N207" s="107">
        <v>0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spans="1:28" ht="14.4">
      <c r="A208" s="23"/>
      <c r="B208" s="166"/>
      <c r="C208" s="190">
        <f>'Flooring &amp; Tile'!B8</f>
        <v>20230</v>
      </c>
      <c r="D208" s="178" t="str">
        <f>'Flooring &amp; Tile'!C8</f>
        <v>Floor Tile - I COCCI - Graphite - 24" x 24" (Installation only)</v>
      </c>
      <c r="E208" s="181">
        <f>'Flooring &amp; Tile'!D8</f>
        <v>1697.4</v>
      </c>
      <c r="F208" s="120" t="str">
        <f>'Flooring &amp; Tile'!H8</f>
        <v>SF</v>
      </c>
      <c r="G208" s="120">
        <f>'Flooring &amp; Tile'!K8/4</f>
        <v>59.5</v>
      </c>
      <c r="H208" s="122" t="s">
        <v>170</v>
      </c>
      <c r="I208" s="123">
        <f t="shared" si="50"/>
        <v>0</v>
      </c>
      <c r="J208" s="123">
        <f t="shared" si="51"/>
        <v>0</v>
      </c>
      <c r="K208" s="105"/>
      <c r="L208" s="48"/>
      <c r="M208" s="106">
        <v>0</v>
      </c>
      <c r="N208" s="107">
        <v>0</v>
      </c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spans="1:28" ht="27">
      <c r="A209" s="23"/>
      <c r="B209" s="166"/>
      <c r="C209" s="190">
        <f>'Flooring &amp; Tile'!B9</f>
        <v>20267</v>
      </c>
      <c r="D209" s="178" t="str">
        <f>'Flooring &amp; Tile'!C9</f>
        <v>Wall Tile - French Clay - Bronzage - 12" x 24" - Vertical Stacked (Installation only)</v>
      </c>
      <c r="E209" s="181">
        <f>'Flooring &amp; Tile'!D9</f>
        <v>335.1</v>
      </c>
      <c r="F209" s="120" t="str">
        <f>'Flooring &amp; Tile'!H9</f>
        <v>SF</v>
      </c>
      <c r="G209" s="120">
        <f>'Flooring &amp; Tile'!K9/4</f>
        <v>11.75</v>
      </c>
      <c r="H209" s="122" t="s">
        <v>170</v>
      </c>
      <c r="I209" s="123">
        <f t="shared" si="50"/>
        <v>0</v>
      </c>
      <c r="J209" s="123">
        <f t="shared" si="51"/>
        <v>0</v>
      </c>
      <c r="K209" s="105"/>
      <c r="L209" s="23"/>
      <c r="M209" s="106">
        <v>0</v>
      </c>
      <c r="N209" s="107">
        <v>0</v>
      </c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spans="1:28" ht="14.4">
      <c r="A210" s="23"/>
      <c r="B210" s="166"/>
      <c r="C210" s="190">
        <f>'Flooring &amp; Tile'!B10</f>
        <v>24559</v>
      </c>
      <c r="D210" s="178" t="str">
        <f>'Flooring &amp; Tile'!C10</f>
        <v>Wall Tile - Flatiron - Olivia - Gloss - 2.5" x 9" Vertical Stacked (Installation only)</v>
      </c>
      <c r="E210" s="181">
        <f>'Flooring &amp; Tile'!D10</f>
        <v>156.9</v>
      </c>
      <c r="F210" s="120" t="str">
        <f>'Flooring &amp; Tile'!H10</f>
        <v>SF</v>
      </c>
      <c r="G210" s="120">
        <f>'Flooring &amp; Tile'!K10/4</f>
        <v>5.5</v>
      </c>
      <c r="H210" s="122" t="s">
        <v>170</v>
      </c>
      <c r="I210" s="123">
        <f t="shared" si="50"/>
        <v>0</v>
      </c>
      <c r="J210" s="123">
        <f t="shared" si="51"/>
        <v>0</v>
      </c>
      <c r="K210" s="105"/>
      <c r="L210" s="23"/>
      <c r="M210" s="106">
        <v>0</v>
      </c>
      <c r="N210" s="107">
        <v>0</v>
      </c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spans="1:28" ht="14.4">
      <c r="A211" s="23"/>
      <c r="B211" s="166"/>
      <c r="C211" s="143"/>
      <c r="D211" s="178"/>
      <c r="E211" s="115"/>
      <c r="F211" s="120"/>
      <c r="G211" s="120"/>
      <c r="H211" s="112"/>
      <c r="I211" s="123"/>
      <c r="J211" s="123"/>
      <c r="K211" s="105"/>
      <c r="L211" s="23"/>
      <c r="M211" s="106"/>
      <c r="N211" s="107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spans="1:28" ht="14.4">
      <c r="A212" s="23"/>
      <c r="B212" s="166"/>
      <c r="C212" s="143" t="s">
        <v>173</v>
      </c>
      <c r="D212" s="178"/>
      <c r="E212" s="115"/>
      <c r="F212" s="120"/>
      <c r="G212" s="120"/>
      <c r="H212" s="112"/>
      <c r="I212" s="123"/>
      <c r="J212" s="123"/>
      <c r="K212" s="105"/>
      <c r="L212" s="23"/>
      <c r="M212" s="106"/>
      <c r="N212" s="107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spans="1:28" ht="27">
      <c r="A213" s="23"/>
      <c r="B213" s="166"/>
      <c r="C213" s="190" t="str">
        <f>'Flooring &amp; Tile'!B11</f>
        <v>x0409</v>
      </c>
      <c r="D213" s="178" t="str">
        <f>'Flooring &amp; Tile'!C11</f>
        <v>Tile Base - Daltile Color Wheel - A3361MOD, Matte Black k711 (Installation only)</v>
      </c>
      <c r="E213" s="181">
        <f>'Flooring &amp; Tile'!D11</f>
        <v>42.9</v>
      </c>
      <c r="F213" s="120" t="str">
        <f>'Flooring &amp; Tile'!H11</f>
        <v>LF</v>
      </c>
      <c r="G213" s="120">
        <f>'Flooring &amp; Tile'!K11/2</f>
        <v>6.5</v>
      </c>
      <c r="H213" s="122" t="s">
        <v>98</v>
      </c>
      <c r="I213" s="123">
        <f t="shared" ref="I213:I219" si="52">E213*N213*(1+M213)</f>
        <v>0</v>
      </c>
      <c r="J213" s="123">
        <f t="shared" ref="J213:J219" si="53">I213</f>
        <v>0</v>
      </c>
      <c r="K213" s="105"/>
      <c r="L213" s="23"/>
      <c r="M213" s="106">
        <v>0</v>
      </c>
      <c r="N213" s="107">
        <v>0</v>
      </c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spans="1:28" ht="14.4">
      <c r="A214" s="23"/>
      <c r="B214" s="166"/>
      <c r="C214" s="190">
        <f>'Flooring &amp; Tile'!B12</f>
        <v>11403</v>
      </c>
      <c r="D214" s="178" t="str">
        <f>'Flooring &amp; Tile'!C12</f>
        <v>Tile Base - Nero - 6"x12" (Installation only)</v>
      </c>
      <c r="E214" s="181">
        <f>'Flooring &amp; Tile'!D12</f>
        <v>189.3</v>
      </c>
      <c r="F214" s="120" t="str">
        <f>'Flooring &amp; Tile'!H12</f>
        <v>LF</v>
      </c>
      <c r="G214" s="120">
        <f>'Flooring &amp; Tile'!K12/2</f>
        <v>11.5</v>
      </c>
      <c r="H214" s="122" t="s">
        <v>98</v>
      </c>
      <c r="I214" s="123">
        <f t="shared" si="52"/>
        <v>0</v>
      </c>
      <c r="J214" s="123">
        <f t="shared" si="53"/>
        <v>0</v>
      </c>
      <c r="K214" s="105"/>
      <c r="L214" s="23"/>
      <c r="M214" s="106">
        <v>0</v>
      </c>
      <c r="N214" s="107">
        <v>0</v>
      </c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spans="1:28" ht="14.4">
      <c r="A215" s="23"/>
      <c r="B215" s="166"/>
      <c r="C215" s="190">
        <f>'Flooring &amp; Tile'!B13</f>
        <v>19795</v>
      </c>
      <c r="D215" s="178" t="str">
        <f>'Flooring &amp; Tile'!C13</f>
        <v>Tile Base - Polyvinyl Floor Tile - Eco-Grip - Pewter - 6"</v>
      </c>
      <c r="E215" s="181">
        <f>'Flooring &amp; Tile'!D13</f>
        <v>243.6</v>
      </c>
      <c r="F215" s="120" t="str">
        <f>'Flooring &amp; Tile'!H13</f>
        <v>LF</v>
      </c>
      <c r="G215" s="120">
        <f>'Flooring &amp; Tile'!K13/4</f>
        <v>18.5</v>
      </c>
      <c r="H215" s="122" t="s">
        <v>170</v>
      </c>
      <c r="I215" s="123">
        <f t="shared" si="52"/>
        <v>0</v>
      </c>
      <c r="J215" s="123">
        <f t="shared" si="53"/>
        <v>0</v>
      </c>
      <c r="K215" s="105"/>
      <c r="L215" s="23"/>
      <c r="M215" s="106">
        <v>0</v>
      </c>
      <c r="N215" s="107">
        <v>0</v>
      </c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spans="1:28" ht="14.4">
      <c r="A216" s="23"/>
      <c r="B216" s="166"/>
      <c r="C216" s="190" t="str">
        <f>'Flooring &amp; Tile'!B14</f>
        <v>x0404</v>
      </c>
      <c r="D216" s="178" t="str">
        <f>'Flooring &amp; Tile'!C14</f>
        <v>Schluter Base - Dilex AHK-AGRB - Brushed Graphite</v>
      </c>
      <c r="E216" s="181">
        <f>'Flooring &amp; Tile'!D14</f>
        <v>58.4</v>
      </c>
      <c r="F216" s="120" t="str">
        <f>'Flooring &amp; Tile'!H14</f>
        <v>LF</v>
      </c>
      <c r="G216" s="120">
        <f>'Flooring &amp; Tile'!K14</f>
        <v>6</v>
      </c>
      <c r="H216" s="122" t="s">
        <v>164</v>
      </c>
      <c r="I216" s="123">
        <f t="shared" si="52"/>
        <v>0</v>
      </c>
      <c r="J216" s="123">
        <f t="shared" si="53"/>
        <v>0</v>
      </c>
      <c r="K216" s="105"/>
      <c r="L216" s="23"/>
      <c r="M216" s="106">
        <v>0</v>
      </c>
      <c r="N216" s="107">
        <v>0</v>
      </c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spans="1:28" ht="14.4">
      <c r="A217" s="23"/>
      <c r="B217" s="166"/>
      <c r="C217" s="190" t="str">
        <f>'Flooring &amp; Tile'!B15</f>
        <v>x0801</v>
      </c>
      <c r="D217" s="178" t="str">
        <f>'Flooring &amp; Tile'!C15</f>
        <v>Trim - Schluter Jolly Edge Trim - Aluminum Matte Black - Code: J100MGS</v>
      </c>
      <c r="E217" s="181">
        <f>'Flooring &amp; Tile'!D15</f>
        <v>4.09</v>
      </c>
      <c r="F217" s="120" t="str">
        <f>'Flooring &amp; Tile'!H15</f>
        <v>LF</v>
      </c>
      <c r="G217" s="120">
        <f>'Flooring &amp; Tile'!K15</f>
        <v>1</v>
      </c>
      <c r="H217" s="122" t="s">
        <v>164</v>
      </c>
      <c r="I217" s="123">
        <f t="shared" si="52"/>
        <v>0</v>
      </c>
      <c r="J217" s="123">
        <f t="shared" si="53"/>
        <v>0</v>
      </c>
      <c r="K217" s="105"/>
      <c r="L217" s="23"/>
      <c r="M217" s="106">
        <v>0</v>
      </c>
      <c r="N217" s="107">
        <v>0</v>
      </c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spans="1:28" ht="14.4">
      <c r="A218" s="23"/>
      <c r="B218" s="166"/>
      <c r="C218" s="190"/>
      <c r="D218" s="178" t="str">
        <f>'Flooring &amp; Tile'!C16</f>
        <v>Schluter Transition Strip for Tile to Eco-Grip</v>
      </c>
      <c r="E218" s="181">
        <f>'Flooring &amp; Tile'!D16</f>
        <v>16.3</v>
      </c>
      <c r="F218" s="120" t="str">
        <f>'Flooring &amp; Tile'!H16</f>
        <v>LF</v>
      </c>
      <c r="G218" s="120">
        <f>'Flooring &amp; Tile'!K16</f>
        <v>1</v>
      </c>
      <c r="H218" s="122" t="s">
        <v>164</v>
      </c>
      <c r="I218" s="123">
        <f t="shared" si="52"/>
        <v>0</v>
      </c>
      <c r="J218" s="123">
        <f t="shared" si="53"/>
        <v>0</v>
      </c>
      <c r="K218" s="105"/>
      <c r="L218" s="23"/>
      <c r="M218" s="106">
        <v>0</v>
      </c>
      <c r="N218" s="107">
        <v>0</v>
      </c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spans="1:28" ht="27">
      <c r="A219" s="23"/>
      <c r="B219" s="166"/>
      <c r="C219" s="190"/>
      <c r="D219" s="178" t="str">
        <f>'Flooring &amp; Tile'!C17</f>
        <v>Transition for Walk Off Mat to Tile - Schluter Systems - Edge Metal - Schiene - 3/8"</v>
      </c>
      <c r="E219" s="181">
        <f>'Flooring &amp; Tile'!D17</f>
        <v>16.100000000000001</v>
      </c>
      <c r="F219" s="120" t="str">
        <f>'Flooring &amp; Tile'!H17</f>
        <v>LF</v>
      </c>
      <c r="G219" s="120">
        <f>'Flooring &amp; Tile'!K17</f>
        <v>1</v>
      </c>
      <c r="H219" s="122" t="s">
        <v>164</v>
      </c>
      <c r="I219" s="123">
        <f t="shared" si="52"/>
        <v>0</v>
      </c>
      <c r="J219" s="123">
        <f t="shared" si="53"/>
        <v>0</v>
      </c>
      <c r="K219" s="105"/>
      <c r="L219" s="23"/>
      <c r="M219" s="106">
        <v>0</v>
      </c>
      <c r="N219" s="107">
        <v>0</v>
      </c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spans="1:28" ht="14.4">
      <c r="A220" s="23"/>
      <c r="B220" s="166"/>
      <c r="C220" s="182"/>
      <c r="D220" s="125" t="str">
        <f>C205</f>
        <v>FLOORING &amp; TILE</v>
      </c>
      <c r="E220" s="126" t="s">
        <v>159</v>
      </c>
      <c r="F220" s="183"/>
      <c r="G220" s="128"/>
      <c r="H220" s="129"/>
      <c r="I220" s="128">
        <f>SUM(I207:I219)</f>
        <v>0</v>
      </c>
      <c r="J220" s="130">
        <f>SUM(J206:J219)</f>
        <v>0</v>
      </c>
      <c r="K220" s="105"/>
      <c r="L220" s="23"/>
      <c r="M220" s="131"/>
      <c r="N220" s="132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spans="1:28" ht="15" customHeight="1">
      <c r="A221" s="48"/>
      <c r="B221" s="77"/>
      <c r="C221" s="185"/>
      <c r="D221" s="537" t="s">
        <v>160</v>
      </c>
      <c r="E221" s="532"/>
      <c r="F221" s="133">
        <v>0</v>
      </c>
      <c r="G221" s="174"/>
      <c r="H221" s="175"/>
      <c r="I221" s="174"/>
      <c r="J221" s="136">
        <f>F221*J220</f>
        <v>0</v>
      </c>
      <c r="K221" s="69"/>
      <c r="L221" s="48"/>
      <c r="M221" s="95"/>
      <c r="N221" s="96"/>
      <c r="O221" s="48"/>
      <c r="P221" s="48"/>
      <c r="Q221" s="48"/>
      <c r="R221" s="48"/>
      <c r="S221" s="48"/>
      <c r="T221" s="48"/>
      <c r="U221" s="48"/>
      <c r="V221" s="48"/>
      <c r="W221" s="55"/>
      <c r="X221" s="55"/>
      <c r="Y221" s="55"/>
      <c r="Z221" s="55"/>
      <c r="AA221" s="55"/>
      <c r="AB221" s="55"/>
    </row>
    <row r="222" spans="1:28" ht="15" customHeight="1">
      <c r="A222" s="48"/>
      <c r="B222" s="77"/>
      <c r="C222" s="185"/>
      <c r="D222" s="537" t="s">
        <v>161</v>
      </c>
      <c r="E222" s="532"/>
      <c r="F222" s="187"/>
      <c r="G222" s="138"/>
      <c r="H222" s="139"/>
      <c r="I222" s="138"/>
      <c r="J222" s="140">
        <f>SUM(J220:J221)</f>
        <v>0</v>
      </c>
      <c r="K222" s="69"/>
      <c r="L222" s="48"/>
      <c r="M222" s="95"/>
      <c r="N222" s="96"/>
      <c r="O222" s="48"/>
      <c r="P222" s="48"/>
      <c r="Q222" s="48"/>
      <c r="R222" s="48"/>
      <c r="S222" s="48"/>
      <c r="T222" s="48"/>
      <c r="U222" s="48"/>
      <c r="V222" s="48"/>
      <c r="W222" s="55"/>
      <c r="X222" s="55"/>
      <c r="Y222" s="55"/>
      <c r="Z222" s="55"/>
      <c r="AA222" s="55"/>
      <c r="AB222" s="55"/>
    </row>
    <row r="223" spans="1:28" ht="14.4">
      <c r="A223" s="48"/>
      <c r="B223" s="77"/>
      <c r="C223" s="78"/>
      <c r="D223" s="79"/>
      <c r="E223" s="80"/>
      <c r="F223" s="81"/>
      <c r="G223" s="82"/>
      <c r="H223" s="83"/>
      <c r="I223" s="82"/>
      <c r="J223" s="82"/>
      <c r="K223" s="69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55"/>
      <c r="X223" s="55"/>
      <c r="Y223" s="55"/>
      <c r="Z223" s="55"/>
      <c r="AA223" s="55"/>
      <c r="AB223" s="55"/>
    </row>
    <row r="224" spans="1:28" ht="14.4">
      <c r="A224" s="23"/>
      <c r="B224" s="166"/>
      <c r="C224" s="142" t="s">
        <v>174</v>
      </c>
      <c r="D224" s="100"/>
      <c r="E224" s="101"/>
      <c r="F224" s="102"/>
      <c r="G224" s="103"/>
      <c r="H224" s="104"/>
      <c r="I224" s="103"/>
      <c r="J224" s="103"/>
      <c r="K224" s="105"/>
      <c r="L224" s="23"/>
      <c r="M224" s="131"/>
      <c r="N224" s="132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spans="1:28" ht="14.4">
      <c r="A225" s="23"/>
      <c r="B225" s="166"/>
      <c r="C225" s="143" t="str">
        <f>'Interior Painting &amp; Finishes'!B66</f>
        <v>INTERIOR FINISHES</v>
      </c>
      <c r="D225" s="178"/>
      <c r="E225" s="115"/>
      <c r="F225" s="120"/>
      <c r="G225" s="112"/>
      <c r="H225" s="113"/>
      <c r="I225" s="112"/>
      <c r="J225" s="112"/>
      <c r="K225" s="105"/>
      <c r="L225" s="48"/>
      <c r="M225" s="97"/>
      <c r="N225" s="96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spans="1:28" ht="27">
      <c r="A226" s="23"/>
      <c r="B226" s="166"/>
      <c r="C226" s="190" t="str">
        <f>'Interior Painting &amp; Finishes'!B67</f>
        <v>Brick, x0407</v>
      </c>
      <c r="D226" s="115" t="str">
        <f>'Interior Painting &amp; Finishes'!C67</f>
        <v>THIN BRICK CLADDING - EL DORADO STONE - TUNDRABRICK RIVERBED - LIGHT BUFF MORTAR</v>
      </c>
      <c r="E226" s="181">
        <f>'Interior Painting &amp; Finishes'!F67</f>
        <v>656</v>
      </c>
      <c r="F226" s="180" t="str">
        <f>'Interior Painting &amp; Finishes'!G67</f>
        <v>SF</v>
      </c>
      <c r="G226" s="180">
        <f>'Interior Painting &amp; Finishes'!K67</f>
        <v>94</v>
      </c>
      <c r="H226" s="122" t="s">
        <v>170</v>
      </c>
      <c r="I226" s="123">
        <f t="shared" ref="I226:I239" si="54">E226*N226*(1+M226)</f>
        <v>0</v>
      </c>
      <c r="J226" s="123">
        <f t="shared" ref="J226:J239" si="55">I226</f>
        <v>0</v>
      </c>
      <c r="K226" s="105"/>
      <c r="L226" s="48"/>
      <c r="M226" s="106">
        <v>0</v>
      </c>
      <c r="N226" s="107">
        <v>0</v>
      </c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spans="1:28" ht="14.4">
      <c r="A227" s="23"/>
      <c r="B227" s="166"/>
      <c r="C227" s="190" t="str">
        <f>'Interior Painting &amp; Finishes'!B68</f>
        <v>Wall Cladding, MAD100</v>
      </c>
      <c r="D227" s="115" t="str">
        <f>'Interior Painting &amp; Finishes'!C68</f>
        <v>WOOD - WALNUT</v>
      </c>
      <c r="E227" s="181">
        <f>'Interior Painting &amp; Finishes'!F68</f>
        <v>621</v>
      </c>
      <c r="F227" s="180" t="str">
        <f>'Interior Painting &amp; Finishes'!G68</f>
        <v>SF</v>
      </c>
      <c r="G227" s="180">
        <f>'Interior Painting &amp; Finishes'!K68</f>
        <v>52</v>
      </c>
      <c r="H227" s="122" t="s">
        <v>102</v>
      </c>
      <c r="I227" s="123">
        <f t="shared" si="54"/>
        <v>0</v>
      </c>
      <c r="J227" s="123">
        <f t="shared" si="55"/>
        <v>0</v>
      </c>
      <c r="K227" s="105"/>
      <c r="L227" s="48"/>
      <c r="M227" s="106">
        <v>0</v>
      </c>
      <c r="N227" s="107">
        <v>0</v>
      </c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spans="1:28" ht="14.4">
      <c r="A228" s="23"/>
      <c r="B228" s="166"/>
      <c r="C228" s="190" t="str">
        <f>'Interior Painting &amp; Finishes'!B69</f>
        <v>Wall Cladding, MAD100-V</v>
      </c>
      <c r="D228" s="115" t="str">
        <f>'Interior Painting &amp; Finishes'!C69</f>
        <v>WOOD - BLACK - PLANK - VERTICAL</v>
      </c>
      <c r="E228" s="181">
        <f>'Interior Painting &amp; Finishes'!F69</f>
        <v>45</v>
      </c>
      <c r="F228" s="180" t="str">
        <f>'Interior Painting &amp; Finishes'!G69</f>
        <v>SF</v>
      </c>
      <c r="G228" s="180">
        <f>'Interior Painting &amp; Finishes'!K69</f>
        <v>5</v>
      </c>
      <c r="H228" s="122" t="s">
        <v>98</v>
      </c>
      <c r="I228" s="123">
        <f t="shared" si="54"/>
        <v>0</v>
      </c>
      <c r="J228" s="123">
        <f t="shared" si="55"/>
        <v>0</v>
      </c>
      <c r="K228" s="105"/>
      <c r="L228" s="23"/>
      <c r="M228" s="106">
        <v>0</v>
      </c>
      <c r="N228" s="107">
        <v>0</v>
      </c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spans="1:28" ht="14.4">
      <c r="A229" s="23"/>
      <c r="B229" s="166"/>
      <c r="C229" s="190" t="str">
        <f>'Interior Painting &amp; Finishes'!B70</f>
        <v>Wall Cladding, MAD200</v>
      </c>
      <c r="D229" s="115" t="str">
        <f>'Interior Painting &amp; Finishes'!C70</f>
        <v>WOOD - BLACK - ROUNDED SLAT - VERTICAL</v>
      </c>
      <c r="E229" s="181">
        <f>'Interior Painting &amp; Finishes'!F70</f>
        <v>108</v>
      </c>
      <c r="F229" s="180" t="str">
        <f>'Interior Painting &amp; Finishes'!G70</f>
        <v>SF</v>
      </c>
      <c r="G229" s="180">
        <f>'Interior Painting &amp; Finishes'!K70</f>
        <v>12</v>
      </c>
      <c r="H229" s="122" t="s">
        <v>98</v>
      </c>
      <c r="I229" s="123">
        <f t="shared" si="54"/>
        <v>0</v>
      </c>
      <c r="J229" s="123">
        <f t="shared" si="55"/>
        <v>0</v>
      </c>
      <c r="K229" s="105"/>
      <c r="L229" s="23"/>
      <c r="M229" s="106">
        <v>0</v>
      </c>
      <c r="N229" s="107">
        <v>0</v>
      </c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spans="1:28" ht="14.4">
      <c r="A230" s="23"/>
      <c r="B230" s="166"/>
      <c r="C230" s="190" t="str">
        <f>'Interior Painting &amp; Finishes'!B71</f>
        <v>Wall Covering, X0403</v>
      </c>
      <c r="D230" s="115" t="str">
        <f>'Interior Painting &amp; Finishes'!C71</f>
        <v>WALL COVERING - MOMENTUM - CAMBRIAN - SLATE</v>
      </c>
      <c r="E230" s="181">
        <f>'Interior Painting &amp; Finishes'!F71</f>
        <v>661</v>
      </c>
      <c r="F230" s="180" t="str">
        <f>'Interior Painting &amp; Finishes'!G71</f>
        <v>SF</v>
      </c>
      <c r="G230" s="180">
        <f>'Interior Painting &amp; Finishes'!K71</f>
        <v>23</v>
      </c>
      <c r="H230" s="122" t="s">
        <v>98</v>
      </c>
      <c r="I230" s="123">
        <f t="shared" si="54"/>
        <v>0</v>
      </c>
      <c r="J230" s="123">
        <f t="shared" si="55"/>
        <v>0</v>
      </c>
      <c r="K230" s="105"/>
      <c r="L230" s="23"/>
      <c r="M230" s="106">
        <v>0</v>
      </c>
      <c r="N230" s="107">
        <v>0</v>
      </c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spans="1:28" ht="14.4">
      <c r="A231" s="23"/>
      <c r="B231" s="166"/>
      <c r="C231" s="190" t="str">
        <f>'Interior Painting &amp; Finishes'!B72</f>
        <v>Wall Covering, X0811</v>
      </c>
      <c r="D231" s="115" t="str">
        <f>'Interior Painting &amp; Finishes'!C72</f>
        <v>3/4" WOOD VENEER PANEL</v>
      </c>
      <c r="E231" s="181">
        <f>'Interior Painting &amp; Finishes'!F72</f>
        <v>70</v>
      </c>
      <c r="F231" s="180" t="str">
        <f>'Interior Painting &amp; Finishes'!G72</f>
        <v>SF</v>
      </c>
      <c r="G231" s="180">
        <f>'Interior Painting &amp; Finishes'!K72</f>
        <v>10</v>
      </c>
      <c r="H231" s="122" t="s">
        <v>98</v>
      </c>
      <c r="I231" s="123">
        <f t="shared" si="54"/>
        <v>0</v>
      </c>
      <c r="J231" s="123">
        <f t="shared" si="55"/>
        <v>0</v>
      </c>
      <c r="K231" s="105"/>
      <c r="L231" s="23"/>
      <c r="M231" s="106">
        <v>0</v>
      </c>
      <c r="N231" s="107">
        <v>0</v>
      </c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ht="14.4">
      <c r="A232" s="23"/>
      <c r="B232" s="166"/>
      <c r="C232" s="190" t="str">
        <f>'Interior Painting &amp; Finishes'!B73</f>
        <v>Wall Projection</v>
      </c>
      <c r="D232" s="115" t="str">
        <f>'Interior Painting &amp; Finishes'!C73</f>
        <v>FRP - White</v>
      </c>
      <c r="E232" s="181">
        <f>'Interior Painting &amp; Finishes'!F73</f>
        <v>1584</v>
      </c>
      <c r="F232" s="180" t="str">
        <f>'Interior Painting &amp; Finishes'!G73</f>
        <v>SF</v>
      </c>
      <c r="G232" s="180">
        <f>'Interior Painting &amp; Finishes'!K73</f>
        <v>80</v>
      </c>
      <c r="H232" s="122" t="s">
        <v>102</v>
      </c>
      <c r="I232" s="123">
        <f t="shared" si="54"/>
        <v>0</v>
      </c>
      <c r="J232" s="123">
        <f t="shared" si="55"/>
        <v>0</v>
      </c>
      <c r="K232" s="105"/>
      <c r="L232" s="23"/>
      <c r="M232" s="106">
        <v>0</v>
      </c>
      <c r="N232" s="107">
        <v>0</v>
      </c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spans="1:28" ht="40.200000000000003">
      <c r="A233" s="23"/>
      <c r="B233" s="166"/>
      <c r="C233" s="190" t="str">
        <f>'Interior Painting &amp; Finishes'!B74</f>
        <v>Acoustical Baffle x0205</v>
      </c>
      <c r="D233" s="115" t="str">
        <f>'Interior Painting &amp; Finishes'!C74</f>
        <v>SOFTSPAN 24" ACOUSTICAL BAFFLE SYSTEM W/ PERIMETER BEAMS/CORNERS AND COFFERED PANELS, SOFT SOUND WOOD TEXTURE ACOUSTIC PET, AMERICAN WALNUT</v>
      </c>
      <c r="E233" s="181">
        <f>'Interior Painting &amp; Finishes'!F74</f>
        <v>174</v>
      </c>
      <c r="F233" s="180" t="str">
        <f>'Interior Painting &amp; Finishes'!G74</f>
        <v>SF</v>
      </c>
      <c r="G233" s="180">
        <f>'Interior Painting &amp; Finishes'!K74</f>
        <v>20</v>
      </c>
      <c r="H233" s="122" t="s">
        <v>170</v>
      </c>
      <c r="I233" s="123">
        <f t="shared" si="54"/>
        <v>0</v>
      </c>
      <c r="J233" s="123">
        <f t="shared" si="55"/>
        <v>0</v>
      </c>
      <c r="K233" s="105"/>
      <c r="L233" s="23"/>
      <c r="M233" s="106">
        <v>0</v>
      </c>
      <c r="N233" s="107">
        <v>0</v>
      </c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spans="1:28" ht="40.200000000000003">
      <c r="A234" s="23"/>
      <c r="B234" s="166"/>
      <c r="C234" s="190" t="str">
        <f>'Interior Painting &amp; Finishes'!B75</f>
        <v>Acoustical Baffle x0206</v>
      </c>
      <c r="D234" s="115" t="str">
        <f>'Interior Painting &amp; Finishes'!C75</f>
        <v>SOFTSPAN 48" ACOUSTICAL BAFFLE SYSTEM W/ PERIMETER BEAMS/CORNERS, SOFT SOUND WOOD TEXTURE ACOUSTIC PET, AMERICAN WALNUT</v>
      </c>
      <c r="E234" s="181">
        <f>'Interior Painting &amp; Finishes'!F75</f>
        <v>748</v>
      </c>
      <c r="F234" s="180" t="str">
        <f>'Interior Painting &amp; Finishes'!G75</f>
        <v>SF</v>
      </c>
      <c r="G234" s="180">
        <f>'Interior Painting &amp; Finishes'!K75</f>
        <v>84</v>
      </c>
      <c r="H234" s="122" t="s">
        <v>170</v>
      </c>
      <c r="I234" s="123">
        <f t="shared" si="54"/>
        <v>0</v>
      </c>
      <c r="J234" s="123">
        <f t="shared" si="55"/>
        <v>0</v>
      </c>
      <c r="K234" s="105"/>
      <c r="L234" s="23"/>
      <c r="M234" s="106">
        <v>0</v>
      </c>
      <c r="N234" s="107">
        <v>0</v>
      </c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spans="1:28" ht="27">
      <c r="A235" s="23"/>
      <c r="B235" s="166"/>
      <c r="C235" s="190" t="str">
        <f>'Interior Painting &amp; Finishes'!B76</f>
        <v>2x4 ACT Tile</v>
      </c>
      <c r="D235" s="115" t="str">
        <f>'Interior Painting &amp; Finishes'!C76</f>
        <v>ARMSTRONG - OPTIMA HEALTH ZONE 3115 (WHITE), SQUARE LAY-IN 15/16 W/GRID TO MATCH</v>
      </c>
      <c r="E235" s="181">
        <f>'Interior Painting &amp; Finishes'!F76</f>
        <v>552</v>
      </c>
      <c r="F235" s="180" t="str">
        <f>'Interior Painting &amp; Finishes'!G76</f>
        <v>SF</v>
      </c>
      <c r="G235" s="180">
        <f>'Interior Painting &amp; Finishes'!K76</f>
        <v>37</v>
      </c>
      <c r="H235" s="122" t="s">
        <v>102</v>
      </c>
      <c r="I235" s="123">
        <f t="shared" si="54"/>
        <v>0</v>
      </c>
      <c r="J235" s="123">
        <f t="shared" si="55"/>
        <v>0</v>
      </c>
      <c r="K235" s="105"/>
      <c r="L235" s="23"/>
      <c r="M235" s="106">
        <v>0</v>
      </c>
      <c r="N235" s="107">
        <v>0</v>
      </c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spans="1:28" ht="14.4">
      <c r="A236" s="23"/>
      <c r="B236" s="166"/>
      <c r="C236" s="190"/>
      <c r="D236" s="115" t="str">
        <f>'Interior Painting &amp; Finishes'!C77</f>
        <v>ARMSTRONG PRELUDE XL MAIN RUNNERS 12 FT</v>
      </c>
      <c r="E236" s="181">
        <f>'Interior Painting &amp; Finishes'!F77</f>
        <v>12</v>
      </c>
      <c r="F236" s="180" t="str">
        <f>'Interior Painting &amp; Finishes'!G77</f>
        <v>EA</v>
      </c>
      <c r="G236" s="180">
        <f>'Interior Painting &amp; Finishes'!K77</f>
        <v>2</v>
      </c>
      <c r="H236" s="122" t="s">
        <v>102</v>
      </c>
      <c r="I236" s="123">
        <f t="shared" si="54"/>
        <v>0</v>
      </c>
      <c r="J236" s="123">
        <f t="shared" si="55"/>
        <v>0</v>
      </c>
      <c r="K236" s="105"/>
      <c r="L236" s="23"/>
      <c r="M236" s="106">
        <v>0</v>
      </c>
      <c r="N236" s="107">
        <v>0</v>
      </c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spans="1:28" ht="14.4">
      <c r="A237" s="23"/>
      <c r="B237" s="166"/>
      <c r="C237" s="190"/>
      <c r="D237" s="115" t="str">
        <f>'Interior Painting &amp; Finishes'!C78</f>
        <v>ARMSTRONG 4 FOOT TEES</v>
      </c>
      <c r="E237" s="181">
        <f>'Interior Painting &amp; Finishes'!F78</f>
        <v>69</v>
      </c>
      <c r="F237" s="180" t="str">
        <f>'Interior Painting &amp; Finishes'!G78</f>
        <v>EA</v>
      </c>
      <c r="G237" s="180">
        <f>'Interior Painting &amp; Finishes'!K78</f>
        <v>10</v>
      </c>
      <c r="H237" s="122" t="s">
        <v>102</v>
      </c>
      <c r="I237" s="123">
        <f t="shared" si="54"/>
        <v>0</v>
      </c>
      <c r="J237" s="123">
        <f t="shared" si="55"/>
        <v>0</v>
      </c>
      <c r="K237" s="105"/>
      <c r="L237" s="23"/>
      <c r="M237" s="106">
        <v>0</v>
      </c>
      <c r="N237" s="107">
        <v>0</v>
      </c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spans="1:28" ht="14.4">
      <c r="A238" s="23"/>
      <c r="B238" s="166"/>
      <c r="C238" s="190"/>
      <c r="D238" s="115" t="str">
        <f>'Interior Painting &amp; Finishes'!C79</f>
        <v>7/8" X 7/8" WALL MOLDING 12 FT.</v>
      </c>
      <c r="E238" s="181">
        <f>'Interior Painting &amp; Finishes'!F79</f>
        <v>173</v>
      </c>
      <c r="F238" s="180" t="str">
        <f>'Interior Painting &amp; Finishes'!G79</f>
        <v>EA</v>
      </c>
      <c r="G238" s="180">
        <f>'Interior Painting &amp; Finishes'!K79</f>
        <v>25</v>
      </c>
      <c r="H238" s="122" t="s">
        <v>102</v>
      </c>
      <c r="I238" s="123">
        <f t="shared" si="54"/>
        <v>0</v>
      </c>
      <c r="J238" s="123">
        <f t="shared" si="55"/>
        <v>0</v>
      </c>
      <c r="K238" s="105"/>
      <c r="L238" s="23"/>
      <c r="M238" s="106">
        <v>0</v>
      </c>
      <c r="N238" s="107">
        <v>0</v>
      </c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spans="1:28" ht="14.4">
      <c r="A239" s="23"/>
      <c r="B239" s="166"/>
      <c r="C239" s="190"/>
      <c r="D239" s="115" t="str">
        <f>'Interior Painting &amp; Finishes'!C80</f>
        <v>HANGER WIRE 12GA, 12FT.</v>
      </c>
      <c r="E239" s="181">
        <f>'Interior Painting &amp; Finishes'!F80</f>
        <v>48</v>
      </c>
      <c r="F239" s="180" t="str">
        <f>'Interior Painting &amp; Finishes'!G80</f>
        <v>EA</v>
      </c>
      <c r="G239" s="180">
        <f>'Interior Painting &amp; Finishes'!K80</f>
        <v>7</v>
      </c>
      <c r="H239" s="122" t="s">
        <v>102</v>
      </c>
      <c r="I239" s="123">
        <f t="shared" si="54"/>
        <v>0</v>
      </c>
      <c r="J239" s="123">
        <f t="shared" si="55"/>
        <v>0</v>
      </c>
      <c r="K239" s="105"/>
      <c r="L239" s="23"/>
      <c r="M239" s="106">
        <v>0</v>
      </c>
      <c r="N239" s="107">
        <v>0</v>
      </c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spans="1:28" ht="14.4">
      <c r="A240" s="23"/>
      <c r="B240" s="166"/>
      <c r="C240" s="182"/>
      <c r="D240" s="125" t="str">
        <f>C224</f>
        <v>INTERIOR FINISHES</v>
      </c>
      <c r="E240" s="126" t="s">
        <v>159</v>
      </c>
      <c r="F240" s="183"/>
      <c r="G240" s="128"/>
      <c r="H240" s="184"/>
      <c r="I240" s="128">
        <f t="shared" ref="I240:J240" si="56">SUM(I225:I239)</f>
        <v>0</v>
      </c>
      <c r="J240" s="130">
        <f t="shared" si="56"/>
        <v>0</v>
      </c>
      <c r="K240" s="105"/>
      <c r="L240" s="23"/>
      <c r="M240" s="131"/>
      <c r="N240" s="132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spans="1:28" ht="15" customHeight="1">
      <c r="A241" s="48"/>
      <c r="B241" s="77"/>
      <c r="C241" s="185"/>
      <c r="D241" s="537" t="s">
        <v>160</v>
      </c>
      <c r="E241" s="532"/>
      <c r="F241" s="133">
        <v>0</v>
      </c>
      <c r="G241" s="174"/>
      <c r="H241" s="186"/>
      <c r="I241" s="174"/>
      <c r="J241" s="136">
        <f>F241*J240</f>
        <v>0</v>
      </c>
      <c r="K241" s="69"/>
      <c r="L241" s="48"/>
      <c r="M241" s="95"/>
      <c r="N241" s="96"/>
      <c r="O241" s="48"/>
      <c r="P241" s="48"/>
      <c r="Q241" s="48"/>
      <c r="R241" s="48"/>
      <c r="S241" s="48"/>
      <c r="T241" s="48"/>
      <c r="U241" s="48"/>
      <c r="V241" s="48"/>
      <c r="W241" s="55"/>
      <c r="X241" s="55"/>
      <c r="Y241" s="55"/>
      <c r="Z241" s="55"/>
      <c r="AA241" s="55"/>
      <c r="AB241" s="55"/>
    </row>
    <row r="242" spans="1:28" ht="15" customHeight="1">
      <c r="A242" s="48"/>
      <c r="B242" s="77"/>
      <c r="C242" s="185"/>
      <c r="D242" s="537" t="s">
        <v>161</v>
      </c>
      <c r="E242" s="532"/>
      <c r="F242" s="187"/>
      <c r="G242" s="138"/>
      <c r="H242" s="188"/>
      <c r="I242" s="138"/>
      <c r="J242" s="140">
        <f>SUM(J240:J241)</f>
        <v>0</v>
      </c>
      <c r="K242" s="69"/>
      <c r="L242" s="48"/>
      <c r="M242" s="95"/>
      <c r="N242" s="96"/>
      <c r="O242" s="48"/>
      <c r="P242" s="48"/>
      <c r="Q242" s="48"/>
      <c r="R242" s="48"/>
      <c r="S242" s="48"/>
      <c r="T242" s="48"/>
      <c r="U242" s="48"/>
      <c r="V242" s="48"/>
      <c r="W242" s="55"/>
      <c r="X242" s="55"/>
      <c r="Y242" s="55"/>
      <c r="Z242" s="55"/>
      <c r="AA242" s="55"/>
      <c r="AB242" s="55"/>
    </row>
    <row r="243" spans="1:28" ht="9.75" customHeight="1">
      <c r="A243" s="48"/>
      <c r="B243" s="77"/>
      <c r="C243" s="78"/>
      <c r="D243" s="79"/>
      <c r="E243" s="80"/>
      <c r="F243" s="81"/>
      <c r="G243" s="191"/>
      <c r="H243" s="192"/>
      <c r="I243" s="191"/>
      <c r="J243" s="191"/>
      <c r="K243" s="69"/>
      <c r="L243" s="48"/>
      <c r="M243" s="53"/>
      <c r="N243" s="54"/>
      <c r="O243" s="48"/>
      <c r="P243" s="48"/>
      <c r="Q243" s="48"/>
      <c r="R243" s="48"/>
      <c r="S243" s="48"/>
      <c r="T243" s="48"/>
      <c r="U243" s="48"/>
      <c r="V243" s="48"/>
      <c r="W243" s="55"/>
      <c r="X243" s="55"/>
      <c r="Y243" s="55"/>
      <c r="Z243" s="55"/>
      <c r="AA243" s="55"/>
      <c r="AB243" s="55"/>
    </row>
    <row r="244" spans="1:28" ht="14.4">
      <c r="A244" s="23"/>
      <c r="B244" s="166"/>
      <c r="C244" s="142" t="s">
        <v>175</v>
      </c>
      <c r="D244" s="100"/>
      <c r="E244" s="101"/>
      <c r="F244" s="102"/>
      <c r="G244" s="103"/>
      <c r="H244" s="193"/>
      <c r="I244" s="103"/>
      <c r="J244" s="103"/>
      <c r="K244" s="105"/>
      <c r="L244" s="23"/>
      <c r="M244" s="131"/>
      <c r="N244" s="132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spans="1:28" ht="14.4">
      <c r="A245" s="23"/>
      <c r="B245" s="166"/>
      <c r="C245" s="194" t="str">
        <f>'Interior Painting &amp; Finishes'!B82</f>
        <v>INTERIOR PAINT</v>
      </c>
      <c r="D245" s="115"/>
      <c r="E245" s="181"/>
      <c r="F245" s="180"/>
      <c r="G245" s="112"/>
      <c r="H245" s="122"/>
      <c r="I245" s="123"/>
      <c r="J245" s="123"/>
      <c r="K245" s="105"/>
      <c r="L245" s="23"/>
      <c r="M245" s="131"/>
      <c r="N245" s="132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spans="1:28" ht="14.4">
      <c r="A246" s="23"/>
      <c r="B246" s="166"/>
      <c r="C246" s="194" t="str">
        <f>'Interior Painting &amp; Finishes'!B83</f>
        <v>Primer, 1 Coat</v>
      </c>
      <c r="D246" s="115"/>
      <c r="E246" s="181"/>
      <c r="F246" s="180"/>
      <c r="G246" s="112"/>
      <c r="H246" s="122"/>
      <c r="I246" s="123"/>
      <c r="J246" s="123"/>
      <c r="K246" s="105"/>
      <c r="L246" s="23"/>
      <c r="M246" s="131"/>
      <c r="N246" s="132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spans="1:28" ht="14.4">
      <c r="A247" s="23"/>
      <c r="B247" s="166"/>
      <c r="C247" s="190" t="str">
        <f>'Interior Painting &amp; Finishes'!B84</f>
        <v>to Gypsum Board</v>
      </c>
      <c r="D247" s="115" t="str">
        <f>'Interior Painting &amp; Finishes'!C84</f>
        <v>CP-1</v>
      </c>
      <c r="E247" s="181">
        <f>'Interior Painting &amp; Finishes'!F84</f>
        <v>4517</v>
      </c>
      <c r="F247" s="180" t="str">
        <f>'Interior Painting &amp; Finishes'!G84</f>
        <v>SF</v>
      </c>
      <c r="G247" s="180">
        <f>'Interior Painting &amp; Finishes'!K84</f>
        <v>26</v>
      </c>
      <c r="H247" s="122" t="s">
        <v>102</v>
      </c>
      <c r="I247" s="123">
        <f t="shared" ref="I247:I248" si="57">E247*N247*(1+M247)</f>
        <v>0</v>
      </c>
      <c r="J247" s="123">
        <f t="shared" ref="J247:J248" si="58">I247</f>
        <v>0</v>
      </c>
      <c r="K247" s="105"/>
      <c r="L247" s="23"/>
      <c r="M247" s="106">
        <v>0</v>
      </c>
      <c r="N247" s="107">
        <v>0</v>
      </c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spans="1:28" ht="14.4">
      <c r="A248" s="23"/>
      <c r="B248" s="166"/>
      <c r="C248" s="190" t="str">
        <f>'Interior Painting &amp; Finishes'!B85</f>
        <v>to Open to Structure</v>
      </c>
      <c r="D248" s="115" t="str">
        <f>'Interior Painting &amp; Finishes'!C85</f>
        <v>CP-1</v>
      </c>
      <c r="E248" s="181">
        <f>'Interior Painting &amp; Finishes'!F85</f>
        <v>904</v>
      </c>
      <c r="F248" s="180" t="str">
        <f>'Interior Painting &amp; Finishes'!G85</f>
        <v>SF</v>
      </c>
      <c r="G248" s="180">
        <f>'Interior Painting &amp; Finishes'!K85</f>
        <v>10</v>
      </c>
      <c r="H248" s="122" t="s">
        <v>102</v>
      </c>
      <c r="I248" s="123">
        <f t="shared" si="57"/>
        <v>0</v>
      </c>
      <c r="J248" s="123">
        <f t="shared" si="58"/>
        <v>0</v>
      </c>
      <c r="K248" s="105"/>
      <c r="L248" s="23"/>
      <c r="M248" s="106">
        <v>0</v>
      </c>
      <c r="N248" s="107">
        <v>0</v>
      </c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ht="14.4">
      <c r="A249" s="23"/>
      <c r="B249" s="166"/>
      <c r="C249" s="190"/>
      <c r="D249" s="115"/>
      <c r="E249" s="181"/>
      <c r="F249" s="180"/>
      <c r="G249" s="180"/>
      <c r="H249" s="122"/>
      <c r="I249" s="123"/>
      <c r="J249" s="123"/>
      <c r="K249" s="105"/>
      <c r="L249" s="23"/>
      <c r="M249" s="106"/>
      <c r="N249" s="107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spans="1:28" ht="14.4">
      <c r="A250" s="23"/>
      <c r="B250" s="166"/>
      <c r="C250" s="194" t="str">
        <f>'Interior Painting &amp; Finishes'!B87</f>
        <v>Paint Finish, 2 Coats</v>
      </c>
      <c r="D250" s="115"/>
      <c r="E250" s="181"/>
      <c r="F250" s="180"/>
      <c r="G250" s="180"/>
      <c r="H250" s="122"/>
      <c r="I250" s="123"/>
      <c r="J250" s="123"/>
      <c r="K250" s="105"/>
      <c r="L250" s="23"/>
      <c r="M250" s="106"/>
      <c r="N250" s="107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spans="1:28" ht="14.4">
      <c r="A251" s="23"/>
      <c r="B251" s="166"/>
      <c r="C251" s="194" t="str">
        <f>'Interior Painting &amp; Finishes'!B88</f>
        <v>Walls</v>
      </c>
      <c r="D251" s="115"/>
      <c r="E251" s="181"/>
      <c r="F251" s="180"/>
      <c r="G251" s="180"/>
      <c r="H251" s="122"/>
      <c r="I251" s="123"/>
      <c r="J251" s="123"/>
      <c r="K251" s="105"/>
      <c r="L251" s="23"/>
      <c r="M251" s="106"/>
      <c r="N251" s="107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spans="1:28" ht="14.4">
      <c r="A252" s="23"/>
      <c r="B252" s="166"/>
      <c r="C252" s="190" t="str">
        <f>'Interior Painting &amp; Finishes'!B89</f>
        <v>PT on Gypsum Board</v>
      </c>
      <c r="D252" s="115" t="str">
        <f>'Interior Painting &amp; Finishes'!C89</f>
        <v>ANEW GREY, SW7030, Eggshell Finish</v>
      </c>
      <c r="E252" s="181">
        <f>'Interior Painting &amp; Finishes'!F89</f>
        <v>189</v>
      </c>
      <c r="F252" s="180" t="str">
        <f>'Interior Painting &amp; Finishes'!G89</f>
        <v>SF</v>
      </c>
      <c r="G252" s="180">
        <f>'Interior Painting &amp; Finishes'!K89</f>
        <v>3</v>
      </c>
      <c r="H252" s="122" t="s">
        <v>102</v>
      </c>
      <c r="I252" s="123">
        <f t="shared" ref="I252:I253" si="59">E252*N252*(1+M252)</f>
        <v>0</v>
      </c>
      <c r="J252" s="123">
        <f t="shared" ref="J252:J253" si="60">I252</f>
        <v>0</v>
      </c>
      <c r="K252" s="105"/>
      <c r="L252" s="23"/>
      <c r="M252" s="106">
        <v>0</v>
      </c>
      <c r="N252" s="107">
        <v>0</v>
      </c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spans="1:28" ht="14.4">
      <c r="A253" s="23"/>
      <c r="B253" s="166"/>
      <c r="C253" s="190" t="str">
        <f>'Interior Painting &amp; Finishes'!B90</f>
        <v>PT on Gypsum Board</v>
      </c>
      <c r="D253" s="115" t="str">
        <f>'Interior Painting &amp; Finishes'!C90</f>
        <v>URBANE BRONZE, SW7048, Flat Finish</v>
      </c>
      <c r="E253" s="181">
        <f>'Interior Painting &amp; Finishes'!F90</f>
        <v>1048</v>
      </c>
      <c r="F253" s="180" t="str">
        <f>'Interior Painting &amp; Finishes'!G90</f>
        <v>SF</v>
      </c>
      <c r="G253" s="180">
        <f>'Interior Painting &amp; Finishes'!K90</f>
        <v>14</v>
      </c>
      <c r="H253" s="122" t="s">
        <v>102</v>
      </c>
      <c r="I253" s="123">
        <f t="shared" si="59"/>
        <v>0</v>
      </c>
      <c r="J253" s="123">
        <f t="shared" si="60"/>
        <v>0</v>
      </c>
      <c r="K253" s="105"/>
      <c r="L253" s="23"/>
      <c r="M253" s="106">
        <v>0</v>
      </c>
      <c r="N253" s="107">
        <v>0</v>
      </c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spans="1:28" ht="14.4">
      <c r="A254" s="23"/>
      <c r="B254" s="166"/>
      <c r="C254" s="190"/>
      <c r="D254" s="115"/>
      <c r="E254" s="181"/>
      <c r="F254" s="180"/>
      <c r="G254" s="180"/>
      <c r="H254" s="122"/>
      <c r="I254" s="123"/>
      <c r="J254" s="123"/>
      <c r="K254" s="105"/>
      <c r="L254" s="23"/>
      <c r="M254" s="106"/>
      <c r="N254" s="107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spans="1:28" ht="14.4">
      <c r="A255" s="23"/>
      <c r="B255" s="166"/>
      <c r="C255" s="194" t="str">
        <f>'Interior Painting &amp; Finishes'!B92</f>
        <v>Ceilings</v>
      </c>
      <c r="D255" s="115"/>
      <c r="E255" s="181"/>
      <c r="F255" s="180"/>
      <c r="G255" s="180"/>
      <c r="H255" s="122"/>
      <c r="I255" s="123"/>
      <c r="J255" s="123"/>
      <c r="K255" s="105"/>
      <c r="L255" s="23"/>
      <c r="M255" s="106"/>
      <c r="N255" s="107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spans="1:28" ht="14.4">
      <c r="A256" s="23"/>
      <c r="B256" s="166"/>
      <c r="C256" s="190" t="str">
        <f>'Interior Painting &amp; Finishes'!B93</f>
        <v>PT on Gypsum Board</v>
      </c>
      <c r="D256" s="115" t="str">
        <f>'Interior Painting &amp; Finishes'!C93</f>
        <v>ANEW GREY, SW7030, Eggshell Finish</v>
      </c>
      <c r="E256" s="181">
        <f>'Interior Painting &amp; Finishes'!F93</f>
        <v>264</v>
      </c>
      <c r="F256" s="180" t="str">
        <f>'Interior Painting &amp; Finishes'!G93</f>
        <v>SF</v>
      </c>
      <c r="G256" s="180">
        <f>'Interior Painting &amp; Finishes'!K93</f>
        <v>4</v>
      </c>
      <c r="H256" s="122" t="s">
        <v>102</v>
      </c>
      <c r="I256" s="123">
        <f t="shared" ref="I256:I261" si="61">E256*N256*(1+M256)</f>
        <v>0</v>
      </c>
      <c r="J256" s="123">
        <f t="shared" ref="J256:J261" si="62">I256</f>
        <v>0</v>
      </c>
      <c r="K256" s="105"/>
      <c r="L256" s="23"/>
      <c r="M256" s="106">
        <v>0</v>
      </c>
      <c r="N256" s="107">
        <v>0</v>
      </c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spans="1:28" ht="14.4">
      <c r="A257" s="23"/>
      <c r="B257" s="166"/>
      <c r="C257" s="190" t="str">
        <f>'Interior Painting &amp; Finishes'!B94</f>
        <v>PT on Gypsum Board</v>
      </c>
      <c r="D257" s="115" t="str">
        <f>'Interior Painting &amp; Finishes'!C94</f>
        <v>CARAIBE, SW9090, Eggshell Finish</v>
      </c>
      <c r="E257" s="181">
        <f>'Interior Painting &amp; Finishes'!F94</f>
        <v>1146</v>
      </c>
      <c r="F257" s="180" t="str">
        <f>'Interior Painting &amp; Finishes'!G94</f>
        <v>SF</v>
      </c>
      <c r="G257" s="180">
        <f>'Interior Painting &amp; Finishes'!K94</f>
        <v>16</v>
      </c>
      <c r="H257" s="122" t="s">
        <v>102</v>
      </c>
      <c r="I257" s="123">
        <f t="shared" si="61"/>
        <v>0</v>
      </c>
      <c r="J257" s="123">
        <f t="shared" si="62"/>
        <v>0</v>
      </c>
      <c r="K257" s="105"/>
      <c r="L257" s="23"/>
      <c r="M257" s="106">
        <v>0</v>
      </c>
      <c r="N257" s="107">
        <v>0</v>
      </c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spans="1:28" ht="14.4">
      <c r="A258" s="23"/>
      <c r="B258" s="166"/>
      <c r="C258" s="190" t="str">
        <f>'Interior Painting &amp; Finishes'!B95</f>
        <v>PT on Gypsum Board</v>
      </c>
      <c r="D258" s="115" t="str">
        <f>'Interior Painting &amp; Finishes'!C95</f>
        <v>CARAIBE, SW9090, Flat Finish</v>
      </c>
      <c r="E258" s="181">
        <f>'Interior Painting &amp; Finishes'!F95</f>
        <v>102</v>
      </c>
      <c r="F258" s="180" t="str">
        <f>'Interior Painting &amp; Finishes'!G95</f>
        <v>SF</v>
      </c>
      <c r="G258" s="180">
        <f>'Interior Painting &amp; Finishes'!K95</f>
        <v>2</v>
      </c>
      <c r="H258" s="122" t="s">
        <v>102</v>
      </c>
      <c r="I258" s="123">
        <f t="shared" si="61"/>
        <v>0</v>
      </c>
      <c r="J258" s="123">
        <f t="shared" si="62"/>
        <v>0</v>
      </c>
      <c r="K258" s="105"/>
      <c r="L258" s="23"/>
      <c r="M258" s="106">
        <v>0</v>
      </c>
      <c r="N258" s="107">
        <v>0</v>
      </c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spans="1:28" ht="14.4">
      <c r="A259" s="23"/>
      <c r="B259" s="166"/>
      <c r="C259" s="190" t="str">
        <f>'Interior Painting &amp; Finishes'!B96</f>
        <v>PT on Gypsum Board</v>
      </c>
      <c r="D259" s="115" t="str">
        <f>'Interior Painting &amp; Finishes'!C96</f>
        <v>URBANE BRONZE, SW7048, Flat Finish</v>
      </c>
      <c r="E259" s="181">
        <f>'Interior Painting &amp; Finishes'!F96</f>
        <v>306</v>
      </c>
      <c r="F259" s="180" t="str">
        <f>'Interior Painting &amp; Finishes'!G96</f>
        <v>SF</v>
      </c>
      <c r="G259" s="180">
        <f>'Interior Painting &amp; Finishes'!K96</f>
        <v>5</v>
      </c>
      <c r="H259" s="122" t="s">
        <v>102</v>
      </c>
      <c r="I259" s="123">
        <f t="shared" si="61"/>
        <v>0</v>
      </c>
      <c r="J259" s="123">
        <f t="shared" si="62"/>
        <v>0</v>
      </c>
      <c r="K259" s="105"/>
      <c r="L259" s="23"/>
      <c r="M259" s="106">
        <v>0</v>
      </c>
      <c r="N259" s="107">
        <v>0</v>
      </c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spans="1:28" ht="14.4">
      <c r="A260" s="23"/>
      <c r="B260" s="166"/>
      <c r="C260" s="190" t="str">
        <f>'Interior Painting &amp; Finishes'!B97</f>
        <v>PT on Gypsum Board</v>
      </c>
      <c r="D260" s="115" t="str">
        <f>'Interior Painting &amp; Finishes'!C97</f>
        <v>UNDEFINED</v>
      </c>
      <c r="E260" s="181">
        <f>'Interior Painting &amp; Finishes'!F97</f>
        <v>40</v>
      </c>
      <c r="F260" s="180" t="str">
        <f>'Interior Painting &amp; Finishes'!G97</f>
        <v>SF</v>
      </c>
      <c r="G260" s="180">
        <f>'Interior Painting &amp; Finishes'!K97</f>
        <v>1</v>
      </c>
      <c r="H260" s="122" t="s">
        <v>102</v>
      </c>
      <c r="I260" s="123">
        <f t="shared" si="61"/>
        <v>0</v>
      </c>
      <c r="J260" s="123">
        <f t="shared" si="62"/>
        <v>0</v>
      </c>
      <c r="K260" s="105"/>
      <c r="L260" s="23"/>
      <c r="M260" s="106">
        <v>0</v>
      </c>
      <c r="N260" s="107">
        <v>0</v>
      </c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spans="1:28" ht="14.4">
      <c r="A261" s="23"/>
      <c r="B261" s="166"/>
      <c r="C261" s="190" t="str">
        <f>'Interior Painting &amp; Finishes'!B98</f>
        <v>Paint on Open to Structure</v>
      </c>
      <c r="D261" s="115" t="str">
        <f>'Interior Painting &amp; Finishes'!C98</f>
        <v>URBANE BRONZE, SW7048, Flat Finish</v>
      </c>
      <c r="E261" s="181">
        <f>'Interior Painting &amp; Finishes'!F98</f>
        <v>904</v>
      </c>
      <c r="F261" s="180" t="str">
        <f>'Interior Painting &amp; Finishes'!G98</f>
        <v>SF</v>
      </c>
      <c r="G261" s="180">
        <f>'Interior Painting &amp; Finishes'!K98</f>
        <v>16</v>
      </c>
      <c r="H261" s="122" t="s">
        <v>102</v>
      </c>
      <c r="I261" s="123">
        <f t="shared" si="61"/>
        <v>0</v>
      </c>
      <c r="J261" s="123">
        <f t="shared" si="62"/>
        <v>0</v>
      </c>
      <c r="K261" s="105"/>
      <c r="L261" s="23"/>
      <c r="M261" s="106">
        <v>0</v>
      </c>
      <c r="N261" s="107">
        <v>0</v>
      </c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spans="1:28" ht="14.4">
      <c r="A262" s="23"/>
      <c r="B262" s="166"/>
      <c r="C262" s="190"/>
      <c r="D262" s="115"/>
      <c r="E262" s="181"/>
      <c r="F262" s="180"/>
      <c r="G262" s="180"/>
      <c r="H262" s="122"/>
      <c r="I262" s="123"/>
      <c r="J262" s="123"/>
      <c r="K262" s="105"/>
      <c r="L262" s="23"/>
      <c r="M262" s="106"/>
      <c r="N262" s="107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spans="1:28" ht="14.4">
      <c r="A263" s="23"/>
      <c r="B263" s="166"/>
      <c r="C263" s="194" t="str">
        <f>'Interior Painting &amp; Finishes'!B100</f>
        <v xml:space="preserve">DOORS </v>
      </c>
      <c r="D263" s="115"/>
      <c r="E263" s="181"/>
      <c r="F263" s="180"/>
      <c r="G263" s="180"/>
      <c r="H263" s="122"/>
      <c r="I263" s="123"/>
      <c r="J263" s="123"/>
      <c r="K263" s="105"/>
      <c r="L263" s="23"/>
      <c r="M263" s="106"/>
      <c r="N263" s="107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spans="1:28" ht="14.4">
      <c r="A264" s="23"/>
      <c r="B264" s="166"/>
      <c r="C264" s="190" t="str">
        <f>'Interior Painting &amp; Finishes'!B101</f>
        <v xml:space="preserve">3' x 7' Interior Single Leaf Door </v>
      </c>
      <c r="D264" s="115" t="str">
        <f>'Interior Painting &amp; Finishes'!C101</f>
        <v>SW7047, Semi-Gloss Finish</v>
      </c>
      <c r="E264" s="181">
        <f>'Interior Painting &amp; Finishes'!F101</f>
        <v>3</v>
      </c>
      <c r="F264" s="180" t="str">
        <f>'Interior Painting &amp; Finishes'!G101</f>
        <v>EA</v>
      </c>
      <c r="G264" s="180">
        <f>'Interior Painting &amp; Finishes'!K101</f>
        <v>4</v>
      </c>
      <c r="H264" s="122" t="s">
        <v>98</v>
      </c>
      <c r="I264" s="123">
        <f t="shared" ref="I264:I265" si="63">E264*N264*(1+M264)</f>
        <v>0</v>
      </c>
      <c r="J264" s="123">
        <f t="shared" ref="J264:J265" si="64">I264</f>
        <v>0</v>
      </c>
      <c r="K264" s="105"/>
      <c r="L264" s="23"/>
      <c r="M264" s="106">
        <v>0</v>
      </c>
      <c r="N264" s="107">
        <v>0</v>
      </c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spans="1:28" ht="14.4">
      <c r="A265" s="23"/>
      <c r="B265" s="166"/>
      <c r="C265" s="190" t="str">
        <f>'Interior Painting &amp; Finishes'!B102</f>
        <v xml:space="preserve">4' x 7' Interior Single Leaf Door </v>
      </c>
      <c r="D265" s="115" t="str">
        <f>'Interior Painting &amp; Finishes'!C102</f>
        <v>SW7047, Semi-Gloss Finish</v>
      </c>
      <c r="E265" s="181">
        <f>'Interior Painting &amp; Finishes'!F102</f>
        <v>1</v>
      </c>
      <c r="F265" s="180" t="str">
        <f>'Interior Painting &amp; Finishes'!G102</f>
        <v>EA</v>
      </c>
      <c r="G265" s="180">
        <f>'Interior Painting &amp; Finishes'!K102</f>
        <v>2</v>
      </c>
      <c r="H265" s="122" t="s">
        <v>98</v>
      </c>
      <c r="I265" s="123">
        <f t="shared" si="63"/>
        <v>0</v>
      </c>
      <c r="J265" s="123">
        <f t="shared" si="64"/>
        <v>0</v>
      </c>
      <c r="K265" s="105"/>
      <c r="L265" s="23"/>
      <c r="M265" s="106">
        <v>0</v>
      </c>
      <c r="N265" s="107">
        <v>0</v>
      </c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spans="1:28" ht="14.4">
      <c r="A266" s="23"/>
      <c r="B266" s="166"/>
      <c r="C266" s="190"/>
      <c r="D266" s="115"/>
      <c r="E266" s="181"/>
      <c r="F266" s="180"/>
      <c r="G266" s="180"/>
      <c r="H266" s="122"/>
      <c r="I266" s="123"/>
      <c r="J266" s="123"/>
      <c r="K266" s="105"/>
      <c r="L266" s="23"/>
      <c r="M266" s="106"/>
      <c r="N266" s="107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spans="1:28" ht="14.4">
      <c r="A267" s="23"/>
      <c r="B267" s="166"/>
      <c r="C267" s="194" t="str">
        <f>'Interior Painting &amp; Finishes'!B104</f>
        <v>DOORS FRAMES</v>
      </c>
      <c r="D267" s="115"/>
      <c r="E267" s="181"/>
      <c r="F267" s="180"/>
      <c r="G267" s="180"/>
      <c r="H267" s="122"/>
      <c r="I267" s="123"/>
      <c r="J267" s="123"/>
      <c r="K267" s="105"/>
      <c r="L267" s="23"/>
      <c r="M267" s="106"/>
      <c r="N267" s="107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spans="1:28" ht="14.4">
      <c r="A268" s="23"/>
      <c r="B268" s="166"/>
      <c r="C268" s="190" t="str">
        <f>'Interior Painting &amp; Finishes'!B105</f>
        <v>3' x 7' Interior Single Leaf Door Frame</v>
      </c>
      <c r="D268" s="115" t="str">
        <f>'Interior Painting &amp; Finishes'!C105</f>
        <v>SW7047, Semi-Gloss Finish</v>
      </c>
      <c r="E268" s="181">
        <f>'Interior Painting &amp; Finishes'!F105</f>
        <v>3</v>
      </c>
      <c r="F268" s="180" t="str">
        <f>'Interior Painting &amp; Finishes'!G105</f>
        <v>EA</v>
      </c>
      <c r="G268" s="180">
        <f>'Interior Painting &amp; Finishes'!K105</f>
        <v>6</v>
      </c>
      <c r="H268" s="122" t="s">
        <v>98</v>
      </c>
      <c r="I268" s="123">
        <f t="shared" ref="I268:I270" si="65">E268*N268*(1+M268)</f>
        <v>0</v>
      </c>
      <c r="J268" s="123">
        <f t="shared" ref="J268:J270" si="66">I268</f>
        <v>0</v>
      </c>
      <c r="K268" s="105"/>
      <c r="L268" s="23"/>
      <c r="M268" s="106">
        <v>0</v>
      </c>
      <c r="N268" s="107">
        <v>0</v>
      </c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spans="1:28" ht="14.4">
      <c r="A269" s="23"/>
      <c r="B269" s="166"/>
      <c r="C269" s="190" t="str">
        <f>'Interior Painting &amp; Finishes'!B106</f>
        <v>4' x 7' Interior Single Leaf Door Frame</v>
      </c>
      <c r="D269" s="115" t="str">
        <f>'Interior Painting &amp; Finishes'!C106</f>
        <v>SW7047, Semi-Gloss Finish</v>
      </c>
      <c r="E269" s="181">
        <f>'Interior Painting &amp; Finishes'!F106</f>
        <v>1</v>
      </c>
      <c r="F269" s="180" t="str">
        <f>'Interior Painting &amp; Finishes'!G106</f>
        <v>EA</v>
      </c>
      <c r="G269" s="180">
        <f>'Interior Painting &amp; Finishes'!K106</f>
        <v>2</v>
      </c>
      <c r="H269" s="122" t="s">
        <v>98</v>
      </c>
      <c r="I269" s="123">
        <f t="shared" si="65"/>
        <v>0</v>
      </c>
      <c r="J269" s="123">
        <f t="shared" si="66"/>
        <v>0</v>
      </c>
      <c r="K269" s="105"/>
      <c r="L269" s="23"/>
      <c r="M269" s="106">
        <v>0</v>
      </c>
      <c r="N269" s="107">
        <v>0</v>
      </c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spans="1:28" ht="14.4">
      <c r="A270" s="23"/>
      <c r="B270" s="166"/>
      <c r="C270" s="190" t="str">
        <f>'Interior Painting &amp; Finishes'!B107</f>
        <v>3' x 7' Interior Single Leaf Door Frame</v>
      </c>
      <c r="D270" s="115" t="str">
        <f>'Interior Painting &amp; Finishes'!C107</f>
        <v>SW6258, Semi-Gloss Finish</v>
      </c>
      <c r="E270" s="181">
        <f>'Interior Painting &amp; Finishes'!F107</f>
        <v>2</v>
      </c>
      <c r="F270" s="180" t="str">
        <f>'Interior Painting &amp; Finishes'!G107</f>
        <v>EA</v>
      </c>
      <c r="G270" s="180">
        <f>'Interior Painting &amp; Finishes'!K107</f>
        <v>4</v>
      </c>
      <c r="H270" s="122" t="s">
        <v>98</v>
      </c>
      <c r="I270" s="123">
        <f t="shared" si="65"/>
        <v>0</v>
      </c>
      <c r="J270" s="123">
        <f t="shared" si="66"/>
        <v>0</v>
      </c>
      <c r="K270" s="105"/>
      <c r="L270" s="23"/>
      <c r="M270" s="106">
        <v>0</v>
      </c>
      <c r="N270" s="107">
        <v>0</v>
      </c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spans="1:28" ht="14.4">
      <c r="A271" s="23"/>
      <c r="B271" s="166"/>
      <c r="C271" s="190"/>
      <c r="D271" s="115"/>
      <c r="E271" s="181"/>
      <c r="F271" s="180"/>
      <c r="G271" s="180"/>
      <c r="H271" s="122"/>
      <c r="I271" s="123"/>
      <c r="J271" s="123"/>
      <c r="K271" s="105"/>
      <c r="L271" s="23"/>
      <c r="M271" s="106"/>
      <c r="N271" s="107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spans="1:28" ht="14.4">
      <c r="A272" s="23"/>
      <c r="B272" s="166"/>
      <c r="C272" s="194" t="str">
        <f>'Interior Painting &amp; Finishes'!B109</f>
        <v>MISCELLANEOUS ITEMS</v>
      </c>
      <c r="D272" s="115"/>
      <c r="E272" s="181"/>
      <c r="F272" s="180"/>
      <c r="G272" s="180"/>
      <c r="H272" s="122"/>
      <c r="I272" s="123"/>
      <c r="J272" s="123"/>
      <c r="K272" s="105"/>
      <c r="L272" s="23"/>
      <c r="M272" s="106"/>
      <c r="N272" s="107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spans="1:28" ht="14.4">
      <c r="A273" s="23"/>
      <c r="B273" s="166"/>
      <c r="C273" s="190" t="str">
        <f>'Interior Painting &amp; Finishes'!B110</f>
        <v>1" Metal Angle Corner Guard</v>
      </c>
      <c r="D273" s="115" t="str">
        <f>'Interior Painting &amp; Finishes'!C110</f>
        <v>URBANE BRONZE, SW7048, Flat Finish</v>
      </c>
      <c r="E273" s="181">
        <f>'Interior Painting &amp; Finishes'!F110</f>
        <v>12</v>
      </c>
      <c r="F273" s="180" t="str">
        <f>'Interior Painting &amp; Finishes'!G110</f>
        <v>LF</v>
      </c>
      <c r="G273" s="180">
        <f>'Interior Painting &amp; Finishes'!K110</f>
        <v>1</v>
      </c>
      <c r="H273" s="122" t="s">
        <v>102</v>
      </c>
      <c r="I273" s="123">
        <f>E273*N273*(1+M273)</f>
        <v>0</v>
      </c>
      <c r="J273" s="123">
        <f>I273</f>
        <v>0</v>
      </c>
      <c r="K273" s="105"/>
      <c r="L273" s="23"/>
      <c r="M273" s="106">
        <v>0</v>
      </c>
      <c r="N273" s="107">
        <v>0</v>
      </c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spans="1:28" ht="14.4">
      <c r="A274" s="23"/>
      <c r="B274" s="166"/>
      <c r="C274" s="182"/>
      <c r="D274" s="125" t="str">
        <f>C244</f>
        <v>INTERIOR PAINTING</v>
      </c>
      <c r="E274" s="126" t="s">
        <v>159</v>
      </c>
      <c r="F274" s="183"/>
      <c r="G274" s="128"/>
      <c r="H274" s="129"/>
      <c r="I274" s="128">
        <f t="shared" ref="I274:J274" si="67">SUM(I245:I273)</f>
        <v>0</v>
      </c>
      <c r="J274" s="130">
        <f t="shared" si="67"/>
        <v>0</v>
      </c>
      <c r="K274" s="105"/>
      <c r="L274" s="23"/>
      <c r="M274" s="131"/>
      <c r="N274" s="132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spans="1:28" ht="15" customHeight="1">
      <c r="A275" s="48"/>
      <c r="B275" s="77"/>
      <c r="C275" s="185"/>
      <c r="D275" s="537" t="s">
        <v>160</v>
      </c>
      <c r="E275" s="532"/>
      <c r="F275" s="133">
        <v>0</v>
      </c>
      <c r="G275" s="174"/>
      <c r="H275" s="175"/>
      <c r="I275" s="174"/>
      <c r="J275" s="136">
        <f>F275*J274</f>
        <v>0</v>
      </c>
      <c r="K275" s="69"/>
      <c r="L275" s="48"/>
      <c r="M275" s="95"/>
      <c r="N275" s="96"/>
      <c r="O275" s="48"/>
      <c r="P275" s="48"/>
      <c r="Q275" s="48"/>
      <c r="R275" s="48"/>
      <c r="S275" s="48"/>
      <c r="T275" s="48"/>
      <c r="U275" s="48"/>
      <c r="V275" s="48"/>
      <c r="W275" s="55"/>
      <c r="X275" s="55"/>
      <c r="Y275" s="55"/>
      <c r="Z275" s="55"/>
      <c r="AA275" s="55"/>
      <c r="AB275" s="55"/>
    </row>
    <row r="276" spans="1:28" ht="15" customHeight="1">
      <c r="A276" s="48"/>
      <c r="B276" s="77"/>
      <c r="C276" s="185"/>
      <c r="D276" s="537" t="s">
        <v>161</v>
      </c>
      <c r="E276" s="532"/>
      <c r="F276" s="187"/>
      <c r="G276" s="138"/>
      <c r="H276" s="139"/>
      <c r="I276" s="138"/>
      <c r="J276" s="140">
        <f>SUM(J274:J275)</f>
        <v>0</v>
      </c>
      <c r="K276" s="69"/>
      <c r="L276" s="48"/>
      <c r="M276" s="95"/>
      <c r="N276" s="96"/>
      <c r="O276" s="48"/>
      <c r="P276" s="48"/>
      <c r="Q276" s="48"/>
      <c r="R276" s="48"/>
      <c r="S276" s="48"/>
      <c r="T276" s="48"/>
      <c r="U276" s="48"/>
      <c r="V276" s="48"/>
      <c r="W276" s="55"/>
      <c r="X276" s="55"/>
      <c r="Y276" s="55"/>
      <c r="Z276" s="55"/>
      <c r="AA276" s="55"/>
      <c r="AB276" s="55"/>
    </row>
    <row r="277" spans="1:28" ht="9.75" customHeight="1">
      <c r="A277" s="48"/>
      <c r="B277" s="77"/>
      <c r="C277" s="78"/>
      <c r="D277" s="79"/>
      <c r="E277" s="80"/>
      <c r="F277" s="81"/>
      <c r="G277" s="191"/>
      <c r="H277" s="192"/>
      <c r="I277" s="191"/>
      <c r="J277" s="191"/>
      <c r="K277" s="69"/>
      <c r="L277" s="48"/>
      <c r="M277" s="53"/>
      <c r="N277" s="54"/>
      <c r="O277" s="48"/>
      <c r="P277" s="48"/>
      <c r="Q277" s="48"/>
      <c r="R277" s="48"/>
      <c r="S277" s="48"/>
      <c r="T277" s="48"/>
      <c r="U277" s="48"/>
      <c r="V277" s="48"/>
      <c r="W277" s="55"/>
      <c r="X277" s="55"/>
      <c r="Y277" s="55"/>
      <c r="Z277" s="55"/>
      <c r="AA277" s="55"/>
      <c r="AB277" s="55"/>
    </row>
    <row r="278" spans="1:28" ht="14.4">
      <c r="A278" s="23"/>
      <c r="B278" s="166"/>
      <c r="C278" s="142" t="s">
        <v>39</v>
      </c>
      <c r="D278" s="100"/>
      <c r="E278" s="101"/>
      <c r="F278" s="102"/>
      <c r="G278" s="103"/>
      <c r="H278" s="104"/>
      <c r="I278" s="103"/>
      <c r="J278" s="103"/>
      <c r="K278" s="105"/>
      <c r="L278" s="23"/>
      <c r="M278" s="131"/>
      <c r="N278" s="132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 ht="14.4">
      <c r="A279" s="23"/>
      <c r="B279" s="166"/>
      <c r="C279" s="143" t="str">
        <f>'Millwork &amp; Interior Trim'!B81</f>
        <v>INTERIOR TRIM</v>
      </c>
      <c r="D279" s="178"/>
      <c r="E279" s="178"/>
      <c r="F279" s="120"/>
      <c r="G279" s="112"/>
      <c r="H279" s="113"/>
      <c r="I279" s="112"/>
      <c r="J279" s="112"/>
      <c r="K279" s="105"/>
      <c r="L279" s="48"/>
      <c r="M279" s="97"/>
      <c r="N279" s="96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spans="1:28" ht="14.4">
      <c r="A280" s="23"/>
      <c r="B280" s="166"/>
      <c r="C280" s="178" t="str">
        <f>'Millwork &amp; Interior Trim'!B82</f>
        <v>x0813_Trim - 1 1/2" Wood Trim - WD0077 (7'-6''H)</v>
      </c>
      <c r="D280" s="115"/>
      <c r="E280" s="181">
        <f>'Millwork &amp; Interior Trim'!I82</f>
        <v>2</v>
      </c>
      <c r="F280" s="180" t="str">
        <f>'Millwork &amp; Interior Trim'!J82</f>
        <v>EA</v>
      </c>
      <c r="G280" s="151">
        <v>0.6</v>
      </c>
      <c r="H280" s="118" t="s">
        <v>164</v>
      </c>
      <c r="I280" s="123">
        <f t="shared" ref="I280:I286" si="68">E280*N280*(1+M280)</f>
        <v>0</v>
      </c>
      <c r="J280" s="123">
        <f t="shared" ref="J280:J286" si="69">I280</f>
        <v>0</v>
      </c>
      <c r="K280" s="105"/>
      <c r="L280" s="48"/>
      <c r="M280" s="106">
        <v>0</v>
      </c>
      <c r="N280" s="107">
        <v>0</v>
      </c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 ht="14.4">
      <c r="A281" s="23"/>
      <c r="B281" s="166"/>
      <c r="C281" s="178" t="str">
        <f>'Millwork &amp; Interior Trim'!B83</f>
        <v>x0815_Trim - 1.5" x Wood Cladding Frame - WD0077 (9'-5 3/4''H)</v>
      </c>
      <c r="D281" s="115"/>
      <c r="E281" s="181">
        <f>'Millwork &amp; Interior Trim'!I83</f>
        <v>2</v>
      </c>
      <c r="F281" s="180" t="str">
        <f>'Millwork &amp; Interior Trim'!J83</f>
        <v>EA</v>
      </c>
      <c r="G281" s="151">
        <v>1.5</v>
      </c>
      <c r="H281" s="122" t="s">
        <v>98</v>
      </c>
      <c r="I281" s="123">
        <f t="shared" si="68"/>
        <v>0</v>
      </c>
      <c r="J281" s="123">
        <f t="shared" si="69"/>
        <v>0</v>
      </c>
      <c r="K281" s="105"/>
      <c r="L281" s="48"/>
      <c r="M281" s="106">
        <v>0</v>
      </c>
      <c r="N281" s="107">
        <v>0</v>
      </c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spans="1:28" ht="14.4">
      <c r="A282" s="23"/>
      <c r="B282" s="166"/>
      <c r="C282" s="178" t="str">
        <f>'Millwork &amp; Interior Trim'!B84</f>
        <v>x0800_Trim - 1 1/2" Wood trim - WD0077</v>
      </c>
      <c r="D282" s="115"/>
      <c r="E282" s="181">
        <f>'Millwork &amp; Interior Trim'!I84</f>
        <v>58.957299999999996</v>
      </c>
      <c r="F282" s="180" t="str">
        <f>'Millwork &amp; Interior Trim'!J84</f>
        <v>LF</v>
      </c>
      <c r="G282" s="151">
        <v>0.08</v>
      </c>
      <c r="H282" s="122" t="s">
        <v>98</v>
      </c>
      <c r="I282" s="123">
        <f t="shared" si="68"/>
        <v>0</v>
      </c>
      <c r="J282" s="123">
        <f t="shared" si="69"/>
        <v>0</v>
      </c>
      <c r="K282" s="105"/>
      <c r="L282" s="23"/>
      <c r="M282" s="106">
        <v>0</v>
      </c>
      <c r="N282" s="107">
        <v>0</v>
      </c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 ht="14.4">
      <c r="A283" s="23"/>
      <c r="B283" s="166"/>
      <c r="C283" s="178" t="str">
        <f>'Millwork &amp; Interior Trim'!B85</f>
        <v>x0805_Trim - 1 1/2" Wood Trim - Painted SW7048-F</v>
      </c>
      <c r="D283" s="115"/>
      <c r="E283" s="181">
        <f>'Millwork &amp; Interior Trim'!I85</f>
        <v>23.605599999999999</v>
      </c>
      <c r="F283" s="180" t="str">
        <f>'Millwork &amp; Interior Trim'!J85</f>
        <v>LF</v>
      </c>
      <c r="G283" s="151">
        <v>0.08</v>
      </c>
      <c r="H283" s="118" t="s">
        <v>164</v>
      </c>
      <c r="I283" s="123">
        <f t="shared" si="68"/>
        <v>0</v>
      </c>
      <c r="J283" s="123">
        <f t="shared" si="69"/>
        <v>0</v>
      </c>
      <c r="K283" s="105"/>
      <c r="L283" s="23"/>
      <c r="M283" s="106">
        <v>0</v>
      </c>
      <c r="N283" s="107">
        <v>0</v>
      </c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spans="1:28" ht="27">
      <c r="A284" s="23"/>
      <c r="B284" s="166"/>
      <c r="C284" s="178" t="str">
        <f>'Millwork &amp; Interior Trim'!B86</f>
        <v>x0810_Trim - 1" x Scuffmaster Painted Solid Wood trim - Harrison Coll 3/SM8005, GOH 34425395</v>
      </c>
      <c r="D284" s="115"/>
      <c r="E284" s="181">
        <f>'Millwork &amp; Interior Trim'!I86</f>
        <v>34.1755</v>
      </c>
      <c r="F284" s="180" t="str">
        <f>'Millwork &amp; Interior Trim'!J86</f>
        <v>LF</v>
      </c>
      <c r="G284" s="151">
        <v>0.09</v>
      </c>
      <c r="H284" s="122" t="s">
        <v>98</v>
      </c>
      <c r="I284" s="123">
        <f t="shared" si="68"/>
        <v>0</v>
      </c>
      <c r="J284" s="123">
        <f t="shared" si="69"/>
        <v>0</v>
      </c>
      <c r="K284" s="105"/>
      <c r="L284" s="23"/>
      <c r="M284" s="106">
        <v>0</v>
      </c>
      <c r="N284" s="107">
        <v>0</v>
      </c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spans="1:28" ht="14.4">
      <c r="A285" s="23"/>
      <c r="B285" s="166"/>
      <c r="C285" s="178" t="str">
        <f>'Millwork &amp; Interior Trim'!B87</f>
        <v>x0812_Trim - 1 1/2" Wood Panel Decorative Trim - WD0077</v>
      </c>
      <c r="D285" s="115"/>
      <c r="E285" s="181">
        <f>'Millwork &amp; Interior Trim'!I87</f>
        <v>9.0091000000000001</v>
      </c>
      <c r="F285" s="180" t="str">
        <f>'Millwork &amp; Interior Trim'!J87</f>
        <v>LF</v>
      </c>
      <c r="G285" s="151">
        <v>0.12</v>
      </c>
      <c r="H285" s="118" t="s">
        <v>164</v>
      </c>
      <c r="I285" s="123">
        <f t="shared" si="68"/>
        <v>0</v>
      </c>
      <c r="J285" s="123">
        <f t="shared" si="69"/>
        <v>0</v>
      </c>
      <c r="K285" s="105"/>
      <c r="L285" s="23"/>
      <c r="M285" s="106">
        <v>0</v>
      </c>
      <c r="N285" s="107">
        <v>0</v>
      </c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spans="1:28" ht="14.4">
      <c r="A286" s="23"/>
      <c r="B286" s="166"/>
      <c r="C286" s="178" t="str">
        <f>'Millwork &amp; Interior Trim'!B88</f>
        <v>x0814_Trim - 3/4" Wood Trim - WD0077</v>
      </c>
      <c r="D286" s="115"/>
      <c r="E286" s="181">
        <f>'Millwork &amp; Interior Trim'!I88</f>
        <v>15.319599999999999</v>
      </c>
      <c r="F286" s="180" t="str">
        <f>'Millwork &amp; Interior Trim'!J88</f>
        <v>LF</v>
      </c>
      <c r="G286" s="151">
        <v>0.06</v>
      </c>
      <c r="H286" s="118" t="s">
        <v>164</v>
      </c>
      <c r="I286" s="123">
        <f t="shared" si="68"/>
        <v>0</v>
      </c>
      <c r="J286" s="123">
        <f t="shared" si="69"/>
        <v>0</v>
      </c>
      <c r="K286" s="105"/>
      <c r="L286" s="23"/>
      <c r="M286" s="106">
        <v>0</v>
      </c>
      <c r="N286" s="107">
        <v>0</v>
      </c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spans="1:28" ht="14.4">
      <c r="A287" s="23"/>
      <c r="B287" s="166"/>
      <c r="C287" s="182"/>
      <c r="D287" s="125" t="str">
        <f>C278</f>
        <v>INTERIOR TRIM</v>
      </c>
      <c r="E287" s="126" t="s">
        <v>159</v>
      </c>
      <c r="F287" s="183"/>
      <c r="G287" s="128"/>
      <c r="H287" s="129"/>
      <c r="I287" s="128">
        <f t="shared" ref="I287:J287" si="70">SUM(I279:I286)</f>
        <v>0</v>
      </c>
      <c r="J287" s="130">
        <f t="shared" si="70"/>
        <v>0</v>
      </c>
      <c r="K287" s="105"/>
      <c r="L287" s="23"/>
      <c r="M287" s="131"/>
      <c r="N287" s="132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spans="1:28" ht="15" customHeight="1">
      <c r="A288" s="48"/>
      <c r="B288" s="77"/>
      <c r="C288" s="185"/>
      <c r="D288" s="537" t="s">
        <v>160</v>
      </c>
      <c r="E288" s="532"/>
      <c r="F288" s="133">
        <v>0</v>
      </c>
      <c r="G288" s="174"/>
      <c r="H288" s="175"/>
      <c r="I288" s="174"/>
      <c r="J288" s="136">
        <f>F288*J287</f>
        <v>0</v>
      </c>
      <c r="K288" s="69"/>
      <c r="L288" s="48"/>
      <c r="M288" s="95"/>
      <c r="N288" s="96"/>
      <c r="O288" s="48"/>
      <c r="P288" s="48"/>
      <c r="Q288" s="48"/>
      <c r="R288" s="48"/>
      <c r="S288" s="48"/>
      <c r="T288" s="48"/>
      <c r="U288" s="48"/>
      <c r="V288" s="48"/>
      <c r="W288" s="55"/>
      <c r="X288" s="55"/>
      <c r="Y288" s="55"/>
      <c r="Z288" s="55"/>
      <c r="AA288" s="55"/>
      <c r="AB288" s="55"/>
    </row>
    <row r="289" spans="1:28" ht="15" customHeight="1">
      <c r="A289" s="48"/>
      <c r="B289" s="77"/>
      <c r="C289" s="185"/>
      <c r="D289" s="537" t="s">
        <v>161</v>
      </c>
      <c r="E289" s="532"/>
      <c r="F289" s="187"/>
      <c r="G289" s="138"/>
      <c r="H289" s="139"/>
      <c r="I289" s="138"/>
      <c r="J289" s="140">
        <f>SUM(J287:J288)</f>
        <v>0</v>
      </c>
      <c r="K289" s="69"/>
      <c r="L289" s="48"/>
      <c r="M289" s="95"/>
      <c r="N289" s="96"/>
      <c r="O289" s="48"/>
      <c r="P289" s="48"/>
      <c r="Q289" s="48"/>
      <c r="R289" s="48"/>
      <c r="S289" s="48"/>
      <c r="T289" s="48"/>
      <c r="U289" s="48"/>
      <c r="V289" s="48"/>
      <c r="W289" s="55"/>
      <c r="X289" s="55"/>
      <c r="Y289" s="55"/>
      <c r="Z289" s="55"/>
      <c r="AA289" s="55"/>
      <c r="AB289" s="55"/>
    </row>
    <row r="290" spans="1:28" ht="9.75" customHeight="1">
      <c r="A290" s="48"/>
      <c r="B290" s="77"/>
      <c r="C290" s="78"/>
      <c r="D290" s="79"/>
      <c r="E290" s="80"/>
      <c r="F290" s="81"/>
      <c r="G290" s="191"/>
      <c r="H290" s="192"/>
      <c r="I290" s="191"/>
      <c r="J290" s="191"/>
      <c r="K290" s="69"/>
      <c r="L290" s="48"/>
      <c r="M290" s="53"/>
      <c r="N290" s="54"/>
      <c r="O290" s="48"/>
      <c r="P290" s="48"/>
      <c r="Q290" s="48"/>
      <c r="R290" s="48"/>
      <c r="S290" s="48"/>
      <c r="T290" s="48"/>
      <c r="U290" s="48"/>
      <c r="V290" s="48"/>
      <c r="W290" s="55"/>
      <c r="X290" s="55"/>
      <c r="Y290" s="55"/>
      <c r="Z290" s="55"/>
      <c r="AA290" s="55"/>
      <c r="AB290" s="55"/>
    </row>
    <row r="291" spans="1:28" ht="14.4">
      <c r="A291" s="23"/>
      <c r="B291" s="166"/>
      <c r="C291" s="142" t="s">
        <v>176</v>
      </c>
      <c r="D291" s="100"/>
      <c r="E291" s="101"/>
      <c r="F291" s="102"/>
      <c r="G291" s="103"/>
      <c r="H291" s="104"/>
      <c r="I291" s="103"/>
      <c r="J291" s="103"/>
      <c r="K291" s="105"/>
      <c r="L291" s="23"/>
      <c r="M291" s="131"/>
      <c r="N291" s="132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spans="1:28" ht="14.4">
      <c r="A292" s="23"/>
      <c r="B292" s="166"/>
      <c r="C292" s="195" t="str">
        <f>Opening!B15</f>
        <v>Interior Door</v>
      </c>
      <c r="D292" s="195"/>
      <c r="E292" s="120"/>
      <c r="F292" s="120"/>
      <c r="G292" s="196"/>
      <c r="H292" s="118"/>
      <c r="I292" s="119"/>
      <c r="J292" s="119"/>
      <c r="K292" s="69"/>
      <c r="L292" s="48"/>
      <c r="M292" s="97"/>
      <c r="N292" s="96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spans="1:28" ht="14.4">
      <c r="A293" s="23"/>
      <c r="B293" s="166"/>
      <c r="C293" s="178" t="str">
        <f>Opening!B16</f>
        <v>Flush Hollow Metal Door, with Frame: SW7047SG, Min: 3 Coats LH Swing</v>
      </c>
      <c r="D293" s="178"/>
      <c r="E293" s="120"/>
      <c r="F293" s="120"/>
      <c r="G293" s="197"/>
      <c r="H293" s="118"/>
      <c r="I293" s="119"/>
      <c r="J293" s="119"/>
      <c r="K293" s="69"/>
      <c r="L293" s="48"/>
      <c r="M293" s="97"/>
      <c r="N293" s="96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spans="1:28" ht="14.4">
      <c r="A294" s="23"/>
      <c r="B294" s="166"/>
      <c r="C294" s="178" t="str">
        <f>Opening!B17</f>
        <v>3'-0''W X 7'-0''W</v>
      </c>
      <c r="D294" s="178"/>
      <c r="E294" s="120">
        <f>Opening!I17</f>
        <v>1</v>
      </c>
      <c r="F294" s="120" t="str">
        <f>Opening!J17</f>
        <v>EA</v>
      </c>
      <c r="G294" s="151">
        <v>3.5</v>
      </c>
      <c r="H294" s="122" t="s">
        <v>98</v>
      </c>
      <c r="I294" s="119">
        <f>E294*N294*(1+M294)</f>
        <v>0</v>
      </c>
      <c r="J294" s="119">
        <f>SUM(I294)</f>
        <v>0</v>
      </c>
      <c r="K294" s="69"/>
      <c r="L294" s="48"/>
      <c r="M294" s="97">
        <v>0</v>
      </c>
      <c r="N294" s="96">
        <f>Opening!L17</f>
        <v>0</v>
      </c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spans="1:28" ht="14.4">
      <c r="A295" s="23"/>
      <c r="B295" s="166"/>
      <c r="C295" s="178"/>
      <c r="D295" s="178"/>
      <c r="E295" s="120"/>
      <c r="F295" s="120"/>
      <c r="G295" s="151"/>
      <c r="H295" s="122"/>
      <c r="I295" s="119"/>
      <c r="J295" s="119"/>
      <c r="K295" s="69"/>
      <c r="L295" s="48"/>
      <c r="M295" s="97"/>
      <c r="N295" s="96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spans="1:28" ht="27">
      <c r="A296" s="23"/>
      <c r="B296" s="166"/>
      <c r="C296" s="178" t="str">
        <f>Opening!B19</f>
        <v>Flush w/ Narrow Lite Panel Hollow Metal Door, Finish: PL0019 with Frame: SW6258-SG, Min: 3 Coats Double Acting</v>
      </c>
      <c r="D296" s="178"/>
      <c r="E296" s="120"/>
      <c r="F296" s="120"/>
      <c r="G296" s="151"/>
      <c r="H296" s="122"/>
      <c r="I296" s="119"/>
      <c r="J296" s="119"/>
      <c r="K296" s="69"/>
      <c r="L296" s="48"/>
      <c r="M296" s="97"/>
      <c r="N296" s="96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spans="1:28" ht="14.4">
      <c r="A297" s="23"/>
      <c r="B297" s="166"/>
      <c r="C297" s="178" t="str">
        <f>Opening!B20</f>
        <v>3'-0''W X 7'-0''W</v>
      </c>
      <c r="D297" s="178"/>
      <c r="E297" s="120">
        <f>Opening!I20</f>
        <v>2</v>
      </c>
      <c r="F297" s="120" t="str">
        <f>Opening!J20</f>
        <v>EA</v>
      </c>
      <c r="G297" s="151">
        <v>4</v>
      </c>
      <c r="H297" s="122" t="s">
        <v>98</v>
      </c>
      <c r="I297" s="119">
        <f>E297*N297*(1+M297)</f>
        <v>0</v>
      </c>
      <c r="J297" s="119">
        <f>SUM(I297)</f>
        <v>0</v>
      </c>
      <c r="K297" s="69"/>
      <c r="L297" s="48"/>
      <c r="M297" s="97">
        <v>0</v>
      </c>
      <c r="N297" s="96">
        <f>Opening!L20</f>
        <v>0</v>
      </c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spans="1:28" ht="14.4">
      <c r="A298" s="23"/>
      <c r="B298" s="166"/>
      <c r="C298" s="178"/>
      <c r="D298" s="178"/>
      <c r="E298" s="120"/>
      <c r="F298" s="120"/>
      <c r="G298" s="151"/>
      <c r="H298" s="122"/>
      <c r="I298" s="119"/>
      <c r="J298" s="119"/>
      <c r="K298" s="69"/>
      <c r="L298" s="48"/>
      <c r="M298" s="97"/>
      <c r="N298" s="96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spans="1:28" ht="14.4">
      <c r="A299" s="23"/>
      <c r="B299" s="166"/>
      <c r="C299" s="195" t="str">
        <f>Opening!B22</f>
        <v>Door Hardware</v>
      </c>
      <c r="D299" s="178"/>
      <c r="E299" s="120"/>
      <c r="F299" s="120"/>
      <c r="G299" s="151"/>
      <c r="H299" s="122"/>
      <c r="I299" s="119"/>
      <c r="J299" s="119"/>
      <c r="K299" s="69"/>
      <c r="L299" s="48"/>
      <c r="M299" s="97"/>
      <c r="N299" s="96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spans="1:28" ht="14.4">
      <c r="A300" s="23"/>
      <c r="B300" s="166"/>
      <c r="C300" s="195" t="str">
        <f>Opening!B23</f>
        <v>Hardware Set No. 6</v>
      </c>
      <c r="D300" s="178"/>
      <c r="E300" s="120"/>
      <c r="F300" s="120"/>
      <c r="G300" s="151"/>
      <c r="H300" s="122"/>
      <c r="I300" s="119"/>
      <c r="J300" s="119"/>
      <c r="K300" s="69"/>
      <c r="L300" s="48"/>
      <c r="M300" s="97"/>
      <c r="N300" s="96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spans="1:28" ht="27">
      <c r="A301" s="23"/>
      <c r="B301" s="166"/>
      <c r="C301" s="178" t="str">
        <f>Opening!B24</f>
        <v>Hanging Items</v>
      </c>
      <c r="D301" s="178" t="str">
        <f>Opening!C24</f>
        <v>Manuf.: McKinney - Model: TA2714/MPB79 Hinge MacPro Bearing 4.5 x 4.5 Finish: 626</v>
      </c>
      <c r="E301" s="120">
        <f>Opening!I24</f>
        <v>6</v>
      </c>
      <c r="F301" s="120" t="str">
        <f>Opening!J24</f>
        <v>EA</v>
      </c>
      <c r="G301" s="151">
        <v>0.2</v>
      </c>
      <c r="H301" s="122" t="s">
        <v>164</v>
      </c>
      <c r="I301" s="119">
        <f t="shared" ref="I301:I306" si="71">E301*N301*(1+M301)</f>
        <v>0</v>
      </c>
      <c r="J301" s="119">
        <f t="shared" ref="J301:J306" si="72">SUM(I301)</f>
        <v>0</v>
      </c>
      <c r="K301" s="69"/>
      <c r="L301" s="48"/>
      <c r="M301" s="97">
        <v>0</v>
      </c>
      <c r="N301" s="96">
        <f>Opening!L24</f>
        <v>0</v>
      </c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spans="1:28" ht="27">
      <c r="A302" s="23"/>
      <c r="B302" s="166"/>
      <c r="C302" s="178" t="str">
        <f>Opening!B25</f>
        <v>Securing Devices</v>
      </c>
      <c r="D302" s="178" t="str">
        <f>Opening!C25</f>
        <v>Manuf.: Yale Lock - Model: PB5425LN Lock, Shallow Coin Turn, Privacy PB5425LN-693-497 1-3/4 Finish: 626</v>
      </c>
      <c r="E302" s="120">
        <f>Opening!I25</f>
        <v>2</v>
      </c>
      <c r="F302" s="120" t="str">
        <f>Opening!J25</f>
        <v>EA</v>
      </c>
      <c r="G302" s="151">
        <v>0.75</v>
      </c>
      <c r="H302" s="122" t="s">
        <v>164</v>
      </c>
      <c r="I302" s="119">
        <f t="shared" si="71"/>
        <v>0</v>
      </c>
      <c r="J302" s="119">
        <f t="shared" si="72"/>
        <v>0</v>
      </c>
      <c r="K302" s="69"/>
      <c r="L302" s="48"/>
      <c r="M302" s="97">
        <v>0</v>
      </c>
      <c r="N302" s="96">
        <f>Opening!L25</f>
        <v>0</v>
      </c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spans="1:28" ht="14.4">
      <c r="A303" s="23"/>
      <c r="B303" s="166"/>
      <c r="C303" s="178" t="str">
        <f>Opening!B26</f>
        <v>Closing Devices</v>
      </c>
      <c r="D303" s="178" t="str">
        <f>Opening!C26</f>
        <v>Manuf.: Dorma - Model: 8916 Door Closer 8916 AF89P Finish: 689</v>
      </c>
      <c r="E303" s="120">
        <f>Opening!I26</f>
        <v>2</v>
      </c>
      <c r="F303" s="120" t="str">
        <f>Opening!J26</f>
        <v>EA</v>
      </c>
      <c r="G303" s="151">
        <v>0.75</v>
      </c>
      <c r="H303" s="122" t="s">
        <v>164</v>
      </c>
      <c r="I303" s="119">
        <f t="shared" si="71"/>
        <v>0</v>
      </c>
      <c r="J303" s="119">
        <f t="shared" si="72"/>
        <v>0</v>
      </c>
      <c r="K303" s="69"/>
      <c r="L303" s="48"/>
      <c r="M303" s="97">
        <v>0</v>
      </c>
      <c r="N303" s="96">
        <f>Opening!L26</f>
        <v>0</v>
      </c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spans="1:28" ht="27">
      <c r="A304" s="23"/>
      <c r="B304" s="166"/>
      <c r="C304" s="178" t="str">
        <f>Opening!B27</f>
        <v>Protective Trim Units</v>
      </c>
      <c r="D304" s="178" t="str">
        <f>Opening!C27</f>
        <v>Manuf.: Rockwood - Model: K1050 B4E Kickplate 8" x 34" Each Side 32D Finish: 630</v>
      </c>
      <c r="E304" s="120">
        <f>Opening!I27</f>
        <v>4</v>
      </c>
      <c r="F304" s="120" t="str">
        <f>Opening!J27</f>
        <v>EA</v>
      </c>
      <c r="G304" s="151">
        <v>0.2</v>
      </c>
      <c r="H304" s="122" t="s">
        <v>164</v>
      </c>
      <c r="I304" s="119">
        <f t="shared" si="71"/>
        <v>0</v>
      </c>
      <c r="J304" s="119">
        <f t="shared" si="72"/>
        <v>0</v>
      </c>
      <c r="K304" s="69"/>
      <c r="L304" s="48"/>
      <c r="M304" s="97">
        <v>0</v>
      </c>
      <c r="N304" s="96">
        <f>Opening!L27</f>
        <v>0</v>
      </c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spans="1:28" ht="14.4">
      <c r="A305" s="23"/>
      <c r="B305" s="166"/>
      <c r="C305" s="178" t="str">
        <f>Opening!B28</f>
        <v>Accessories</v>
      </c>
      <c r="D305" s="178" t="str">
        <f>Opening!C28</f>
        <v>Manuf.: Glynn Johnson - Model: GJ64 Rubber Silencer Finish: Gray</v>
      </c>
      <c r="E305" s="120">
        <f>Opening!I28</f>
        <v>6</v>
      </c>
      <c r="F305" s="120" t="str">
        <f>Opening!J28</f>
        <v>EA</v>
      </c>
      <c r="G305" s="151">
        <v>0.03</v>
      </c>
      <c r="H305" s="122" t="s">
        <v>164</v>
      </c>
      <c r="I305" s="119">
        <f t="shared" si="71"/>
        <v>0</v>
      </c>
      <c r="J305" s="119">
        <f t="shared" si="72"/>
        <v>0</v>
      </c>
      <c r="K305" s="69"/>
      <c r="L305" s="48"/>
      <c r="M305" s="97">
        <v>0</v>
      </c>
      <c r="N305" s="96">
        <f>Opening!L28</f>
        <v>0</v>
      </c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spans="1:28" ht="14.4">
      <c r="A306" s="23"/>
      <c r="B306" s="166"/>
      <c r="C306" s="178" t="str">
        <f>Opening!B29</f>
        <v>Stops and Holders</v>
      </c>
      <c r="D306" s="178" t="str">
        <f>Opening!C29</f>
        <v>Manuf.: Rockwood - Model: 473 Door Stop w/ Hook Finish: 626</v>
      </c>
      <c r="E306" s="120">
        <f>Opening!I29</f>
        <v>2</v>
      </c>
      <c r="F306" s="120" t="str">
        <f>Opening!J29</f>
        <v>EA</v>
      </c>
      <c r="G306" s="151">
        <v>0.15</v>
      </c>
      <c r="H306" s="122" t="s">
        <v>164</v>
      </c>
      <c r="I306" s="119">
        <f t="shared" si="71"/>
        <v>0</v>
      </c>
      <c r="J306" s="119">
        <f t="shared" si="72"/>
        <v>0</v>
      </c>
      <c r="K306" s="69"/>
      <c r="L306" s="48"/>
      <c r="M306" s="97">
        <v>0</v>
      </c>
      <c r="N306" s="96">
        <f>Opening!L29</f>
        <v>0</v>
      </c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spans="1:28" ht="14.4">
      <c r="A307" s="23"/>
      <c r="B307" s="166"/>
      <c r="C307" s="178"/>
      <c r="D307" s="178"/>
      <c r="E307" s="120"/>
      <c r="F307" s="120"/>
      <c r="G307" s="151"/>
      <c r="H307" s="122"/>
      <c r="I307" s="119"/>
      <c r="J307" s="119"/>
      <c r="K307" s="69"/>
      <c r="L307" s="48"/>
      <c r="M307" s="97"/>
      <c r="N307" s="96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spans="1:28" ht="14.4">
      <c r="A308" s="23"/>
      <c r="B308" s="166"/>
      <c r="C308" s="195" t="str">
        <f>Opening!B31</f>
        <v>Hardware Set No. 11</v>
      </c>
      <c r="D308" s="178"/>
      <c r="E308" s="120"/>
      <c r="F308" s="120"/>
      <c r="G308" s="151"/>
      <c r="H308" s="122"/>
      <c r="I308" s="119"/>
      <c r="J308" s="119"/>
      <c r="K308" s="69"/>
      <c r="L308" s="48"/>
      <c r="M308" s="97"/>
      <c r="N308" s="96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spans="1:28" ht="14.4">
      <c r="A309" s="23"/>
      <c r="B309" s="166"/>
      <c r="C309" s="178" t="str">
        <f>Opening!B32</f>
        <v>Traffice Door Package</v>
      </c>
      <c r="D309" s="178" t="str">
        <f>Opening!C32</f>
        <v>Manuf: Eliason - Model: SCP8 36" x 84", Finish: as selected by owner</v>
      </c>
      <c r="E309" s="120">
        <f>Opening!I32</f>
        <v>2</v>
      </c>
      <c r="F309" s="120" t="str">
        <f>Opening!J32</f>
        <v>EA</v>
      </c>
      <c r="G309" s="151">
        <v>2</v>
      </c>
      <c r="H309" s="122" t="s">
        <v>98</v>
      </c>
      <c r="I309" s="119">
        <f>E309*N309*(1+M309)</f>
        <v>0</v>
      </c>
      <c r="J309" s="119">
        <f>SUM(I309)</f>
        <v>0</v>
      </c>
      <c r="K309" s="69"/>
      <c r="L309" s="48"/>
      <c r="M309" s="97">
        <v>0</v>
      </c>
      <c r="N309" s="96">
        <f>Opening!L32</f>
        <v>0</v>
      </c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spans="1:28" ht="14.4">
      <c r="A310" s="23"/>
      <c r="B310" s="166"/>
      <c r="C310" s="178"/>
      <c r="D310" s="178"/>
      <c r="E310" s="120"/>
      <c r="F310" s="120"/>
      <c r="G310" s="151"/>
      <c r="H310" s="122"/>
      <c r="I310" s="119"/>
      <c r="J310" s="119"/>
      <c r="K310" s="69"/>
      <c r="L310" s="48"/>
      <c r="M310" s="97"/>
      <c r="N310" s="96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spans="1:28" ht="14.4">
      <c r="A311" s="23"/>
      <c r="B311" s="166"/>
      <c r="C311" s="195" t="str">
        <f>Opening!B34</f>
        <v>Hardware Set No. 15</v>
      </c>
      <c r="D311" s="178"/>
      <c r="E311" s="120"/>
      <c r="F311" s="120"/>
      <c r="G311" s="151"/>
      <c r="H311" s="122"/>
      <c r="I311" s="119"/>
      <c r="J311" s="119"/>
      <c r="K311" s="69"/>
      <c r="L311" s="48"/>
      <c r="M311" s="97"/>
      <c r="N311" s="96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spans="1:28" ht="14.4">
      <c r="A312" s="23"/>
      <c r="B312" s="166"/>
      <c r="C312" s="178" t="str">
        <f>Opening!B35</f>
        <v>Hanging Devices</v>
      </c>
      <c r="D312" s="178" t="str">
        <f>Opening!C35</f>
        <v>Manuf.: McKinney - Model: TA2714/MPB79 Finish: 626</v>
      </c>
      <c r="E312" s="120">
        <f>Opening!I35</f>
        <v>3</v>
      </c>
      <c r="F312" s="120" t="str">
        <f>Opening!J35</f>
        <v>EA</v>
      </c>
      <c r="G312" s="151">
        <v>0.2</v>
      </c>
      <c r="H312" s="122" t="s">
        <v>164</v>
      </c>
      <c r="I312" s="119">
        <f t="shared" ref="I312:I318" si="73">E312*N312*(1+M312)</f>
        <v>0</v>
      </c>
      <c r="J312" s="119">
        <f t="shared" ref="J312:J318" si="74">SUM(I312)</f>
        <v>0</v>
      </c>
      <c r="K312" s="69"/>
      <c r="L312" s="48"/>
      <c r="M312" s="97">
        <v>0</v>
      </c>
      <c r="N312" s="96">
        <f>Opening!L35</f>
        <v>0</v>
      </c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spans="1:28" ht="27">
      <c r="A313" s="23"/>
      <c r="B313" s="166"/>
      <c r="C313" s="178" t="str">
        <f>Opening!B36</f>
        <v>Securing Devices</v>
      </c>
      <c r="D313" s="178" t="str">
        <f>Opening!C36</f>
        <v>Manuf.: Yale Lock - Model: B-PB4540SLNIC Lever Storeroom LC B-PB4540SLN-693-497 1-3/4 Finish: 626</v>
      </c>
      <c r="E313" s="120">
        <f>Opening!I36</f>
        <v>1</v>
      </c>
      <c r="F313" s="120" t="str">
        <f>Opening!J36</f>
        <v>EA</v>
      </c>
      <c r="G313" s="151">
        <v>0.75</v>
      </c>
      <c r="H313" s="122" t="s">
        <v>164</v>
      </c>
      <c r="I313" s="119">
        <f t="shared" si="73"/>
        <v>0</v>
      </c>
      <c r="J313" s="119">
        <f t="shared" si="74"/>
        <v>0</v>
      </c>
      <c r="K313" s="69"/>
      <c r="L313" s="48"/>
      <c r="M313" s="97">
        <v>0</v>
      </c>
      <c r="N313" s="96">
        <f>Opening!L36</f>
        <v>0</v>
      </c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spans="1:28" ht="27">
      <c r="A314" s="23"/>
      <c r="B314" s="166"/>
      <c r="C314" s="178" t="str">
        <f>Opening!B37</f>
        <v>Securing Devices</v>
      </c>
      <c r="D314" s="178" t="str">
        <f>Opening!C37</f>
        <v>Manuf.: Falcon Lock - Model: C607 7-Pin Core Combinated "A" Keyway Finish: 626</v>
      </c>
      <c r="E314" s="120">
        <f>Opening!I37</f>
        <v>1</v>
      </c>
      <c r="F314" s="120" t="str">
        <f>Opening!J37</f>
        <v>EA</v>
      </c>
      <c r="G314" s="151">
        <v>0.1</v>
      </c>
      <c r="H314" s="122" t="s">
        <v>164</v>
      </c>
      <c r="I314" s="119">
        <f t="shared" si="73"/>
        <v>0</v>
      </c>
      <c r="J314" s="119">
        <f t="shared" si="74"/>
        <v>0</v>
      </c>
      <c r="K314" s="69"/>
      <c r="L314" s="48"/>
      <c r="M314" s="97">
        <v>0</v>
      </c>
      <c r="N314" s="96">
        <f>Opening!L37</f>
        <v>0</v>
      </c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spans="1:28" ht="14.4">
      <c r="A315" s="23"/>
      <c r="B315" s="166"/>
      <c r="C315" s="178" t="str">
        <f>Opening!B38</f>
        <v>Closing Devices</v>
      </c>
      <c r="D315" s="178" t="str">
        <f>Opening!C38</f>
        <v>Manuf.: Dorma - Model: 8916 Door Closer 8916 AF89P AL Finish: 689</v>
      </c>
      <c r="E315" s="120">
        <f>Opening!I38</f>
        <v>1</v>
      </c>
      <c r="F315" s="120" t="str">
        <f>Opening!J38</f>
        <v>EA</v>
      </c>
      <c r="G315" s="151">
        <v>0.75</v>
      </c>
      <c r="H315" s="122" t="s">
        <v>164</v>
      </c>
      <c r="I315" s="119">
        <f t="shared" si="73"/>
        <v>0</v>
      </c>
      <c r="J315" s="119">
        <f t="shared" si="74"/>
        <v>0</v>
      </c>
      <c r="K315" s="69"/>
      <c r="L315" s="48"/>
      <c r="M315" s="97">
        <v>0</v>
      </c>
      <c r="N315" s="96">
        <f>Opening!L38</f>
        <v>0</v>
      </c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spans="1:28" ht="14.4">
      <c r="A316" s="23"/>
      <c r="B316" s="166"/>
      <c r="C316" s="178" t="str">
        <f>Opening!B39</f>
        <v>Protective Trim Units</v>
      </c>
      <c r="D316" s="178" t="str">
        <f>Opening!C39</f>
        <v>Manuf.: Rockwood - Model: K1050 B4E Kickplate 10" x 2" LDW Finish: 630</v>
      </c>
      <c r="E316" s="120">
        <f>Opening!I39</f>
        <v>1</v>
      </c>
      <c r="F316" s="120" t="str">
        <f>Opening!J39</f>
        <v>EA</v>
      </c>
      <c r="G316" s="151">
        <v>0.2</v>
      </c>
      <c r="H316" s="122" t="s">
        <v>164</v>
      </c>
      <c r="I316" s="119">
        <f t="shared" si="73"/>
        <v>0</v>
      </c>
      <c r="J316" s="119">
        <f t="shared" si="74"/>
        <v>0</v>
      </c>
      <c r="K316" s="69"/>
      <c r="L316" s="48"/>
      <c r="M316" s="97">
        <v>0</v>
      </c>
      <c r="N316" s="96">
        <f>Opening!L39</f>
        <v>0</v>
      </c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spans="1:28" ht="14.4">
      <c r="A317" s="23"/>
      <c r="B317" s="166"/>
      <c r="C317" s="178" t="str">
        <f>Opening!B40</f>
        <v>Accessories</v>
      </c>
      <c r="D317" s="178" t="str">
        <f>Opening!C40</f>
        <v>Manuf.: National Guard - Model: 137NA Weather Strip 17" 36" x 84" Finish: A</v>
      </c>
      <c r="E317" s="120">
        <f>Opening!I40</f>
        <v>1</v>
      </c>
      <c r="F317" s="120" t="str">
        <f>Opening!J40</f>
        <v>EA</v>
      </c>
      <c r="G317" s="151">
        <v>0.6</v>
      </c>
      <c r="H317" s="122" t="s">
        <v>164</v>
      </c>
      <c r="I317" s="119">
        <f t="shared" si="73"/>
        <v>0</v>
      </c>
      <c r="J317" s="119">
        <f t="shared" si="74"/>
        <v>0</v>
      </c>
      <c r="K317" s="69"/>
      <c r="L317" s="48"/>
      <c r="M317" s="97">
        <v>0</v>
      </c>
      <c r="N317" s="96">
        <f>Opening!L40</f>
        <v>0</v>
      </c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spans="1:28" ht="14.4">
      <c r="A318" s="23"/>
      <c r="B318" s="166"/>
      <c r="C318" s="178" t="str">
        <f>Opening!B41</f>
        <v>Stops and Holders</v>
      </c>
      <c r="D318" s="178" t="str">
        <f>Opening!C41</f>
        <v>Manuf.: Rockwood - Model: 473 Door Stop w/ Hook Finish: 626</v>
      </c>
      <c r="E318" s="120">
        <f>Opening!I41</f>
        <v>1</v>
      </c>
      <c r="F318" s="120" t="str">
        <f>Opening!J41</f>
        <v>EA</v>
      </c>
      <c r="G318" s="151">
        <v>0.15</v>
      </c>
      <c r="H318" s="122" t="s">
        <v>164</v>
      </c>
      <c r="I318" s="119">
        <f t="shared" si="73"/>
        <v>0</v>
      </c>
      <c r="J318" s="119">
        <f t="shared" si="74"/>
        <v>0</v>
      </c>
      <c r="K318" s="69"/>
      <c r="L318" s="48"/>
      <c r="M318" s="97">
        <v>0</v>
      </c>
      <c r="N318" s="96">
        <f>Opening!L41</f>
        <v>0</v>
      </c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spans="1:28" ht="14.4">
      <c r="A319" s="23"/>
      <c r="B319" s="166"/>
      <c r="C319" s="124"/>
      <c r="D319" s="153" t="str">
        <f>C291</f>
        <v>OPENING</v>
      </c>
      <c r="E319" s="154" t="s">
        <v>159</v>
      </c>
      <c r="F319" s="127"/>
      <c r="G319" s="155"/>
      <c r="H319" s="156"/>
      <c r="I319" s="155">
        <f t="shared" ref="I319:J319" si="75">SUM(I292:I318)</f>
        <v>0</v>
      </c>
      <c r="J319" s="157">
        <f t="shared" si="75"/>
        <v>0</v>
      </c>
      <c r="K319" s="105"/>
      <c r="L319" s="23"/>
      <c r="M319" s="131"/>
      <c r="N319" s="132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spans="1:28" ht="15" customHeight="1">
      <c r="A320" s="48"/>
      <c r="B320" s="77"/>
      <c r="C320" s="78"/>
      <c r="D320" s="533" t="s">
        <v>160</v>
      </c>
      <c r="E320" s="532"/>
      <c r="F320" s="158">
        <v>0</v>
      </c>
      <c r="G320" s="159"/>
      <c r="H320" s="160"/>
      <c r="I320" s="159"/>
      <c r="J320" s="161">
        <f>F320*J319</f>
        <v>0</v>
      </c>
      <c r="K320" s="69"/>
      <c r="L320" s="48"/>
      <c r="M320" s="95"/>
      <c r="N320" s="96"/>
      <c r="O320" s="48"/>
      <c r="P320" s="48"/>
      <c r="Q320" s="48"/>
      <c r="R320" s="48"/>
      <c r="S320" s="48"/>
      <c r="T320" s="48"/>
      <c r="U320" s="48"/>
      <c r="V320" s="48"/>
      <c r="W320" s="55"/>
      <c r="X320" s="55"/>
      <c r="Y320" s="55"/>
      <c r="Z320" s="55"/>
      <c r="AA320" s="55"/>
      <c r="AB320" s="55"/>
    </row>
    <row r="321" spans="1:28" ht="15" customHeight="1">
      <c r="A321" s="48"/>
      <c r="B321" s="77"/>
      <c r="C321" s="78"/>
      <c r="D321" s="533" t="s">
        <v>161</v>
      </c>
      <c r="E321" s="532"/>
      <c r="F321" s="162"/>
      <c r="G321" s="163"/>
      <c r="H321" s="164"/>
      <c r="I321" s="163"/>
      <c r="J321" s="165">
        <f>SUM(J319:J320)</f>
        <v>0</v>
      </c>
      <c r="K321" s="69"/>
      <c r="L321" s="48"/>
      <c r="M321" s="95"/>
      <c r="N321" s="96"/>
      <c r="O321" s="48"/>
      <c r="P321" s="48"/>
      <c r="Q321" s="48"/>
      <c r="R321" s="48"/>
      <c r="S321" s="48"/>
      <c r="T321" s="48"/>
      <c r="U321" s="48"/>
      <c r="V321" s="48"/>
      <c r="W321" s="55"/>
      <c r="X321" s="55"/>
      <c r="Y321" s="55"/>
      <c r="Z321" s="55"/>
      <c r="AA321" s="55"/>
      <c r="AB321" s="55"/>
    </row>
    <row r="322" spans="1:28" ht="9.75" customHeight="1">
      <c r="A322" s="48"/>
      <c r="B322" s="77"/>
      <c r="C322" s="78"/>
      <c r="D322" s="79"/>
      <c r="E322" s="80"/>
      <c r="F322" s="81"/>
      <c r="G322" s="191"/>
      <c r="H322" s="192"/>
      <c r="I322" s="191"/>
      <c r="J322" s="191"/>
      <c r="K322" s="69"/>
      <c r="L322" s="48"/>
      <c r="M322" s="53"/>
      <c r="N322" s="54"/>
      <c r="O322" s="48"/>
      <c r="P322" s="48"/>
      <c r="Q322" s="48"/>
      <c r="R322" s="48"/>
      <c r="S322" s="48"/>
      <c r="T322" s="48"/>
      <c r="U322" s="48"/>
      <c r="V322" s="48"/>
      <c r="W322" s="55"/>
      <c r="X322" s="55"/>
      <c r="Y322" s="55"/>
      <c r="Z322" s="55"/>
      <c r="AA322" s="55"/>
      <c r="AB322" s="55"/>
    </row>
    <row r="323" spans="1:28" ht="14.4">
      <c r="A323" s="23"/>
      <c r="B323" s="166"/>
      <c r="C323" s="142" t="s">
        <v>177</v>
      </c>
      <c r="D323" s="100"/>
      <c r="E323" s="101"/>
      <c r="F323" s="102"/>
      <c r="G323" s="103"/>
      <c r="H323" s="104"/>
      <c r="I323" s="103"/>
      <c r="J323" s="103"/>
      <c r="K323" s="105"/>
      <c r="L323" s="23"/>
      <c r="M323" s="131"/>
      <c r="N323" s="132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spans="1:28" ht="14.4">
      <c r="A324" s="23"/>
      <c r="B324" s="166"/>
      <c r="C324" s="195" t="str">
        <f>'Millwork &amp; Interior Trim'!B16</f>
        <v>MILLWORK ITEMS SHOWN ON PLANS</v>
      </c>
      <c r="D324" s="198"/>
      <c r="E324" s="120"/>
      <c r="F324" s="120"/>
      <c r="G324" s="196"/>
      <c r="H324" s="118"/>
      <c r="I324" s="119"/>
      <c r="J324" s="119"/>
      <c r="K324" s="69"/>
      <c r="L324" s="48"/>
      <c r="M324" s="97"/>
      <c r="N324" s="96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spans="1:28" ht="14.4">
      <c r="A325" s="23"/>
      <c r="B325" s="166"/>
      <c r="C325" s="195" t="str">
        <f>'Millwork &amp; Interior Trim'!B17</f>
        <v>BACKBAR</v>
      </c>
      <c r="D325" s="121"/>
      <c r="E325" s="120"/>
      <c r="F325" s="120"/>
      <c r="G325" s="196"/>
      <c r="H325" s="118"/>
      <c r="I325" s="119"/>
      <c r="J325" s="119"/>
      <c r="K325" s="69"/>
      <c r="L325" s="48"/>
      <c r="M325" s="97"/>
      <c r="N325" s="96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spans="1:28" ht="14.4">
      <c r="A326" s="23"/>
      <c r="B326" s="166"/>
      <c r="C326" s="178" t="str">
        <f>'Millwork &amp; Interior Trim'!B18</f>
        <v>22395_Countertop - Hand Sink Low Splash - 15in 380mm</v>
      </c>
      <c r="D326" s="121"/>
      <c r="E326" s="120">
        <f>'Millwork &amp; Interior Trim'!I18</f>
        <v>2</v>
      </c>
      <c r="F326" s="120" t="str">
        <f>'Millwork &amp; Interior Trim'!J18</f>
        <v>EA</v>
      </c>
      <c r="G326" s="151">
        <v>1.5</v>
      </c>
      <c r="H326" s="122" t="s">
        <v>98</v>
      </c>
      <c r="I326" s="119">
        <f t="shared" ref="I326:I350" si="76">E326*N326*(1+M326)</f>
        <v>0</v>
      </c>
      <c r="J326" s="119">
        <f t="shared" ref="J326:J350" si="77">SUM(I326)</f>
        <v>0</v>
      </c>
      <c r="K326" s="69"/>
      <c r="L326" s="48"/>
      <c r="M326" s="97">
        <v>0</v>
      </c>
      <c r="N326" s="96">
        <v>0</v>
      </c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spans="1:28" ht="14.4">
      <c r="A327" s="23"/>
      <c r="B327" s="166"/>
      <c r="C327" s="178" t="str">
        <f>'Millwork &amp; Interior Trim'!B19</f>
        <v>x0106_Countertop - Filler Backbar - Variable Length</v>
      </c>
      <c r="D327" s="121"/>
      <c r="E327" s="120">
        <f>'Millwork &amp; Interior Trim'!I19</f>
        <v>1</v>
      </c>
      <c r="F327" s="120" t="str">
        <f>'Millwork &amp; Interior Trim'!J19</f>
        <v>EA</v>
      </c>
      <c r="G327" s="151">
        <v>1</v>
      </c>
      <c r="H327" s="122" t="s">
        <v>98</v>
      </c>
      <c r="I327" s="119">
        <f t="shared" si="76"/>
        <v>0</v>
      </c>
      <c r="J327" s="119">
        <f t="shared" si="77"/>
        <v>0</v>
      </c>
      <c r="K327" s="69"/>
      <c r="L327" s="48"/>
      <c r="M327" s="97">
        <v>0</v>
      </c>
      <c r="N327" s="96">
        <v>0</v>
      </c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spans="1:28" ht="14.4">
      <c r="A328" s="23"/>
      <c r="B328" s="166"/>
      <c r="C328" s="178" t="str">
        <f>'Millwork &amp; Interior Trim'!B20</f>
        <v>x0108_Countertop - Warming - RF - 92in 2335mm</v>
      </c>
      <c r="D328" s="121"/>
      <c r="E328" s="120">
        <f>'Millwork &amp; Interior Trim'!I20</f>
        <v>1</v>
      </c>
      <c r="F328" s="120" t="str">
        <f>'Millwork &amp; Interior Trim'!J20</f>
        <v>EA</v>
      </c>
      <c r="G328" s="151">
        <v>2.5</v>
      </c>
      <c r="H328" s="122" t="s">
        <v>98</v>
      </c>
      <c r="I328" s="119">
        <f t="shared" si="76"/>
        <v>0</v>
      </c>
      <c r="J328" s="119">
        <f t="shared" si="77"/>
        <v>0</v>
      </c>
      <c r="K328" s="69"/>
      <c r="L328" s="48"/>
      <c r="M328" s="97">
        <v>0</v>
      </c>
      <c r="N328" s="96">
        <v>0</v>
      </c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spans="1:28" ht="14.4">
      <c r="A329" s="23"/>
      <c r="B329" s="166"/>
      <c r="C329" s="178" t="str">
        <f>'Millwork &amp; Interior Trim'!B21</f>
        <v>x0107_Countertop - Brew - RF - 80in 2285mm</v>
      </c>
      <c r="D329" s="121"/>
      <c r="E329" s="120">
        <f>'Millwork &amp; Interior Trim'!I21</f>
        <v>1</v>
      </c>
      <c r="F329" s="120" t="str">
        <f>'Millwork &amp; Interior Trim'!J21</f>
        <v>EA</v>
      </c>
      <c r="G329" s="151">
        <v>2.2999999999999998</v>
      </c>
      <c r="H329" s="122" t="s">
        <v>98</v>
      </c>
      <c r="I329" s="119">
        <f t="shared" si="76"/>
        <v>0</v>
      </c>
      <c r="J329" s="119">
        <f t="shared" si="77"/>
        <v>0</v>
      </c>
      <c r="K329" s="69"/>
      <c r="L329" s="48"/>
      <c r="M329" s="97">
        <v>0</v>
      </c>
      <c r="N329" s="96">
        <v>0</v>
      </c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spans="1:28" ht="14.4">
      <c r="A330" s="23"/>
      <c r="B330" s="166"/>
      <c r="C330" s="178" t="str">
        <f>'Millwork &amp; Interior Trim'!B22</f>
        <v>x0105_Countertop - Custom Rounded Wood Edge WD0077</v>
      </c>
      <c r="D330" s="121"/>
      <c r="E330" s="120">
        <f>'Millwork &amp; Interior Trim'!I22</f>
        <v>1</v>
      </c>
      <c r="F330" s="120" t="str">
        <f>'Millwork &amp; Interior Trim'!J22</f>
        <v>EA</v>
      </c>
      <c r="G330" s="151">
        <v>1.8</v>
      </c>
      <c r="H330" s="122" t="s">
        <v>98</v>
      </c>
      <c r="I330" s="119">
        <f t="shared" si="76"/>
        <v>0</v>
      </c>
      <c r="J330" s="119">
        <f t="shared" si="77"/>
        <v>0</v>
      </c>
      <c r="K330" s="69"/>
      <c r="L330" s="48"/>
      <c r="M330" s="97">
        <v>0</v>
      </c>
      <c r="N330" s="96">
        <v>0</v>
      </c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spans="1:28" ht="14.4">
      <c r="A331" s="23"/>
      <c r="B331" s="166"/>
      <c r="C331" s="178" t="str">
        <f>'Millwork &amp; Interior Trim'!B23</f>
        <v>21928_Countertop - End Cap Backbar</v>
      </c>
      <c r="D331" s="121"/>
      <c r="E331" s="120">
        <f>'Millwork &amp; Interior Trim'!I23</f>
        <v>1</v>
      </c>
      <c r="F331" s="120" t="str">
        <f>'Millwork &amp; Interior Trim'!J23</f>
        <v>EA</v>
      </c>
      <c r="G331" s="151">
        <v>0.8</v>
      </c>
      <c r="H331" s="122" t="s">
        <v>164</v>
      </c>
      <c r="I331" s="119">
        <f t="shared" si="76"/>
        <v>0</v>
      </c>
      <c r="J331" s="119">
        <f t="shared" si="77"/>
        <v>0</v>
      </c>
      <c r="K331" s="69"/>
      <c r="L331" s="48"/>
      <c r="M331" s="97">
        <v>0</v>
      </c>
      <c r="N331" s="96">
        <v>0</v>
      </c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spans="1:28" ht="14.4">
      <c r="A332" s="23"/>
      <c r="B332" s="166"/>
      <c r="C332" s="178" t="str">
        <f>'Millwork &amp; Interior Trim'!B24</f>
        <v>x0102_Countertop - CBE Rinse Sink 90lb Ice Bin</v>
      </c>
      <c r="D332" s="121"/>
      <c r="E332" s="120">
        <f>'Millwork &amp; Interior Trim'!I24</f>
        <v>1</v>
      </c>
      <c r="F332" s="120" t="str">
        <f>'Millwork &amp; Interior Trim'!J24</f>
        <v>EA</v>
      </c>
      <c r="G332" s="151">
        <v>1.5</v>
      </c>
      <c r="H332" s="122" t="s">
        <v>98</v>
      </c>
      <c r="I332" s="119">
        <f t="shared" si="76"/>
        <v>0</v>
      </c>
      <c r="J332" s="119">
        <f t="shared" si="77"/>
        <v>0</v>
      </c>
      <c r="K332" s="69"/>
      <c r="L332" s="48"/>
      <c r="M332" s="97">
        <v>0</v>
      </c>
      <c r="N332" s="96">
        <v>0</v>
      </c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spans="1:28" ht="14.4">
      <c r="A333" s="23"/>
      <c r="B333" s="166"/>
      <c r="C333" s="178" t="str">
        <f>'Millwork &amp; Interior Trim'!B25</f>
        <v>x0104_Countertop - Custom Rounded Wood Edge WD0077</v>
      </c>
      <c r="D333" s="121"/>
      <c r="E333" s="120">
        <f>'Millwork &amp; Interior Trim'!I25</f>
        <v>1</v>
      </c>
      <c r="F333" s="120" t="str">
        <f>'Millwork &amp; Interior Trim'!J25</f>
        <v>EA</v>
      </c>
      <c r="G333" s="151">
        <v>1.8</v>
      </c>
      <c r="H333" s="122" t="s">
        <v>98</v>
      </c>
      <c r="I333" s="119">
        <f t="shared" si="76"/>
        <v>0</v>
      </c>
      <c r="J333" s="119">
        <f t="shared" si="77"/>
        <v>0</v>
      </c>
      <c r="K333" s="69"/>
      <c r="L333" s="48"/>
      <c r="M333" s="97">
        <v>0</v>
      </c>
      <c r="N333" s="96">
        <v>0</v>
      </c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spans="1:28" ht="14.4">
      <c r="A334" s="23"/>
      <c r="B334" s="166"/>
      <c r="C334" s="178" t="str">
        <f>'Millwork &amp; Interior Trim'!B26</f>
        <v>21918_Countertop - Filler Frontbar - Variable Length</v>
      </c>
      <c r="D334" s="121"/>
      <c r="E334" s="120">
        <f>'Millwork &amp; Interior Trim'!I26</f>
        <v>1</v>
      </c>
      <c r="F334" s="120" t="str">
        <f>'Millwork &amp; Interior Trim'!J26</f>
        <v>EA</v>
      </c>
      <c r="G334" s="151">
        <v>0.6</v>
      </c>
      <c r="H334" s="122" t="s">
        <v>164</v>
      </c>
      <c r="I334" s="119">
        <f t="shared" si="76"/>
        <v>0</v>
      </c>
      <c r="J334" s="119">
        <f t="shared" si="77"/>
        <v>0</v>
      </c>
      <c r="K334" s="69"/>
      <c r="L334" s="48"/>
      <c r="M334" s="97">
        <v>0</v>
      </c>
      <c r="N334" s="96">
        <v>0</v>
      </c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spans="1:28" ht="14.4">
      <c r="A335" s="23"/>
      <c r="B335" s="166"/>
      <c r="C335" s="178" t="str">
        <f>'Millwork &amp; Interior Trim'!B27</f>
        <v>22353_Countertop - Espresso Frontbar - RF - 14in 3580mm</v>
      </c>
      <c r="D335" s="121"/>
      <c r="E335" s="120">
        <f>'Millwork &amp; Interior Trim'!I27</f>
        <v>1</v>
      </c>
      <c r="F335" s="120" t="str">
        <f>'Millwork &amp; Interior Trim'!J27</f>
        <v>EA</v>
      </c>
      <c r="G335" s="151">
        <v>3.5</v>
      </c>
      <c r="H335" s="122" t="s">
        <v>178</v>
      </c>
      <c r="I335" s="119">
        <f t="shared" si="76"/>
        <v>0</v>
      </c>
      <c r="J335" s="119">
        <f t="shared" si="77"/>
        <v>0</v>
      </c>
      <c r="K335" s="69"/>
      <c r="L335" s="48"/>
      <c r="M335" s="97">
        <v>0</v>
      </c>
      <c r="N335" s="96">
        <v>0</v>
      </c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spans="1:28" ht="14.4">
      <c r="A336" s="23"/>
      <c r="B336" s="166"/>
      <c r="C336" s="178" t="str">
        <f>'Millwork &amp; Interior Trim'!B28</f>
        <v>22354_Countertop - Espresso Shroud - 14in 3580mm</v>
      </c>
      <c r="D336" s="121"/>
      <c r="E336" s="120">
        <f>'Millwork &amp; Interior Trim'!I28</f>
        <v>1</v>
      </c>
      <c r="F336" s="120" t="str">
        <f>'Millwork &amp; Interior Trim'!J28</f>
        <v>EA</v>
      </c>
      <c r="G336" s="151">
        <v>2</v>
      </c>
      <c r="H336" s="122" t="s">
        <v>98</v>
      </c>
      <c r="I336" s="119">
        <f t="shared" si="76"/>
        <v>0</v>
      </c>
      <c r="J336" s="119">
        <f t="shared" si="77"/>
        <v>0</v>
      </c>
      <c r="K336" s="69"/>
      <c r="L336" s="48"/>
      <c r="M336" s="97">
        <v>0</v>
      </c>
      <c r="N336" s="96">
        <v>0</v>
      </c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spans="1:28" ht="14.4">
      <c r="A337" s="23"/>
      <c r="B337" s="166"/>
      <c r="C337" s="178" t="str">
        <f>'Millwork &amp; Interior Trim'!B29</f>
        <v>21920_Countertop - Frontbar - 15in 380mm</v>
      </c>
      <c r="D337" s="121"/>
      <c r="E337" s="120">
        <f>'Millwork &amp; Interior Trim'!I29</f>
        <v>2</v>
      </c>
      <c r="F337" s="120" t="str">
        <f>'Millwork &amp; Interior Trim'!J29</f>
        <v>EA</v>
      </c>
      <c r="G337" s="151">
        <v>1.4</v>
      </c>
      <c r="H337" s="122" t="s">
        <v>98</v>
      </c>
      <c r="I337" s="119">
        <f t="shared" si="76"/>
        <v>0</v>
      </c>
      <c r="J337" s="119">
        <f t="shared" si="77"/>
        <v>0</v>
      </c>
      <c r="K337" s="69"/>
      <c r="L337" s="48"/>
      <c r="M337" s="97">
        <v>0</v>
      </c>
      <c r="N337" s="96">
        <v>0</v>
      </c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spans="1:28" ht="14.4">
      <c r="A338" s="23"/>
      <c r="B338" s="166"/>
      <c r="C338" s="178" t="str">
        <f>'Millwork &amp; Interior Trim'!B30</f>
        <v>22407_Countertop - Corner Frontbar Rounded</v>
      </c>
      <c r="D338" s="121"/>
      <c r="E338" s="120">
        <f>'Millwork &amp; Interior Trim'!I30</f>
        <v>1</v>
      </c>
      <c r="F338" s="120" t="str">
        <f>'Millwork &amp; Interior Trim'!J30</f>
        <v>EA</v>
      </c>
      <c r="G338" s="151">
        <v>2</v>
      </c>
      <c r="H338" s="122" t="s">
        <v>98</v>
      </c>
      <c r="I338" s="119">
        <f t="shared" si="76"/>
        <v>0</v>
      </c>
      <c r="J338" s="119">
        <f t="shared" si="77"/>
        <v>0</v>
      </c>
      <c r="K338" s="69"/>
      <c r="L338" s="48"/>
      <c r="M338" s="97">
        <v>0</v>
      </c>
      <c r="N338" s="96">
        <v>0</v>
      </c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spans="1:28" ht="14.4">
      <c r="A339" s="23"/>
      <c r="B339" s="166"/>
      <c r="C339" s="178" t="str">
        <f>'Millwork &amp; Interior Trim'!B31</f>
        <v>24280_Countertop - HOS Frontbar - 60in 1525mm</v>
      </c>
      <c r="D339" s="121"/>
      <c r="E339" s="120">
        <f>'Millwork &amp; Interior Trim'!I31</f>
        <v>1</v>
      </c>
      <c r="F339" s="120" t="str">
        <f>'Millwork &amp; Interior Trim'!J31</f>
        <v>EA</v>
      </c>
      <c r="G339" s="151">
        <v>1.8</v>
      </c>
      <c r="H339" s="122" t="s">
        <v>98</v>
      </c>
      <c r="I339" s="119">
        <f t="shared" si="76"/>
        <v>0</v>
      </c>
      <c r="J339" s="119">
        <f t="shared" si="77"/>
        <v>0</v>
      </c>
      <c r="K339" s="69"/>
      <c r="L339" s="48"/>
      <c r="M339" s="97">
        <v>0</v>
      </c>
      <c r="N339" s="96">
        <v>0</v>
      </c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spans="1:28" ht="14.4">
      <c r="A340" s="23"/>
      <c r="B340" s="166"/>
      <c r="C340" s="178" t="str">
        <f>'Millwork &amp; Interior Trim'!B32</f>
        <v>22361_Countertop - POS - 84in 2135mm</v>
      </c>
      <c r="D340" s="121"/>
      <c r="E340" s="120">
        <f>'Millwork &amp; Interior Trim'!I32</f>
        <v>1</v>
      </c>
      <c r="F340" s="120" t="str">
        <f>'Millwork &amp; Interior Trim'!J32</f>
        <v>EA</v>
      </c>
      <c r="G340" s="151">
        <v>2.2000000000000002</v>
      </c>
      <c r="H340" s="122" t="s">
        <v>98</v>
      </c>
      <c r="I340" s="119">
        <f t="shared" si="76"/>
        <v>0</v>
      </c>
      <c r="J340" s="119">
        <f t="shared" si="77"/>
        <v>0</v>
      </c>
      <c r="K340" s="69"/>
      <c r="L340" s="48"/>
      <c r="M340" s="97">
        <v>0</v>
      </c>
      <c r="N340" s="96">
        <v>0</v>
      </c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spans="1:28" ht="14.4">
      <c r="A341" s="23"/>
      <c r="B341" s="166"/>
      <c r="C341" s="178" t="str">
        <f>'Millwork &amp; Interior Trim'!B33</f>
        <v>21908_Cabinet - Filler Panel - Variable Length</v>
      </c>
      <c r="D341" s="121"/>
      <c r="E341" s="120">
        <f>'Millwork &amp; Interior Trim'!I33</f>
        <v>1</v>
      </c>
      <c r="F341" s="120" t="str">
        <f>'Millwork &amp; Interior Trim'!J33</f>
        <v>EA</v>
      </c>
      <c r="G341" s="151">
        <v>0.8</v>
      </c>
      <c r="H341" s="122" t="s">
        <v>164</v>
      </c>
      <c r="I341" s="119">
        <f t="shared" si="76"/>
        <v>0</v>
      </c>
      <c r="J341" s="119">
        <f t="shared" si="77"/>
        <v>0</v>
      </c>
      <c r="K341" s="69"/>
      <c r="L341" s="48"/>
      <c r="M341" s="97">
        <v>0</v>
      </c>
      <c r="N341" s="96">
        <v>0</v>
      </c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spans="1:28" ht="14.4">
      <c r="A342" s="23"/>
      <c r="B342" s="166"/>
      <c r="C342" s="178" t="str">
        <f>'Millwork &amp; Interior Trim'!B34</f>
        <v>21907_Cabinet - End Cap Backbar</v>
      </c>
      <c r="D342" s="121"/>
      <c r="E342" s="120">
        <f>'Millwork &amp; Interior Trim'!I34</f>
        <v>1</v>
      </c>
      <c r="F342" s="120" t="str">
        <f>'Millwork &amp; Interior Trim'!J34</f>
        <v>EA</v>
      </c>
      <c r="G342" s="151">
        <v>0.7</v>
      </c>
      <c r="H342" s="122" t="s">
        <v>164</v>
      </c>
      <c r="I342" s="119">
        <f t="shared" si="76"/>
        <v>0</v>
      </c>
      <c r="J342" s="119">
        <f t="shared" si="77"/>
        <v>0</v>
      </c>
      <c r="K342" s="69"/>
      <c r="L342" s="48"/>
      <c r="M342" s="97">
        <v>0</v>
      </c>
      <c r="N342" s="96">
        <v>0</v>
      </c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spans="1:28" ht="14.4">
      <c r="A343" s="23"/>
      <c r="B343" s="166"/>
      <c r="C343" s="178" t="str">
        <f>'Millwork &amp; Interior Trim'!B35</f>
        <v>17580_Cabinet - CBE Tea Shelf - 29in 735mm - Flat Black MT0028</v>
      </c>
      <c r="D343" s="121"/>
      <c r="E343" s="120">
        <f>'Millwork &amp; Interior Trim'!I35</f>
        <v>2</v>
      </c>
      <c r="F343" s="120" t="str">
        <f>'Millwork &amp; Interior Trim'!J35</f>
        <v>EA</v>
      </c>
      <c r="G343" s="151">
        <v>0.6</v>
      </c>
      <c r="H343" s="122" t="s">
        <v>164</v>
      </c>
      <c r="I343" s="119">
        <f t="shared" si="76"/>
        <v>0</v>
      </c>
      <c r="J343" s="119">
        <f t="shared" si="77"/>
        <v>0</v>
      </c>
      <c r="K343" s="69"/>
      <c r="L343" s="48"/>
      <c r="M343" s="97">
        <v>0</v>
      </c>
      <c r="N343" s="96">
        <v>0</v>
      </c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spans="1:28" ht="27">
      <c r="A344" s="23"/>
      <c r="B344" s="166"/>
      <c r="C344" s="178" t="str">
        <f>'Millwork &amp; Interior Trim'!B36</f>
        <v>22632_Cabinet - CBE Dry Inclusion Shelf - 44in 1120mm - Flat Black MT0028</v>
      </c>
      <c r="D344" s="121"/>
      <c r="E344" s="120">
        <f>'Millwork &amp; Interior Trim'!I36</f>
        <v>2</v>
      </c>
      <c r="F344" s="120" t="str">
        <f>'Millwork &amp; Interior Trim'!J36</f>
        <v>EA</v>
      </c>
      <c r="G344" s="151">
        <v>0.8</v>
      </c>
      <c r="H344" s="122" t="s">
        <v>164</v>
      </c>
      <c r="I344" s="119">
        <f t="shared" si="76"/>
        <v>0</v>
      </c>
      <c r="J344" s="119">
        <f t="shared" si="77"/>
        <v>0</v>
      </c>
      <c r="K344" s="69"/>
      <c r="L344" s="48"/>
      <c r="M344" s="97">
        <v>0</v>
      </c>
      <c r="N344" s="96">
        <v>0</v>
      </c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spans="1:28" ht="14.4">
      <c r="A345" s="23"/>
      <c r="B345" s="166"/>
      <c r="C345" s="178" t="str">
        <f>'Millwork &amp; Interior Trim'!B37</f>
        <v>21888_Diewall - Diewall - Support Leg</v>
      </c>
      <c r="D345" s="121"/>
      <c r="E345" s="120">
        <f>'Millwork &amp; Interior Trim'!I37</f>
        <v>38</v>
      </c>
      <c r="F345" s="120" t="str">
        <f>'Millwork &amp; Interior Trim'!J37</f>
        <v>EA</v>
      </c>
      <c r="G345" s="151">
        <v>0.15</v>
      </c>
      <c r="H345" s="122" t="s">
        <v>164</v>
      </c>
      <c r="I345" s="119">
        <f t="shared" si="76"/>
        <v>0</v>
      </c>
      <c r="J345" s="119">
        <f t="shared" si="77"/>
        <v>0</v>
      </c>
      <c r="K345" s="69"/>
      <c r="L345" s="48"/>
      <c r="M345" s="97">
        <v>0</v>
      </c>
      <c r="N345" s="96">
        <v>0</v>
      </c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spans="1:28" ht="14.4">
      <c r="A346" s="23"/>
      <c r="B346" s="166"/>
      <c r="C346" s="178" t="str">
        <f>'Millwork &amp; Interior Trim'!B38</f>
        <v>24516_Diewall - Diewall - Framing - Variable Length</v>
      </c>
      <c r="D346" s="121"/>
      <c r="E346" s="120">
        <f>'Millwork &amp; Interior Trim'!I38</f>
        <v>12</v>
      </c>
      <c r="F346" s="120" t="str">
        <f>'Millwork &amp; Interior Trim'!J38</f>
        <v>EA</v>
      </c>
      <c r="G346" s="151">
        <v>0.5</v>
      </c>
      <c r="H346" s="122" t="s">
        <v>98</v>
      </c>
      <c r="I346" s="119">
        <f t="shared" si="76"/>
        <v>0</v>
      </c>
      <c r="J346" s="119">
        <f t="shared" si="77"/>
        <v>0</v>
      </c>
      <c r="K346" s="69"/>
      <c r="L346" s="48"/>
      <c r="M346" s="97">
        <v>0</v>
      </c>
      <c r="N346" s="96">
        <v>0</v>
      </c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spans="1:28" ht="14.4">
      <c r="A347" s="23"/>
      <c r="B347" s="166"/>
      <c r="C347" s="178" t="str">
        <f>'Millwork &amp; Interior Trim'!B39</f>
        <v>24547_Diewall - Diewall - Variable Length</v>
      </c>
      <c r="D347" s="121"/>
      <c r="E347" s="120">
        <f>'Millwork &amp; Interior Trim'!I39</f>
        <v>12</v>
      </c>
      <c r="F347" s="120" t="str">
        <f>'Millwork &amp; Interior Trim'!J39</f>
        <v>EA</v>
      </c>
      <c r="G347" s="151">
        <v>0.6</v>
      </c>
      <c r="H347" s="122" t="s">
        <v>98</v>
      </c>
      <c r="I347" s="119">
        <f t="shared" si="76"/>
        <v>0</v>
      </c>
      <c r="J347" s="119">
        <f t="shared" si="77"/>
        <v>0</v>
      </c>
      <c r="K347" s="69"/>
      <c r="L347" s="48"/>
      <c r="M347" s="97">
        <v>0</v>
      </c>
      <c r="N347" s="96">
        <v>0</v>
      </c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 spans="1:28" ht="14.4">
      <c r="A348" s="23"/>
      <c r="B348" s="166"/>
      <c r="C348" s="178" t="str">
        <f>'Millwork &amp; Interior Trim'!B40</f>
        <v>x0109_Panel - Upper Panel - DMB Wood Frame</v>
      </c>
      <c r="D348" s="121"/>
      <c r="E348" s="120">
        <f>'Millwork &amp; Interior Trim'!I40</f>
        <v>1</v>
      </c>
      <c r="F348" s="120" t="str">
        <f>'Millwork &amp; Interior Trim'!J40</f>
        <v>EA</v>
      </c>
      <c r="G348" s="151">
        <v>0.8</v>
      </c>
      <c r="H348" s="122" t="s">
        <v>98</v>
      </c>
      <c r="I348" s="119">
        <f t="shared" si="76"/>
        <v>0</v>
      </c>
      <c r="J348" s="119">
        <f t="shared" si="77"/>
        <v>0</v>
      </c>
      <c r="K348" s="69"/>
      <c r="L348" s="48"/>
      <c r="M348" s="97">
        <v>0</v>
      </c>
      <c r="N348" s="96">
        <v>0</v>
      </c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 spans="1:28" ht="14.4">
      <c r="A349" s="23"/>
      <c r="B349" s="166"/>
      <c r="C349" s="178" t="str">
        <f>'Millwork &amp; Interior Trim'!B41</f>
        <v>21914_Other - Fridge Stop Bracket Set</v>
      </c>
      <c r="D349" s="121"/>
      <c r="E349" s="120">
        <f>'Millwork &amp; Interior Trim'!I41</f>
        <v>6</v>
      </c>
      <c r="F349" s="120" t="str">
        <f>'Millwork &amp; Interior Trim'!J41</f>
        <v>EA</v>
      </c>
      <c r="G349" s="151">
        <v>0.2</v>
      </c>
      <c r="H349" s="122" t="s">
        <v>164</v>
      </c>
      <c r="I349" s="119">
        <f t="shared" si="76"/>
        <v>0</v>
      </c>
      <c r="J349" s="119">
        <f t="shared" si="77"/>
        <v>0</v>
      </c>
      <c r="K349" s="69"/>
      <c r="L349" s="48"/>
      <c r="M349" s="97">
        <v>0</v>
      </c>
      <c r="N349" s="96">
        <v>0</v>
      </c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 spans="1:28" ht="14.4">
      <c r="A350" s="23"/>
      <c r="B350" s="166"/>
      <c r="C350" s="178" t="str">
        <f>'Millwork &amp; Interior Trim'!B42</f>
        <v>11155_Other - Espresso Machine Pump Mount - 10x10in 255x255mm</v>
      </c>
      <c r="D350" s="121"/>
      <c r="E350" s="120">
        <f>'Millwork &amp; Interior Trim'!I42</f>
        <v>1</v>
      </c>
      <c r="F350" s="120" t="str">
        <f>'Millwork &amp; Interior Trim'!J42</f>
        <v>EA</v>
      </c>
      <c r="G350" s="151">
        <v>0.5</v>
      </c>
      <c r="H350" s="122" t="s">
        <v>164</v>
      </c>
      <c r="I350" s="119">
        <f t="shared" si="76"/>
        <v>0</v>
      </c>
      <c r="J350" s="119">
        <f t="shared" si="77"/>
        <v>0</v>
      </c>
      <c r="K350" s="69"/>
      <c r="L350" s="48"/>
      <c r="M350" s="97">
        <v>0</v>
      </c>
      <c r="N350" s="96">
        <v>0</v>
      </c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 spans="1:28" ht="14.4">
      <c r="A351" s="23"/>
      <c r="B351" s="166"/>
      <c r="C351" s="195"/>
      <c r="D351" s="121"/>
      <c r="E351" s="120"/>
      <c r="F351" s="120"/>
      <c r="G351" s="180"/>
      <c r="H351" s="122"/>
      <c r="I351" s="119"/>
      <c r="J351" s="119"/>
      <c r="K351" s="69"/>
      <c r="L351" s="48"/>
      <c r="M351" s="97"/>
      <c r="N351" s="96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 spans="1:28" ht="14.4">
      <c r="A352" s="23"/>
      <c r="B352" s="166"/>
      <c r="C352" s="195" t="str">
        <f>'Millwork &amp; Interior Trim'!B44</f>
        <v>SALES &amp; SEATING</v>
      </c>
      <c r="D352" s="121"/>
      <c r="E352" s="120"/>
      <c r="F352" s="120"/>
      <c r="G352" s="180"/>
      <c r="H352" s="122"/>
      <c r="I352" s="119"/>
      <c r="J352" s="119"/>
      <c r="K352" s="69"/>
      <c r="L352" s="48"/>
      <c r="M352" s="97"/>
      <c r="N352" s="96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 spans="1:28" ht="27">
      <c r="A353" s="23"/>
      <c r="B353" s="166"/>
      <c r="C353" s="178" t="str">
        <f>'Millwork &amp; Interior Trim'!B45</f>
        <v>20352_Cafe - Freestanding Inline 2 Unit Short - 72in 1830mm - Walnut WD0077</v>
      </c>
      <c r="D353" s="121"/>
      <c r="E353" s="120">
        <f>'Millwork &amp; Interior Trim'!I45</f>
        <v>1</v>
      </c>
      <c r="F353" s="120" t="str">
        <f>'Millwork &amp; Interior Trim'!J45</f>
        <v>EA</v>
      </c>
      <c r="G353" s="151">
        <v>3.5</v>
      </c>
      <c r="H353" s="122" t="s">
        <v>98</v>
      </c>
      <c r="I353" s="119">
        <f t="shared" ref="I353:I356" si="78">E353*N353*(1+M353)</f>
        <v>0</v>
      </c>
      <c r="J353" s="119">
        <f t="shared" ref="J353:J356" si="79">SUM(I353)</f>
        <v>0</v>
      </c>
      <c r="K353" s="69"/>
      <c r="L353" s="48"/>
      <c r="M353" s="97">
        <v>0</v>
      </c>
      <c r="N353" s="96">
        <v>0</v>
      </c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 spans="1:28" ht="27">
      <c r="A354" s="23"/>
      <c r="B354" s="166"/>
      <c r="C354" s="178" t="str">
        <f>'Millwork &amp; Interior Trim'!B46</f>
        <v>20344_Cafe - Wall Bay on Standard 2 Unit - RF - 92in 2335mm Walnut WD0077</v>
      </c>
      <c r="D354" s="121"/>
      <c r="E354" s="120">
        <f>'Millwork &amp; Interior Trim'!I46</f>
        <v>1</v>
      </c>
      <c r="F354" s="120" t="str">
        <f>'Millwork &amp; Interior Trim'!J46</f>
        <v>EA</v>
      </c>
      <c r="G354" s="151">
        <v>4</v>
      </c>
      <c r="H354" s="122" t="s">
        <v>98</v>
      </c>
      <c r="I354" s="119">
        <f t="shared" si="78"/>
        <v>0</v>
      </c>
      <c r="J354" s="119">
        <f t="shared" si="79"/>
        <v>0</v>
      </c>
      <c r="K354" s="69"/>
      <c r="L354" s="48"/>
      <c r="M354" s="97">
        <v>0</v>
      </c>
      <c r="N354" s="96">
        <v>0</v>
      </c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 spans="1:28" ht="14.4">
      <c r="A355" s="23"/>
      <c r="B355" s="166"/>
      <c r="C355" s="178" t="str">
        <f>'Millwork &amp; Interior Trim'!B47</f>
        <v>x0101_Cafe - Custom Shelving - WD0077 Walnut</v>
      </c>
      <c r="D355" s="121"/>
      <c r="E355" s="120">
        <f>'Millwork &amp; Interior Trim'!I47</f>
        <v>1</v>
      </c>
      <c r="F355" s="120" t="str">
        <f>'Millwork &amp; Interior Trim'!J47</f>
        <v>EA</v>
      </c>
      <c r="G355" s="151">
        <v>2</v>
      </c>
      <c r="H355" s="122" t="s">
        <v>164</v>
      </c>
      <c r="I355" s="119">
        <f t="shared" si="78"/>
        <v>0</v>
      </c>
      <c r="J355" s="119">
        <f t="shared" si="79"/>
        <v>0</v>
      </c>
      <c r="K355" s="69"/>
      <c r="L355" s="48"/>
      <c r="M355" s="97">
        <v>0</v>
      </c>
      <c r="N355" s="96">
        <v>0</v>
      </c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 spans="1:28" ht="27">
      <c r="A356" s="23"/>
      <c r="B356" s="166"/>
      <c r="C356" s="178" t="str">
        <f>'Millwork &amp; Interior Trim'!B48</f>
        <v>23963_Cafe - Waste and Recycle Station Three Drop - Warm Brown Woodgrain and White PL0030 CP0002</v>
      </c>
      <c r="D356" s="121"/>
      <c r="E356" s="120">
        <f>'Millwork &amp; Interior Trim'!I48</f>
        <v>1</v>
      </c>
      <c r="F356" s="120" t="str">
        <f>'Millwork &amp; Interior Trim'!J48</f>
        <v>EA</v>
      </c>
      <c r="G356" s="151">
        <v>3.5</v>
      </c>
      <c r="H356" s="122" t="s">
        <v>98</v>
      </c>
      <c r="I356" s="119">
        <f t="shared" si="78"/>
        <v>0</v>
      </c>
      <c r="J356" s="119">
        <f t="shared" si="79"/>
        <v>0</v>
      </c>
      <c r="K356" s="69"/>
      <c r="L356" s="48"/>
      <c r="M356" s="97">
        <v>0</v>
      </c>
      <c r="N356" s="96">
        <v>0</v>
      </c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 spans="1:28" ht="14.4">
      <c r="A357" s="23"/>
      <c r="B357" s="166"/>
      <c r="C357" s="195"/>
      <c r="D357" s="121"/>
      <c r="E357" s="120"/>
      <c r="F357" s="120"/>
      <c r="G357" s="151"/>
      <c r="H357" s="122"/>
      <c r="I357" s="119"/>
      <c r="J357" s="119"/>
      <c r="K357" s="69"/>
      <c r="L357" s="48"/>
      <c r="M357" s="97"/>
      <c r="N357" s="96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 spans="1:28" ht="14.4">
      <c r="A358" s="23"/>
      <c r="B358" s="166"/>
      <c r="C358" s="195" t="str">
        <f>'Millwork &amp; Interior Trim'!B50</f>
        <v>MILLWORK ITEMS NOT SHOWN ON PLANS</v>
      </c>
      <c r="D358" s="121"/>
      <c r="E358" s="120"/>
      <c r="F358" s="120"/>
      <c r="G358" s="151"/>
      <c r="H358" s="122"/>
      <c r="I358" s="119"/>
      <c r="J358" s="119"/>
      <c r="K358" s="69"/>
      <c r="L358" s="48"/>
      <c r="M358" s="97"/>
      <c r="N358" s="96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 spans="1:28" ht="14.4">
      <c r="A359" s="23"/>
      <c r="B359" s="166"/>
      <c r="C359" s="195" t="str">
        <f>'Millwork &amp; Interior Trim'!B51</f>
        <v>CAFE AND CABINET</v>
      </c>
      <c r="D359" s="121"/>
      <c r="E359" s="120"/>
      <c r="F359" s="120"/>
      <c r="G359" s="151"/>
      <c r="H359" s="122"/>
      <c r="I359" s="119"/>
      <c r="J359" s="119"/>
      <c r="K359" s="69"/>
      <c r="L359" s="48"/>
      <c r="M359" s="97"/>
      <c r="N359" s="96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 spans="1:28" ht="14.4">
      <c r="A360" s="23"/>
      <c r="B360" s="166"/>
      <c r="C360" s="178" t="str">
        <f>'Millwork &amp; Interior Trim'!B52</f>
        <v>21894_Cabinet - Door - 15in 380mm</v>
      </c>
      <c r="D360" s="121"/>
      <c r="E360" s="120">
        <f>'Millwork &amp; Interior Trim'!I52</f>
        <v>7</v>
      </c>
      <c r="F360" s="120" t="str">
        <f>'Millwork &amp; Interior Trim'!J52</f>
        <v>EA</v>
      </c>
      <c r="G360" s="151">
        <v>0.6</v>
      </c>
      <c r="H360" s="122" t="s">
        <v>164</v>
      </c>
      <c r="I360" s="119">
        <f t="shared" ref="I360:I373" si="80">E360*N360*(1+M360)</f>
        <v>0</v>
      </c>
      <c r="J360" s="119">
        <f t="shared" ref="J360:J373" si="81">SUM(I360)</f>
        <v>0</v>
      </c>
      <c r="K360" s="69"/>
      <c r="L360" s="48"/>
      <c r="M360" s="97">
        <v>0</v>
      </c>
      <c r="N360" s="96">
        <v>0</v>
      </c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 spans="1:28" ht="14.4">
      <c r="A361" s="23"/>
      <c r="B361" s="166"/>
      <c r="C361" s="178" t="str">
        <f>'Millwork &amp; Interior Trim'!B53</f>
        <v>21895_Cabinet - Door Trash - 15in 380mm</v>
      </c>
      <c r="D361" s="121"/>
      <c r="E361" s="120">
        <f>'Millwork &amp; Interior Trim'!I53</f>
        <v>4</v>
      </c>
      <c r="F361" s="120" t="str">
        <f>'Millwork &amp; Interior Trim'!J53</f>
        <v>EA</v>
      </c>
      <c r="G361" s="151">
        <v>0.8</v>
      </c>
      <c r="H361" s="122" t="s">
        <v>164</v>
      </c>
      <c r="I361" s="119">
        <f t="shared" si="80"/>
        <v>0</v>
      </c>
      <c r="J361" s="119">
        <f t="shared" si="81"/>
        <v>0</v>
      </c>
      <c r="K361" s="69"/>
      <c r="L361" s="48"/>
      <c r="M361" s="97">
        <v>0</v>
      </c>
      <c r="N361" s="96">
        <v>0</v>
      </c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 spans="1:28" ht="14.4">
      <c r="A362" s="23"/>
      <c r="B362" s="166"/>
      <c r="C362" s="178" t="str">
        <f>'Millwork &amp; Interior Trim'!B54</f>
        <v>21896_Cabinet - Drawer - 15in 380mm</v>
      </c>
      <c r="D362" s="121"/>
      <c r="E362" s="120">
        <f>'Millwork &amp; Interior Trim'!I54</f>
        <v>1</v>
      </c>
      <c r="F362" s="120" t="str">
        <f>'Millwork &amp; Interior Trim'!J54</f>
        <v>EA</v>
      </c>
      <c r="G362" s="151">
        <v>1</v>
      </c>
      <c r="H362" s="122" t="s">
        <v>164</v>
      </c>
      <c r="I362" s="119">
        <f t="shared" si="80"/>
        <v>0</v>
      </c>
      <c r="J362" s="119">
        <f t="shared" si="81"/>
        <v>0</v>
      </c>
      <c r="K362" s="69"/>
      <c r="L362" s="48"/>
      <c r="M362" s="97">
        <v>0</v>
      </c>
      <c r="N362" s="96">
        <v>0</v>
      </c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 spans="1:28" ht="14.4">
      <c r="A363" s="23"/>
      <c r="B363" s="166"/>
      <c r="C363" s="178" t="str">
        <f>'Millwork &amp; Interior Trim'!B55</f>
        <v>21905_Cabinet - Door - 30in 760mm</v>
      </c>
      <c r="D363" s="121"/>
      <c r="E363" s="120">
        <f>'Millwork &amp; Interior Trim'!I55</f>
        <v>2</v>
      </c>
      <c r="F363" s="120" t="str">
        <f>'Millwork &amp; Interior Trim'!J55</f>
        <v>EA</v>
      </c>
      <c r="G363" s="151">
        <v>0.9</v>
      </c>
      <c r="H363" s="122" t="s">
        <v>164</v>
      </c>
      <c r="I363" s="119">
        <f t="shared" si="80"/>
        <v>0</v>
      </c>
      <c r="J363" s="119">
        <f t="shared" si="81"/>
        <v>0</v>
      </c>
      <c r="K363" s="69"/>
      <c r="L363" s="48"/>
      <c r="M363" s="97">
        <v>0</v>
      </c>
      <c r="N363" s="96">
        <v>0</v>
      </c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 spans="1:28" ht="14.4">
      <c r="A364" s="23"/>
      <c r="B364" s="166"/>
      <c r="C364" s="178" t="str">
        <f>'Millwork &amp; Interior Trim'!B56</f>
        <v>21913_Cabinet - Equipment Mounting Panel</v>
      </c>
      <c r="D364" s="121"/>
      <c r="E364" s="120">
        <f>'Millwork &amp; Interior Trim'!I56</f>
        <v>2</v>
      </c>
      <c r="F364" s="120" t="str">
        <f>'Millwork &amp; Interior Trim'!J56</f>
        <v>EA</v>
      </c>
      <c r="G364" s="151">
        <v>1.2</v>
      </c>
      <c r="H364" s="122" t="s">
        <v>98</v>
      </c>
      <c r="I364" s="119">
        <f t="shared" si="80"/>
        <v>0</v>
      </c>
      <c r="J364" s="119">
        <f t="shared" si="81"/>
        <v>0</v>
      </c>
      <c r="K364" s="69"/>
      <c r="L364" s="48"/>
      <c r="M364" s="97">
        <v>0</v>
      </c>
      <c r="N364" s="96">
        <v>0</v>
      </c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 spans="1:28" ht="14.4">
      <c r="A365" s="23"/>
      <c r="B365" s="166"/>
      <c r="C365" s="178" t="str">
        <f>'Millwork &amp; Interior Trim'!B57</f>
        <v>22749_Cabinet - Espresso Pump Mount Panel</v>
      </c>
      <c r="D365" s="121"/>
      <c r="E365" s="120">
        <f>'Millwork &amp; Interior Trim'!I57</f>
        <v>1</v>
      </c>
      <c r="F365" s="120" t="str">
        <f>'Millwork &amp; Interior Trim'!J57</f>
        <v>EA</v>
      </c>
      <c r="G365" s="151">
        <v>1</v>
      </c>
      <c r="H365" s="122" t="s">
        <v>164</v>
      </c>
      <c r="I365" s="119">
        <f t="shared" si="80"/>
        <v>0</v>
      </c>
      <c r="J365" s="119">
        <f t="shared" si="81"/>
        <v>0</v>
      </c>
      <c r="K365" s="69"/>
      <c r="L365" s="48"/>
      <c r="M365" s="97">
        <v>0</v>
      </c>
      <c r="N365" s="96">
        <v>0</v>
      </c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 spans="1:28" ht="14.4">
      <c r="A366" s="23"/>
      <c r="B366" s="166"/>
      <c r="C366" s="178" t="str">
        <f>'Millwork &amp; Interior Trim'!B58</f>
        <v>22986_Cabinet - Delivery Drawer - 15in 380mm</v>
      </c>
      <c r="D366" s="121"/>
      <c r="E366" s="120">
        <f>'Millwork &amp; Interior Trim'!I58</f>
        <v>3</v>
      </c>
      <c r="F366" s="120" t="str">
        <f>'Millwork &amp; Interior Trim'!J58</f>
        <v>EA</v>
      </c>
      <c r="G366" s="151">
        <v>1</v>
      </c>
      <c r="H366" s="122" t="s">
        <v>164</v>
      </c>
      <c r="I366" s="119">
        <f t="shared" si="80"/>
        <v>0</v>
      </c>
      <c r="J366" s="119">
        <f t="shared" si="81"/>
        <v>0</v>
      </c>
      <c r="K366" s="69"/>
      <c r="L366" s="48"/>
      <c r="M366" s="97">
        <v>0</v>
      </c>
      <c r="N366" s="96">
        <v>0</v>
      </c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 spans="1:28" ht="14.4">
      <c r="A367" s="23"/>
      <c r="B367" s="166"/>
      <c r="C367" s="178" t="str">
        <f>'Millwork &amp; Interior Trim'!B59</f>
        <v>24517_Cabinet - Adjustable Shelf - 15in 380mm</v>
      </c>
      <c r="D367" s="121"/>
      <c r="E367" s="120">
        <f>'Millwork &amp; Interior Trim'!I59</f>
        <v>14</v>
      </c>
      <c r="F367" s="120" t="str">
        <f>'Millwork &amp; Interior Trim'!J59</f>
        <v>EA</v>
      </c>
      <c r="G367" s="151">
        <v>0.3</v>
      </c>
      <c r="H367" s="122" t="s">
        <v>164</v>
      </c>
      <c r="I367" s="119">
        <f t="shared" si="80"/>
        <v>0</v>
      </c>
      <c r="J367" s="119">
        <f t="shared" si="81"/>
        <v>0</v>
      </c>
      <c r="K367" s="69"/>
      <c r="L367" s="48"/>
      <c r="M367" s="97">
        <v>0</v>
      </c>
      <c r="N367" s="96">
        <v>0</v>
      </c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 spans="1:28" ht="14.4">
      <c r="A368" s="23"/>
      <c r="B368" s="166"/>
      <c r="C368" s="178" t="str">
        <f>'Millwork &amp; Interior Trim'!B60</f>
        <v>24520_Cabinet - Adjustable Shelf - 30in 760mm</v>
      </c>
      <c r="D368" s="121"/>
      <c r="E368" s="120">
        <f>'Millwork &amp; Interior Trim'!I60</f>
        <v>9</v>
      </c>
      <c r="F368" s="120" t="str">
        <f>'Millwork &amp; Interior Trim'!J60</f>
        <v>EA</v>
      </c>
      <c r="G368" s="151">
        <v>0.4</v>
      </c>
      <c r="H368" s="122" t="s">
        <v>164</v>
      </c>
      <c r="I368" s="119">
        <f t="shared" si="80"/>
        <v>0</v>
      </c>
      <c r="J368" s="119">
        <f t="shared" si="81"/>
        <v>0</v>
      </c>
      <c r="K368" s="69"/>
      <c r="L368" s="48"/>
      <c r="M368" s="97">
        <v>0</v>
      </c>
      <c r="N368" s="96">
        <v>0</v>
      </c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 spans="1:28" ht="14.4">
      <c r="A369" s="23"/>
      <c r="B369" s="166"/>
      <c r="C369" s="178" t="str">
        <f>'Millwork &amp; Interior Trim'!B61</f>
        <v>24525_Cabinet - Back Panel - 15in 380mm</v>
      </c>
      <c r="D369" s="121"/>
      <c r="E369" s="120">
        <f>'Millwork &amp; Interior Trim'!I61</f>
        <v>7</v>
      </c>
      <c r="F369" s="120" t="str">
        <f>'Millwork &amp; Interior Trim'!J61</f>
        <v>EA</v>
      </c>
      <c r="G369" s="151">
        <v>0.5</v>
      </c>
      <c r="H369" s="122" t="s">
        <v>164</v>
      </c>
      <c r="I369" s="119">
        <f t="shared" si="80"/>
        <v>0</v>
      </c>
      <c r="J369" s="119">
        <f t="shared" si="81"/>
        <v>0</v>
      </c>
      <c r="K369" s="69"/>
      <c r="L369" s="48"/>
      <c r="M369" s="97">
        <v>0</v>
      </c>
      <c r="N369" s="96">
        <v>0</v>
      </c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 spans="1:28" ht="14.4">
      <c r="A370" s="23"/>
      <c r="B370" s="166"/>
      <c r="C370" s="178" t="str">
        <f>'Millwork &amp; Interior Trim'!B62</f>
        <v>24527_Cabinet - Back Panel - 30in 760mm</v>
      </c>
      <c r="D370" s="121"/>
      <c r="E370" s="120">
        <f>'Millwork &amp; Interior Trim'!I62</f>
        <v>3</v>
      </c>
      <c r="F370" s="120" t="str">
        <f>'Millwork &amp; Interior Trim'!J62</f>
        <v>EA</v>
      </c>
      <c r="G370" s="151">
        <v>0.6</v>
      </c>
      <c r="H370" s="122" t="s">
        <v>164</v>
      </c>
      <c r="I370" s="119">
        <f t="shared" si="80"/>
        <v>0</v>
      </c>
      <c r="J370" s="119">
        <f t="shared" si="81"/>
        <v>0</v>
      </c>
      <c r="K370" s="69"/>
      <c r="L370" s="48"/>
      <c r="M370" s="97">
        <v>0</v>
      </c>
      <c r="N370" s="96">
        <v>0</v>
      </c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 spans="1:28" ht="14.4">
      <c r="A371" s="23"/>
      <c r="B371" s="166"/>
      <c r="C371" s="178" t="str">
        <f>'Millwork &amp; Interior Trim'!B63</f>
        <v>24531_Cabinet - Back Panel For Pos - 30in 760mm</v>
      </c>
      <c r="D371" s="121"/>
      <c r="E371" s="120">
        <f>'Millwork &amp; Interior Trim'!I63</f>
        <v>2</v>
      </c>
      <c r="F371" s="120" t="str">
        <f>'Millwork &amp; Interior Trim'!J63</f>
        <v>EA</v>
      </c>
      <c r="G371" s="151">
        <v>0.8</v>
      </c>
      <c r="H371" s="122" t="s">
        <v>98</v>
      </c>
      <c r="I371" s="119">
        <f t="shared" si="80"/>
        <v>0</v>
      </c>
      <c r="J371" s="119">
        <f t="shared" si="81"/>
        <v>0</v>
      </c>
      <c r="K371" s="69"/>
      <c r="L371" s="48"/>
      <c r="M371" s="97">
        <v>0</v>
      </c>
      <c r="N371" s="96">
        <v>0</v>
      </c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 spans="1:28" ht="14.4">
      <c r="A372" s="23"/>
      <c r="B372" s="166"/>
      <c r="C372" s="178" t="str">
        <f>'Millwork &amp; Interior Trim'!B64</f>
        <v>24548_Cabinet - Espresso Ice Bin - 20in 510mm</v>
      </c>
      <c r="D372" s="121"/>
      <c r="E372" s="120">
        <f>'Millwork &amp; Interior Trim'!I64</f>
        <v>2</v>
      </c>
      <c r="F372" s="120" t="str">
        <f>'Millwork &amp; Interior Trim'!J64</f>
        <v>EA</v>
      </c>
      <c r="G372" s="151">
        <v>1.5</v>
      </c>
      <c r="H372" s="122" t="s">
        <v>98</v>
      </c>
      <c r="I372" s="119">
        <f t="shared" si="80"/>
        <v>0</v>
      </c>
      <c r="J372" s="119">
        <f t="shared" si="81"/>
        <v>0</v>
      </c>
      <c r="K372" s="69"/>
      <c r="L372" s="48"/>
      <c r="M372" s="97">
        <v>0</v>
      </c>
      <c r="N372" s="96">
        <v>0</v>
      </c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 spans="1:28" ht="14.4">
      <c r="A373" s="23"/>
      <c r="B373" s="166"/>
      <c r="C373" s="178" t="str">
        <f>'Millwork &amp; Interior Trim'!B65</f>
        <v>14775_Cafe - Sit Here Table Privacy Panel - Variable Length</v>
      </c>
      <c r="D373" s="121"/>
      <c r="E373" s="120">
        <f>'Millwork &amp; Interior Trim'!I65</f>
        <v>2</v>
      </c>
      <c r="F373" s="120" t="str">
        <f>'Millwork &amp; Interior Trim'!J65</f>
        <v>EA</v>
      </c>
      <c r="G373" s="151">
        <v>1.8</v>
      </c>
      <c r="H373" s="122" t="s">
        <v>98</v>
      </c>
      <c r="I373" s="119">
        <f t="shared" si="80"/>
        <v>0</v>
      </c>
      <c r="J373" s="119">
        <f t="shared" si="81"/>
        <v>0</v>
      </c>
      <c r="K373" s="69"/>
      <c r="L373" s="48"/>
      <c r="M373" s="97">
        <v>0</v>
      </c>
      <c r="N373" s="96">
        <v>0</v>
      </c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 spans="1:28" ht="14.4">
      <c r="A374" s="23"/>
      <c r="B374" s="166"/>
      <c r="C374" s="124"/>
      <c r="D374" s="153" t="str">
        <f>C323</f>
        <v>MILLWORK</v>
      </c>
      <c r="E374" s="154" t="s">
        <v>159</v>
      </c>
      <c r="F374" s="127"/>
      <c r="G374" s="199"/>
      <c r="H374" s="156"/>
      <c r="I374" s="155">
        <f t="shared" ref="I374:J374" si="82">SUM(I326:I373)</f>
        <v>0</v>
      </c>
      <c r="J374" s="157">
        <f t="shared" si="82"/>
        <v>0</v>
      </c>
      <c r="K374" s="105"/>
      <c r="L374" s="23"/>
      <c r="M374" s="131"/>
      <c r="N374" s="132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 spans="1:28" ht="15" customHeight="1">
      <c r="A375" s="48"/>
      <c r="B375" s="77"/>
      <c r="C375" s="78"/>
      <c r="D375" s="533" t="s">
        <v>160</v>
      </c>
      <c r="E375" s="532"/>
      <c r="F375" s="158">
        <v>0</v>
      </c>
      <c r="G375" s="159"/>
      <c r="H375" s="160"/>
      <c r="I375" s="159"/>
      <c r="J375" s="161">
        <f>F375*J374</f>
        <v>0</v>
      </c>
      <c r="K375" s="69"/>
      <c r="L375" s="48"/>
      <c r="M375" s="95"/>
      <c r="N375" s="96"/>
      <c r="O375" s="48"/>
      <c r="P375" s="48"/>
      <c r="Q375" s="48"/>
      <c r="R375" s="48"/>
      <c r="S375" s="48"/>
      <c r="T375" s="48"/>
      <c r="U375" s="48"/>
      <c r="V375" s="48"/>
      <c r="W375" s="55"/>
      <c r="X375" s="55"/>
      <c r="Y375" s="55"/>
      <c r="Z375" s="55"/>
      <c r="AA375" s="55"/>
      <c r="AB375" s="55"/>
    </row>
    <row r="376" spans="1:28" ht="15" customHeight="1">
      <c r="A376" s="48"/>
      <c r="B376" s="77"/>
      <c r="C376" s="78"/>
      <c r="D376" s="533" t="s">
        <v>161</v>
      </c>
      <c r="E376" s="532"/>
      <c r="F376" s="162"/>
      <c r="G376" s="163"/>
      <c r="H376" s="164"/>
      <c r="I376" s="163"/>
      <c r="J376" s="165">
        <f>SUM(J374:J375)</f>
        <v>0</v>
      </c>
      <c r="K376" s="69"/>
      <c r="L376" s="48"/>
      <c r="M376" s="95"/>
      <c r="N376" s="96"/>
      <c r="O376" s="48"/>
      <c r="P376" s="48"/>
      <c r="Q376" s="48"/>
      <c r="R376" s="48"/>
      <c r="S376" s="48"/>
      <c r="T376" s="48"/>
      <c r="U376" s="48"/>
      <c r="V376" s="48"/>
      <c r="W376" s="55"/>
      <c r="X376" s="55"/>
      <c r="Y376" s="55"/>
      <c r="Z376" s="55"/>
      <c r="AA376" s="55"/>
      <c r="AB376" s="55"/>
    </row>
    <row r="377" spans="1:28" ht="14.4">
      <c r="A377" s="48"/>
      <c r="B377" s="77"/>
      <c r="C377" s="78"/>
      <c r="D377" s="79"/>
      <c r="E377" s="80"/>
      <c r="F377" s="81"/>
      <c r="G377" s="82"/>
      <c r="H377" s="83"/>
      <c r="I377" s="82"/>
      <c r="J377" s="82"/>
      <c r="K377" s="69"/>
      <c r="L377" s="48"/>
      <c r="M377" s="97"/>
      <c r="N377" s="96"/>
      <c r="O377" s="48"/>
      <c r="P377" s="48"/>
      <c r="Q377" s="48"/>
      <c r="R377" s="48"/>
      <c r="S377" s="48"/>
      <c r="T377" s="48"/>
      <c r="U377" s="48"/>
      <c r="V377" s="48"/>
      <c r="W377" s="55"/>
      <c r="X377" s="55"/>
      <c r="Y377" s="55"/>
      <c r="Z377" s="55"/>
      <c r="AA377" s="55"/>
      <c r="AB377" s="55"/>
    </row>
    <row r="378" spans="1:28" ht="15" customHeight="1">
      <c r="A378" s="48"/>
      <c r="B378" s="77"/>
      <c r="C378" s="200" t="s">
        <v>179</v>
      </c>
      <c r="D378" s="201"/>
      <c r="E378" s="202"/>
      <c r="F378" s="203"/>
      <c r="G378" s="204"/>
      <c r="H378" s="205"/>
      <c r="I378" s="204"/>
      <c r="J378" s="204"/>
      <c r="K378" s="69"/>
      <c r="L378" s="48"/>
      <c r="M378" s="97"/>
      <c r="N378" s="96"/>
      <c r="O378" s="48"/>
      <c r="P378" s="48"/>
      <c r="Q378" s="48"/>
      <c r="R378" s="48"/>
      <c r="S378" s="48"/>
      <c r="T378" s="48"/>
      <c r="U378" s="48"/>
      <c r="V378" s="48"/>
      <c r="W378" s="55"/>
      <c r="X378" s="55"/>
      <c r="Y378" s="55"/>
      <c r="Z378" s="55"/>
      <c r="AA378" s="55"/>
      <c r="AB378" s="55"/>
    </row>
    <row r="379" spans="1:28" ht="15.75" customHeight="1">
      <c r="A379" s="48"/>
      <c r="B379" s="77"/>
      <c r="C379" s="206" t="str">
        <f>Specialties!B8</f>
        <v>TOILET ACCESSORIES</v>
      </c>
      <c r="D379" s="207"/>
      <c r="E379" s="120"/>
      <c r="F379" s="120"/>
      <c r="G379" s="196"/>
      <c r="H379" s="118"/>
      <c r="I379" s="119"/>
      <c r="J379" s="119"/>
      <c r="K379" s="69"/>
      <c r="L379" s="48"/>
      <c r="M379" s="97"/>
      <c r="N379" s="96"/>
      <c r="O379" s="48"/>
      <c r="P379" s="48"/>
      <c r="Q379" s="48"/>
      <c r="R379" s="48"/>
      <c r="S379" s="48"/>
      <c r="T379" s="48"/>
      <c r="U379" s="48"/>
      <c r="V379" s="48"/>
      <c r="W379" s="55"/>
      <c r="X379" s="55"/>
      <c r="Y379" s="55"/>
      <c r="Z379" s="55"/>
      <c r="AA379" s="55"/>
      <c r="AB379" s="55"/>
    </row>
    <row r="380" spans="1:28" ht="15.75" customHeight="1">
      <c r="A380" s="48"/>
      <c r="B380" s="77"/>
      <c r="C380" s="208" t="str">
        <f>Specialties!B9</f>
        <v>16" x 48" Pill Shaped Mirror</v>
      </c>
      <c r="D380" s="171" t="str">
        <f>Specialties!C9</f>
        <v>West Elm #2997254</v>
      </c>
      <c r="E380" s="120">
        <f>Specialties!I9</f>
        <v>2</v>
      </c>
      <c r="F380" s="120" t="str">
        <f>Specialties!J9</f>
        <v>EA</v>
      </c>
      <c r="G380" s="171">
        <f t="shared" ref="G380:G381" si="83">E380*1.7</f>
        <v>3.4</v>
      </c>
      <c r="H380" s="118" t="s">
        <v>180</v>
      </c>
      <c r="I380" s="119">
        <f t="shared" ref="I380:I391" si="84">E380*N380*(1+M380)</f>
        <v>0</v>
      </c>
      <c r="J380" s="119">
        <f t="shared" ref="J380:J391" si="85">SUM(I380)</f>
        <v>0</v>
      </c>
      <c r="K380" s="69"/>
      <c r="L380" s="48"/>
      <c r="M380" s="97">
        <v>0</v>
      </c>
      <c r="N380" s="96"/>
      <c r="O380" s="48"/>
      <c r="P380" s="48"/>
      <c r="Q380" s="48"/>
      <c r="R380" s="48"/>
      <c r="S380" s="48"/>
      <c r="T380" s="48"/>
      <c r="U380" s="48"/>
      <c r="V380" s="48"/>
      <c r="W380" s="55"/>
      <c r="X380" s="55"/>
      <c r="Y380" s="55"/>
      <c r="Z380" s="55"/>
      <c r="AA380" s="55"/>
      <c r="AB380" s="55"/>
    </row>
    <row r="381" spans="1:28" ht="15.75" customHeight="1">
      <c r="A381" s="48"/>
      <c r="B381" s="77"/>
      <c r="C381" s="208" t="str">
        <f>Specialties!B10</f>
        <v>42" x 36" Wide Arch Mirror</v>
      </c>
      <c r="D381" s="171" t="str">
        <f>Specialties!C10</f>
        <v>West Elm #1682424</v>
      </c>
      <c r="E381" s="120">
        <f>Specialties!I10</f>
        <v>1</v>
      </c>
      <c r="F381" s="120" t="str">
        <f>Specialties!J10</f>
        <v>EA</v>
      </c>
      <c r="G381" s="171">
        <f t="shared" si="83"/>
        <v>1.7</v>
      </c>
      <c r="H381" s="118" t="s">
        <v>180</v>
      </c>
      <c r="I381" s="119">
        <f t="shared" si="84"/>
        <v>0</v>
      </c>
      <c r="J381" s="119">
        <f t="shared" si="85"/>
        <v>0</v>
      </c>
      <c r="K381" s="69"/>
      <c r="L381" s="48"/>
      <c r="M381" s="97">
        <v>0</v>
      </c>
      <c r="N381" s="96"/>
      <c r="O381" s="48"/>
      <c r="P381" s="48"/>
      <c r="Q381" s="48"/>
      <c r="R381" s="48"/>
      <c r="S381" s="48"/>
      <c r="T381" s="48"/>
      <c r="U381" s="48"/>
      <c r="V381" s="48"/>
      <c r="W381" s="55"/>
      <c r="X381" s="55"/>
      <c r="Y381" s="55"/>
      <c r="Z381" s="55"/>
      <c r="AA381" s="55"/>
      <c r="AB381" s="55"/>
    </row>
    <row r="382" spans="1:28" ht="15.75" customHeight="1">
      <c r="A382" s="48"/>
      <c r="B382" s="77"/>
      <c r="C382" s="208" t="str">
        <f>Specialties!B11</f>
        <v>Counter Mounted Soap Dispenser - OFCI</v>
      </c>
      <c r="D382" s="171"/>
      <c r="E382" s="120">
        <f>Specialties!I11</f>
        <v>2</v>
      </c>
      <c r="F382" s="120" t="str">
        <f>Specialties!J11</f>
        <v>EA</v>
      </c>
      <c r="G382" s="171">
        <f>E382*0.8</f>
        <v>1.6</v>
      </c>
      <c r="H382" s="118" t="s">
        <v>180</v>
      </c>
      <c r="I382" s="119">
        <f t="shared" si="84"/>
        <v>0</v>
      </c>
      <c r="J382" s="119">
        <f t="shared" si="85"/>
        <v>0</v>
      </c>
      <c r="K382" s="69"/>
      <c r="L382" s="48"/>
      <c r="M382" s="97">
        <v>0</v>
      </c>
      <c r="N382" s="96"/>
      <c r="O382" s="48"/>
      <c r="P382" s="48"/>
      <c r="Q382" s="48"/>
      <c r="R382" s="48"/>
      <c r="S382" s="48"/>
      <c r="T382" s="48"/>
      <c r="U382" s="48"/>
      <c r="V382" s="48"/>
      <c r="W382" s="55"/>
      <c r="X382" s="55"/>
      <c r="Y382" s="55"/>
      <c r="Z382" s="55"/>
      <c r="AA382" s="55"/>
      <c r="AB382" s="55"/>
    </row>
    <row r="383" spans="1:28" ht="15.75" customHeight="1">
      <c r="A383" s="48"/>
      <c r="B383" s="77"/>
      <c r="C383" s="208" t="str">
        <f>Specialties!B12</f>
        <v>Recessed Mounted Baby Changing Station</v>
      </c>
      <c r="D383" s="171"/>
      <c r="E383" s="120">
        <f>Specialties!I12</f>
        <v>2</v>
      </c>
      <c r="F383" s="120" t="str">
        <f>Specialties!J12</f>
        <v>EA</v>
      </c>
      <c r="G383" s="171">
        <f>E383*1.2</f>
        <v>2.4</v>
      </c>
      <c r="H383" s="118" t="s">
        <v>180</v>
      </c>
      <c r="I383" s="119">
        <f t="shared" si="84"/>
        <v>0</v>
      </c>
      <c r="J383" s="119">
        <f t="shared" si="85"/>
        <v>0</v>
      </c>
      <c r="K383" s="69"/>
      <c r="L383" s="48"/>
      <c r="M383" s="97">
        <v>0</v>
      </c>
      <c r="N383" s="96"/>
      <c r="O383" s="48"/>
      <c r="P383" s="48"/>
      <c r="Q383" s="48"/>
      <c r="R383" s="48"/>
      <c r="S383" s="48"/>
      <c r="T383" s="48"/>
      <c r="U383" s="48"/>
      <c r="V383" s="48"/>
      <c r="W383" s="55"/>
      <c r="X383" s="55"/>
      <c r="Y383" s="55"/>
      <c r="Z383" s="55"/>
      <c r="AA383" s="55"/>
      <c r="AB383" s="55"/>
    </row>
    <row r="384" spans="1:28" ht="15.75" customHeight="1">
      <c r="A384" s="48"/>
      <c r="B384" s="77"/>
      <c r="C384" s="208" t="str">
        <f>Specialties!B13</f>
        <v>Surface Mounted Hand Dryer - OFCI</v>
      </c>
      <c r="D384" s="171"/>
      <c r="E384" s="120">
        <f>Specialties!I13</f>
        <v>2</v>
      </c>
      <c r="F384" s="120" t="str">
        <f>Specialties!J13</f>
        <v>EA</v>
      </c>
      <c r="G384" s="171">
        <f>E384*0.95</f>
        <v>1.9</v>
      </c>
      <c r="H384" s="118" t="s">
        <v>180</v>
      </c>
      <c r="I384" s="119">
        <f t="shared" si="84"/>
        <v>0</v>
      </c>
      <c r="J384" s="119">
        <f t="shared" si="85"/>
        <v>0</v>
      </c>
      <c r="K384" s="69"/>
      <c r="L384" s="48"/>
      <c r="M384" s="97">
        <v>0</v>
      </c>
      <c r="N384" s="96"/>
      <c r="O384" s="48"/>
      <c r="P384" s="48"/>
      <c r="Q384" s="48"/>
      <c r="R384" s="48"/>
      <c r="S384" s="48"/>
      <c r="T384" s="48"/>
      <c r="U384" s="48"/>
      <c r="V384" s="48"/>
      <c r="W384" s="55"/>
      <c r="X384" s="55"/>
      <c r="Y384" s="55"/>
      <c r="Z384" s="55"/>
      <c r="AA384" s="55"/>
      <c r="AB384" s="55"/>
    </row>
    <row r="385" spans="1:28" ht="15.75" customHeight="1">
      <c r="A385" s="48"/>
      <c r="B385" s="77"/>
      <c r="C385" s="208" t="str">
        <f>Specialties!B14</f>
        <v>Surface Mounted Horizontal Soap Dispenser - OFCI</v>
      </c>
      <c r="D385" s="171"/>
      <c r="E385" s="120">
        <f>Specialties!I14</f>
        <v>2</v>
      </c>
      <c r="F385" s="120" t="str">
        <f>Specialties!J14</f>
        <v>EA</v>
      </c>
      <c r="G385" s="171">
        <f>E385*0.71</f>
        <v>1.42</v>
      </c>
      <c r="H385" s="118" t="s">
        <v>180</v>
      </c>
      <c r="I385" s="119">
        <f t="shared" si="84"/>
        <v>0</v>
      </c>
      <c r="J385" s="119">
        <f t="shared" si="85"/>
        <v>0</v>
      </c>
      <c r="K385" s="69"/>
      <c r="L385" s="48"/>
      <c r="M385" s="97">
        <v>0</v>
      </c>
      <c r="N385" s="96"/>
      <c r="O385" s="48"/>
      <c r="P385" s="48"/>
      <c r="Q385" s="48"/>
      <c r="R385" s="48"/>
      <c r="S385" s="48"/>
      <c r="T385" s="48"/>
      <c r="U385" s="48"/>
      <c r="V385" s="48"/>
      <c r="W385" s="55"/>
      <c r="X385" s="55"/>
      <c r="Y385" s="55"/>
      <c r="Z385" s="55"/>
      <c r="AA385" s="55"/>
      <c r="AB385" s="55"/>
    </row>
    <row r="386" spans="1:28" ht="15.75" customHeight="1">
      <c r="A386" s="48"/>
      <c r="B386" s="77"/>
      <c r="C386" s="208" t="str">
        <f>Specialties!B15</f>
        <v>Surface Mounted Paper Towel Dispenser - OFCI</v>
      </c>
      <c r="D386" s="171" t="str">
        <f>Specialties!C15</f>
        <v>Half Size - Translucent Gray</v>
      </c>
      <c r="E386" s="120">
        <f>Specialties!I15</f>
        <v>2</v>
      </c>
      <c r="F386" s="120" t="str">
        <f>Specialties!J15</f>
        <v>EA</v>
      </c>
      <c r="G386" s="171">
        <f>E386*0.85</f>
        <v>1.7</v>
      </c>
      <c r="H386" s="118" t="s">
        <v>180</v>
      </c>
      <c r="I386" s="119">
        <f t="shared" si="84"/>
        <v>0</v>
      </c>
      <c r="J386" s="119">
        <f t="shared" si="85"/>
        <v>0</v>
      </c>
      <c r="K386" s="69"/>
      <c r="L386" s="48"/>
      <c r="M386" s="97">
        <v>0</v>
      </c>
      <c r="N386" s="96"/>
      <c r="O386" s="48"/>
      <c r="P386" s="48"/>
      <c r="Q386" s="48"/>
      <c r="R386" s="48"/>
      <c r="S386" s="48"/>
      <c r="T386" s="48"/>
      <c r="U386" s="48"/>
      <c r="V386" s="48"/>
      <c r="W386" s="55"/>
      <c r="X386" s="55"/>
      <c r="Y386" s="55"/>
      <c r="Z386" s="55"/>
      <c r="AA386" s="55"/>
      <c r="AB386" s="55"/>
    </row>
    <row r="387" spans="1:28" ht="15.75" customHeight="1">
      <c r="A387" s="48"/>
      <c r="B387" s="77"/>
      <c r="C387" s="208" t="str">
        <f>Specialties!B16</f>
        <v>Surface-Mounted Coat Hook - OFCI</v>
      </c>
      <c r="D387" s="171"/>
      <c r="E387" s="120">
        <f>Specialties!I16</f>
        <v>2</v>
      </c>
      <c r="F387" s="120" t="str">
        <f>Specialties!J16</f>
        <v>EA</v>
      </c>
      <c r="G387" s="171">
        <f>E387*0.5</f>
        <v>1</v>
      </c>
      <c r="H387" s="118" t="s">
        <v>180</v>
      </c>
      <c r="I387" s="119">
        <f t="shared" si="84"/>
        <v>0</v>
      </c>
      <c r="J387" s="119">
        <f t="shared" si="85"/>
        <v>0</v>
      </c>
      <c r="K387" s="69"/>
      <c r="L387" s="48"/>
      <c r="M387" s="97">
        <v>0</v>
      </c>
      <c r="N387" s="96"/>
      <c r="O387" s="48"/>
      <c r="P387" s="48"/>
      <c r="Q387" s="48"/>
      <c r="R387" s="48"/>
      <c r="S387" s="48"/>
      <c r="T387" s="48"/>
      <c r="U387" s="48"/>
      <c r="V387" s="48"/>
      <c r="W387" s="55"/>
      <c r="X387" s="55"/>
      <c r="Y387" s="55"/>
      <c r="Z387" s="55"/>
      <c r="AA387" s="55"/>
      <c r="AB387" s="55"/>
    </row>
    <row r="388" spans="1:28" ht="15.75" customHeight="1">
      <c r="A388" s="48"/>
      <c r="B388" s="77"/>
      <c r="C388" s="208" t="str">
        <f>Specialties!B17</f>
        <v>Coat Hook Strip - OFCI</v>
      </c>
      <c r="D388" s="171"/>
      <c r="E388" s="120">
        <f>Specialties!I17</f>
        <v>1</v>
      </c>
      <c r="F388" s="120" t="str">
        <f>Specialties!J17</f>
        <v>EA</v>
      </c>
      <c r="G388" s="171">
        <f>E388*0.6</f>
        <v>0.6</v>
      </c>
      <c r="H388" s="118" t="s">
        <v>180</v>
      </c>
      <c r="I388" s="119">
        <f t="shared" si="84"/>
        <v>0</v>
      </c>
      <c r="J388" s="119">
        <f t="shared" si="85"/>
        <v>0</v>
      </c>
      <c r="K388" s="69"/>
      <c r="L388" s="48"/>
      <c r="M388" s="97">
        <v>0</v>
      </c>
      <c r="N388" s="96"/>
      <c r="O388" s="48"/>
      <c r="P388" s="48"/>
      <c r="Q388" s="48"/>
      <c r="R388" s="48"/>
      <c r="S388" s="48"/>
      <c r="T388" s="48"/>
      <c r="U388" s="48"/>
      <c r="V388" s="48"/>
      <c r="W388" s="55"/>
      <c r="X388" s="55"/>
      <c r="Y388" s="55"/>
      <c r="Z388" s="55"/>
      <c r="AA388" s="55"/>
      <c r="AB388" s="55"/>
    </row>
    <row r="389" spans="1:28" ht="15.75" customHeight="1">
      <c r="A389" s="48"/>
      <c r="B389" s="77"/>
      <c r="C389" s="208" t="str">
        <f>Specialties!B18</f>
        <v>Hand Dryer Back Panel - OFCI</v>
      </c>
      <c r="D389" s="171"/>
      <c r="E389" s="120">
        <f>Specialties!I18</f>
        <v>2</v>
      </c>
      <c r="F389" s="120" t="str">
        <f>Specialties!J18</f>
        <v>EA</v>
      </c>
      <c r="G389" s="171">
        <f>E389*1</f>
        <v>2</v>
      </c>
      <c r="H389" s="118" t="s">
        <v>180</v>
      </c>
      <c r="I389" s="119">
        <f t="shared" si="84"/>
        <v>0</v>
      </c>
      <c r="J389" s="119">
        <f t="shared" si="85"/>
        <v>0</v>
      </c>
      <c r="K389" s="69"/>
      <c r="L389" s="48"/>
      <c r="M389" s="97">
        <v>0</v>
      </c>
      <c r="N389" s="96"/>
      <c r="O389" s="48"/>
      <c r="P389" s="48"/>
      <c r="Q389" s="48"/>
      <c r="R389" s="48"/>
      <c r="S389" s="48"/>
      <c r="T389" s="48"/>
      <c r="U389" s="48"/>
      <c r="V389" s="48"/>
      <c r="W389" s="55"/>
      <c r="X389" s="55"/>
      <c r="Y389" s="55"/>
      <c r="Z389" s="55"/>
      <c r="AA389" s="55"/>
      <c r="AB389" s="55"/>
    </row>
    <row r="390" spans="1:28" ht="15.75" customHeight="1">
      <c r="A390" s="48"/>
      <c r="B390" s="77"/>
      <c r="C390" s="208" t="str">
        <f>Specialties!B19</f>
        <v>Mirror - BOH - OFCI</v>
      </c>
      <c r="D390" s="171"/>
      <c r="E390" s="120">
        <f>Specialties!I19</f>
        <v>1</v>
      </c>
      <c r="F390" s="120" t="str">
        <f>Specialties!J19</f>
        <v>EA</v>
      </c>
      <c r="G390" s="171">
        <f>E390*1.7</f>
        <v>1.7</v>
      </c>
      <c r="H390" s="118" t="s">
        <v>180</v>
      </c>
      <c r="I390" s="119">
        <f t="shared" si="84"/>
        <v>0</v>
      </c>
      <c r="J390" s="119">
        <f t="shared" si="85"/>
        <v>0</v>
      </c>
      <c r="K390" s="69"/>
      <c r="L390" s="48"/>
      <c r="M390" s="97">
        <v>0</v>
      </c>
      <c r="N390" s="96"/>
      <c r="O390" s="48"/>
      <c r="P390" s="48"/>
      <c r="Q390" s="48"/>
      <c r="R390" s="48"/>
      <c r="S390" s="48"/>
      <c r="T390" s="48"/>
      <c r="U390" s="48"/>
      <c r="V390" s="48"/>
      <c r="W390" s="55"/>
      <c r="X390" s="55"/>
      <c r="Y390" s="55"/>
      <c r="Z390" s="55"/>
      <c r="AA390" s="55"/>
      <c r="AB390" s="55"/>
    </row>
    <row r="391" spans="1:28" ht="15.75" customHeight="1">
      <c r="A391" s="48"/>
      <c r="B391" s="77"/>
      <c r="C391" s="208" t="str">
        <f>Specialties!B20</f>
        <v>Mop Rack with 3 Holders - OFCI</v>
      </c>
      <c r="D391" s="171"/>
      <c r="E391" s="120">
        <f>Specialties!I20</f>
        <v>4</v>
      </c>
      <c r="F391" s="120" t="str">
        <f>Specialties!J20</f>
        <v>EA</v>
      </c>
      <c r="G391" s="171">
        <f>E391*0.5</f>
        <v>2</v>
      </c>
      <c r="H391" s="118" t="s">
        <v>180</v>
      </c>
      <c r="I391" s="119">
        <f t="shared" si="84"/>
        <v>0</v>
      </c>
      <c r="J391" s="119">
        <f t="shared" si="85"/>
        <v>0</v>
      </c>
      <c r="K391" s="69"/>
      <c r="L391" s="48"/>
      <c r="M391" s="97">
        <v>0</v>
      </c>
      <c r="N391" s="96"/>
      <c r="O391" s="48"/>
      <c r="P391" s="48"/>
      <c r="Q391" s="48"/>
      <c r="R391" s="48"/>
      <c r="S391" s="48"/>
      <c r="T391" s="48"/>
      <c r="U391" s="48"/>
      <c r="V391" s="48"/>
      <c r="W391" s="55"/>
      <c r="X391" s="55"/>
      <c r="Y391" s="55"/>
      <c r="Z391" s="55"/>
      <c r="AA391" s="55"/>
      <c r="AB391" s="55"/>
    </row>
    <row r="392" spans="1:28" ht="15.75" customHeight="1">
      <c r="A392" s="48"/>
      <c r="B392" s="77"/>
      <c r="C392" s="208"/>
      <c r="D392" s="171"/>
      <c r="E392" s="120"/>
      <c r="F392" s="120"/>
      <c r="G392" s="196"/>
      <c r="H392" s="118"/>
      <c r="I392" s="119"/>
      <c r="J392" s="119"/>
      <c r="K392" s="69"/>
      <c r="L392" s="48"/>
      <c r="M392" s="97"/>
      <c r="N392" s="96"/>
      <c r="O392" s="48"/>
      <c r="P392" s="48"/>
      <c r="Q392" s="48"/>
      <c r="R392" s="48"/>
      <c r="S392" s="48"/>
      <c r="T392" s="48"/>
      <c r="U392" s="48"/>
      <c r="V392" s="48"/>
      <c r="W392" s="55"/>
      <c r="X392" s="55"/>
      <c r="Y392" s="55"/>
      <c r="Z392" s="55"/>
      <c r="AA392" s="55"/>
      <c r="AB392" s="55"/>
    </row>
    <row r="393" spans="1:28" ht="15.75" customHeight="1">
      <c r="A393" s="48"/>
      <c r="B393" s="77"/>
      <c r="C393" s="206" t="str">
        <f>Specialties!B22</f>
        <v>WIRE SHELVING</v>
      </c>
      <c r="D393" s="171"/>
      <c r="E393" s="120"/>
      <c r="F393" s="120"/>
      <c r="G393" s="196"/>
      <c r="H393" s="118"/>
      <c r="I393" s="119"/>
      <c r="J393" s="119"/>
      <c r="K393" s="69"/>
      <c r="L393" s="48"/>
      <c r="M393" s="97"/>
      <c r="N393" s="96"/>
      <c r="O393" s="48"/>
      <c r="P393" s="48"/>
      <c r="Q393" s="48"/>
      <c r="R393" s="48"/>
      <c r="S393" s="48"/>
      <c r="T393" s="48"/>
      <c r="U393" s="48"/>
      <c r="V393" s="48"/>
      <c r="W393" s="55"/>
      <c r="X393" s="55"/>
      <c r="Y393" s="55"/>
      <c r="Z393" s="55"/>
      <c r="AA393" s="55"/>
      <c r="AB393" s="55"/>
    </row>
    <row r="394" spans="1:28" ht="15.75" customHeight="1">
      <c r="A394" s="48"/>
      <c r="B394" s="77"/>
      <c r="C394" s="208" t="str">
        <f>Specialties!B23</f>
        <v>Work Room Shelving - OFCI</v>
      </c>
      <c r="D394" s="171" t="str">
        <f>Specialties!C23</f>
        <v>Size: 36"</v>
      </c>
      <c r="E394" s="120">
        <f>Specialties!I23</f>
        <v>11</v>
      </c>
      <c r="F394" s="120" t="str">
        <f>Specialties!J23</f>
        <v>EA</v>
      </c>
      <c r="G394" s="171">
        <f>E394*0.9</f>
        <v>9.9</v>
      </c>
      <c r="H394" s="118" t="s">
        <v>180</v>
      </c>
      <c r="I394" s="119">
        <f t="shared" ref="I394:I397" si="86">E394*N394*(1+M394)</f>
        <v>0</v>
      </c>
      <c r="J394" s="119">
        <f t="shared" ref="J394:J397" si="87">SUM(I394)</f>
        <v>0</v>
      </c>
      <c r="K394" s="69"/>
      <c r="L394" s="48"/>
      <c r="M394" s="97">
        <v>0</v>
      </c>
      <c r="N394" s="96"/>
      <c r="O394" s="48"/>
      <c r="P394" s="48"/>
      <c r="Q394" s="48"/>
      <c r="R394" s="48"/>
      <c r="S394" s="48"/>
      <c r="T394" s="48"/>
      <c r="U394" s="48"/>
      <c r="V394" s="48"/>
      <c r="W394" s="55"/>
      <c r="X394" s="55"/>
      <c r="Y394" s="55"/>
      <c r="Z394" s="55"/>
      <c r="AA394" s="55"/>
      <c r="AB394" s="55"/>
    </row>
    <row r="395" spans="1:28" ht="15.75" customHeight="1">
      <c r="A395" s="48"/>
      <c r="B395" s="77"/>
      <c r="C395" s="208" t="str">
        <f>Specialties!B24</f>
        <v>Work Room Shelving Cart Kit - OFCI</v>
      </c>
      <c r="D395" s="171"/>
      <c r="E395" s="120">
        <f>Specialties!I24</f>
        <v>1</v>
      </c>
      <c r="F395" s="120" t="str">
        <f>Specialties!J24</f>
        <v>EA</v>
      </c>
      <c r="G395" s="529">
        <v>0</v>
      </c>
      <c r="H395" s="118" t="s">
        <v>180</v>
      </c>
      <c r="I395" s="119">
        <f t="shared" si="86"/>
        <v>0</v>
      </c>
      <c r="J395" s="119">
        <f t="shared" si="87"/>
        <v>0</v>
      </c>
      <c r="K395" s="69"/>
      <c r="L395" s="48"/>
      <c r="M395" s="97">
        <v>0</v>
      </c>
      <c r="N395" s="96"/>
      <c r="O395" s="48"/>
      <c r="P395" s="48"/>
      <c r="Q395" s="48"/>
      <c r="R395" s="48"/>
      <c r="S395" s="48"/>
      <c r="T395" s="48"/>
      <c r="U395" s="48"/>
      <c r="V395" s="48"/>
      <c r="W395" s="55"/>
      <c r="X395" s="55"/>
      <c r="Y395" s="55"/>
      <c r="Z395" s="55"/>
      <c r="AA395" s="55"/>
      <c r="AB395" s="55"/>
    </row>
    <row r="396" spans="1:28" ht="15.75" customHeight="1">
      <c r="A396" s="48"/>
      <c r="B396" s="77"/>
      <c r="C396" s="208" t="str">
        <f>Specialties!B25</f>
        <v>Work Room Shelving Posts - OFCI</v>
      </c>
      <c r="D396" s="171"/>
      <c r="E396" s="120">
        <f>Specialties!I25</f>
        <v>11</v>
      </c>
      <c r="F396" s="120" t="str">
        <f>Specialties!J25</f>
        <v>EA</v>
      </c>
      <c r="G396" s="529">
        <v>0</v>
      </c>
      <c r="H396" s="118" t="s">
        <v>180</v>
      </c>
      <c r="I396" s="119">
        <f t="shared" si="86"/>
        <v>0</v>
      </c>
      <c r="J396" s="119">
        <f t="shared" si="87"/>
        <v>0</v>
      </c>
      <c r="K396" s="69"/>
      <c r="L396" s="48"/>
      <c r="M396" s="97">
        <v>0</v>
      </c>
      <c r="N396" s="96"/>
      <c r="O396" s="48"/>
      <c r="P396" s="48"/>
      <c r="Q396" s="48"/>
      <c r="R396" s="48"/>
      <c r="S396" s="48"/>
      <c r="T396" s="48"/>
      <c r="U396" s="48"/>
      <c r="V396" s="48"/>
      <c r="W396" s="55"/>
      <c r="X396" s="55"/>
      <c r="Y396" s="55"/>
      <c r="Z396" s="55"/>
      <c r="AA396" s="55"/>
      <c r="AB396" s="55"/>
    </row>
    <row r="397" spans="1:28" ht="15.75" customHeight="1">
      <c r="A397" s="48"/>
      <c r="B397" s="77"/>
      <c r="C397" s="208" t="str">
        <f>Specialties!B26</f>
        <v>24" x 18" Base - OFCI</v>
      </c>
      <c r="D397" s="171"/>
      <c r="E397" s="120">
        <f>Specialties!I26</f>
        <v>4</v>
      </c>
      <c r="F397" s="120" t="str">
        <f>Specialties!J26</f>
        <v>EA</v>
      </c>
      <c r="G397" s="171">
        <f>E397*0.45</f>
        <v>1.8</v>
      </c>
      <c r="H397" s="118" t="s">
        <v>180</v>
      </c>
      <c r="I397" s="119">
        <f t="shared" si="86"/>
        <v>0</v>
      </c>
      <c r="J397" s="119">
        <f t="shared" si="87"/>
        <v>0</v>
      </c>
      <c r="K397" s="69"/>
      <c r="L397" s="48"/>
      <c r="M397" s="97">
        <v>0</v>
      </c>
      <c r="N397" s="96"/>
      <c r="O397" s="48"/>
      <c r="P397" s="48"/>
      <c r="Q397" s="48"/>
      <c r="R397" s="48"/>
      <c r="S397" s="48"/>
      <c r="T397" s="48"/>
      <c r="U397" s="48"/>
      <c r="V397" s="48"/>
      <c r="W397" s="55"/>
      <c r="X397" s="55"/>
      <c r="Y397" s="55"/>
      <c r="Z397" s="55"/>
      <c r="AA397" s="55"/>
      <c r="AB397" s="55"/>
    </row>
    <row r="398" spans="1:28" ht="15.75" customHeight="1">
      <c r="A398" s="48"/>
      <c r="B398" s="77"/>
      <c r="C398" s="208"/>
      <c r="D398" s="171"/>
      <c r="E398" s="120"/>
      <c r="F398" s="120"/>
      <c r="G398" s="196"/>
      <c r="H398" s="118"/>
      <c r="I398" s="119"/>
      <c r="J398" s="119"/>
      <c r="K398" s="69"/>
      <c r="L398" s="48"/>
      <c r="M398" s="97"/>
      <c r="N398" s="96"/>
      <c r="O398" s="48"/>
      <c r="P398" s="48"/>
      <c r="Q398" s="48"/>
      <c r="R398" s="48"/>
      <c r="S398" s="48"/>
      <c r="T398" s="48"/>
      <c r="U398" s="48"/>
      <c r="V398" s="48"/>
      <c r="W398" s="55"/>
      <c r="X398" s="55"/>
      <c r="Y398" s="55"/>
      <c r="Z398" s="55"/>
      <c r="AA398" s="55"/>
      <c r="AB398" s="55"/>
    </row>
    <row r="399" spans="1:28" ht="15.75" customHeight="1">
      <c r="A399" s="48"/>
      <c r="B399" s="77"/>
      <c r="C399" s="206" t="str">
        <f>Specialties!B28</f>
        <v>WALL PROTECTION</v>
      </c>
      <c r="D399" s="171"/>
      <c r="E399" s="120"/>
      <c r="F399" s="120"/>
      <c r="G399" s="196"/>
      <c r="H399" s="118"/>
      <c r="I399" s="119"/>
      <c r="J399" s="119"/>
      <c r="K399" s="69"/>
      <c r="L399" s="48"/>
      <c r="M399" s="97"/>
      <c r="N399" s="96"/>
      <c r="O399" s="48"/>
      <c r="P399" s="48"/>
      <c r="Q399" s="48"/>
      <c r="R399" s="48"/>
      <c r="S399" s="48"/>
      <c r="T399" s="48"/>
      <c r="U399" s="48"/>
      <c r="V399" s="48"/>
      <c r="W399" s="55"/>
      <c r="X399" s="55"/>
      <c r="Y399" s="55"/>
      <c r="Z399" s="55"/>
      <c r="AA399" s="55"/>
      <c r="AB399" s="55"/>
    </row>
    <row r="400" spans="1:28" ht="26.4">
      <c r="A400" s="48"/>
      <c r="B400" s="77"/>
      <c r="C400" s="208" t="str">
        <f>Specialties!B29</f>
        <v>9'-4"H Metal Corner Guard</v>
      </c>
      <c r="D400" s="171" t="str">
        <f>Specialties!C29</f>
        <v>Size: 1"
Color: Pewter</v>
      </c>
      <c r="E400" s="120">
        <f>Specialties!I29</f>
        <v>3</v>
      </c>
      <c r="F400" s="120" t="str">
        <f>Specialties!J29</f>
        <v>EA</v>
      </c>
      <c r="G400" s="171">
        <f t="shared" ref="G400:G401" si="88">E400*0.8</f>
        <v>2.4000000000000004</v>
      </c>
      <c r="H400" s="118" t="s">
        <v>180</v>
      </c>
      <c r="I400" s="119">
        <f t="shared" ref="I400:I402" si="89">E400*N400*(1+M400)</f>
        <v>0</v>
      </c>
      <c r="J400" s="119">
        <f t="shared" ref="J400:J402" si="90">SUM(I400)</f>
        <v>0</v>
      </c>
      <c r="K400" s="69"/>
      <c r="L400" s="48"/>
      <c r="M400" s="97">
        <v>0</v>
      </c>
      <c r="N400" s="96"/>
      <c r="O400" s="48"/>
      <c r="P400" s="48"/>
      <c r="Q400" s="48"/>
      <c r="R400" s="48"/>
      <c r="S400" s="48"/>
      <c r="T400" s="48"/>
      <c r="U400" s="48"/>
      <c r="V400" s="48"/>
      <c r="W400" s="55"/>
      <c r="X400" s="55"/>
      <c r="Y400" s="55"/>
      <c r="Z400" s="55"/>
      <c r="AA400" s="55"/>
      <c r="AB400" s="55"/>
    </row>
    <row r="401" spans="1:28" ht="26.4">
      <c r="A401" s="48"/>
      <c r="B401" s="77"/>
      <c r="C401" s="208" t="str">
        <f>Specialties!B30</f>
        <v>9'-6"H Metal Corner Guard</v>
      </c>
      <c r="D401" s="171" t="str">
        <f>Specialties!C30</f>
        <v>Size: 1"
Color: Pewter</v>
      </c>
      <c r="E401" s="120">
        <f>Specialties!I30</f>
        <v>12</v>
      </c>
      <c r="F401" s="120" t="str">
        <f>Specialties!J30</f>
        <v>EA</v>
      </c>
      <c r="G401" s="171">
        <f t="shared" si="88"/>
        <v>9.6000000000000014</v>
      </c>
      <c r="H401" s="118" t="s">
        <v>180</v>
      </c>
      <c r="I401" s="119">
        <f t="shared" si="89"/>
        <v>0</v>
      </c>
      <c r="J401" s="119">
        <f t="shared" si="90"/>
        <v>0</v>
      </c>
      <c r="K401" s="69"/>
      <c r="L401" s="48"/>
      <c r="M401" s="97">
        <v>0</v>
      </c>
      <c r="N401" s="96"/>
      <c r="O401" s="48"/>
      <c r="P401" s="48"/>
      <c r="Q401" s="48"/>
      <c r="R401" s="48"/>
      <c r="S401" s="48"/>
      <c r="T401" s="48"/>
      <c r="U401" s="48"/>
      <c r="V401" s="48"/>
      <c r="W401" s="55"/>
      <c r="X401" s="55"/>
      <c r="Y401" s="55"/>
      <c r="Z401" s="55"/>
      <c r="AA401" s="55"/>
      <c r="AB401" s="55"/>
    </row>
    <row r="402" spans="1:28" ht="26.4">
      <c r="A402" s="48"/>
      <c r="B402" s="77"/>
      <c r="C402" s="208" t="str">
        <f>Specialties!B31</f>
        <v>11'-6"H Metal Corner Guard</v>
      </c>
      <c r="D402" s="171" t="str">
        <f>Specialties!C31</f>
        <v>Size: 1"
Color: Pewter</v>
      </c>
      <c r="E402" s="120">
        <f>Specialties!I31</f>
        <v>1</v>
      </c>
      <c r="F402" s="120" t="str">
        <f>Specialties!J31</f>
        <v>EA</v>
      </c>
      <c r="G402" s="171">
        <f>E402*0.95</f>
        <v>0.95</v>
      </c>
      <c r="H402" s="118" t="s">
        <v>180</v>
      </c>
      <c r="I402" s="119">
        <f t="shared" si="89"/>
        <v>0</v>
      </c>
      <c r="J402" s="119">
        <f t="shared" si="90"/>
        <v>0</v>
      </c>
      <c r="K402" s="69"/>
      <c r="L402" s="48"/>
      <c r="M402" s="97">
        <v>0</v>
      </c>
      <c r="N402" s="96"/>
      <c r="O402" s="48"/>
      <c r="P402" s="48"/>
      <c r="Q402" s="48"/>
      <c r="R402" s="48"/>
      <c r="S402" s="48"/>
      <c r="T402" s="48"/>
      <c r="U402" s="48"/>
      <c r="V402" s="48"/>
      <c r="W402" s="55"/>
      <c r="X402" s="55"/>
      <c r="Y402" s="55"/>
      <c r="Z402" s="55"/>
      <c r="AA402" s="55"/>
      <c r="AB402" s="55"/>
    </row>
    <row r="403" spans="1:28" ht="15.75" customHeight="1">
      <c r="A403" s="48"/>
      <c r="B403" s="77"/>
      <c r="C403" s="208"/>
      <c r="D403" s="171"/>
      <c r="E403" s="120"/>
      <c r="F403" s="120"/>
      <c r="G403" s="196"/>
      <c r="H403" s="118"/>
      <c r="I403" s="119"/>
      <c r="J403" s="119"/>
      <c r="K403" s="69"/>
      <c r="L403" s="48"/>
      <c r="M403" s="97"/>
      <c r="N403" s="96"/>
      <c r="O403" s="48"/>
      <c r="P403" s="48"/>
      <c r="Q403" s="48"/>
      <c r="R403" s="48"/>
      <c r="S403" s="48"/>
      <c r="T403" s="48"/>
      <c r="U403" s="48"/>
      <c r="V403" s="48"/>
      <c r="W403" s="55"/>
      <c r="X403" s="55"/>
      <c r="Y403" s="55"/>
      <c r="Z403" s="55"/>
      <c r="AA403" s="55"/>
      <c r="AB403" s="55"/>
    </row>
    <row r="404" spans="1:28" ht="15.75" customHeight="1">
      <c r="A404" s="48"/>
      <c r="B404" s="77"/>
      <c r="C404" s="206" t="str">
        <f>Specialties!B33</f>
        <v>FIRE PROTECTION SPECIALTIES</v>
      </c>
      <c r="D404" s="171"/>
      <c r="E404" s="120"/>
      <c r="F404" s="120"/>
      <c r="G404" s="196"/>
      <c r="H404" s="118"/>
      <c r="I404" s="119"/>
      <c r="J404" s="119"/>
      <c r="K404" s="69"/>
      <c r="L404" s="48"/>
      <c r="M404" s="97"/>
      <c r="N404" s="96"/>
      <c r="O404" s="48"/>
      <c r="P404" s="48"/>
      <c r="Q404" s="48"/>
      <c r="R404" s="48"/>
      <c r="S404" s="48"/>
      <c r="T404" s="48"/>
      <c r="U404" s="48"/>
      <c r="V404" s="48"/>
      <c r="W404" s="55"/>
      <c r="X404" s="55"/>
      <c r="Y404" s="55"/>
      <c r="Z404" s="55"/>
      <c r="AA404" s="55"/>
      <c r="AB404" s="55"/>
    </row>
    <row r="405" spans="1:28" ht="15.75" customHeight="1">
      <c r="A405" s="48"/>
      <c r="B405" s="77"/>
      <c r="C405" s="208" t="str">
        <f>Specialties!B34</f>
        <v>Fire Extinguisher on Bracket</v>
      </c>
      <c r="D405" s="171"/>
      <c r="E405" s="120">
        <f>Specialties!I34</f>
        <v>1</v>
      </c>
      <c r="F405" s="120" t="str">
        <f>Specialties!J34</f>
        <v>EA</v>
      </c>
      <c r="G405" s="171">
        <f>E405*0.55</f>
        <v>0.55000000000000004</v>
      </c>
      <c r="H405" s="118" t="s">
        <v>180</v>
      </c>
      <c r="I405" s="119">
        <f>E405*N405*(1+M405)</f>
        <v>0</v>
      </c>
      <c r="J405" s="119">
        <f>SUM(I405)</f>
        <v>0</v>
      </c>
      <c r="K405" s="69"/>
      <c r="L405" s="48"/>
      <c r="M405" s="97">
        <v>0</v>
      </c>
      <c r="N405" s="96"/>
      <c r="O405" s="48"/>
      <c r="P405" s="48"/>
      <c r="Q405" s="48"/>
      <c r="R405" s="48"/>
      <c r="S405" s="48"/>
      <c r="T405" s="48"/>
      <c r="U405" s="48"/>
      <c r="V405" s="48"/>
      <c r="W405" s="55"/>
      <c r="X405" s="55"/>
      <c r="Y405" s="55"/>
      <c r="Z405" s="55"/>
      <c r="AA405" s="55"/>
      <c r="AB405" s="55"/>
    </row>
    <row r="406" spans="1:28" ht="15.75" customHeight="1">
      <c r="A406" s="48"/>
      <c r="B406" s="77"/>
      <c r="C406" s="208"/>
      <c r="D406" s="171"/>
      <c r="E406" s="120"/>
      <c r="F406" s="120"/>
      <c r="G406" s="196"/>
      <c r="H406" s="118"/>
      <c r="I406" s="119"/>
      <c r="J406" s="119"/>
      <c r="K406" s="69"/>
      <c r="L406" s="48"/>
      <c r="M406" s="97"/>
      <c r="N406" s="96"/>
      <c r="O406" s="48"/>
      <c r="P406" s="48"/>
      <c r="Q406" s="48"/>
      <c r="R406" s="48"/>
      <c r="S406" s="48"/>
      <c r="T406" s="48"/>
      <c r="U406" s="48"/>
      <c r="V406" s="48"/>
      <c r="W406" s="55"/>
      <c r="X406" s="55"/>
      <c r="Y406" s="55"/>
      <c r="Z406" s="55"/>
      <c r="AA406" s="55"/>
      <c r="AB406" s="55"/>
    </row>
    <row r="407" spans="1:28" ht="15.75" customHeight="1">
      <c r="A407" s="48"/>
      <c r="B407" s="77"/>
      <c r="C407" s="206" t="str">
        <f>Specialties!B36</f>
        <v>SIGNAGES</v>
      </c>
      <c r="D407" s="171"/>
      <c r="E407" s="120"/>
      <c r="F407" s="120"/>
      <c r="G407" s="196"/>
      <c r="H407" s="118"/>
      <c r="I407" s="119"/>
      <c r="J407" s="119"/>
      <c r="K407" s="69"/>
      <c r="L407" s="48"/>
      <c r="M407" s="97"/>
      <c r="N407" s="96"/>
      <c r="O407" s="48"/>
      <c r="P407" s="48"/>
      <c r="Q407" s="48"/>
      <c r="R407" s="48"/>
      <c r="S407" s="48"/>
      <c r="T407" s="48"/>
      <c r="U407" s="48"/>
      <c r="V407" s="48"/>
      <c r="W407" s="55"/>
      <c r="X407" s="55"/>
      <c r="Y407" s="55"/>
      <c r="Z407" s="55"/>
      <c r="AA407" s="55"/>
      <c r="AB407" s="55"/>
    </row>
    <row r="408" spans="1:28" ht="27.75" customHeight="1">
      <c r="A408" s="48"/>
      <c r="B408" s="77"/>
      <c r="C408" s="208" t="str">
        <f>Specialties!B37</f>
        <v>Restroom Signage</v>
      </c>
      <c r="D408" s="171" t="str">
        <f>Specialties!C37</f>
        <v>Size: 1'-4" D x 1'-2 1/2" H
Grade II Braille</v>
      </c>
      <c r="E408" s="120">
        <f>Specialties!I37</f>
        <v>1</v>
      </c>
      <c r="F408" s="120" t="str">
        <f>Specialties!J37</f>
        <v>EA</v>
      </c>
      <c r="G408" s="171">
        <f t="shared" ref="G408:G410" si="91">E408*0.45</f>
        <v>0.45</v>
      </c>
      <c r="H408" s="118" t="s">
        <v>180</v>
      </c>
      <c r="I408" s="119">
        <f t="shared" ref="I408:I410" si="92">E408*N408*(1+M408)</f>
        <v>0</v>
      </c>
      <c r="J408" s="119">
        <f t="shared" ref="J408:J410" si="93">SUM(I408)</f>
        <v>0</v>
      </c>
      <c r="K408" s="69"/>
      <c r="L408" s="48"/>
      <c r="M408" s="97">
        <v>0</v>
      </c>
      <c r="N408" s="96"/>
      <c r="O408" s="48"/>
      <c r="P408" s="48"/>
      <c r="Q408" s="48"/>
      <c r="R408" s="48"/>
      <c r="S408" s="48"/>
      <c r="T408" s="48"/>
      <c r="U408" s="48"/>
      <c r="V408" s="48"/>
      <c r="W408" s="55"/>
      <c r="X408" s="55"/>
      <c r="Y408" s="55"/>
      <c r="Z408" s="55"/>
      <c r="AA408" s="55"/>
      <c r="AB408" s="55"/>
    </row>
    <row r="409" spans="1:28" ht="15.75" customHeight="1">
      <c r="A409" s="48"/>
      <c r="B409" s="77"/>
      <c r="C409" s="208" t="str">
        <f>Specialties!B38</f>
        <v>Accessibility Signage</v>
      </c>
      <c r="D409" s="171">
        <f>Specialties!C38</f>
        <v>0</v>
      </c>
      <c r="E409" s="120">
        <f>Specialties!I38</f>
        <v>1</v>
      </c>
      <c r="F409" s="120" t="str">
        <f>Specialties!J38</f>
        <v>EA</v>
      </c>
      <c r="G409" s="171">
        <f t="shared" si="91"/>
        <v>0.45</v>
      </c>
      <c r="H409" s="118" t="s">
        <v>180</v>
      </c>
      <c r="I409" s="119">
        <f t="shared" si="92"/>
        <v>0</v>
      </c>
      <c r="J409" s="119">
        <f t="shared" si="93"/>
        <v>0</v>
      </c>
      <c r="K409" s="69"/>
      <c r="L409" s="48"/>
      <c r="M409" s="97">
        <v>0</v>
      </c>
      <c r="N409" s="96"/>
      <c r="O409" s="48"/>
      <c r="P409" s="48"/>
      <c r="Q409" s="48"/>
      <c r="R409" s="48"/>
      <c r="S409" s="48"/>
      <c r="T409" s="48"/>
      <c r="U409" s="48"/>
      <c r="V409" s="48"/>
      <c r="W409" s="55"/>
      <c r="X409" s="55"/>
      <c r="Y409" s="55"/>
      <c r="Z409" s="55"/>
      <c r="AA409" s="55"/>
      <c r="AB409" s="55"/>
    </row>
    <row r="410" spans="1:28" ht="28.5" customHeight="1">
      <c r="A410" s="48"/>
      <c r="B410" s="77"/>
      <c r="C410" s="208" t="str">
        <f>Specialties!B39</f>
        <v>Exit Signage</v>
      </c>
      <c r="D410" s="209" t="str">
        <f>Specialties!C39</f>
        <v>Size: 6" D x 9" H
Grade II Braille</v>
      </c>
      <c r="E410" s="120">
        <f>Specialties!I39</f>
        <v>2</v>
      </c>
      <c r="F410" s="120" t="str">
        <f>Specialties!J39</f>
        <v>EA</v>
      </c>
      <c r="G410" s="171">
        <f t="shared" si="91"/>
        <v>0.9</v>
      </c>
      <c r="H410" s="118" t="s">
        <v>180</v>
      </c>
      <c r="I410" s="119">
        <f t="shared" si="92"/>
        <v>0</v>
      </c>
      <c r="J410" s="119">
        <f t="shared" si="93"/>
        <v>0</v>
      </c>
      <c r="K410" s="69"/>
      <c r="L410" s="48"/>
      <c r="M410" s="97">
        <v>0</v>
      </c>
      <c r="N410" s="96"/>
      <c r="O410" s="48"/>
      <c r="P410" s="48"/>
      <c r="Q410" s="48"/>
      <c r="R410" s="48"/>
      <c r="S410" s="48"/>
      <c r="T410" s="48"/>
      <c r="U410" s="48"/>
      <c r="V410" s="48"/>
      <c r="W410" s="55"/>
      <c r="X410" s="55"/>
      <c r="Y410" s="55"/>
      <c r="Z410" s="55"/>
      <c r="AA410" s="55"/>
      <c r="AB410" s="55"/>
    </row>
    <row r="411" spans="1:28" ht="15.75" customHeight="1">
      <c r="A411" s="48"/>
      <c r="B411" s="77"/>
      <c r="C411" s="208"/>
      <c r="D411" s="171"/>
      <c r="E411" s="120"/>
      <c r="F411" s="120"/>
      <c r="G411" s="196"/>
      <c r="H411" s="118"/>
      <c r="I411" s="119"/>
      <c r="J411" s="119"/>
      <c r="K411" s="69"/>
      <c r="L411" s="48"/>
      <c r="M411" s="97"/>
      <c r="N411" s="96"/>
      <c r="O411" s="48"/>
      <c r="P411" s="48"/>
      <c r="Q411" s="48"/>
      <c r="R411" s="48"/>
      <c r="S411" s="48"/>
      <c r="T411" s="48"/>
      <c r="U411" s="48"/>
      <c r="V411" s="48"/>
      <c r="W411" s="55"/>
      <c r="X411" s="55"/>
      <c r="Y411" s="55"/>
      <c r="Z411" s="55"/>
      <c r="AA411" s="55"/>
      <c r="AB411" s="55"/>
    </row>
    <row r="412" spans="1:28" ht="15.75" customHeight="1">
      <c r="A412" s="48"/>
      <c r="B412" s="77"/>
      <c r="C412" s="206" t="str">
        <f>Specialties!B41</f>
        <v>FURNITURES</v>
      </c>
      <c r="D412" s="171"/>
      <c r="E412" s="120"/>
      <c r="F412" s="120"/>
      <c r="G412" s="196"/>
      <c r="H412" s="118"/>
      <c r="I412" s="119"/>
      <c r="J412" s="119"/>
      <c r="K412" s="69"/>
      <c r="L412" s="48"/>
      <c r="M412" s="97"/>
      <c r="N412" s="96"/>
      <c r="O412" s="48"/>
      <c r="P412" s="48"/>
      <c r="Q412" s="48"/>
      <c r="R412" s="48"/>
      <c r="S412" s="48"/>
      <c r="T412" s="48"/>
      <c r="U412" s="48"/>
      <c r="V412" s="48"/>
      <c r="W412" s="55"/>
      <c r="X412" s="55"/>
      <c r="Y412" s="55"/>
      <c r="Z412" s="55"/>
      <c r="AA412" s="55"/>
      <c r="AB412" s="55"/>
    </row>
    <row r="413" spans="1:28" ht="15.75" customHeight="1">
      <c r="A413" s="48"/>
      <c r="B413" s="77"/>
      <c r="C413" s="208" t="str">
        <f>Specialties!B42</f>
        <v>Chair - Cafe Daphine Upholstered - OFCI</v>
      </c>
      <c r="D413" s="171" t="str">
        <f>Specialties!C42</f>
        <v>Color: Black and Caramel Brown Natural WD0035 F0008</v>
      </c>
      <c r="E413" s="120">
        <f>Specialties!I42</f>
        <v>8</v>
      </c>
      <c r="F413" s="120" t="str">
        <f>Specialties!J42</f>
        <v>EA</v>
      </c>
      <c r="G413" s="171">
        <f t="shared" ref="G413:G423" si="94">E413*0.3</f>
        <v>2.4</v>
      </c>
      <c r="H413" s="118" t="s">
        <v>180</v>
      </c>
      <c r="I413" s="119">
        <f t="shared" ref="I413:I447" si="95">E413*N413*(1+M413)</f>
        <v>0</v>
      </c>
      <c r="J413" s="119">
        <f t="shared" ref="J413:J447" si="96">SUM(I413)</f>
        <v>0</v>
      </c>
      <c r="K413" s="69"/>
      <c r="L413" s="48"/>
      <c r="M413" s="97">
        <v>0</v>
      </c>
      <c r="N413" s="96"/>
      <c r="O413" s="48"/>
      <c r="P413" s="48"/>
      <c r="Q413" s="48"/>
      <c r="R413" s="48"/>
      <c r="S413" s="48"/>
      <c r="T413" s="48"/>
      <c r="U413" s="48"/>
      <c r="V413" s="48"/>
      <c r="W413" s="55"/>
      <c r="X413" s="55"/>
      <c r="Y413" s="55"/>
      <c r="Z413" s="55"/>
      <c r="AA413" s="55"/>
      <c r="AB413" s="55"/>
    </row>
    <row r="414" spans="1:28" ht="15.75" customHeight="1">
      <c r="A414" s="48"/>
      <c r="B414" s="77"/>
      <c r="C414" s="208" t="str">
        <f>Specialties!B43</f>
        <v>Chair - Cafe Hans 2.0 - OFCI</v>
      </c>
      <c r="D414" s="171" t="str">
        <f>Specialties!C43</f>
        <v>Color: Mottled Grey</v>
      </c>
      <c r="E414" s="120">
        <f>Specialties!I43</f>
        <v>14</v>
      </c>
      <c r="F414" s="120" t="str">
        <f>Specialties!J43</f>
        <v>EA</v>
      </c>
      <c r="G414" s="171">
        <f t="shared" si="94"/>
        <v>4.2</v>
      </c>
      <c r="H414" s="118" t="s">
        <v>180</v>
      </c>
      <c r="I414" s="119">
        <f t="shared" si="95"/>
        <v>0</v>
      </c>
      <c r="J414" s="119">
        <f t="shared" si="96"/>
        <v>0</v>
      </c>
      <c r="K414" s="69"/>
      <c r="L414" s="48"/>
      <c r="M414" s="97">
        <v>0</v>
      </c>
      <c r="N414" s="96"/>
      <c r="O414" s="48"/>
      <c r="P414" s="48"/>
      <c r="Q414" s="48"/>
      <c r="R414" s="48"/>
      <c r="S414" s="48"/>
      <c r="T414" s="48"/>
      <c r="U414" s="48"/>
      <c r="V414" s="48"/>
      <c r="W414" s="55"/>
      <c r="X414" s="55"/>
      <c r="Y414" s="55"/>
      <c r="Z414" s="55"/>
      <c r="AA414" s="55"/>
      <c r="AB414" s="55"/>
    </row>
    <row r="415" spans="1:28" ht="15.75" customHeight="1">
      <c r="A415" s="48"/>
      <c r="B415" s="77"/>
      <c r="C415" s="208" t="str">
        <f>Specialties!B44</f>
        <v>Chair - Cafe Peggy - OFCI</v>
      </c>
      <c r="D415" s="171" t="str">
        <f>Specialties!C44</f>
        <v>Color: Black WD0035</v>
      </c>
      <c r="E415" s="120">
        <f>Specialties!I44</f>
        <v>14</v>
      </c>
      <c r="F415" s="120" t="str">
        <f>Specialties!J44</f>
        <v>EA</v>
      </c>
      <c r="G415" s="171">
        <f t="shared" si="94"/>
        <v>4.2</v>
      </c>
      <c r="H415" s="118" t="s">
        <v>180</v>
      </c>
      <c r="I415" s="119">
        <f t="shared" si="95"/>
        <v>0</v>
      </c>
      <c r="J415" s="119">
        <f t="shared" si="96"/>
        <v>0</v>
      </c>
      <c r="K415" s="69"/>
      <c r="L415" s="48"/>
      <c r="M415" s="97">
        <v>0</v>
      </c>
      <c r="N415" s="96"/>
      <c r="O415" s="48"/>
      <c r="P415" s="48"/>
      <c r="Q415" s="48"/>
      <c r="R415" s="48"/>
      <c r="S415" s="48"/>
      <c r="T415" s="48"/>
      <c r="U415" s="48"/>
      <c r="V415" s="48"/>
      <c r="W415" s="55"/>
      <c r="X415" s="55"/>
      <c r="Y415" s="55"/>
      <c r="Z415" s="55"/>
      <c r="AA415" s="55"/>
      <c r="AB415" s="55"/>
    </row>
    <row r="416" spans="1:28" ht="15.75" customHeight="1">
      <c r="A416" s="48"/>
      <c r="B416" s="77"/>
      <c r="C416" s="208" t="str">
        <f>Specialties!B45</f>
        <v>Chair - Cafe Peggy Upholstered - OFCI</v>
      </c>
      <c r="D416" s="171" t="str">
        <f>Specialties!C45</f>
        <v>Color: Walnut and Caramel Brown Natural WD0077 F0008</v>
      </c>
      <c r="E416" s="120">
        <f>Specialties!I45</f>
        <v>9</v>
      </c>
      <c r="F416" s="120" t="str">
        <f>Specialties!J45</f>
        <v>EA</v>
      </c>
      <c r="G416" s="171">
        <f t="shared" si="94"/>
        <v>2.6999999999999997</v>
      </c>
      <c r="H416" s="118" t="s">
        <v>180</v>
      </c>
      <c r="I416" s="119">
        <f t="shared" si="95"/>
        <v>0</v>
      </c>
      <c r="J416" s="119">
        <f t="shared" si="96"/>
        <v>0</v>
      </c>
      <c r="K416" s="69"/>
      <c r="L416" s="48"/>
      <c r="M416" s="97">
        <v>0</v>
      </c>
      <c r="N416" s="96"/>
      <c r="O416" s="48"/>
      <c r="P416" s="48"/>
      <c r="Q416" s="48"/>
      <c r="R416" s="48"/>
      <c r="S416" s="48"/>
      <c r="T416" s="48"/>
      <c r="U416" s="48"/>
      <c r="V416" s="48"/>
      <c r="W416" s="55"/>
      <c r="X416" s="55"/>
      <c r="Y416" s="55"/>
      <c r="Z416" s="55"/>
      <c r="AA416" s="55"/>
      <c r="AB416" s="55"/>
    </row>
    <row r="417" spans="1:28" ht="15.75" customHeight="1">
      <c r="A417" s="48"/>
      <c r="B417" s="77"/>
      <c r="C417" s="208" t="str">
        <f>Specialties!B46</f>
        <v>Chair - Lounge Hans 2.0 - OFCI</v>
      </c>
      <c r="D417" s="171" t="str">
        <f>Specialties!C46</f>
        <v>Color: Mottled Grey</v>
      </c>
      <c r="E417" s="120">
        <f>Specialties!I46</f>
        <v>6</v>
      </c>
      <c r="F417" s="120" t="str">
        <f>Specialties!J46</f>
        <v>EA</v>
      </c>
      <c r="G417" s="171">
        <f t="shared" si="94"/>
        <v>1.7999999999999998</v>
      </c>
      <c r="H417" s="118" t="s">
        <v>180</v>
      </c>
      <c r="I417" s="119">
        <f t="shared" si="95"/>
        <v>0</v>
      </c>
      <c r="J417" s="119">
        <f t="shared" si="96"/>
        <v>0</v>
      </c>
      <c r="K417" s="69"/>
      <c r="L417" s="48"/>
      <c r="M417" s="97">
        <v>0</v>
      </c>
      <c r="N417" s="96"/>
      <c r="O417" s="48"/>
      <c r="P417" s="48"/>
      <c r="Q417" s="48"/>
      <c r="R417" s="48"/>
      <c r="S417" s="48"/>
      <c r="T417" s="48"/>
      <c r="U417" s="48"/>
      <c r="V417" s="48"/>
      <c r="W417" s="55"/>
      <c r="X417" s="55"/>
      <c r="Y417" s="55"/>
      <c r="Z417" s="55"/>
      <c r="AA417" s="55"/>
      <c r="AB417" s="55"/>
    </row>
    <row r="418" spans="1:28" ht="15.75" customHeight="1">
      <c r="A418" s="48"/>
      <c r="B418" s="77"/>
      <c r="C418" s="208" t="str">
        <f>Specialties!B47</f>
        <v>Chair - Lounge Lottie - OFCI</v>
      </c>
      <c r="D418" s="171" t="str">
        <f>Specialties!C47</f>
        <v>Color: Banker Saddle</v>
      </c>
      <c r="E418" s="120">
        <f>Specialties!I47</f>
        <v>4</v>
      </c>
      <c r="F418" s="120" t="str">
        <f>Specialties!J47</f>
        <v>EA</v>
      </c>
      <c r="G418" s="171">
        <f t="shared" si="94"/>
        <v>1.2</v>
      </c>
      <c r="H418" s="118" t="s">
        <v>180</v>
      </c>
      <c r="I418" s="119">
        <f t="shared" si="95"/>
        <v>0</v>
      </c>
      <c r="J418" s="119">
        <f t="shared" si="96"/>
        <v>0</v>
      </c>
      <c r="K418" s="69"/>
      <c r="L418" s="48"/>
      <c r="M418" s="97">
        <v>0</v>
      </c>
      <c r="N418" s="96"/>
      <c r="O418" s="48"/>
      <c r="P418" s="48"/>
      <c r="Q418" s="48"/>
      <c r="R418" s="48"/>
      <c r="S418" s="48"/>
      <c r="T418" s="48"/>
      <c r="U418" s="48"/>
      <c r="V418" s="48"/>
      <c r="W418" s="55"/>
      <c r="X418" s="55"/>
      <c r="Y418" s="55"/>
      <c r="Z418" s="55"/>
      <c r="AA418" s="55"/>
      <c r="AB418" s="55"/>
    </row>
    <row r="419" spans="1:28" ht="15.75" customHeight="1">
      <c r="A419" s="48"/>
      <c r="B419" s="77"/>
      <c r="C419" s="208" t="str">
        <f>Specialties!B48</f>
        <v>Chair - Lounge Moon- OFCI</v>
      </c>
      <c r="D419" s="171" t="str">
        <f>Specialties!C48</f>
        <v>Color: Black and Caramel Brown Natural MT0028 F0008</v>
      </c>
      <c r="E419" s="120">
        <f>Specialties!I48</f>
        <v>6</v>
      </c>
      <c r="F419" s="120" t="str">
        <f>Specialties!J48</f>
        <v>EA</v>
      </c>
      <c r="G419" s="171">
        <f t="shared" si="94"/>
        <v>1.7999999999999998</v>
      </c>
      <c r="H419" s="118" t="s">
        <v>180</v>
      </c>
      <c r="I419" s="119">
        <f t="shared" si="95"/>
        <v>0</v>
      </c>
      <c r="J419" s="119">
        <f t="shared" si="96"/>
        <v>0</v>
      </c>
      <c r="K419" s="69"/>
      <c r="L419" s="48"/>
      <c r="M419" s="97">
        <v>0</v>
      </c>
      <c r="N419" s="96"/>
      <c r="O419" s="48"/>
      <c r="P419" s="48"/>
      <c r="Q419" s="48"/>
      <c r="R419" s="48"/>
      <c r="S419" s="48"/>
      <c r="T419" s="48"/>
      <c r="U419" s="48"/>
      <c r="V419" s="48"/>
      <c r="W419" s="55"/>
      <c r="X419" s="55"/>
      <c r="Y419" s="55"/>
      <c r="Z419" s="55"/>
      <c r="AA419" s="55"/>
      <c r="AB419" s="55"/>
    </row>
    <row r="420" spans="1:28" ht="15.75" customHeight="1">
      <c r="A420" s="48"/>
      <c r="B420" s="77"/>
      <c r="C420" s="208" t="str">
        <f>Specialties!B49</f>
        <v>Chair - Managers Workstation- OFCI</v>
      </c>
      <c r="D420" s="171" t="str">
        <f>Specialties!C49</f>
        <v>Steelcase Series One Armless</v>
      </c>
      <c r="E420" s="120">
        <f>Specialties!I49</f>
        <v>1</v>
      </c>
      <c r="F420" s="120" t="str">
        <f>Specialties!J49</f>
        <v>EA</v>
      </c>
      <c r="G420" s="171">
        <f t="shared" si="94"/>
        <v>0.3</v>
      </c>
      <c r="H420" s="118" t="s">
        <v>180</v>
      </c>
      <c r="I420" s="119">
        <f t="shared" si="95"/>
        <v>0</v>
      </c>
      <c r="J420" s="119">
        <f t="shared" si="96"/>
        <v>0</v>
      </c>
      <c r="K420" s="69"/>
      <c r="L420" s="48"/>
      <c r="M420" s="97">
        <v>0</v>
      </c>
      <c r="N420" s="96"/>
      <c r="O420" s="48"/>
      <c r="P420" s="48"/>
      <c r="Q420" s="48"/>
      <c r="R420" s="48"/>
      <c r="S420" s="48"/>
      <c r="T420" s="48"/>
      <c r="U420" s="48"/>
      <c r="V420" s="48"/>
      <c r="W420" s="55"/>
      <c r="X420" s="55"/>
      <c r="Y420" s="55"/>
      <c r="Z420" s="55"/>
      <c r="AA420" s="55"/>
      <c r="AB420" s="55"/>
    </row>
    <row r="421" spans="1:28" ht="15.75" customHeight="1">
      <c r="A421" s="48"/>
      <c r="B421" s="77"/>
      <c r="C421" s="208" t="str">
        <f>Specialties!B50</f>
        <v>Chair - Stool - Counter Height Peggy Upholstered- OFCI</v>
      </c>
      <c r="D421" s="171" t="str">
        <f>Specialties!C50</f>
        <v>Color: Walnut and Caramel Brown Natural WD0077 F0008</v>
      </c>
      <c r="E421" s="120">
        <f>Specialties!I50</f>
        <v>12</v>
      </c>
      <c r="F421" s="120" t="str">
        <f>Specialties!J50</f>
        <v>EA</v>
      </c>
      <c r="G421" s="171">
        <f t="shared" si="94"/>
        <v>3.5999999999999996</v>
      </c>
      <c r="H421" s="118" t="s">
        <v>180</v>
      </c>
      <c r="I421" s="119">
        <f t="shared" si="95"/>
        <v>0</v>
      </c>
      <c r="J421" s="119">
        <f t="shared" si="96"/>
        <v>0</v>
      </c>
      <c r="K421" s="69"/>
      <c r="L421" s="48"/>
      <c r="M421" s="97">
        <v>0</v>
      </c>
      <c r="N421" s="96"/>
      <c r="O421" s="48"/>
      <c r="P421" s="48"/>
      <c r="Q421" s="48"/>
      <c r="R421" s="48"/>
      <c r="S421" s="48"/>
      <c r="T421" s="48"/>
      <c r="U421" s="48"/>
      <c r="V421" s="48"/>
      <c r="W421" s="55"/>
      <c r="X421" s="55"/>
      <c r="Y421" s="55"/>
      <c r="Z421" s="55"/>
      <c r="AA421" s="55"/>
      <c r="AB421" s="55"/>
    </row>
    <row r="422" spans="1:28" ht="15.75" customHeight="1">
      <c r="A422" s="48"/>
      <c r="B422" s="77"/>
      <c r="C422" s="208" t="str">
        <f>Specialties!B51</f>
        <v>Chair - Stool Bar Height Mater- OFCI</v>
      </c>
      <c r="D422" s="171" t="str">
        <f>Specialties!C51</f>
        <v>Color: Dark Stained Oak</v>
      </c>
      <c r="E422" s="120">
        <f>Specialties!I51</f>
        <v>8</v>
      </c>
      <c r="F422" s="120" t="str">
        <f>Specialties!J51</f>
        <v>EA</v>
      </c>
      <c r="G422" s="171">
        <f t="shared" si="94"/>
        <v>2.4</v>
      </c>
      <c r="H422" s="118" t="s">
        <v>180</v>
      </c>
      <c r="I422" s="119">
        <f t="shared" si="95"/>
        <v>0</v>
      </c>
      <c r="J422" s="119">
        <f t="shared" si="96"/>
        <v>0</v>
      </c>
      <c r="K422" s="69"/>
      <c r="L422" s="48"/>
      <c r="M422" s="97">
        <v>0</v>
      </c>
      <c r="N422" s="96"/>
      <c r="O422" s="48"/>
      <c r="P422" s="48"/>
      <c r="Q422" s="48"/>
      <c r="R422" s="48"/>
      <c r="S422" s="48"/>
      <c r="T422" s="48"/>
      <c r="U422" s="48"/>
      <c r="V422" s="48"/>
      <c r="W422" s="55"/>
      <c r="X422" s="55"/>
      <c r="Y422" s="55"/>
      <c r="Z422" s="55"/>
      <c r="AA422" s="55"/>
      <c r="AB422" s="55"/>
    </row>
    <row r="423" spans="1:28" ht="15.75" customHeight="1">
      <c r="A423" s="48"/>
      <c r="B423" s="77"/>
      <c r="C423" s="208" t="str">
        <f>Specialties!B52</f>
        <v>Chair - Stool Counter Height Peggy- OFCI</v>
      </c>
      <c r="D423" s="171" t="str">
        <f>Specialties!C52</f>
        <v>Color: Black WD0035</v>
      </c>
      <c r="E423" s="120">
        <f>Specialties!I52</f>
        <v>6</v>
      </c>
      <c r="F423" s="120" t="str">
        <f>Specialties!J52</f>
        <v>EA</v>
      </c>
      <c r="G423" s="171">
        <f t="shared" si="94"/>
        <v>1.7999999999999998</v>
      </c>
      <c r="H423" s="118" t="s">
        <v>180</v>
      </c>
      <c r="I423" s="119">
        <f t="shared" si="95"/>
        <v>0</v>
      </c>
      <c r="J423" s="119">
        <f t="shared" si="96"/>
        <v>0</v>
      </c>
      <c r="K423" s="69"/>
      <c r="L423" s="48"/>
      <c r="M423" s="97">
        <v>0</v>
      </c>
      <c r="N423" s="96"/>
      <c r="O423" s="48"/>
      <c r="P423" s="48"/>
      <c r="Q423" s="48"/>
      <c r="R423" s="48"/>
      <c r="S423" s="48"/>
      <c r="T423" s="48"/>
      <c r="U423" s="48"/>
      <c r="V423" s="48"/>
      <c r="W423" s="55"/>
      <c r="X423" s="55"/>
      <c r="Y423" s="55"/>
      <c r="Z423" s="55"/>
      <c r="AA423" s="55"/>
      <c r="AB423" s="55"/>
    </row>
    <row r="424" spans="1:28" ht="15.75" customHeight="1">
      <c r="A424" s="48"/>
      <c r="B424" s="77"/>
      <c r="C424" s="208" t="str">
        <f>Specialties!B53</f>
        <v>Desk - Managers Workstation- OFCI</v>
      </c>
      <c r="D424" s="171" t="str">
        <f>Specialties!C53</f>
        <v>Size: 48"x24"27"</v>
      </c>
      <c r="E424" s="120">
        <f>Specialties!I53</f>
        <v>1</v>
      </c>
      <c r="F424" s="120" t="str">
        <f>Specialties!J53</f>
        <v>EA</v>
      </c>
      <c r="G424" s="171">
        <f t="shared" ref="G424:G425" si="97">E424*0.5</f>
        <v>0.5</v>
      </c>
      <c r="H424" s="118" t="s">
        <v>180</v>
      </c>
      <c r="I424" s="119">
        <f t="shared" si="95"/>
        <v>0</v>
      </c>
      <c r="J424" s="119">
        <f t="shared" si="96"/>
        <v>0</v>
      </c>
      <c r="K424" s="69"/>
      <c r="L424" s="48"/>
      <c r="M424" s="97">
        <v>0</v>
      </c>
      <c r="N424" s="96"/>
      <c r="O424" s="48"/>
      <c r="P424" s="48"/>
      <c r="Q424" s="48"/>
      <c r="R424" s="48"/>
      <c r="S424" s="48"/>
      <c r="T424" s="48"/>
      <c r="U424" s="48"/>
      <c r="V424" s="48"/>
      <c r="W424" s="55"/>
      <c r="X424" s="55"/>
      <c r="Y424" s="55"/>
      <c r="Z424" s="55"/>
      <c r="AA424" s="55"/>
      <c r="AB424" s="55"/>
    </row>
    <row r="425" spans="1:28" ht="15.75" customHeight="1">
      <c r="A425" s="48"/>
      <c r="B425" s="77"/>
      <c r="C425" s="208" t="str">
        <f>Specialties!B54</f>
        <v>Desk - Managers Workstation Shelves- OFCI</v>
      </c>
      <c r="D425" s="171" t="str">
        <f>Specialties!C54</f>
        <v>Size: 48"x24"27"</v>
      </c>
      <c r="E425" s="120">
        <f>Specialties!I54</f>
        <v>1</v>
      </c>
      <c r="F425" s="120" t="str">
        <f>Specialties!J54</f>
        <v>EA</v>
      </c>
      <c r="G425" s="171">
        <f t="shared" si="97"/>
        <v>0.5</v>
      </c>
      <c r="H425" s="118" t="s">
        <v>180</v>
      </c>
      <c r="I425" s="119">
        <f t="shared" si="95"/>
        <v>0</v>
      </c>
      <c r="J425" s="119">
        <f t="shared" si="96"/>
        <v>0</v>
      </c>
      <c r="K425" s="69"/>
      <c r="L425" s="48"/>
      <c r="M425" s="97">
        <v>0</v>
      </c>
      <c r="N425" s="96"/>
      <c r="O425" s="48"/>
      <c r="P425" s="48"/>
      <c r="Q425" s="48"/>
      <c r="R425" s="48"/>
      <c r="S425" s="48"/>
      <c r="T425" s="48"/>
      <c r="U425" s="48"/>
      <c r="V425" s="48"/>
      <c r="W425" s="55"/>
      <c r="X425" s="55"/>
      <c r="Y425" s="55"/>
      <c r="Z425" s="55"/>
      <c r="AA425" s="55"/>
      <c r="AB425" s="55"/>
    </row>
    <row r="426" spans="1:28" ht="15.75" customHeight="1">
      <c r="A426" s="48"/>
      <c r="B426" s="77"/>
      <c r="C426" s="208" t="str">
        <f>Specialties!B55</f>
        <v>File Mobile Pedestal with Cushion and Lock- OFCI</v>
      </c>
      <c r="D426" s="171"/>
      <c r="E426" s="120">
        <f>Specialties!I55</f>
        <v>1</v>
      </c>
      <c r="F426" s="120" t="str">
        <f>Specialties!J55</f>
        <v>EA</v>
      </c>
      <c r="G426" s="171">
        <f>E426*0.45</f>
        <v>0.45</v>
      </c>
      <c r="H426" s="118" t="s">
        <v>180</v>
      </c>
      <c r="I426" s="119">
        <f t="shared" si="95"/>
        <v>0</v>
      </c>
      <c r="J426" s="119">
        <f t="shared" si="96"/>
        <v>0</v>
      </c>
      <c r="K426" s="69"/>
      <c r="L426" s="48"/>
      <c r="M426" s="97">
        <v>0</v>
      </c>
      <c r="N426" s="96"/>
      <c r="O426" s="48"/>
      <c r="P426" s="48"/>
      <c r="Q426" s="48"/>
      <c r="R426" s="48"/>
      <c r="S426" s="48"/>
      <c r="T426" s="48"/>
      <c r="U426" s="48"/>
      <c r="V426" s="48"/>
      <c r="W426" s="55"/>
      <c r="X426" s="55"/>
      <c r="Y426" s="55"/>
      <c r="Z426" s="55"/>
      <c r="AA426" s="55"/>
      <c r="AB426" s="55"/>
    </row>
    <row r="427" spans="1:28" ht="15.75" customHeight="1">
      <c r="A427" s="48"/>
      <c r="B427" s="77"/>
      <c r="C427" s="208" t="str">
        <f>Specialties!B56</f>
        <v>Hamilton Leather Sofa- OFCI</v>
      </c>
      <c r="D427" s="171" t="str">
        <f>Specialties!C56</f>
        <v>West Elm - Burnt Sienna #5942664</v>
      </c>
      <c r="E427" s="120">
        <f>Specialties!I56</f>
        <v>2</v>
      </c>
      <c r="F427" s="120" t="str">
        <f>Specialties!J56</f>
        <v>EA</v>
      </c>
      <c r="G427" s="171">
        <f>E427*0.55</f>
        <v>1.1000000000000001</v>
      </c>
      <c r="H427" s="118" t="s">
        <v>180</v>
      </c>
      <c r="I427" s="119">
        <f t="shared" si="95"/>
        <v>0</v>
      </c>
      <c r="J427" s="119">
        <f t="shared" si="96"/>
        <v>0</v>
      </c>
      <c r="K427" s="69"/>
      <c r="L427" s="48"/>
      <c r="M427" s="97">
        <v>0</v>
      </c>
      <c r="N427" s="96"/>
      <c r="O427" s="48"/>
      <c r="P427" s="48"/>
      <c r="Q427" s="48"/>
      <c r="R427" s="48"/>
      <c r="S427" s="48"/>
      <c r="T427" s="48"/>
      <c r="U427" s="48"/>
      <c r="V427" s="48"/>
      <c r="W427" s="55"/>
      <c r="X427" s="55"/>
      <c r="Y427" s="55"/>
      <c r="Z427" s="55"/>
      <c r="AA427" s="55"/>
      <c r="AB427" s="55"/>
    </row>
    <row r="428" spans="1:28" ht="15.75" customHeight="1">
      <c r="A428" s="48"/>
      <c r="B428" s="77"/>
      <c r="C428" s="208" t="str">
        <f>Specialties!B57</f>
        <v>Managers Desk Cart- OFCI</v>
      </c>
      <c r="D428" s="171" t="str">
        <f>Specialties!C57</f>
        <v>Size: 24"x20"</v>
      </c>
      <c r="E428" s="120">
        <f>Specialties!I57</f>
        <v>1</v>
      </c>
      <c r="F428" s="120" t="str">
        <f>Specialties!J57</f>
        <v>EA</v>
      </c>
      <c r="G428" s="171">
        <f t="shared" ref="G428:G429" si="98">E428*0.45</f>
        <v>0.45</v>
      </c>
      <c r="H428" s="118" t="s">
        <v>180</v>
      </c>
      <c r="I428" s="119">
        <f t="shared" si="95"/>
        <v>0</v>
      </c>
      <c r="J428" s="119">
        <f t="shared" si="96"/>
        <v>0</v>
      </c>
      <c r="K428" s="69"/>
      <c r="L428" s="48"/>
      <c r="M428" s="97">
        <v>0</v>
      </c>
      <c r="N428" s="96"/>
      <c r="O428" s="48"/>
      <c r="P428" s="48"/>
      <c r="Q428" s="48"/>
      <c r="R428" s="48"/>
      <c r="S428" s="48"/>
      <c r="T428" s="48"/>
      <c r="U428" s="48"/>
      <c r="V428" s="48"/>
      <c r="W428" s="55"/>
      <c r="X428" s="55"/>
      <c r="Y428" s="55"/>
      <c r="Z428" s="55"/>
      <c r="AA428" s="55"/>
      <c r="AB428" s="55"/>
    </row>
    <row r="429" spans="1:28" ht="15.75" customHeight="1">
      <c r="A429" s="48"/>
      <c r="B429" s="77"/>
      <c r="C429" s="208" t="str">
        <f>Specialties!B58</f>
        <v>Organic Modular Table- OFCI</v>
      </c>
      <c r="D429" s="171" t="str">
        <f>Specialties!C58</f>
        <v>West Elm - Large, Dark Walnut #2439505</v>
      </c>
      <c r="E429" s="120">
        <f>Specialties!I58</f>
        <v>2</v>
      </c>
      <c r="F429" s="120" t="str">
        <f>Specialties!J58</f>
        <v>EA</v>
      </c>
      <c r="G429" s="171">
        <f t="shared" si="98"/>
        <v>0.9</v>
      </c>
      <c r="H429" s="118" t="s">
        <v>180</v>
      </c>
      <c r="I429" s="119">
        <f t="shared" si="95"/>
        <v>0</v>
      </c>
      <c r="J429" s="119">
        <f t="shared" si="96"/>
        <v>0</v>
      </c>
      <c r="K429" s="69"/>
      <c r="L429" s="48"/>
      <c r="M429" s="97">
        <v>0</v>
      </c>
      <c r="N429" s="96"/>
      <c r="O429" s="48"/>
      <c r="P429" s="48"/>
      <c r="Q429" s="48"/>
      <c r="R429" s="48"/>
      <c r="S429" s="48"/>
      <c r="T429" s="48"/>
      <c r="U429" s="48"/>
      <c r="V429" s="48"/>
      <c r="W429" s="55"/>
      <c r="X429" s="55"/>
      <c r="Y429" s="55"/>
      <c r="Z429" s="55"/>
      <c r="AA429" s="55"/>
      <c r="AB429" s="55"/>
    </row>
    <row r="430" spans="1:28" ht="15.75" customHeight="1">
      <c r="A430" s="48"/>
      <c r="B430" s="77"/>
      <c r="C430" s="208" t="str">
        <f>Specialties!B59</f>
        <v>Storytelling Accessories Package</v>
      </c>
      <c r="D430" s="171"/>
      <c r="E430" s="120">
        <f>Specialties!I59</f>
        <v>1</v>
      </c>
      <c r="F430" s="120" t="str">
        <f>Specialties!J59</f>
        <v>EA</v>
      </c>
      <c r="G430" s="529">
        <v>0</v>
      </c>
      <c r="H430" s="118" t="s">
        <v>180</v>
      </c>
      <c r="I430" s="119">
        <f t="shared" si="95"/>
        <v>0</v>
      </c>
      <c r="J430" s="119">
        <f t="shared" si="96"/>
        <v>0</v>
      </c>
      <c r="K430" s="69"/>
      <c r="L430" s="48"/>
      <c r="M430" s="97">
        <v>0</v>
      </c>
      <c r="N430" s="96"/>
      <c r="O430" s="48"/>
      <c r="P430" s="48"/>
      <c r="Q430" s="48"/>
      <c r="R430" s="48"/>
      <c r="S430" s="48"/>
      <c r="T430" s="48"/>
      <c r="U430" s="48"/>
      <c r="V430" s="48"/>
      <c r="W430" s="55"/>
      <c r="X430" s="55"/>
      <c r="Y430" s="55"/>
      <c r="Z430" s="55"/>
      <c r="AA430" s="55"/>
      <c r="AB430" s="55"/>
    </row>
    <row r="431" spans="1:28" ht="24.75" customHeight="1">
      <c r="A431" s="48"/>
      <c r="B431" s="77"/>
      <c r="C431" s="208" t="str">
        <f>Specialties!B60</f>
        <v>Table - Accessible Metal with Tapered Legs - OFCI</v>
      </c>
      <c r="D431" s="171" t="str">
        <f>Specialties!C60</f>
        <v>Size: 36"x24"
Color: Black MT0028</v>
      </c>
      <c r="E431" s="120">
        <f>Specialties!I60</f>
        <v>1</v>
      </c>
      <c r="F431" s="120" t="str">
        <f>Specialties!J60</f>
        <v>EA</v>
      </c>
      <c r="G431" s="171">
        <f t="shared" ref="G431:G447" si="99">E431*0.5</f>
        <v>0.5</v>
      </c>
      <c r="H431" s="118" t="s">
        <v>180</v>
      </c>
      <c r="I431" s="119">
        <f t="shared" si="95"/>
        <v>0</v>
      </c>
      <c r="J431" s="119">
        <f t="shared" si="96"/>
        <v>0</v>
      </c>
      <c r="K431" s="69"/>
      <c r="L431" s="48"/>
      <c r="M431" s="97">
        <v>0</v>
      </c>
      <c r="N431" s="96"/>
      <c r="O431" s="48"/>
      <c r="P431" s="48"/>
      <c r="Q431" s="48"/>
      <c r="R431" s="48"/>
      <c r="S431" s="48"/>
      <c r="T431" s="48"/>
      <c r="U431" s="48"/>
      <c r="V431" s="48"/>
      <c r="W431" s="55"/>
      <c r="X431" s="55"/>
      <c r="Y431" s="55"/>
      <c r="Z431" s="55"/>
      <c r="AA431" s="55"/>
      <c r="AB431" s="55"/>
    </row>
    <row r="432" spans="1:28" ht="15.75" customHeight="1">
      <c r="A432" s="48"/>
      <c r="B432" s="77"/>
      <c r="C432" s="208" t="str">
        <f>Specialties!B61</f>
        <v>Table - Base Accessible Post Leg Square - OFCI</v>
      </c>
      <c r="D432" s="171" t="str">
        <f>Specialties!C61</f>
        <v>Color: Flat Black MT0028</v>
      </c>
      <c r="E432" s="120">
        <f>Specialties!I61</f>
        <v>2</v>
      </c>
      <c r="F432" s="120" t="str">
        <f>Specialties!J61</f>
        <v>EA</v>
      </c>
      <c r="G432" s="171">
        <f t="shared" si="99"/>
        <v>1</v>
      </c>
      <c r="H432" s="118" t="s">
        <v>180</v>
      </c>
      <c r="I432" s="119">
        <f t="shared" si="95"/>
        <v>0</v>
      </c>
      <c r="J432" s="119">
        <f t="shared" si="96"/>
        <v>0</v>
      </c>
      <c r="K432" s="69"/>
      <c r="L432" s="48"/>
      <c r="M432" s="97">
        <v>0</v>
      </c>
      <c r="N432" s="96"/>
      <c r="O432" s="48"/>
      <c r="P432" s="48"/>
      <c r="Q432" s="48"/>
      <c r="R432" s="48"/>
      <c r="S432" s="48"/>
      <c r="T432" s="48"/>
      <c r="U432" s="48"/>
      <c r="V432" s="48"/>
      <c r="W432" s="55"/>
      <c r="X432" s="55"/>
      <c r="Y432" s="55"/>
      <c r="Z432" s="55"/>
      <c r="AA432" s="55"/>
      <c r="AB432" s="55"/>
    </row>
    <row r="433" spans="1:28" ht="15.75" customHeight="1">
      <c r="A433" s="48"/>
      <c r="B433" s="77"/>
      <c r="C433" s="208" t="str">
        <f>Specialties!B62</f>
        <v>Table - Base Bar Height POV 463 - OFCI</v>
      </c>
      <c r="D433" s="171" t="str">
        <f>Specialties!C62</f>
        <v>Color: Nougat</v>
      </c>
      <c r="E433" s="120">
        <f>Specialties!I62</f>
        <v>4</v>
      </c>
      <c r="F433" s="120" t="str">
        <f>Specialties!J62</f>
        <v>EA</v>
      </c>
      <c r="G433" s="171">
        <f t="shared" si="99"/>
        <v>2</v>
      </c>
      <c r="H433" s="118" t="s">
        <v>180</v>
      </c>
      <c r="I433" s="119">
        <f t="shared" si="95"/>
        <v>0</v>
      </c>
      <c r="J433" s="119">
        <f t="shared" si="96"/>
        <v>0</v>
      </c>
      <c r="K433" s="69"/>
      <c r="L433" s="48"/>
      <c r="M433" s="97">
        <v>0</v>
      </c>
      <c r="N433" s="96"/>
      <c r="O433" s="48"/>
      <c r="P433" s="48"/>
      <c r="Q433" s="48"/>
      <c r="R433" s="48"/>
      <c r="S433" s="48"/>
      <c r="T433" s="48"/>
      <c r="U433" s="48"/>
      <c r="V433" s="48"/>
      <c r="W433" s="55"/>
      <c r="X433" s="55"/>
      <c r="Y433" s="55"/>
      <c r="Z433" s="55"/>
      <c r="AA433" s="55"/>
      <c r="AB433" s="55"/>
    </row>
    <row r="434" spans="1:28" ht="15.75" customHeight="1">
      <c r="A434" s="48"/>
      <c r="B434" s="77"/>
      <c r="C434" s="208" t="str">
        <f>Specialties!B63</f>
        <v>Table - Base Cafe Height Bottle - OFCI</v>
      </c>
      <c r="D434" s="171" t="str">
        <f>Specialties!C63</f>
        <v>Color: Flat Black MT0028</v>
      </c>
      <c r="E434" s="120">
        <f>Specialties!I63</f>
        <v>10</v>
      </c>
      <c r="F434" s="120" t="str">
        <f>Specialties!J63</f>
        <v>EA</v>
      </c>
      <c r="G434" s="171">
        <f t="shared" si="99"/>
        <v>5</v>
      </c>
      <c r="H434" s="118" t="s">
        <v>180</v>
      </c>
      <c r="I434" s="119">
        <f t="shared" si="95"/>
        <v>0</v>
      </c>
      <c r="J434" s="119">
        <f t="shared" si="96"/>
        <v>0</v>
      </c>
      <c r="K434" s="69"/>
      <c r="L434" s="48"/>
      <c r="M434" s="97">
        <v>0</v>
      </c>
      <c r="N434" s="96"/>
      <c r="O434" s="48"/>
      <c r="P434" s="48"/>
      <c r="Q434" s="48"/>
      <c r="R434" s="48"/>
      <c r="S434" s="48"/>
      <c r="T434" s="48"/>
      <c r="U434" s="48"/>
      <c r="V434" s="48"/>
      <c r="W434" s="55"/>
      <c r="X434" s="55"/>
      <c r="Y434" s="55"/>
      <c r="Z434" s="55"/>
      <c r="AA434" s="55"/>
      <c r="AB434" s="55"/>
    </row>
    <row r="435" spans="1:28" ht="15.75" customHeight="1">
      <c r="A435" s="48"/>
      <c r="B435" s="77"/>
      <c r="C435" s="208" t="str">
        <f>Specialties!B64</f>
        <v>Table - Base Continental Height Bottle - OFCI</v>
      </c>
      <c r="D435" s="171" t="str">
        <f>Specialties!C64</f>
        <v>Color: Flat Black MT0028</v>
      </c>
      <c r="E435" s="120">
        <f>Specialties!I64</f>
        <v>3</v>
      </c>
      <c r="F435" s="120" t="str">
        <f>Specialties!J64</f>
        <v>EA</v>
      </c>
      <c r="G435" s="171">
        <f t="shared" si="99"/>
        <v>1.5</v>
      </c>
      <c r="H435" s="118" t="s">
        <v>180</v>
      </c>
      <c r="I435" s="119">
        <f t="shared" si="95"/>
        <v>0</v>
      </c>
      <c r="J435" s="119">
        <f t="shared" si="96"/>
        <v>0</v>
      </c>
      <c r="K435" s="69"/>
      <c r="L435" s="48"/>
      <c r="M435" s="97">
        <v>0</v>
      </c>
      <c r="N435" s="96"/>
      <c r="O435" s="48"/>
      <c r="P435" s="48"/>
      <c r="Q435" s="48"/>
      <c r="R435" s="48"/>
      <c r="S435" s="48"/>
      <c r="T435" s="48"/>
      <c r="U435" s="48"/>
      <c r="V435" s="48"/>
      <c r="W435" s="55"/>
      <c r="X435" s="55"/>
      <c r="Y435" s="55"/>
      <c r="Z435" s="55"/>
      <c r="AA435" s="55"/>
      <c r="AB435" s="55"/>
    </row>
    <row r="436" spans="1:28" ht="24.75" customHeight="1">
      <c r="A436" s="48"/>
      <c r="B436" s="77"/>
      <c r="C436" s="208" t="str">
        <f>Specialties!B65</f>
        <v>Table - Base Fixed T Base End - OFCI</v>
      </c>
      <c r="D436" s="171" t="str">
        <f>Specialties!C65</f>
        <v>Size: 32"
Color: Flat Black MT0028</v>
      </c>
      <c r="E436" s="120">
        <f>Specialties!I65</f>
        <v>1</v>
      </c>
      <c r="F436" s="120" t="str">
        <f>Specialties!J65</f>
        <v>EA</v>
      </c>
      <c r="G436" s="171">
        <f t="shared" si="99"/>
        <v>0.5</v>
      </c>
      <c r="H436" s="118" t="s">
        <v>180</v>
      </c>
      <c r="I436" s="119">
        <f t="shared" si="95"/>
        <v>0</v>
      </c>
      <c r="J436" s="119">
        <f t="shared" si="96"/>
        <v>0</v>
      </c>
      <c r="K436" s="69"/>
      <c r="L436" s="48"/>
      <c r="M436" s="97">
        <v>0</v>
      </c>
      <c r="N436" s="96"/>
      <c r="O436" s="48"/>
      <c r="P436" s="48"/>
      <c r="Q436" s="48"/>
      <c r="R436" s="48"/>
      <c r="S436" s="48"/>
      <c r="T436" s="48"/>
      <c r="U436" s="48"/>
      <c r="V436" s="48"/>
      <c r="W436" s="55"/>
      <c r="X436" s="55"/>
      <c r="Y436" s="55"/>
      <c r="Z436" s="55"/>
      <c r="AA436" s="55"/>
      <c r="AB436" s="55"/>
    </row>
    <row r="437" spans="1:28" ht="27.75" customHeight="1">
      <c r="A437" s="48"/>
      <c r="B437" s="77"/>
      <c r="C437" s="208" t="str">
        <f>Specialties!B66</f>
        <v>Table - Cafe Metal Pedestal Base Square - OFCI</v>
      </c>
      <c r="D437" s="171" t="str">
        <f>Specialties!C66</f>
        <v>Size: 24"
Color: Black MT0028</v>
      </c>
      <c r="E437" s="120">
        <f>Specialties!I66</f>
        <v>6</v>
      </c>
      <c r="F437" s="120" t="str">
        <f>Specialties!J66</f>
        <v>EA</v>
      </c>
      <c r="G437" s="171">
        <f t="shared" si="99"/>
        <v>3</v>
      </c>
      <c r="H437" s="118" t="s">
        <v>180</v>
      </c>
      <c r="I437" s="119">
        <f t="shared" si="95"/>
        <v>0</v>
      </c>
      <c r="J437" s="119">
        <f t="shared" si="96"/>
        <v>0</v>
      </c>
      <c r="K437" s="69"/>
      <c r="L437" s="48"/>
      <c r="M437" s="97">
        <v>0</v>
      </c>
      <c r="N437" s="96"/>
      <c r="O437" s="48"/>
      <c r="P437" s="48"/>
      <c r="Q437" s="48"/>
      <c r="R437" s="48"/>
      <c r="S437" s="48"/>
      <c r="T437" s="48"/>
      <c r="U437" s="48"/>
      <c r="V437" s="48"/>
      <c r="W437" s="55"/>
      <c r="X437" s="55"/>
      <c r="Y437" s="55"/>
      <c r="Z437" s="55"/>
      <c r="AA437" s="55"/>
      <c r="AB437" s="55"/>
    </row>
    <row r="438" spans="1:28" ht="15.75" customHeight="1">
      <c r="A438" s="48"/>
      <c r="B438" s="77"/>
      <c r="C438" s="208" t="str">
        <f>Specialties!B67</f>
        <v>Table - Community Counter Height Angle Base - 12 Seat - OFCI</v>
      </c>
      <c r="D438" s="171" t="str">
        <f>Specialties!C67</f>
        <v>Color: Power Walnut WD0077</v>
      </c>
      <c r="E438" s="120">
        <f>Specialties!I67</f>
        <v>1</v>
      </c>
      <c r="F438" s="120" t="str">
        <f>Specialties!J67</f>
        <v>EA</v>
      </c>
      <c r="G438" s="171">
        <f t="shared" si="99"/>
        <v>0.5</v>
      </c>
      <c r="H438" s="118" t="s">
        <v>180</v>
      </c>
      <c r="I438" s="119">
        <f t="shared" si="95"/>
        <v>0</v>
      </c>
      <c r="J438" s="119">
        <f t="shared" si="96"/>
        <v>0</v>
      </c>
      <c r="K438" s="69"/>
      <c r="L438" s="48"/>
      <c r="M438" s="97">
        <v>0</v>
      </c>
      <c r="N438" s="96"/>
      <c r="O438" s="48"/>
      <c r="P438" s="48"/>
      <c r="Q438" s="48"/>
      <c r="R438" s="48"/>
      <c r="S438" s="48"/>
      <c r="T438" s="48"/>
      <c r="U438" s="48"/>
      <c r="V438" s="48"/>
      <c r="W438" s="55"/>
      <c r="X438" s="55"/>
      <c r="Y438" s="55"/>
      <c r="Z438" s="55"/>
      <c r="AA438" s="55"/>
      <c r="AB438" s="55"/>
    </row>
    <row r="439" spans="1:28" ht="15.75" customHeight="1">
      <c r="A439" s="48"/>
      <c r="B439" s="77"/>
      <c r="C439" s="208" t="str">
        <f>Specialties!B68</f>
        <v>Table - Console Table - OFCI</v>
      </c>
      <c r="D439" s="171" t="str">
        <f>Specialties!C68</f>
        <v>West Elm - Parker Marble Console 60" Marble &amp; Walnut SKU: 6553487</v>
      </c>
      <c r="E439" s="120">
        <f>Specialties!I68</f>
        <v>1</v>
      </c>
      <c r="F439" s="120" t="str">
        <f>Specialties!J68</f>
        <v>EA</v>
      </c>
      <c r="G439" s="171">
        <f t="shared" si="99"/>
        <v>0.5</v>
      </c>
      <c r="H439" s="118" t="s">
        <v>180</v>
      </c>
      <c r="I439" s="119">
        <f t="shared" si="95"/>
        <v>0</v>
      </c>
      <c r="J439" s="119">
        <f t="shared" si="96"/>
        <v>0</v>
      </c>
      <c r="K439" s="69"/>
      <c r="L439" s="48"/>
      <c r="M439" s="97">
        <v>0</v>
      </c>
      <c r="N439" s="96"/>
      <c r="O439" s="48"/>
      <c r="P439" s="48"/>
      <c r="Q439" s="48"/>
      <c r="R439" s="48"/>
      <c r="S439" s="48"/>
      <c r="T439" s="48"/>
      <c r="U439" s="48"/>
      <c r="V439" s="48"/>
      <c r="W439" s="55"/>
      <c r="X439" s="55"/>
      <c r="Y439" s="55"/>
      <c r="Z439" s="55"/>
      <c r="AA439" s="55"/>
      <c r="AB439" s="55"/>
    </row>
    <row r="440" spans="1:28" ht="15.75" customHeight="1">
      <c r="A440" s="48"/>
      <c r="B440" s="77"/>
      <c r="C440" s="208" t="str">
        <f>Specialties!B69</f>
        <v>Table - Occasional Cocktail Cameron - OFCI</v>
      </c>
      <c r="D440" s="171" t="str">
        <f>Specialties!C69</f>
        <v>Color: Flat Black MT0028</v>
      </c>
      <c r="E440" s="120">
        <f>Specialties!I69</f>
        <v>3</v>
      </c>
      <c r="F440" s="120" t="str">
        <f>Specialties!J69</f>
        <v>EA</v>
      </c>
      <c r="G440" s="171">
        <f t="shared" si="99"/>
        <v>1.5</v>
      </c>
      <c r="H440" s="118" t="s">
        <v>180</v>
      </c>
      <c r="I440" s="119">
        <f t="shared" si="95"/>
        <v>0</v>
      </c>
      <c r="J440" s="119">
        <f t="shared" si="96"/>
        <v>0</v>
      </c>
      <c r="K440" s="69"/>
      <c r="L440" s="48"/>
      <c r="M440" s="97">
        <v>0</v>
      </c>
      <c r="N440" s="96"/>
      <c r="O440" s="48"/>
      <c r="P440" s="48"/>
      <c r="Q440" s="48"/>
      <c r="R440" s="48"/>
      <c r="S440" s="48"/>
      <c r="T440" s="48"/>
      <c r="U440" s="48"/>
      <c r="V440" s="48"/>
      <c r="W440" s="55"/>
      <c r="X440" s="55"/>
      <c r="Y440" s="55"/>
      <c r="Z440" s="55"/>
      <c r="AA440" s="55"/>
      <c r="AB440" s="55"/>
    </row>
    <row r="441" spans="1:28" ht="15.75" customHeight="1">
      <c r="A441" s="48"/>
      <c r="B441" s="77"/>
      <c r="C441" s="208" t="str">
        <f>Specialties!B70</f>
        <v>Table - Occasional Side Wing - OFCI</v>
      </c>
      <c r="D441" s="171" t="str">
        <f>Specialties!C70</f>
        <v>Color: Black WD0035</v>
      </c>
      <c r="E441" s="120">
        <f>Specialties!I70</f>
        <v>6</v>
      </c>
      <c r="F441" s="120" t="str">
        <f>Specialties!J70</f>
        <v>EA</v>
      </c>
      <c r="G441" s="171">
        <f t="shared" si="99"/>
        <v>3</v>
      </c>
      <c r="H441" s="118" t="s">
        <v>180</v>
      </c>
      <c r="I441" s="119">
        <f t="shared" si="95"/>
        <v>0</v>
      </c>
      <c r="J441" s="119">
        <f t="shared" si="96"/>
        <v>0</v>
      </c>
      <c r="K441" s="69"/>
      <c r="L441" s="48"/>
      <c r="M441" s="97">
        <v>0</v>
      </c>
      <c r="N441" s="96"/>
      <c r="O441" s="48"/>
      <c r="P441" s="48"/>
      <c r="Q441" s="48"/>
      <c r="R441" s="48"/>
      <c r="S441" s="48"/>
      <c r="T441" s="48"/>
      <c r="U441" s="48"/>
      <c r="V441" s="48"/>
      <c r="W441" s="55"/>
      <c r="X441" s="55"/>
      <c r="Y441" s="55"/>
      <c r="Z441" s="55"/>
      <c r="AA441" s="55"/>
      <c r="AB441" s="55"/>
    </row>
    <row r="442" spans="1:28" ht="15.75" customHeight="1">
      <c r="A442" s="48"/>
      <c r="B442" s="77"/>
      <c r="C442" s="208" t="str">
        <f>Specialties!B71</f>
        <v>Table - Occassional Coffee Organic Modular Table - OFCI</v>
      </c>
      <c r="D442" s="171" t="str">
        <f>Specialties!C71</f>
        <v>West Elm - Small, Dark Walnut #8066175</v>
      </c>
      <c r="E442" s="120">
        <f>Specialties!I71</f>
        <v>2</v>
      </c>
      <c r="F442" s="120" t="str">
        <f>Specialties!J71</f>
        <v>EA</v>
      </c>
      <c r="G442" s="171">
        <f t="shared" si="99"/>
        <v>1</v>
      </c>
      <c r="H442" s="118" t="s">
        <v>180</v>
      </c>
      <c r="I442" s="119">
        <f t="shared" si="95"/>
        <v>0</v>
      </c>
      <c r="J442" s="119">
        <f t="shared" si="96"/>
        <v>0</v>
      </c>
      <c r="K442" s="69"/>
      <c r="L442" s="48"/>
      <c r="M442" s="97">
        <v>0</v>
      </c>
      <c r="N442" s="96"/>
      <c r="O442" s="48"/>
      <c r="P442" s="48"/>
      <c r="Q442" s="48"/>
      <c r="R442" s="48"/>
      <c r="S442" s="48"/>
      <c r="T442" s="48"/>
      <c r="U442" s="48"/>
      <c r="V442" s="48"/>
      <c r="W442" s="55"/>
      <c r="X442" s="55"/>
      <c r="Y442" s="55"/>
      <c r="Z442" s="55"/>
      <c r="AA442" s="55"/>
      <c r="AB442" s="55"/>
    </row>
    <row r="443" spans="1:28" ht="24.75" customHeight="1">
      <c r="A443" s="48"/>
      <c r="B443" s="77"/>
      <c r="C443" s="208" t="str">
        <f>Specialties!B72</f>
        <v>Table - Top Accessible for Post Leg Round - OFCI</v>
      </c>
      <c r="D443" s="171" t="str">
        <f>Specialties!C72</f>
        <v>Size:46"
Color: Walnut WD0077</v>
      </c>
      <c r="E443" s="120">
        <f>Specialties!I72</f>
        <v>2</v>
      </c>
      <c r="F443" s="120" t="str">
        <f>Specialties!J72</f>
        <v>EA</v>
      </c>
      <c r="G443" s="171">
        <f t="shared" si="99"/>
        <v>1</v>
      </c>
      <c r="H443" s="118" t="s">
        <v>180</v>
      </c>
      <c r="I443" s="119">
        <f t="shared" si="95"/>
        <v>0</v>
      </c>
      <c r="J443" s="119">
        <f t="shared" si="96"/>
        <v>0</v>
      </c>
      <c r="K443" s="69"/>
      <c r="L443" s="48"/>
      <c r="M443" s="97">
        <v>0</v>
      </c>
      <c r="N443" s="96"/>
      <c r="O443" s="48"/>
      <c r="P443" s="48"/>
      <c r="Q443" s="48"/>
      <c r="R443" s="48"/>
      <c r="S443" s="48"/>
      <c r="T443" s="48"/>
      <c r="U443" s="48"/>
      <c r="V443" s="48"/>
      <c r="W443" s="55"/>
      <c r="X443" s="55"/>
      <c r="Y443" s="55"/>
      <c r="Z443" s="55"/>
      <c r="AA443" s="55"/>
      <c r="AB443" s="55"/>
    </row>
    <row r="444" spans="1:28" ht="24" customHeight="1">
      <c r="A444" s="48"/>
      <c r="B444" s="77"/>
      <c r="C444" s="208" t="str">
        <f>Specialties!B73</f>
        <v>Table - Top POV Circle - OFCI</v>
      </c>
      <c r="D444" s="171" t="str">
        <f>Specialties!C73</f>
        <v>Size: 27.5"
Color: Nougat</v>
      </c>
      <c r="E444" s="120">
        <f>Specialties!I73</f>
        <v>4</v>
      </c>
      <c r="F444" s="120" t="str">
        <f>Specialties!J73</f>
        <v>EA</v>
      </c>
      <c r="G444" s="171">
        <f t="shared" si="99"/>
        <v>2</v>
      </c>
      <c r="H444" s="118" t="s">
        <v>180</v>
      </c>
      <c r="I444" s="119">
        <f t="shared" si="95"/>
        <v>0</v>
      </c>
      <c r="J444" s="119">
        <f t="shared" si="96"/>
        <v>0</v>
      </c>
      <c r="K444" s="69"/>
      <c r="L444" s="48"/>
      <c r="M444" s="97">
        <v>0</v>
      </c>
      <c r="N444" s="96"/>
      <c r="O444" s="48"/>
      <c r="P444" s="48"/>
      <c r="Q444" s="48"/>
      <c r="R444" s="48"/>
      <c r="S444" s="48"/>
      <c r="T444" s="48"/>
      <c r="U444" s="48"/>
      <c r="V444" s="48"/>
      <c r="W444" s="55"/>
      <c r="X444" s="55"/>
      <c r="Y444" s="55"/>
      <c r="Z444" s="55"/>
      <c r="AA444" s="55"/>
      <c r="AB444" s="55"/>
    </row>
    <row r="445" spans="1:28" ht="29.25" customHeight="1">
      <c r="A445" s="48"/>
      <c r="B445" s="77"/>
      <c r="C445" s="208" t="str">
        <f>Specialties!B74</f>
        <v>Table - Top Round Edge Round - OFCI</v>
      </c>
      <c r="D445" s="171" t="str">
        <f>Specialties!C74</f>
        <v>Size: 30"
Color Walnut WD0077</v>
      </c>
      <c r="E445" s="120">
        <f>Specialties!I74</f>
        <v>6</v>
      </c>
      <c r="F445" s="120" t="str">
        <f>Specialties!J74</f>
        <v>EA</v>
      </c>
      <c r="G445" s="171">
        <f t="shared" si="99"/>
        <v>3</v>
      </c>
      <c r="H445" s="118" t="s">
        <v>180</v>
      </c>
      <c r="I445" s="119">
        <f t="shared" si="95"/>
        <v>0</v>
      </c>
      <c r="J445" s="119">
        <f t="shared" si="96"/>
        <v>0</v>
      </c>
      <c r="K445" s="69"/>
      <c r="L445" s="48"/>
      <c r="M445" s="97">
        <v>0</v>
      </c>
      <c r="N445" s="96"/>
      <c r="O445" s="48"/>
      <c r="P445" s="48"/>
      <c r="Q445" s="48"/>
      <c r="R445" s="48"/>
      <c r="S445" s="48"/>
      <c r="T445" s="48"/>
      <c r="U445" s="48"/>
      <c r="V445" s="48"/>
      <c r="W445" s="55"/>
      <c r="X445" s="55"/>
      <c r="Y445" s="55"/>
      <c r="Z445" s="55"/>
      <c r="AA445" s="55"/>
      <c r="AB445" s="55"/>
    </row>
    <row r="446" spans="1:28" ht="25.5" customHeight="1">
      <c r="A446" s="48"/>
      <c r="B446" s="77"/>
      <c r="C446" s="208" t="str">
        <f>Specialties!B75</f>
        <v>Table - Top Round Edge Square - OFCI</v>
      </c>
      <c r="D446" s="171" t="str">
        <f>Specialties!C75</f>
        <v>Size: 24"
Color: Black WD0035</v>
      </c>
      <c r="E446" s="120">
        <f>Specialties!I75</f>
        <v>7</v>
      </c>
      <c r="F446" s="120" t="str">
        <f>Specialties!J75</f>
        <v>EA</v>
      </c>
      <c r="G446" s="171">
        <f t="shared" si="99"/>
        <v>3.5</v>
      </c>
      <c r="H446" s="118" t="s">
        <v>180</v>
      </c>
      <c r="I446" s="119">
        <f t="shared" si="95"/>
        <v>0</v>
      </c>
      <c r="J446" s="119">
        <f t="shared" si="96"/>
        <v>0</v>
      </c>
      <c r="K446" s="69"/>
      <c r="L446" s="48"/>
      <c r="M446" s="97">
        <v>0</v>
      </c>
      <c r="N446" s="96"/>
      <c r="O446" s="48"/>
      <c r="P446" s="48"/>
      <c r="Q446" s="48"/>
      <c r="R446" s="48"/>
      <c r="S446" s="48"/>
      <c r="T446" s="48"/>
      <c r="U446" s="48"/>
      <c r="V446" s="48"/>
      <c r="W446" s="55"/>
      <c r="X446" s="55"/>
      <c r="Y446" s="55"/>
      <c r="Z446" s="55"/>
      <c r="AA446" s="55"/>
      <c r="AB446" s="55"/>
    </row>
    <row r="447" spans="1:28" ht="15.75" customHeight="1">
      <c r="A447" s="48"/>
      <c r="B447" s="77"/>
      <c r="C447" s="208" t="str">
        <f>Specialties!B76</f>
        <v>Table - Top Variable Length - OFCI</v>
      </c>
      <c r="D447" s="171" t="str">
        <f>Specialties!C76</f>
        <v>Color: Flat Black MT0028</v>
      </c>
      <c r="E447" s="120">
        <f>Specialties!I76</f>
        <v>1</v>
      </c>
      <c r="F447" s="120" t="str">
        <f>Specialties!J76</f>
        <v>EA</v>
      </c>
      <c r="G447" s="171">
        <f t="shared" si="99"/>
        <v>0.5</v>
      </c>
      <c r="H447" s="118" t="s">
        <v>180</v>
      </c>
      <c r="I447" s="119">
        <f t="shared" si="95"/>
        <v>0</v>
      </c>
      <c r="J447" s="119">
        <f t="shared" si="96"/>
        <v>0</v>
      </c>
      <c r="K447" s="69"/>
      <c r="L447" s="48"/>
      <c r="M447" s="97">
        <v>0</v>
      </c>
      <c r="N447" s="96"/>
      <c r="O447" s="48"/>
      <c r="P447" s="48"/>
      <c r="Q447" s="48"/>
      <c r="R447" s="48"/>
      <c r="S447" s="48"/>
      <c r="T447" s="48"/>
      <c r="U447" s="48"/>
      <c r="V447" s="48"/>
      <c r="W447" s="55"/>
      <c r="X447" s="55"/>
      <c r="Y447" s="55"/>
      <c r="Z447" s="55"/>
      <c r="AA447" s="55"/>
      <c r="AB447" s="55"/>
    </row>
    <row r="448" spans="1:28" ht="15.75" customHeight="1">
      <c r="A448" s="48"/>
      <c r="B448" s="77"/>
      <c r="C448" s="208"/>
      <c r="D448" s="171"/>
      <c r="E448" s="120"/>
      <c r="F448" s="120"/>
      <c r="G448" s="196"/>
      <c r="H448" s="118"/>
      <c r="I448" s="119"/>
      <c r="J448" s="119"/>
      <c r="K448" s="69"/>
      <c r="L448" s="48"/>
      <c r="M448" s="97"/>
      <c r="N448" s="96"/>
      <c r="O448" s="48"/>
      <c r="P448" s="48"/>
      <c r="Q448" s="48"/>
      <c r="R448" s="48"/>
      <c r="S448" s="48"/>
      <c r="T448" s="48"/>
      <c r="U448" s="48"/>
      <c r="V448" s="48"/>
      <c r="W448" s="55"/>
      <c r="X448" s="55"/>
      <c r="Y448" s="55"/>
      <c r="Z448" s="55"/>
      <c r="AA448" s="55"/>
      <c r="AB448" s="55"/>
    </row>
    <row r="449" spans="1:28" ht="15.75" customHeight="1">
      <c r="A449" s="48"/>
      <c r="B449" s="77"/>
      <c r="C449" s="206" t="str">
        <f>Specialties!B78</f>
        <v>MISCELLANEOUS</v>
      </c>
      <c r="D449" s="171"/>
      <c r="E449" s="120"/>
      <c r="F449" s="120"/>
      <c r="G449" s="196"/>
      <c r="H449" s="118"/>
      <c r="I449" s="119"/>
      <c r="J449" s="119"/>
      <c r="K449" s="69"/>
      <c r="L449" s="48"/>
      <c r="M449" s="97"/>
      <c r="N449" s="96"/>
      <c r="O449" s="48"/>
      <c r="P449" s="48"/>
      <c r="Q449" s="48"/>
      <c r="R449" s="48"/>
      <c r="S449" s="48"/>
      <c r="T449" s="48"/>
      <c r="U449" s="48"/>
      <c r="V449" s="48"/>
      <c r="W449" s="55"/>
      <c r="X449" s="55"/>
      <c r="Y449" s="55"/>
      <c r="Z449" s="55"/>
      <c r="AA449" s="55"/>
      <c r="AB449" s="55"/>
    </row>
    <row r="450" spans="1:28" ht="15.75" customHeight="1">
      <c r="A450" s="48"/>
      <c r="B450" s="77"/>
      <c r="C450" s="208" t="str">
        <f>Specialties!B79</f>
        <v>15" 5 Comp Locker - OFCI</v>
      </c>
      <c r="D450" s="171" t="str">
        <f>Specialties!C79</f>
        <v>Size: 15"</v>
      </c>
      <c r="E450" s="120">
        <f>Specialties!I79</f>
        <v>2</v>
      </c>
      <c r="F450" s="120" t="str">
        <f>Specialties!J79</f>
        <v>EA</v>
      </c>
      <c r="G450" s="171">
        <f>E450*2</f>
        <v>4</v>
      </c>
      <c r="H450" s="118" t="s">
        <v>180</v>
      </c>
      <c r="I450" s="119">
        <f t="shared" ref="I450:I452" si="100">E450*N450*(1+M450)</f>
        <v>0</v>
      </c>
      <c r="J450" s="119">
        <f t="shared" ref="J450:J452" si="101">SUM(I450)</f>
        <v>0</v>
      </c>
      <c r="K450" s="69"/>
      <c r="L450" s="48"/>
      <c r="M450" s="97">
        <v>0</v>
      </c>
      <c r="N450" s="96"/>
      <c r="O450" s="48"/>
      <c r="P450" s="48"/>
      <c r="Q450" s="48"/>
      <c r="R450" s="48"/>
      <c r="S450" s="48"/>
      <c r="T450" s="48"/>
      <c r="U450" s="48"/>
      <c r="V450" s="48"/>
      <c r="W450" s="55"/>
      <c r="X450" s="55"/>
      <c r="Y450" s="55"/>
      <c r="Z450" s="55"/>
      <c r="AA450" s="55"/>
      <c r="AB450" s="55"/>
    </row>
    <row r="451" spans="1:28" ht="15.75" customHeight="1">
      <c r="A451" s="48"/>
      <c r="B451" s="77"/>
      <c r="C451" s="208" t="str">
        <f>Specialties!B80</f>
        <v>93" Power Strip - OFCI</v>
      </c>
      <c r="D451" s="171"/>
      <c r="E451" s="120">
        <f>Specialties!I80</f>
        <v>2</v>
      </c>
      <c r="F451" s="120" t="str">
        <f>Specialties!J80</f>
        <v>EA</v>
      </c>
      <c r="G451" s="171">
        <f>E451*0.25</f>
        <v>0.5</v>
      </c>
      <c r="H451" s="118" t="s">
        <v>180</v>
      </c>
      <c r="I451" s="119">
        <f t="shared" si="100"/>
        <v>0</v>
      </c>
      <c r="J451" s="119">
        <f t="shared" si="101"/>
        <v>0</v>
      </c>
      <c r="K451" s="69"/>
      <c r="L451" s="48"/>
      <c r="M451" s="97">
        <v>0</v>
      </c>
      <c r="N451" s="96"/>
      <c r="O451" s="48"/>
      <c r="P451" s="48"/>
      <c r="Q451" s="48"/>
      <c r="R451" s="48"/>
      <c r="S451" s="48"/>
      <c r="T451" s="48"/>
      <c r="U451" s="48"/>
      <c r="V451" s="48"/>
      <c r="W451" s="55"/>
      <c r="X451" s="55"/>
      <c r="Y451" s="55"/>
      <c r="Z451" s="55"/>
      <c r="AA451" s="55"/>
      <c r="AB451" s="55"/>
    </row>
    <row r="452" spans="1:28" ht="15.75" customHeight="1">
      <c r="A452" s="48"/>
      <c r="B452" s="77"/>
      <c r="C452" s="208" t="str">
        <f>Specialties!B81</f>
        <v>Partner Work Center - OFCI</v>
      </c>
      <c r="D452" s="171"/>
      <c r="E452" s="120">
        <f>Specialties!I81</f>
        <v>1</v>
      </c>
      <c r="F452" s="120" t="str">
        <f>Specialties!J81</f>
        <v>EA</v>
      </c>
      <c r="G452" s="171">
        <f>E452*0.9</f>
        <v>0.9</v>
      </c>
      <c r="H452" s="118" t="s">
        <v>180</v>
      </c>
      <c r="I452" s="119">
        <f t="shared" si="100"/>
        <v>0</v>
      </c>
      <c r="J452" s="119">
        <f t="shared" si="101"/>
        <v>0</v>
      </c>
      <c r="K452" s="69"/>
      <c r="L452" s="48"/>
      <c r="M452" s="97">
        <v>0</v>
      </c>
      <c r="N452" s="96"/>
      <c r="O452" s="48"/>
      <c r="P452" s="48"/>
      <c r="Q452" s="48"/>
      <c r="R452" s="48"/>
      <c r="S452" s="48"/>
      <c r="T452" s="48"/>
      <c r="U452" s="48"/>
      <c r="V452" s="48"/>
      <c r="W452" s="55"/>
      <c r="X452" s="55"/>
      <c r="Y452" s="55"/>
      <c r="Z452" s="55"/>
      <c r="AA452" s="55"/>
      <c r="AB452" s="55"/>
    </row>
    <row r="453" spans="1:28" ht="15" customHeight="1">
      <c r="A453" s="48"/>
      <c r="B453" s="77"/>
      <c r="C453" s="210"/>
      <c r="D453" s="211" t="str">
        <f>C378</f>
        <v>SPECIALTIES</v>
      </c>
      <c r="E453" s="212" t="s">
        <v>159</v>
      </c>
      <c r="F453" s="213"/>
      <c r="G453" s="214"/>
      <c r="H453" s="215"/>
      <c r="I453" s="214">
        <f>SUM(I379:I452)</f>
        <v>0</v>
      </c>
      <c r="J453" s="216">
        <f>SUM(J379:J452)</f>
        <v>0</v>
      </c>
      <c r="K453" s="69"/>
      <c r="L453" s="48"/>
      <c r="M453" s="97"/>
      <c r="N453" s="96"/>
      <c r="O453" s="48"/>
      <c r="P453" s="48"/>
      <c r="Q453" s="48"/>
      <c r="R453" s="48"/>
      <c r="S453" s="48"/>
      <c r="T453" s="48"/>
      <c r="U453" s="48"/>
      <c r="V453" s="48"/>
      <c r="W453" s="55"/>
      <c r="X453" s="55"/>
      <c r="Y453" s="55"/>
      <c r="Z453" s="55"/>
      <c r="AA453" s="55"/>
      <c r="AB453" s="55"/>
    </row>
    <row r="454" spans="1:28" ht="15" customHeight="1">
      <c r="A454" s="48"/>
      <c r="B454" s="77"/>
      <c r="C454" s="78"/>
      <c r="D454" s="533" t="s">
        <v>160</v>
      </c>
      <c r="E454" s="532"/>
      <c r="F454" s="158">
        <v>0</v>
      </c>
      <c r="G454" s="159"/>
      <c r="H454" s="160"/>
      <c r="I454" s="159"/>
      <c r="J454" s="161">
        <f>F454*J453</f>
        <v>0</v>
      </c>
      <c r="K454" s="69"/>
      <c r="L454" s="48"/>
      <c r="M454" s="95"/>
      <c r="N454" s="96"/>
      <c r="O454" s="48"/>
      <c r="P454" s="48"/>
      <c r="Q454" s="48"/>
      <c r="R454" s="48"/>
      <c r="S454" s="48"/>
      <c r="T454" s="48"/>
      <c r="U454" s="48"/>
      <c r="V454" s="48"/>
      <c r="W454" s="55"/>
      <c r="X454" s="55"/>
      <c r="Y454" s="55"/>
      <c r="Z454" s="55"/>
      <c r="AA454" s="55"/>
      <c r="AB454" s="55"/>
    </row>
    <row r="455" spans="1:28" ht="15" customHeight="1">
      <c r="A455" s="48"/>
      <c r="B455" s="77"/>
      <c r="C455" s="78"/>
      <c r="D455" s="533" t="s">
        <v>161</v>
      </c>
      <c r="E455" s="532"/>
      <c r="F455" s="162"/>
      <c r="G455" s="163"/>
      <c r="H455" s="164"/>
      <c r="I455" s="163"/>
      <c r="J455" s="165">
        <f>SUM(J453:J454)</f>
        <v>0</v>
      </c>
      <c r="K455" s="69"/>
      <c r="L455" s="48"/>
      <c r="M455" s="95"/>
      <c r="N455" s="96"/>
      <c r="O455" s="48"/>
      <c r="P455" s="48"/>
      <c r="Q455" s="48"/>
      <c r="R455" s="48"/>
      <c r="S455" s="48"/>
      <c r="T455" s="48"/>
      <c r="U455" s="48"/>
      <c r="V455" s="48"/>
      <c r="W455" s="55"/>
      <c r="X455" s="55"/>
      <c r="Y455" s="55"/>
      <c r="Z455" s="55"/>
      <c r="AA455" s="55"/>
      <c r="AB455" s="55"/>
    </row>
    <row r="456" spans="1:28" ht="14.4">
      <c r="A456" s="48"/>
      <c r="B456" s="77"/>
      <c r="C456" s="78"/>
      <c r="D456" s="79"/>
      <c r="E456" s="80"/>
      <c r="F456" s="81"/>
      <c r="G456" s="82"/>
      <c r="H456" s="83"/>
      <c r="I456" s="82"/>
      <c r="J456" s="82"/>
      <c r="K456" s="69"/>
      <c r="L456" s="48"/>
      <c r="M456" s="97"/>
      <c r="N456" s="96"/>
      <c r="O456" s="48"/>
      <c r="P456" s="48"/>
      <c r="Q456" s="48"/>
      <c r="R456" s="48"/>
      <c r="S456" s="48"/>
      <c r="T456" s="48"/>
      <c r="U456" s="48"/>
      <c r="V456" s="48"/>
      <c r="W456" s="55"/>
      <c r="X456" s="55"/>
      <c r="Y456" s="55"/>
      <c r="Z456" s="55"/>
      <c r="AA456" s="55"/>
      <c r="AB456" s="55"/>
    </row>
    <row r="457" spans="1:28" ht="14.4">
      <c r="A457" s="23"/>
      <c r="B457" s="166"/>
      <c r="C457" s="142" t="s">
        <v>63</v>
      </c>
      <c r="D457" s="100"/>
      <c r="E457" s="101"/>
      <c r="F457" s="102"/>
      <c r="G457" s="103"/>
      <c r="H457" s="104"/>
      <c r="I457" s="103"/>
      <c r="J457" s="103"/>
      <c r="K457" s="105"/>
      <c r="L457" s="23"/>
      <c r="M457" s="131"/>
      <c r="N457" s="132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 spans="1:28" ht="14.4">
      <c r="A458" s="23"/>
      <c r="B458" s="166"/>
      <c r="C458" s="195" t="str">
        <f>'Wood Framing'!B37</f>
        <v>Misc. Blockings</v>
      </c>
      <c r="D458" s="198"/>
      <c r="E458" s="120"/>
      <c r="F458" s="120"/>
      <c r="G458" s="196"/>
      <c r="H458" s="118"/>
      <c r="I458" s="119"/>
      <c r="J458" s="119"/>
      <c r="K458" s="69"/>
      <c r="L458" s="48"/>
      <c r="M458" s="97"/>
      <c r="N458" s="96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 spans="1:28" ht="14.4">
      <c r="A459" s="23"/>
      <c r="B459" s="166"/>
      <c r="C459" s="178" t="str">
        <f>'Wood Framing'!B38</f>
        <v>2" x 6" x 16' SYP#2 FRT</v>
      </c>
      <c r="D459" s="121" t="str">
        <f>'Wood Framing'!C38</f>
        <v>Blocking at Wall</v>
      </c>
      <c r="E459" s="120">
        <f>'Wood Framing'!D38</f>
        <v>12</v>
      </c>
      <c r="F459" s="120" t="str">
        <f>'Wood Framing'!E38</f>
        <v>EA</v>
      </c>
      <c r="G459" s="151">
        <f>0.025*16</f>
        <v>0.4</v>
      </c>
      <c r="H459" s="118" t="s">
        <v>181</v>
      </c>
      <c r="I459" s="119">
        <f t="shared" ref="I459:I463" si="102">E459*N459*(1+M459)</f>
        <v>0</v>
      </c>
      <c r="J459" s="119">
        <f t="shared" ref="J459:J463" si="103">SUM(I459)</f>
        <v>0</v>
      </c>
      <c r="K459" s="69"/>
      <c r="L459" s="48"/>
      <c r="M459" s="97">
        <v>0</v>
      </c>
      <c r="N459" s="96">
        <v>0</v>
      </c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 spans="1:28" ht="14.4">
      <c r="A460" s="23"/>
      <c r="B460" s="166"/>
      <c r="C460" s="178" t="str">
        <f>'Wood Framing'!B39</f>
        <v>2" x 4" x 16' SYP#2 FRT</v>
      </c>
      <c r="D460" s="121" t="str">
        <f>'Wood Framing'!C39</f>
        <v>Blocking at Wall</v>
      </c>
      <c r="E460" s="120">
        <f>'Wood Framing'!D39</f>
        <v>4</v>
      </c>
      <c r="F460" s="120" t="str">
        <f>'Wood Framing'!E39</f>
        <v>EA</v>
      </c>
      <c r="G460" s="151">
        <f>0.0275*16</f>
        <v>0.44</v>
      </c>
      <c r="H460" s="118" t="s">
        <v>181</v>
      </c>
      <c r="I460" s="119">
        <f t="shared" si="102"/>
        <v>0</v>
      </c>
      <c r="J460" s="119">
        <f t="shared" si="103"/>
        <v>0</v>
      </c>
      <c r="K460" s="69"/>
      <c r="L460" s="48"/>
      <c r="M460" s="97">
        <v>0</v>
      </c>
      <c r="N460" s="96">
        <v>0</v>
      </c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 spans="1:28" ht="14.4">
      <c r="A461" s="23"/>
      <c r="B461" s="166"/>
      <c r="C461" s="178" t="str">
        <f>'Wood Framing'!B40</f>
        <v>2" x 10" x 16' SYP#2 FRT</v>
      </c>
      <c r="D461" s="121" t="str">
        <f>'Wood Framing'!C40</f>
        <v>Blocking at Wall</v>
      </c>
      <c r="E461" s="120">
        <f>'Wood Framing'!D40</f>
        <v>2</v>
      </c>
      <c r="F461" s="120" t="str">
        <f>'Wood Framing'!E40</f>
        <v>EA</v>
      </c>
      <c r="G461" s="151">
        <f>0.0313*16</f>
        <v>0.50080000000000002</v>
      </c>
      <c r="H461" s="118" t="s">
        <v>181</v>
      </c>
      <c r="I461" s="119">
        <f t="shared" si="102"/>
        <v>0</v>
      </c>
      <c r="J461" s="119">
        <f t="shared" si="103"/>
        <v>0</v>
      </c>
      <c r="K461" s="69"/>
      <c r="L461" s="48"/>
      <c r="M461" s="97">
        <v>0</v>
      </c>
      <c r="N461" s="96">
        <v>0</v>
      </c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 spans="1:28" ht="14.4">
      <c r="A462" s="23"/>
      <c r="B462" s="166"/>
      <c r="C462" s="178" t="str">
        <f>'Wood Framing'!B41</f>
        <v>1" x 4" x 16' SYP#2 FRT</v>
      </c>
      <c r="D462" s="121" t="str">
        <f>'Wood Framing'!C41</f>
        <v>Blocking at Door Headers &amp; Jambs</v>
      </c>
      <c r="E462" s="120">
        <f>'Wood Framing'!D41</f>
        <v>5</v>
      </c>
      <c r="F462" s="120" t="str">
        <f>'Wood Framing'!E41</f>
        <v>EA</v>
      </c>
      <c r="G462" s="151">
        <f>0.0225*16</f>
        <v>0.36</v>
      </c>
      <c r="H462" s="118" t="s">
        <v>181</v>
      </c>
      <c r="I462" s="119">
        <f t="shared" si="102"/>
        <v>0</v>
      </c>
      <c r="J462" s="119">
        <f t="shared" si="103"/>
        <v>0</v>
      </c>
      <c r="K462" s="69"/>
      <c r="L462" s="48"/>
      <c r="M462" s="97">
        <v>0</v>
      </c>
      <c r="N462" s="96">
        <v>0</v>
      </c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 spans="1:28" ht="14.4">
      <c r="A463" s="23"/>
      <c r="B463" s="166"/>
      <c r="C463" s="178" t="str">
        <f>'Wood Framing'!B42</f>
        <v>3/4" x 4' x 8' Plywood</v>
      </c>
      <c r="D463" s="121" t="str">
        <f>'Wood Framing'!C42</f>
        <v>Plywood Backing</v>
      </c>
      <c r="E463" s="120">
        <f>'Wood Framing'!D42</f>
        <v>4</v>
      </c>
      <c r="F463" s="120" t="str">
        <f>'Wood Framing'!E42</f>
        <v>EA</v>
      </c>
      <c r="G463" s="151">
        <f>0.5*32</f>
        <v>16</v>
      </c>
      <c r="H463" s="118" t="s">
        <v>181</v>
      </c>
      <c r="I463" s="119">
        <f t="shared" si="102"/>
        <v>0</v>
      </c>
      <c r="J463" s="119">
        <f t="shared" si="103"/>
        <v>0</v>
      </c>
      <c r="K463" s="69"/>
      <c r="L463" s="48"/>
      <c r="M463" s="97">
        <v>0</v>
      </c>
      <c r="N463" s="96">
        <v>0</v>
      </c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 spans="1:28" ht="14.4">
      <c r="A464" s="23"/>
      <c r="B464" s="166"/>
      <c r="C464" s="124"/>
      <c r="D464" s="153" t="str">
        <f>C457</f>
        <v>ROUGH CARPENTRY</v>
      </c>
      <c r="E464" s="154" t="s">
        <v>159</v>
      </c>
      <c r="F464" s="127"/>
      <c r="G464" s="155"/>
      <c r="H464" s="156"/>
      <c r="I464" s="155">
        <f t="shared" ref="I464:J464" si="104">SUM(I458:I463)</f>
        <v>0</v>
      </c>
      <c r="J464" s="157">
        <f t="shared" si="104"/>
        <v>0</v>
      </c>
      <c r="K464" s="105"/>
      <c r="L464" s="23"/>
      <c r="M464" s="131"/>
      <c r="N464" s="132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 spans="1:28" ht="15" customHeight="1">
      <c r="A465" s="48"/>
      <c r="B465" s="77"/>
      <c r="C465" s="78"/>
      <c r="D465" s="533" t="s">
        <v>160</v>
      </c>
      <c r="E465" s="532"/>
      <c r="F465" s="158">
        <v>0</v>
      </c>
      <c r="G465" s="159"/>
      <c r="H465" s="160"/>
      <c r="I465" s="159"/>
      <c r="J465" s="161">
        <f>F465*J464</f>
        <v>0</v>
      </c>
      <c r="K465" s="69"/>
      <c r="L465" s="48"/>
      <c r="M465" s="95"/>
      <c r="N465" s="96"/>
      <c r="O465" s="48"/>
      <c r="P465" s="48"/>
      <c r="Q465" s="48"/>
      <c r="R465" s="48"/>
      <c r="S465" s="48"/>
      <c r="T465" s="48"/>
      <c r="U465" s="48"/>
      <c r="V465" s="48"/>
      <c r="W465" s="55"/>
      <c r="X465" s="55"/>
      <c r="Y465" s="55"/>
      <c r="Z465" s="55"/>
      <c r="AA465" s="55"/>
      <c r="AB465" s="55"/>
    </row>
    <row r="466" spans="1:28" ht="15" customHeight="1">
      <c r="A466" s="48"/>
      <c r="B466" s="77"/>
      <c r="C466" s="78"/>
      <c r="D466" s="533" t="s">
        <v>161</v>
      </c>
      <c r="E466" s="532"/>
      <c r="F466" s="162"/>
      <c r="G466" s="163"/>
      <c r="H466" s="164"/>
      <c r="I466" s="163"/>
      <c r="J466" s="165">
        <f>SUM(J464:J465)</f>
        <v>0</v>
      </c>
      <c r="K466" s="69"/>
      <c r="L466" s="48"/>
      <c r="M466" s="95"/>
      <c r="N466" s="96"/>
      <c r="O466" s="48"/>
      <c r="P466" s="48"/>
      <c r="Q466" s="48"/>
      <c r="R466" s="48"/>
      <c r="S466" s="48"/>
      <c r="T466" s="48"/>
      <c r="U466" s="48"/>
      <c r="V466" s="48"/>
      <c r="W466" s="55"/>
      <c r="X466" s="55"/>
      <c r="Y466" s="55"/>
      <c r="Z466" s="55"/>
      <c r="AA466" s="55"/>
      <c r="AB466" s="55"/>
    </row>
    <row r="467" spans="1:28" ht="9.75" customHeight="1">
      <c r="A467" s="48"/>
      <c r="B467" s="77"/>
      <c r="C467" s="78"/>
      <c r="D467" s="79"/>
      <c r="E467" s="80"/>
      <c r="F467" s="81"/>
      <c r="G467" s="191"/>
      <c r="H467" s="192"/>
      <c r="I467" s="191"/>
      <c r="J467" s="191"/>
      <c r="K467" s="69"/>
      <c r="L467" s="48"/>
      <c r="M467" s="53"/>
      <c r="N467" s="54"/>
      <c r="O467" s="48"/>
      <c r="P467" s="48"/>
      <c r="Q467" s="48"/>
      <c r="R467" s="48"/>
      <c r="S467" s="48"/>
      <c r="T467" s="48"/>
      <c r="U467" s="48"/>
      <c r="V467" s="48"/>
      <c r="W467" s="55"/>
      <c r="X467" s="55"/>
      <c r="Y467" s="55"/>
      <c r="Z467" s="55"/>
      <c r="AA467" s="55"/>
      <c r="AB467" s="55"/>
    </row>
    <row r="468" spans="1:28" ht="25.5" customHeight="1">
      <c r="A468" s="48"/>
      <c r="B468" s="77"/>
      <c r="C468" s="534" t="s">
        <v>182</v>
      </c>
      <c r="D468" s="535"/>
      <c r="E468" s="535"/>
      <c r="F468" s="535"/>
      <c r="G468" s="217"/>
      <c r="H468" s="218"/>
      <c r="I468" s="217"/>
      <c r="J468" s="219">
        <f>SUM(J65,J91,J99,J109,J182,J203,J222,J242,J276,J289,J321,J376,J455,J466)</f>
        <v>0</v>
      </c>
      <c r="K468" s="69"/>
      <c r="L468" s="48"/>
      <c r="M468" s="53"/>
      <c r="N468" s="54"/>
      <c r="O468" s="48"/>
      <c r="P468" s="48"/>
      <c r="Q468" s="48"/>
      <c r="R468" s="48"/>
      <c r="S468" s="48"/>
      <c r="T468" s="48"/>
      <c r="U468" s="48"/>
      <c r="V468" s="48"/>
      <c r="W468" s="55"/>
      <c r="X468" s="55"/>
      <c r="Y468" s="55"/>
      <c r="Z468" s="55"/>
      <c r="AA468" s="55"/>
      <c r="AB468" s="55"/>
    </row>
    <row r="469" spans="1:28" ht="15" customHeight="1">
      <c r="A469" s="48"/>
      <c r="B469" s="77"/>
      <c r="C469" s="78"/>
      <c r="D469" s="79"/>
      <c r="E469" s="80"/>
      <c r="F469" s="81"/>
      <c r="G469" s="191"/>
      <c r="H469" s="192"/>
      <c r="I469" s="191"/>
      <c r="J469" s="191"/>
      <c r="K469" s="69"/>
      <c r="L469" s="48"/>
      <c r="M469" s="53"/>
      <c r="N469" s="54"/>
      <c r="O469" s="48"/>
      <c r="P469" s="48"/>
      <c r="Q469" s="48"/>
      <c r="R469" s="48"/>
      <c r="S469" s="48"/>
      <c r="T469" s="48"/>
      <c r="U469" s="48"/>
      <c r="V469" s="48"/>
      <c r="W469" s="55"/>
      <c r="X469" s="55"/>
      <c r="Y469" s="55"/>
      <c r="Z469" s="55"/>
      <c r="AA469" s="55"/>
      <c r="AB469" s="55"/>
    </row>
    <row r="470" spans="1:28" ht="15" customHeight="1">
      <c r="A470" s="48"/>
      <c r="B470" s="77"/>
      <c r="C470" s="78"/>
      <c r="D470" s="79"/>
      <c r="E470" s="80"/>
      <c r="F470" s="81"/>
      <c r="G470" s="191"/>
      <c r="H470" s="192"/>
      <c r="I470" s="191"/>
      <c r="J470" s="191"/>
      <c r="K470" s="69"/>
      <c r="L470" s="48"/>
      <c r="M470" s="53"/>
      <c r="N470" s="54"/>
      <c r="O470" s="48"/>
      <c r="P470" s="48"/>
      <c r="Q470" s="48"/>
      <c r="R470" s="48"/>
      <c r="S470" s="48"/>
      <c r="T470" s="48"/>
      <c r="U470" s="48"/>
      <c r="V470" s="48"/>
      <c r="W470" s="55"/>
      <c r="X470" s="55"/>
      <c r="Y470" s="55"/>
      <c r="Z470" s="55"/>
      <c r="AA470" s="55"/>
      <c r="AB470" s="55"/>
    </row>
    <row r="471" spans="1:28" ht="15" customHeight="1">
      <c r="A471" s="48"/>
      <c r="B471" s="77"/>
      <c r="C471" s="78"/>
      <c r="D471" s="79"/>
      <c r="E471" s="80"/>
      <c r="F471" s="81"/>
      <c r="G471" s="191"/>
      <c r="H471" s="192"/>
      <c r="I471" s="191"/>
      <c r="J471" s="191"/>
      <c r="K471" s="69"/>
      <c r="L471" s="48"/>
      <c r="M471" s="53"/>
      <c r="N471" s="54"/>
      <c r="O471" s="48"/>
      <c r="P471" s="48"/>
      <c r="Q471" s="48"/>
      <c r="R471" s="48"/>
      <c r="S471" s="48"/>
      <c r="T471" s="48"/>
      <c r="U471" s="48"/>
      <c r="V471" s="48"/>
      <c r="W471" s="55"/>
      <c r="X471" s="55"/>
      <c r="Y471" s="55"/>
      <c r="Z471" s="55"/>
      <c r="AA471" s="55"/>
      <c r="AB471" s="55"/>
    </row>
    <row r="472" spans="1:28" ht="15" customHeight="1">
      <c r="A472" s="48"/>
      <c r="B472" s="77"/>
      <c r="C472" s="78"/>
      <c r="D472" s="79"/>
      <c r="E472" s="80"/>
      <c r="F472" s="81"/>
      <c r="G472" s="191"/>
      <c r="H472" s="192"/>
      <c r="I472" s="191"/>
      <c r="J472" s="191"/>
      <c r="K472" s="69"/>
      <c r="L472" s="48"/>
      <c r="M472" s="53"/>
      <c r="N472" s="54"/>
      <c r="O472" s="48"/>
      <c r="P472" s="48"/>
      <c r="Q472" s="48"/>
      <c r="R472" s="48"/>
      <c r="S472" s="48"/>
      <c r="T472" s="48"/>
      <c r="U472" s="48"/>
      <c r="V472" s="48"/>
      <c r="W472" s="55"/>
      <c r="X472" s="55"/>
      <c r="Y472" s="55"/>
      <c r="Z472" s="55"/>
      <c r="AA472" s="55"/>
      <c r="AB472" s="55"/>
    </row>
    <row r="473" spans="1:28" ht="15" customHeight="1">
      <c r="A473" s="48"/>
      <c r="B473" s="77"/>
      <c r="C473" s="78"/>
      <c r="D473" s="79"/>
      <c r="E473" s="80"/>
      <c r="F473" s="81"/>
      <c r="G473" s="191"/>
      <c r="H473" s="192"/>
      <c r="I473" s="191"/>
      <c r="J473" s="191"/>
      <c r="K473" s="69"/>
      <c r="L473" s="48"/>
      <c r="M473" s="53"/>
      <c r="N473" s="54"/>
      <c r="O473" s="48"/>
      <c r="P473" s="48"/>
      <c r="Q473" s="48"/>
      <c r="R473" s="48"/>
      <c r="S473" s="48"/>
      <c r="T473" s="48"/>
      <c r="U473" s="48"/>
      <c r="V473" s="48"/>
      <c r="W473" s="55"/>
      <c r="X473" s="55"/>
      <c r="Y473" s="55"/>
      <c r="Z473" s="55"/>
      <c r="AA473" s="55"/>
      <c r="AB473" s="55"/>
    </row>
    <row r="474" spans="1:28" ht="15" customHeight="1">
      <c r="A474" s="48"/>
      <c r="B474" s="77"/>
      <c r="C474" s="78"/>
      <c r="D474" s="79"/>
      <c r="E474" s="80"/>
      <c r="F474" s="81"/>
      <c r="G474" s="191"/>
      <c r="H474" s="192"/>
      <c r="I474" s="191"/>
      <c r="J474" s="191"/>
      <c r="K474" s="69"/>
      <c r="L474" s="48"/>
      <c r="M474" s="53"/>
      <c r="N474" s="54"/>
      <c r="O474" s="48"/>
      <c r="P474" s="48"/>
      <c r="Q474" s="48"/>
      <c r="R474" s="48"/>
      <c r="S474" s="48"/>
      <c r="T474" s="48"/>
      <c r="U474" s="48"/>
      <c r="V474" s="48"/>
      <c r="W474" s="55"/>
      <c r="X474" s="55"/>
      <c r="Y474" s="55"/>
      <c r="Z474" s="55"/>
      <c r="AA474" s="55"/>
      <c r="AB474" s="55"/>
    </row>
    <row r="475" spans="1:28" ht="15" customHeight="1">
      <c r="A475" s="48"/>
      <c r="B475" s="77"/>
      <c r="C475" s="78"/>
      <c r="D475" s="79"/>
      <c r="E475" s="80"/>
      <c r="F475" s="81"/>
      <c r="G475" s="191"/>
      <c r="H475" s="192"/>
      <c r="I475" s="191"/>
      <c r="J475" s="191"/>
      <c r="K475" s="69"/>
      <c r="L475" s="48"/>
      <c r="M475" s="53"/>
      <c r="N475" s="54"/>
      <c r="O475" s="48"/>
      <c r="P475" s="48"/>
      <c r="Q475" s="48"/>
      <c r="R475" s="48"/>
      <c r="S475" s="48"/>
      <c r="T475" s="48"/>
      <c r="U475" s="48"/>
      <c r="V475" s="48"/>
      <c r="W475" s="55"/>
      <c r="X475" s="55"/>
      <c r="Y475" s="55"/>
      <c r="Z475" s="55"/>
      <c r="AA475" s="55"/>
      <c r="AB475" s="55"/>
    </row>
    <row r="476" spans="1:28" ht="15" customHeight="1">
      <c r="A476" s="48"/>
      <c r="B476" s="77"/>
      <c r="C476" s="78"/>
      <c r="D476" s="79"/>
      <c r="E476" s="80"/>
      <c r="F476" s="81"/>
      <c r="G476" s="191"/>
      <c r="H476" s="192"/>
      <c r="I476" s="191"/>
      <c r="J476" s="191"/>
      <c r="K476" s="69"/>
      <c r="L476" s="48"/>
      <c r="M476" s="53"/>
      <c r="N476" s="54"/>
      <c r="O476" s="48"/>
      <c r="P476" s="48"/>
      <c r="Q476" s="48"/>
      <c r="R476" s="48"/>
      <c r="S476" s="48"/>
      <c r="T476" s="48"/>
      <c r="U476" s="48"/>
      <c r="V476" s="48"/>
      <c r="W476" s="55"/>
      <c r="X476" s="55"/>
      <c r="Y476" s="55"/>
      <c r="Z476" s="55"/>
      <c r="AA476" s="55"/>
      <c r="AB476" s="55"/>
    </row>
    <row r="477" spans="1:28" ht="15" customHeight="1">
      <c r="A477" s="48"/>
      <c r="B477" s="77"/>
      <c r="C477" s="78"/>
      <c r="D477" s="79"/>
      <c r="E477" s="80"/>
      <c r="F477" s="81"/>
      <c r="G477" s="191"/>
      <c r="H477" s="192"/>
      <c r="I477" s="191"/>
      <c r="J477" s="191"/>
      <c r="K477" s="69"/>
      <c r="L477" s="48"/>
      <c r="M477" s="53"/>
      <c r="N477" s="54"/>
      <c r="O477" s="48"/>
      <c r="P477" s="48"/>
      <c r="Q477" s="48"/>
      <c r="R477" s="48"/>
      <c r="S477" s="48"/>
      <c r="T477" s="48"/>
      <c r="U477" s="48"/>
      <c r="V477" s="48"/>
      <c r="W477" s="55"/>
      <c r="X477" s="55"/>
      <c r="Y477" s="55"/>
      <c r="Z477" s="55"/>
      <c r="AA477" s="55"/>
      <c r="AB477" s="55"/>
    </row>
    <row r="478" spans="1:28" ht="15" customHeight="1">
      <c r="A478" s="48"/>
      <c r="B478" s="77"/>
      <c r="C478" s="78"/>
      <c r="D478" s="79"/>
      <c r="E478" s="80"/>
      <c r="F478" s="81"/>
      <c r="G478" s="191"/>
      <c r="H478" s="192"/>
      <c r="I478" s="191"/>
      <c r="J478" s="191"/>
      <c r="K478" s="69"/>
      <c r="L478" s="48"/>
      <c r="M478" s="53"/>
      <c r="N478" s="54"/>
      <c r="O478" s="48"/>
      <c r="P478" s="48"/>
      <c r="Q478" s="48"/>
      <c r="R478" s="48"/>
      <c r="S478" s="48"/>
      <c r="T478" s="48"/>
      <c r="U478" s="48"/>
      <c r="V478" s="48"/>
      <c r="W478" s="55"/>
      <c r="X478" s="55"/>
      <c r="Y478" s="55"/>
      <c r="Z478" s="55"/>
      <c r="AA478" s="55"/>
      <c r="AB478" s="55"/>
    </row>
    <row r="479" spans="1:28" ht="15" customHeight="1">
      <c r="A479" s="48"/>
      <c r="B479" s="77"/>
      <c r="C479" s="78"/>
      <c r="D479" s="79"/>
      <c r="E479" s="80"/>
      <c r="F479" s="81"/>
      <c r="G479" s="191"/>
      <c r="H479" s="192"/>
      <c r="I479" s="191"/>
      <c r="J479" s="191"/>
      <c r="K479" s="69"/>
      <c r="L479" s="48"/>
      <c r="M479" s="53"/>
      <c r="N479" s="54"/>
      <c r="O479" s="48"/>
      <c r="P479" s="48"/>
      <c r="Q479" s="48"/>
      <c r="R479" s="48"/>
      <c r="S479" s="48"/>
      <c r="T479" s="48"/>
      <c r="U479" s="48"/>
      <c r="V479" s="48"/>
      <c r="W479" s="55"/>
      <c r="X479" s="55"/>
      <c r="Y479" s="55"/>
      <c r="Z479" s="55"/>
      <c r="AA479" s="55"/>
      <c r="AB479" s="55"/>
    </row>
    <row r="480" spans="1:28" ht="15" customHeight="1">
      <c r="A480" s="48"/>
      <c r="B480" s="77"/>
      <c r="C480" s="78"/>
      <c r="D480" s="79"/>
      <c r="E480" s="80"/>
      <c r="F480" s="81"/>
      <c r="G480" s="191"/>
      <c r="H480" s="192"/>
      <c r="I480" s="191"/>
      <c r="J480" s="191"/>
      <c r="K480" s="69"/>
      <c r="L480" s="48"/>
      <c r="M480" s="53"/>
      <c r="N480" s="54"/>
      <c r="O480" s="48"/>
      <c r="P480" s="48"/>
      <c r="Q480" s="48"/>
      <c r="R480" s="48"/>
      <c r="S480" s="48"/>
      <c r="T480" s="48"/>
      <c r="U480" s="48"/>
      <c r="V480" s="48"/>
      <c r="W480" s="55"/>
      <c r="X480" s="55"/>
      <c r="Y480" s="55"/>
      <c r="Z480" s="55"/>
      <c r="AA480" s="55"/>
      <c r="AB480" s="55"/>
    </row>
    <row r="481" spans="1:28" ht="15" customHeight="1">
      <c r="A481" s="48"/>
      <c r="B481" s="77"/>
      <c r="C481" s="78"/>
      <c r="D481" s="79"/>
      <c r="E481" s="80"/>
      <c r="F481" s="81"/>
      <c r="G481" s="191"/>
      <c r="H481" s="192"/>
      <c r="I481" s="191"/>
      <c r="J481" s="191"/>
      <c r="K481" s="69"/>
      <c r="L481" s="48"/>
      <c r="M481" s="53"/>
      <c r="N481" s="54"/>
      <c r="O481" s="48"/>
      <c r="P481" s="48"/>
      <c r="Q481" s="48"/>
      <c r="R481" s="48"/>
      <c r="S481" s="48"/>
      <c r="T481" s="48"/>
      <c r="U481" s="48"/>
      <c r="V481" s="48"/>
      <c r="W481" s="55"/>
      <c r="X481" s="55"/>
      <c r="Y481" s="55"/>
      <c r="Z481" s="55"/>
      <c r="AA481" s="55"/>
      <c r="AB481" s="55"/>
    </row>
    <row r="482" spans="1:28" ht="15" customHeight="1">
      <c r="A482" s="48"/>
      <c r="B482" s="77"/>
      <c r="C482" s="78"/>
      <c r="D482" s="79"/>
      <c r="E482" s="80"/>
      <c r="F482" s="81"/>
      <c r="G482" s="191"/>
      <c r="H482" s="192"/>
      <c r="I482" s="191"/>
      <c r="J482" s="191"/>
      <c r="K482" s="69"/>
      <c r="L482" s="48"/>
      <c r="M482" s="53"/>
      <c r="N482" s="54"/>
      <c r="O482" s="48"/>
      <c r="P482" s="48"/>
      <c r="Q482" s="48"/>
      <c r="R482" s="48"/>
      <c r="S482" s="48"/>
      <c r="T482" s="48"/>
      <c r="U482" s="48"/>
      <c r="V482" s="48"/>
      <c r="W482" s="55"/>
      <c r="X482" s="55"/>
      <c r="Y482" s="55"/>
      <c r="Z482" s="55"/>
      <c r="AA482" s="55"/>
      <c r="AB482" s="55"/>
    </row>
    <row r="483" spans="1:28" ht="15" customHeight="1">
      <c r="A483" s="48"/>
      <c r="B483" s="77"/>
      <c r="C483" s="78"/>
      <c r="D483" s="79"/>
      <c r="E483" s="80"/>
      <c r="F483" s="81"/>
      <c r="G483" s="191"/>
      <c r="H483" s="192"/>
      <c r="I483" s="191"/>
      <c r="J483" s="191"/>
      <c r="K483" s="69"/>
      <c r="L483" s="48"/>
      <c r="M483" s="53"/>
      <c r="N483" s="54"/>
      <c r="O483" s="48"/>
      <c r="P483" s="48"/>
      <c r="Q483" s="48"/>
      <c r="R483" s="48"/>
      <c r="S483" s="48"/>
      <c r="T483" s="48"/>
      <c r="U483" s="48"/>
      <c r="V483" s="48"/>
      <c r="W483" s="55"/>
      <c r="X483" s="55"/>
      <c r="Y483" s="55"/>
      <c r="Z483" s="55"/>
      <c r="AA483" s="55"/>
      <c r="AB483" s="55"/>
    </row>
    <row r="484" spans="1:28" ht="15" customHeight="1">
      <c r="A484" s="48"/>
      <c r="B484" s="77"/>
      <c r="C484" s="536" t="s">
        <v>183</v>
      </c>
      <c r="D484" s="535"/>
      <c r="E484" s="535"/>
      <c r="F484" s="535"/>
      <c r="G484" s="535"/>
      <c r="H484" s="535"/>
      <c r="I484" s="535"/>
      <c r="J484" s="535"/>
      <c r="K484" s="69"/>
      <c r="L484" s="48"/>
      <c r="M484" s="53"/>
      <c r="N484" s="54"/>
      <c r="O484" s="48"/>
      <c r="P484" s="48"/>
      <c r="Q484" s="48"/>
      <c r="R484" s="48"/>
      <c r="S484" s="48"/>
      <c r="T484" s="48"/>
      <c r="U484" s="48"/>
      <c r="V484" s="48"/>
      <c r="W484" s="55"/>
      <c r="X484" s="55"/>
      <c r="Y484" s="55"/>
      <c r="Z484" s="55"/>
      <c r="AA484" s="55"/>
      <c r="AB484" s="55"/>
    </row>
    <row r="485" spans="1:28" ht="15" customHeight="1">
      <c r="A485" s="48"/>
      <c r="B485" s="220"/>
      <c r="C485" s="221"/>
      <c r="D485" s="222"/>
      <c r="E485" s="223"/>
      <c r="F485" s="224"/>
      <c r="G485" s="221"/>
      <c r="H485" s="225"/>
      <c r="I485" s="221"/>
      <c r="J485" s="221"/>
      <c r="K485" s="226"/>
      <c r="L485" s="48"/>
      <c r="M485" s="53"/>
      <c r="N485" s="54"/>
      <c r="O485" s="48"/>
      <c r="P485" s="48"/>
      <c r="Q485" s="48"/>
      <c r="R485" s="48"/>
      <c r="S485" s="48"/>
      <c r="T485" s="48"/>
      <c r="U485" s="48"/>
      <c r="V485" s="48"/>
      <c r="W485" s="55"/>
      <c r="X485" s="55"/>
      <c r="Y485" s="55"/>
      <c r="Z485" s="55"/>
      <c r="AA485" s="55"/>
      <c r="AB485" s="55"/>
    </row>
    <row r="486" spans="1:28" ht="15" customHeight="1">
      <c r="A486" s="48"/>
      <c r="B486" s="48"/>
      <c r="C486" s="48"/>
      <c r="D486" s="79"/>
      <c r="E486" s="80"/>
      <c r="F486" s="227"/>
      <c r="G486" s="48"/>
      <c r="H486" s="49"/>
      <c r="I486" s="48"/>
      <c r="J486" s="48"/>
      <c r="K486" s="48"/>
      <c r="L486" s="48"/>
      <c r="M486" s="53"/>
      <c r="N486" s="54"/>
      <c r="O486" s="48"/>
      <c r="P486" s="48"/>
      <c r="Q486" s="48"/>
      <c r="R486" s="48"/>
      <c r="S486" s="48"/>
      <c r="T486" s="48"/>
      <c r="U486" s="48"/>
      <c r="V486" s="48"/>
      <c r="W486" s="55"/>
      <c r="X486" s="55"/>
      <c r="Y486" s="55"/>
      <c r="Z486" s="55"/>
      <c r="AA486" s="55"/>
      <c r="AB486" s="55"/>
    </row>
    <row r="487" spans="1:28" ht="15" customHeight="1">
      <c r="A487" s="48"/>
      <c r="B487" s="48"/>
      <c r="C487" s="48"/>
      <c r="D487" s="79"/>
      <c r="E487" s="80"/>
      <c r="F487" s="227"/>
      <c r="G487" s="48"/>
      <c r="H487" s="49"/>
      <c r="I487" s="48"/>
      <c r="J487" s="48"/>
      <c r="K487" s="48"/>
      <c r="L487" s="48"/>
      <c r="M487" s="53"/>
      <c r="N487" s="54"/>
      <c r="O487" s="48"/>
      <c r="P487" s="48"/>
      <c r="Q487" s="48"/>
      <c r="R487" s="48"/>
      <c r="S487" s="48"/>
      <c r="T487" s="48"/>
      <c r="U487" s="48"/>
      <c r="V487" s="48"/>
      <c r="W487" s="55"/>
      <c r="X487" s="55"/>
      <c r="Y487" s="55"/>
      <c r="Z487" s="55"/>
      <c r="AA487" s="55"/>
      <c r="AB487" s="55"/>
    </row>
    <row r="488" spans="1:28" ht="15" customHeight="1">
      <c r="A488" s="48"/>
      <c r="B488" s="48"/>
      <c r="C488" s="48"/>
      <c r="D488" s="79"/>
      <c r="E488" s="80"/>
      <c r="F488" s="227"/>
      <c r="G488" s="48"/>
      <c r="H488" s="49"/>
      <c r="I488" s="48"/>
      <c r="J488" s="48"/>
      <c r="K488" s="48"/>
      <c r="L488" s="48"/>
      <c r="M488" s="53"/>
      <c r="N488" s="54"/>
      <c r="O488" s="48"/>
      <c r="P488" s="48"/>
      <c r="Q488" s="48"/>
      <c r="R488" s="48"/>
      <c r="S488" s="48"/>
      <c r="T488" s="48"/>
      <c r="U488" s="48"/>
      <c r="V488" s="48"/>
      <c r="W488" s="55"/>
      <c r="X488" s="55"/>
      <c r="Y488" s="55"/>
      <c r="Z488" s="55"/>
      <c r="AA488" s="55"/>
      <c r="AB488" s="55"/>
    </row>
    <row r="489" spans="1:28" ht="15" customHeight="1">
      <c r="A489" s="48"/>
      <c r="B489" s="48"/>
      <c r="C489" s="48"/>
      <c r="D489" s="79"/>
      <c r="E489" s="80"/>
      <c r="F489" s="227"/>
      <c r="G489" s="48"/>
      <c r="H489" s="49"/>
      <c r="I489" s="48"/>
      <c r="J489" s="48"/>
      <c r="K489" s="48"/>
      <c r="L489" s="48"/>
      <c r="M489" s="53"/>
      <c r="N489" s="54"/>
      <c r="O489" s="48"/>
      <c r="P489" s="48"/>
      <c r="Q489" s="48"/>
      <c r="R489" s="48"/>
      <c r="S489" s="48"/>
      <c r="T489" s="48"/>
      <c r="U489" s="48"/>
      <c r="V489" s="48"/>
      <c r="W489" s="55"/>
      <c r="X489" s="55"/>
      <c r="Y489" s="55"/>
      <c r="Z489" s="55"/>
      <c r="AA489" s="55"/>
      <c r="AB489" s="55"/>
    </row>
    <row r="490" spans="1:28" ht="15" customHeight="1">
      <c r="A490" s="48"/>
      <c r="B490" s="48"/>
      <c r="C490" s="48"/>
      <c r="D490" s="79"/>
      <c r="E490" s="80"/>
      <c r="F490" s="227"/>
      <c r="G490" s="48"/>
      <c r="H490" s="49"/>
      <c r="I490" s="48"/>
      <c r="J490" s="48"/>
      <c r="K490" s="48"/>
      <c r="L490" s="48"/>
      <c r="M490" s="53"/>
      <c r="N490" s="54"/>
      <c r="O490" s="48"/>
      <c r="P490" s="48"/>
      <c r="Q490" s="48"/>
      <c r="R490" s="48"/>
      <c r="S490" s="48"/>
      <c r="T490" s="48"/>
      <c r="U490" s="48"/>
      <c r="V490" s="48"/>
      <c r="W490" s="55"/>
      <c r="X490" s="55"/>
      <c r="Y490" s="55"/>
      <c r="Z490" s="55"/>
      <c r="AA490" s="55"/>
      <c r="AB490" s="55"/>
    </row>
    <row r="491" spans="1:28" ht="15" customHeight="1">
      <c r="A491" s="48"/>
      <c r="B491" s="48"/>
      <c r="C491" s="48"/>
      <c r="D491" s="79"/>
      <c r="E491" s="80"/>
      <c r="F491" s="227"/>
      <c r="G491" s="48"/>
      <c r="H491" s="49"/>
      <c r="I491" s="48"/>
      <c r="J491" s="48"/>
      <c r="K491" s="48"/>
      <c r="L491" s="48"/>
      <c r="M491" s="53"/>
      <c r="N491" s="54"/>
      <c r="O491" s="48"/>
      <c r="P491" s="48"/>
      <c r="Q491" s="48"/>
      <c r="R491" s="48"/>
      <c r="S491" s="48"/>
      <c r="T491" s="48"/>
      <c r="U491" s="48"/>
      <c r="V491" s="48"/>
      <c r="W491" s="55"/>
      <c r="X491" s="55"/>
      <c r="Y491" s="55"/>
      <c r="Z491" s="55"/>
      <c r="AA491" s="55"/>
      <c r="AB491" s="55"/>
    </row>
    <row r="492" spans="1:28" ht="15" customHeight="1">
      <c r="A492" s="48"/>
      <c r="B492" s="48"/>
      <c r="C492" s="48"/>
      <c r="D492" s="79"/>
      <c r="E492" s="80"/>
      <c r="F492" s="227"/>
      <c r="G492" s="48"/>
      <c r="H492" s="49"/>
      <c r="I492" s="48"/>
      <c r="J492" s="48"/>
      <c r="K492" s="48"/>
      <c r="L492" s="48"/>
      <c r="M492" s="53"/>
      <c r="N492" s="54"/>
      <c r="O492" s="48"/>
      <c r="P492" s="48"/>
      <c r="Q492" s="48"/>
      <c r="R492" s="48"/>
      <c r="S492" s="48"/>
      <c r="T492" s="48"/>
      <c r="U492" s="48"/>
      <c r="V492" s="48"/>
      <c r="W492" s="55"/>
      <c r="X492" s="55"/>
      <c r="Y492" s="55"/>
      <c r="Z492" s="55"/>
      <c r="AA492" s="55"/>
      <c r="AB492" s="55"/>
    </row>
    <row r="493" spans="1:28" ht="15" customHeight="1">
      <c r="A493" s="48"/>
      <c r="B493" s="48"/>
      <c r="C493" s="48"/>
      <c r="D493" s="79"/>
      <c r="E493" s="80"/>
      <c r="F493" s="227"/>
      <c r="G493" s="48"/>
      <c r="H493" s="49"/>
      <c r="I493" s="48"/>
      <c r="J493" s="48"/>
      <c r="K493" s="48"/>
      <c r="L493" s="48"/>
      <c r="M493" s="53"/>
      <c r="N493" s="54"/>
      <c r="O493" s="48"/>
      <c r="P493" s="48"/>
      <c r="Q493" s="48"/>
      <c r="R493" s="48"/>
      <c r="S493" s="48"/>
      <c r="T493" s="48"/>
      <c r="U493" s="48"/>
      <c r="V493" s="48"/>
      <c r="W493" s="55"/>
      <c r="X493" s="55"/>
      <c r="Y493" s="55"/>
      <c r="Z493" s="55"/>
      <c r="AA493" s="55"/>
      <c r="AB493" s="55"/>
    </row>
    <row r="494" spans="1:28" ht="15" customHeight="1">
      <c r="A494" s="48"/>
      <c r="B494" s="48"/>
      <c r="C494" s="48"/>
      <c r="D494" s="79"/>
      <c r="E494" s="80"/>
      <c r="F494" s="227"/>
      <c r="G494" s="48"/>
      <c r="H494" s="49"/>
      <c r="I494" s="48"/>
      <c r="J494" s="48"/>
      <c r="K494" s="48"/>
      <c r="L494" s="48"/>
      <c r="M494" s="53"/>
      <c r="N494" s="54"/>
      <c r="O494" s="48"/>
      <c r="P494" s="48"/>
      <c r="Q494" s="48"/>
      <c r="R494" s="48"/>
      <c r="S494" s="48"/>
      <c r="T494" s="48"/>
      <c r="U494" s="48"/>
      <c r="V494" s="48"/>
      <c r="W494" s="55"/>
      <c r="X494" s="55"/>
      <c r="Y494" s="55"/>
      <c r="Z494" s="55"/>
      <c r="AA494" s="55"/>
      <c r="AB494" s="55"/>
    </row>
    <row r="495" spans="1:28" ht="15" customHeight="1">
      <c r="A495" s="48"/>
      <c r="B495" s="48"/>
      <c r="C495" s="48"/>
      <c r="D495" s="79"/>
      <c r="E495" s="80"/>
      <c r="F495" s="227"/>
      <c r="G495" s="48"/>
      <c r="H495" s="49"/>
      <c r="I495" s="48"/>
      <c r="J495" s="48"/>
      <c r="K495" s="48"/>
      <c r="L495" s="48"/>
      <c r="M495" s="53"/>
      <c r="N495" s="54"/>
      <c r="O495" s="48"/>
      <c r="P495" s="48"/>
      <c r="Q495" s="48"/>
      <c r="R495" s="48"/>
      <c r="S495" s="48"/>
      <c r="T495" s="48"/>
      <c r="U495" s="48"/>
      <c r="V495" s="48"/>
      <c r="W495" s="55"/>
      <c r="X495" s="55"/>
      <c r="Y495" s="55"/>
      <c r="Z495" s="55"/>
      <c r="AA495" s="55"/>
      <c r="AB495" s="55"/>
    </row>
    <row r="496" spans="1:28" ht="15" customHeight="1">
      <c r="A496" s="48"/>
      <c r="B496" s="48"/>
      <c r="C496" s="48"/>
      <c r="D496" s="79"/>
      <c r="E496" s="80"/>
      <c r="F496" s="227"/>
      <c r="G496" s="48"/>
      <c r="H496" s="49"/>
      <c r="I496" s="48"/>
      <c r="J496" s="48"/>
      <c r="K496" s="48"/>
      <c r="L496" s="48"/>
      <c r="M496" s="53"/>
      <c r="N496" s="54"/>
      <c r="O496" s="48"/>
      <c r="P496" s="48"/>
      <c r="Q496" s="48"/>
      <c r="R496" s="48"/>
      <c r="S496" s="48"/>
      <c r="T496" s="48"/>
      <c r="U496" s="48"/>
      <c r="V496" s="48"/>
      <c r="W496" s="55"/>
      <c r="X496" s="55"/>
      <c r="Y496" s="55"/>
      <c r="Z496" s="55"/>
      <c r="AA496" s="55"/>
      <c r="AB496" s="55"/>
    </row>
    <row r="497" spans="1:28" ht="15" customHeight="1">
      <c r="A497" s="48"/>
      <c r="B497" s="48"/>
      <c r="C497" s="48"/>
      <c r="D497" s="79"/>
      <c r="E497" s="80"/>
      <c r="F497" s="227"/>
      <c r="G497" s="48"/>
      <c r="H497" s="49"/>
      <c r="I497" s="48"/>
      <c r="J497" s="48"/>
      <c r="K497" s="48"/>
      <c r="L497" s="48"/>
      <c r="M497" s="53"/>
      <c r="N497" s="54"/>
      <c r="O497" s="48"/>
      <c r="P497" s="48"/>
      <c r="Q497" s="48"/>
      <c r="R497" s="48"/>
      <c r="S497" s="48"/>
      <c r="T497" s="48"/>
      <c r="U497" s="48"/>
      <c r="V497" s="48"/>
      <c r="W497" s="55"/>
      <c r="X497" s="55"/>
      <c r="Y497" s="55"/>
      <c r="Z497" s="55"/>
      <c r="AA497" s="55"/>
      <c r="AB497" s="55"/>
    </row>
    <row r="498" spans="1:28" ht="15" customHeight="1">
      <c r="A498" s="48"/>
      <c r="B498" s="48"/>
      <c r="C498" s="48"/>
      <c r="D498" s="79"/>
      <c r="E498" s="80"/>
      <c r="F498" s="227"/>
      <c r="G498" s="48"/>
      <c r="H498" s="49"/>
      <c r="I498" s="48"/>
      <c r="J498" s="48"/>
      <c r="K498" s="48"/>
      <c r="L498" s="48"/>
      <c r="M498" s="53"/>
      <c r="N498" s="54"/>
      <c r="O498" s="48"/>
      <c r="P498" s="48"/>
      <c r="Q498" s="48"/>
      <c r="R498" s="48"/>
      <c r="S498" s="48"/>
      <c r="T498" s="48"/>
      <c r="U498" s="48"/>
      <c r="V498" s="48"/>
      <c r="W498" s="55"/>
      <c r="X498" s="55"/>
      <c r="Y498" s="55"/>
      <c r="Z498" s="55"/>
      <c r="AA498" s="55"/>
      <c r="AB498" s="55"/>
    </row>
    <row r="499" spans="1:28" ht="15" customHeight="1">
      <c r="A499" s="48"/>
      <c r="B499" s="48"/>
      <c r="C499" s="48"/>
      <c r="D499" s="79"/>
      <c r="E499" s="80"/>
      <c r="F499" s="227"/>
      <c r="G499" s="48"/>
      <c r="H499" s="49"/>
      <c r="I499" s="48"/>
      <c r="J499" s="48"/>
      <c r="K499" s="48"/>
      <c r="L499" s="48"/>
      <c r="M499" s="53"/>
      <c r="N499" s="54"/>
      <c r="O499" s="48"/>
      <c r="P499" s="48"/>
      <c r="Q499" s="48"/>
      <c r="R499" s="48"/>
      <c r="S499" s="48"/>
      <c r="T499" s="48"/>
      <c r="U499" s="48"/>
      <c r="V499" s="48"/>
      <c r="W499" s="55"/>
      <c r="X499" s="55"/>
      <c r="Y499" s="55"/>
      <c r="Z499" s="55"/>
      <c r="AA499" s="55"/>
      <c r="AB499" s="55"/>
    </row>
    <row r="500" spans="1:28" ht="15" customHeight="1">
      <c r="A500" s="48"/>
      <c r="B500" s="48"/>
      <c r="C500" s="48"/>
      <c r="D500" s="79"/>
      <c r="E500" s="80"/>
      <c r="F500" s="227"/>
      <c r="G500" s="48"/>
      <c r="H500" s="49"/>
      <c r="I500" s="48"/>
      <c r="J500" s="48"/>
      <c r="K500" s="48"/>
      <c r="L500" s="48"/>
      <c r="M500" s="53"/>
      <c r="N500" s="54"/>
      <c r="O500" s="48"/>
      <c r="P500" s="48"/>
      <c r="Q500" s="48"/>
      <c r="R500" s="48"/>
      <c r="S500" s="48"/>
      <c r="T500" s="48"/>
      <c r="U500" s="48"/>
      <c r="V500" s="48"/>
      <c r="W500" s="55"/>
      <c r="X500" s="55"/>
      <c r="Y500" s="55"/>
      <c r="Z500" s="55"/>
      <c r="AA500" s="55"/>
      <c r="AB500" s="55"/>
    </row>
    <row r="501" spans="1:28" ht="15" customHeight="1">
      <c r="A501" s="48"/>
      <c r="B501" s="48"/>
      <c r="C501" s="48"/>
      <c r="D501" s="79"/>
      <c r="E501" s="80"/>
      <c r="F501" s="227"/>
      <c r="G501" s="48"/>
      <c r="H501" s="49"/>
      <c r="I501" s="48"/>
      <c r="J501" s="48"/>
      <c r="K501" s="48"/>
      <c r="L501" s="48"/>
      <c r="M501" s="53"/>
      <c r="N501" s="54"/>
      <c r="O501" s="48"/>
      <c r="P501" s="48"/>
      <c r="Q501" s="48"/>
      <c r="R501" s="48"/>
      <c r="S501" s="48"/>
      <c r="T501" s="48"/>
      <c r="U501" s="48"/>
      <c r="V501" s="48"/>
      <c r="W501" s="55"/>
      <c r="X501" s="55"/>
      <c r="Y501" s="55"/>
      <c r="Z501" s="55"/>
      <c r="AA501" s="55"/>
      <c r="AB501" s="55"/>
    </row>
    <row r="502" spans="1:28" ht="15" customHeight="1">
      <c r="A502" s="48"/>
      <c r="B502" s="48"/>
      <c r="C502" s="48"/>
      <c r="D502" s="79"/>
      <c r="E502" s="80"/>
      <c r="F502" s="227"/>
      <c r="G502" s="48"/>
      <c r="H502" s="49"/>
      <c r="I502" s="48"/>
      <c r="J502" s="48"/>
      <c r="K502" s="48"/>
      <c r="L502" s="48"/>
      <c r="M502" s="53"/>
      <c r="N502" s="54"/>
      <c r="O502" s="48"/>
      <c r="P502" s="48"/>
      <c r="Q502" s="48"/>
      <c r="R502" s="48"/>
      <c r="S502" s="48"/>
      <c r="T502" s="48"/>
      <c r="U502" s="48"/>
      <c r="V502" s="48"/>
      <c r="W502" s="55"/>
      <c r="X502" s="55"/>
      <c r="Y502" s="55"/>
      <c r="Z502" s="55"/>
      <c r="AA502" s="55"/>
      <c r="AB502" s="55"/>
    </row>
    <row r="503" spans="1:28" ht="15" customHeight="1">
      <c r="A503" s="48"/>
      <c r="B503" s="48"/>
      <c r="C503" s="48"/>
      <c r="D503" s="79"/>
      <c r="E503" s="80"/>
      <c r="F503" s="227"/>
      <c r="G503" s="48"/>
      <c r="H503" s="49"/>
      <c r="I503" s="48"/>
      <c r="J503" s="48"/>
      <c r="K503" s="48"/>
      <c r="L503" s="48"/>
      <c r="M503" s="53"/>
      <c r="N503" s="54"/>
      <c r="O503" s="48"/>
      <c r="P503" s="48"/>
      <c r="Q503" s="48"/>
      <c r="R503" s="48"/>
      <c r="S503" s="48"/>
      <c r="T503" s="48"/>
      <c r="U503" s="48"/>
      <c r="V503" s="48"/>
      <c r="W503" s="55"/>
      <c r="X503" s="55"/>
      <c r="Y503" s="55"/>
      <c r="Z503" s="55"/>
      <c r="AA503" s="55"/>
      <c r="AB503" s="55"/>
    </row>
    <row r="504" spans="1:28" ht="15" customHeight="1">
      <c r="A504" s="48"/>
      <c r="B504" s="48"/>
      <c r="C504" s="48"/>
      <c r="D504" s="79"/>
      <c r="E504" s="80"/>
      <c r="F504" s="227"/>
      <c r="G504" s="48"/>
      <c r="H504" s="49"/>
      <c r="I504" s="48"/>
      <c r="J504" s="48"/>
      <c r="K504" s="48"/>
      <c r="L504" s="48"/>
      <c r="M504" s="53"/>
      <c r="N504" s="54"/>
      <c r="O504" s="48"/>
      <c r="P504" s="48"/>
      <c r="Q504" s="48"/>
      <c r="R504" s="48"/>
      <c r="S504" s="48"/>
      <c r="T504" s="48"/>
      <c r="U504" s="48"/>
      <c r="V504" s="48"/>
      <c r="W504" s="55"/>
      <c r="X504" s="55"/>
      <c r="Y504" s="55"/>
      <c r="Z504" s="55"/>
      <c r="AA504" s="55"/>
      <c r="AB504" s="55"/>
    </row>
    <row r="505" spans="1:28" ht="15" customHeight="1">
      <c r="A505" s="48"/>
      <c r="B505" s="48"/>
      <c r="C505" s="48"/>
      <c r="D505" s="79"/>
      <c r="E505" s="80"/>
      <c r="F505" s="227"/>
      <c r="G505" s="48"/>
      <c r="H505" s="49"/>
      <c r="I505" s="48"/>
      <c r="J505" s="48"/>
      <c r="K505" s="48"/>
      <c r="L505" s="48"/>
      <c r="M505" s="53"/>
      <c r="N505" s="54"/>
      <c r="O505" s="48"/>
      <c r="P505" s="48"/>
      <c r="Q505" s="48"/>
      <c r="R505" s="48"/>
      <c r="S505" s="48"/>
      <c r="T505" s="48"/>
      <c r="U505" s="48"/>
      <c r="V505" s="48"/>
      <c r="W505" s="55"/>
      <c r="X505" s="55"/>
      <c r="Y505" s="55"/>
      <c r="Z505" s="55"/>
      <c r="AA505" s="55"/>
      <c r="AB505" s="55"/>
    </row>
    <row r="506" spans="1:28" ht="15" customHeight="1">
      <c r="A506" s="48"/>
      <c r="B506" s="48"/>
      <c r="C506" s="48"/>
      <c r="D506" s="79"/>
      <c r="E506" s="80"/>
      <c r="F506" s="227"/>
      <c r="G506" s="48"/>
      <c r="H506" s="49"/>
      <c r="I506" s="48"/>
      <c r="J506" s="48"/>
      <c r="K506" s="48"/>
      <c r="L506" s="48"/>
      <c r="M506" s="53"/>
      <c r="N506" s="54"/>
      <c r="O506" s="48"/>
      <c r="P506" s="48"/>
      <c r="Q506" s="48"/>
      <c r="R506" s="48"/>
      <c r="S506" s="48"/>
      <c r="T506" s="48"/>
      <c r="U506" s="48"/>
      <c r="V506" s="48"/>
      <c r="W506" s="55"/>
      <c r="X506" s="55"/>
      <c r="Y506" s="55"/>
      <c r="Z506" s="55"/>
      <c r="AA506" s="55"/>
      <c r="AB506" s="55"/>
    </row>
    <row r="507" spans="1:28" ht="15" customHeight="1">
      <c r="A507" s="48"/>
      <c r="B507" s="48"/>
      <c r="C507" s="48"/>
      <c r="D507" s="79"/>
      <c r="E507" s="80"/>
      <c r="F507" s="227"/>
      <c r="G507" s="48"/>
      <c r="H507" s="49"/>
      <c r="I507" s="48"/>
      <c r="J507" s="48"/>
      <c r="K507" s="48"/>
      <c r="L507" s="48"/>
      <c r="M507" s="53"/>
      <c r="N507" s="54"/>
      <c r="O507" s="48"/>
      <c r="P507" s="48"/>
      <c r="Q507" s="48"/>
      <c r="R507" s="48"/>
      <c r="S507" s="48"/>
      <c r="T507" s="48"/>
      <c r="U507" s="48"/>
      <c r="V507" s="48"/>
      <c r="W507" s="55"/>
      <c r="X507" s="55"/>
      <c r="Y507" s="55"/>
      <c r="Z507" s="55"/>
      <c r="AA507" s="55"/>
      <c r="AB507" s="55"/>
    </row>
    <row r="508" spans="1:28" ht="15" customHeight="1">
      <c r="A508" s="48"/>
      <c r="B508" s="48"/>
      <c r="C508" s="48"/>
      <c r="D508" s="79"/>
      <c r="E508" s="80"/>
      <c r="F508" s="227"/>
      <c r="G508" s="48"/>
      <c r="H508" s="49"/>
      <c r="I508" s="48"/>
      <c r="J508" s="48"/>
      <c r="K508" s="48"/>
      <c r="L508" s="48"/>
      <c r="M508" s="53"/>
      <c r="N508" s="54"/>
      <c r="O508" s="48"/>
      <c r="P508" s="48"/>
      <c r="Q508" s="48"/>
      <c r="R508" s="48"/>
      <c r="S508" s="48"/>
      <c r="T508" s="48"/>
      <c r="U508" s="48"/>
      <c r="V508" s="48"/>
      <c r="W508" s="55"/>
      <c r="X508" s="55"/>
      <c r="Y508" s="55"/>
      <c r="Z508" s="55"/>
      <c r="AA508" s="55"/>
      <c r="AB508" s="55"/>
    </row>
    <row r="509" spans="1:28" ht="15" customHeight="1">
      <c r="A509" s="48"/>
      <c r="B509" s="48"/>
      <c r="C509" s="48"/>
      <c r="D509" s="79"/>
      <c r="E509" s="80"/>
      <c r="F509" s="227"/>
      <c r="G509" s="48"/>
      <c r="H509" s="49"/>
      <c r="I509" s="48"/>
      <c r="J509" s="48"/>
      <c r="K509" s="48"/>
      <c r="L509" s="48"/>
      <c r="M509" s="53"/>
      <c r="N509" s="54"/>
      <c r="O509" s="48"/>
      <c r="P509" s="48"/>
      <c r="Q509" s="48"/>
      <c r="R509" s="48"/>
      <c r="S509" s="48"/>
      <c r="T509" s="48"/>
      <c r="U509" s="48"/>
      <c r="V509" s="48"/>
      <c r="W509" s="55"/>
      <c r="X509" s="55"/>
      <c r="Y509" s="55"/>
      <c r="Z509" s="55"/>
      <c r="AA509" s="55"/>
      <c r="AB509" s="55"/>
    </row>
    <row r="510" spans="1:28" ht="15" customHeight="1">
      <c r="A510" s="48"/>
      <c r="B510" s="48"/>
      <c r="C510" s="48"/>
      <c r="D510" s="79"/>
      <c r="E510" s="80"/>
      <c r="F510" s="227"/>
      <c r="G510" s="48"/>
      <c r="H510" s="49"/>
      <c r="I510" s="48"/>
      <c r="J510" s="48"/>
      <c r="K510" s="48"/>
      <c r="L510" s="48"/>
      <c r="M510" s="53"/>
      <c r="N510" s="54"/>
      <c r="O510" s="48"/>
      <c r="P510" s="48"/>
      <c r="Q510" s="48"/>
      <c r="R510" s="48"/>
      <c r="S510" s="48"/>
      <c r="T510" s="48"/>
      <c r="U510" s="48"/>
      <c r="V510" s="48"/>
      <c r="W510" s="55"/>
      <c r="X510" s="55"/>
      <c r="Y510" s="55"/>
      <c r="Z510" s="55"/>
      <c r="AA510" s="55"/>
      <c r="AB510" s="55"/>
    </row>
    <row r="511" spans="1:28" ht="15" customHeight="1">
      <c r="A511" s="48"/>
      <c r="B511" s="48"/>
      <c r="C511" s="48"/>
      <c r="D511" s="79"/>
      <c r="E511" s="80"/>
      <c r="F511" s="227"/>
      <c r="G511" s="48"/>
      <c r="H511" s="49"/>
      <c r="I511" s="48"/>
      <c r="J511" s="48"/>
      <c r="K511" s="48"/>
      <c r="L511" s="48"/>
      <c r="M511" s="53"/>
      <c r="N511" s="54"/>
      <c r="O511" s="48"/>
      <c r="P511" s="48"/>
      <c r="Q511" s="48"/>
      <c r="R511" s="48"/>
      <c r="S511" s="48"/>
      <c r="T511" s="48"/>
      <c r="U511" s="48"/>
      <c r="V511" s="48"/>
      <c r="W511" s="55"/>
      <c r="X511" s="55"/>
      <c r="Y511" s="55"/>
      <c r="Z511" s="55"/>
      <c r="AA511" s="55"/>
      <c r="AB511" s="55"/>
    </row>
    <row r="512" spans="1:28" ht="15" customHeight="1">
      <c r="A512" s="48"/>
      <c r="B512" s="48"/>
      <c r="C512" s="48"/>
      <c r="D512" s="79"/>
      <c r="E512" s="80"/>
      <c r="F512" s="227"/>
      <c r="G512" s="48"/>
      <c r="H512" s="49"/>
      <c r="I512" s="48"/>
      <c r="J512" s="48"/>
      <c r="K512" s="48"/>
      <c r="L512" s="48"/>
      <c r="M512" s="53"/>
      <c r="N512" s="54"/>
      <c r="O512" s="48"/>
      <c r="P512" s="48"/>
      <c r="Q512" s="48"/>
      <c r="R512" s="48"/>
      <c r="S512" s="48"/>
      <c r="T512" s="48"/>
      <c r="U512" s="48"/>
      <c r="V512" s="48"/>
      <c r="W512" s="55"/>
      <c r="X512" s="55"/>
      <c r="Y512" s="55"/>
      <c r="Z512" s="55"/>
      <c r="AA512" s="55"/>
      <c r="AB512" s="55"/>
    </row>
    <row r="513" spans="1:28" ht="15" customHeight="1">
      <c r="A513" s="48"/>
      <c r="B513" s="48"/>
      <c r="C513" s="48"/>
      <c r="D513" s="79"/>
      <c r="E513" s="80"/>
      <c r="F513" s="227"/>
      <c r="G513" s="48"/>
      <c r="H513" s="49"/>
      <c r="I513" s="48"/>
      <c r="J513" s="48"/>
      <c r="K513" s="48"/>
      <c r="L513" s="48"/>
      <c r="M513" s="53"/>
      <c r="N513" s="54"/>
      <c r="O513" s="48"/>
      <c r="P513" s="48"/>
      <c r="Q513" s="48"/>
      <c r="R513" s="48"/>
      <c r="S513" s="48"/>
      <c r="T513" s="48"/>
      <c r="U513" s="48"/>
      <c r="V513" s="48"/>
      <c r="W513" s="55"/>
      <c r="X513" s="55"/>
      <c r="Y513" s="55"/>
      <c r="Z513" s="55"/>
      <c r="AA513" s="55"/>
      <c r="AB513" s="55"/>
    </row>
    <row r="514" spans="1:28" ht="15" customHeight="1">
      <c r="A514" s="48"/>
      <c r="B514" s="48"/>
      <c r="C514" s="48"/>
      <c r="D514" s="79"/>
      <c r="E514" s="80"/>
      <c r="F514" s="227"/>
      <c r="G514" s="48"/>
      <c r="H514" s="49"/>
      <c r="I514" s="48"/>
      <c r="J514" s="48"/>
      <c r="K514" s="48"/>
      <c r="L514" s="48"/>
      <c r="M514" s="53"/>
      <c r="N514" s="54"/>
      <c r="O514" s="48"/>
      <c r="P514" s="48"/>
      <c r="Q514" s="48"/>
      <c r="R514" s="48"/>
      <c r="S514" s="48"/>
      <c r="T514" s="48"/>
      <c r="U514" s="48"/>
      <c r="V514" s="48"/>
      <c r="W514" s="55"/>
      <c r="X514" s="55"/>
      <c r="Y514" s="55"/>
      <c r="Z514" s="55"/>
      <c r="AA514" s="55"/>
      <c r="AB514" s="55"/>
    </row>
    <row r="515" spans="1:28" ht="15" customHeight="1">
      <c r="A515" s="48"/>
      <c r="B515" s="48"/>
      <c r="C515" s="48"/>
      <c r="D515" s="79"/>
      <c r="E515" s="80"/>
      <c r="F515" s="227"/>
      <c r="G515" s="48"/>
      <c r="H515" s="49"/>
      <c r="I515" s="48"/>
      <c r="J515" s="48"/>
      <c r="K515" s="48"/>
      <c r="L515" s="48"/>
      <c r="M515" s="53"/>
      <c r="N515" s="54"/>
      <c r="O515" s="48"/>
      <c r="P515" s="48"/>
      <c r="Q515" s="48"/>
      <c r="R515" s="48"/>
      <c r="S515" s="48"/>
      <c r="T515" s="48"/>
      <c r="U515" s="48"/>
      <c r="V515" s="48"/>
      <c r="W515" s="55"/>
      <c r="X515" s="55"/>
      <c r="Y515" s="55"/>
      <c r="Z515" s="55"/>
      <c r="AA515" s="55"/>
      <c r="AB515" s="55"/>
    </row>
    <row r="516" spans="1:28" ht="15" customHeight="1">
      <c r="A516" s="48"/>
      <c r="B516" s="48"/>
      <c r="C516" s="48"/>
      <c r="D516" s="79"/>
      <c r="E516" s="80"/>
      <c r="F516" s="227"/>
      <c r="G516" s="48"/>
      <c r="H516" s="49"/>
      <c r="I516" s="48"/>
      <c r="J516" s="48"/>
      <c r="K516" s="48"/>
      <c r="L516" s="48"/>
      <c r="M516" s="53"/>
      <c r="N516" s="54"/>
      <c r="O516" s="48"/>
      <c r="P516" s="48"/>
      <c r="Q516" s="48"/>
      <c r="R516" s="48"/>
      <c r="S516" s="48"/>
      <c r="T516" s="48"/>
      <c r="U516" s="48"/>
      <c r="V516" s="48"/>
      <c r="W516" s="55"/>
      <c r="X516" s="55"/>
      <c r="Y516" s="55"/>
      <c r="Z516" s="55"/>
      <c r="AA516" s="55"/>
      <c r="AB516" s="55"/>
    </row>
    <row r="517" spans="1:28" ht="15" customHeight="1">
      <c r="A517" s="48"/>
      <c r="B517" s="48"/>
      <c r="C517" s="48"/>
      <c r="D517" s="79"/>
      <c r="E517" s="80"/>
      <c r="F517" s="227"/>
      <c r="G517" s="48"/>
      <c r="H517" s="49"/>
      <c r="I517" s="48"/>
      <c r="J517" s="48"/>
      <c r="K517" s="48"/>
      <c r="L517" s="48"/>
      <c r="M517" s="53"/>
      <c r="N517" s="54"/>
      <c r="O517" s="48"/>
      <c r="P517" s="48"/>
      <c r="Q517" s="48"/>
      <c r="R517" s="48"/>
      <c r="S517" s="48"/>
      <c r="T517" s="48"/>
      <c r="U517" s="48"/>
      <c r="V517" s="48"/>
      <c r="W517" s="55"/>
      <c r="X517" s="55"/>
      <c r="Y517" s="55"/>
      <c r="Z517" s="55"/>
      <c r="AA517" s="55"/>
      <c r="AB517" s="55"/>
    </row>
    <row r="518" spans="1:28" ht="15" customHeight="1">
      <c r="A518" s="48"/>
      <c r="B518" s="48"/>
      <c r="C518" s="48"/>
      <c r="D518" s="79"/>
      <c r="E518" s="80"/>
      <c r="F518" s="227"/>
      <c r="G518" s="48"/>
      <c r="H518" s="49"/>
      <c r="I518" s="48"/>
      <c r="J518" s="48"/>
      <c r="K518" s="48"/>
      <c r="L518" s="48"/>
      <c r="M518" s="53"/>
      <c r="N518" s="54"/>
      <c r="O518" s="48"/>
      <c r="P518" s="48"/>
      <c r="Q518" s="48"/>
      <c r="R518" s="48"/>
      <c r="S518" s="48"/>
      <c r="T518" s="48"/>
      <c r="U518" s="48"/>
      <c r="V518" s="48"/>
      <c r="W518" s="55"/>
      <c r="X518" s="55"/>
      <c r="Y518" s="55"/>
      <c r="Z518" s="55"/>
      <c r="AA518" s="55"/>
      <c r="AB518" s="55"/>
    </row>
    <row r="519" spans="1:28" ht="15" customHeight="1">
      <c r="A519" s="48"/>
      <c r="B519" s="48"/>
      <c r="C519" s="48"/>
      <c r="D519" s="79"/>
      <c r="E519" s="80"/>
      <c r="F519" s="227"/>
      <c r="G519" s="48"/>
      <c r="H519" s="49"/>
      <c r="I519" s="48"/>
      <c r="J519" s="48"/>
      <c r="K519" s="48"/>
      <c r="L519" s="48"/>
      <c r="M519" s="53"/>
      <c r="N519" s="54"/>
      <c r="O519" s="48"/>
      <c r="P519" s="48"/>
      <c r="Q519" s="48"/>
      <c r="R519" s="48"/>
      <c r="S519" s="48"/>
      <c r="T519" s="48"/>
      <c r="U519" s="48"/>
      <c r="V519" s="48"/>
      <c r="W519" s="55"/>
      <c r="X519" s="55"/>
      <c r="Y519" s="55"/>
      <c r="Z519" s="55"/>
      <c r="AA519" s="55"/>
      <c r="AB519" s="55"/>
    </row>
    <row r="520" spans="1:28" ht="15" customHeight="1">
      <c r="A520" s="48"/>
      <c r="B520" s="48"/>
      <c r="C520" s="48"/>
      <c r="D520" s="79"/>
      <c r="E520" s="80"/>
      <c r="F520" s="227"/>
      <c r="G520" s="48"/>
      <c r="H520" s="49"/>
      <c r="I520" s="48"/>
      <c r="J520" s="48"/>
      <c r="K520" s="48"/>
      <c r="L520" s="48"/>
      <c r="M520" s="53"/>
      <c r="N520" s="54"/>
      <c r="O520" s="48"/>
      <c r="P520" s="48"/>
      <c r="Q520" s="48"/>
      <c r="R520" s="48"/>
      <c r="S520" s="48"/>
      <c r="T520" s="48"/>
      <c r="U520" s="48"/>
      <c r="V520" s="48"/>
      <c r="W520" s="55"/>
      <c r="X520" s="55"/>
      <c r="Y520" s="55"/>
      <c r="Z520" s="55"/>
      <c r="AA520" s="55"/>
      <c r="AB520" s="55"/>
    </row>
    <row r="521" spans="1:28" ht="15" customHeight="1">
      <c r="A521" s="48"/>
      <c r="B521" s="48"/>
      <c r="C521" s="48"/>
      <c r="D521" s="79"/>
      <c r="E521" s="80"/>
      <c r="F521" s="227"/>
      <c r="G521" s="48"/>
      <c r="H521" s="49"/>
      <c r="I521" s="48"/>
      <c r="J521" s="48"/>
      <c r="K521" s="48"/>
      <c r="L521" s="48"/>
      <c r="M521" s="53"/>
      <c r="N521" s="54"/>
      <c r="O521" s="48"/>
      <c r="P521" s="48"/>
      <c r="Q521" s="48"/>
      <c r="R521" s="48"/>
      <c r="S521" s="48"/>
      <c r="T521" s="48"/>
      <c r="U521" s="48"/>
      <c r="V521" s="48"/>
      <c r="W521" s="55"/>
      <c r="X521" s="55"/>
      <c r="Y521" s="55"/>
      <c r="Z521" s="55"/>
      <c r="AA521" s="55"/>
      <c r="AB521" s="55"/>
    </row>
    <row r="522" spans="1:28" ht="15" customHeight="1">
      <c r="A522" s="48"/>
      <c r="B522" s="48"/>
      <c r="C522" s="48"/>
      <c r="D522" s="79"/>
      <c r="E522" s="80"/>
      <c r="F522" s="227"/>
      <c r="G522" s="48"/>
      <c r="H522" s="49"/>
      <c r="I522" s="48"/>
      <c r="J522" s="48"/>
      <c r="K522" s="48"/>
      <c r="L522" s="48"/>
      <c r="M522" s="53"/>
      <c r="N522" s="54"/>
      <c r="O522" s="48"/>
      <c r="P522" s="48"/>
      <c r="Q522" s="48"/>
      <c r="R522" s="48"/>
      <c r="S522" s="48"/>
      <c r="T522" s="48"/>
      <c r="U522" s="48"/>
      <c r="V522" s="48"/>
      <c r="W522" s="55"/>
      <c r="X522" s="55"/>
      <c r="Y522" s="55"/>
      <c r="Z522" s="55"/>
      <c r="AA522" s="55"/>
      <c r="AB522" s="55"/>
    </row>
    <row r="523" spans="1:28" ht="15" customHeight="1">
      <c r="A523" s="48"/>
      <c r="B523" s="48"/>
      <c r="C523" s="48"/>
      <c r="D523" s="79"/>
      <c r="E523" s="80"/>
      <c r="F523" s="227"/>
      <c r="G523" s="48"/>
      <c r="H523" s="49"/>
      <c r="I523" s="48"/>
      <c r="J523" s="48"/>
      <c r="K523" s="48"/>
      <c r="L523" s="48"/>
      <c r="M523" s="53"/>
      <c r="N523" s="54"/>
      <c r="O523" s="48"/>
      <c r="P523" s="48"/>
      <c r="Q523" s="48"/>
      <c r="R523" s="48"/>
      <c r="S523" s="48"/>
      <c r="T523" s="48"/>
      <c r="U523" s="48"/>
      <c r="V523" s="48"/>
      <c r="W523" s="55"/>
      <c r="X523" s="55"/>
      <c r="Y523" s="55"/>
      <c r="Z523" s="55"/>
      <c r="AA523" s="55"/>
      <c r="AB523" s="55"/>
    </row>
    <row r="524" spans="1:28" ht="15" customHeight="1">
      <c r="A524" s="48"/>
      <c r="B524" s="48"/>
      <c r="C524" s="48"/>
      <c r="D524" s="79"/>
      <c r="E524" s="80"/>
      <c r="F524" s="227"/>
      <c r="G524" s="48"/>
      <c r="H524" s="49"/>
      <c r="I524" s="48"/>
      <c r="J524" s="48"/>
      <c r="K524" s="48"/>
      <c r="L524" s="48"/>
      <c r="M524" s="53"/>
      <c r="N524" s="54"/>
      <c r="O524" s="48"/>
      <c r="P524" s="48"/>
      <c r="Q524" s="48"/>
      <c r="R524" s="48"/>
      <c r="S524" s="48"/>
      <c r="T524" s="48"/>
      <c r="U524" s="48"/>
      <c r="V524" s="48"/>
      <c r="W524" s="55"/>
      <c r="X524" s="55"/>
      <c r="Y524" s="55"/>
      <c r="Z524" s="55"/>
      <c r="AA524" s="55"/>
      <c r="AB524" s="55"/>
    </row>
    <row r="525" spans="1:28" ht="15" customHeight="1">
      <c r="A525" s="48"/>
      <c r="B525" s="48"/>
      <c r="C525" s="48"/>
      <c r="D525" s="79"/>
      <c r="E525" s="80"/>
      <c r="F525" s="227"/>
      <c r="G525" s="48"/>
      <c r="H525" s="49"/>
      <c r="I525" s="48"/>
      <c r="J525" s="48"/>
      <c r="K525" s="48"/>
      <c r="L525" s="48"/>
      <c r="M525" s="53"/>
      <c r="N525" s="54"/>
      <c r="O525" s="48"/>
      <c r="P525" s="48"/>
      <c r="Q525" s="48"/>
      <c r="R525" s="48"/>
      <c r="S525" s="48"/>
      <c r="T525" s="48"/>
      <c r="U525" s="48"/>
      <c r="V525" s="48"/>
      <c r="W525" s="55"/>
      <c r="X525" s="55"/>
      <c r="Y525" s="55"/>
      <c r="Z525" s="55"/>
      <c r="AA525" s="55"/>
      <c r="AB525" s="55"/>
    </row>
    <row r="526" spans="1:28" ht="15" customHeight="1">
      <c r="A526" s="48"/>
      <c r="B526" s="48"/>
      <c r="C526" s="48"/>
      <c r="D526" s="79"/>
      <c r="E526" s="80"/>
      <c r="F526" s="227"/>
      <c r="G526" s="48"/>
      <c r="H526" s="49"/>
      <c r="I526" s="48"/>
      <c r="J526" s="48"/>
      <c r="K526" s="48"/>
      <c r="L526" s="48"/>
      <c r="M526" s="53"/>
      <c r="N526" s="54"/>
      <c r="O526" s="48"/>
      <c r="P526" s="48"/>
      <c r="Q526" s="48"/>
      <c r="R526" s="48"/>
      <c r="S526" s="48"/>
      <c r="T526" s="48"/>
      <c r="U526" s="48"/>
      <c r="V526" s="48"/>
      <c r="W526" s="55"/>
      <c r="X526" s="55"/>
      <c r="Y526" s="55"/>
      <c r="Z526" s="55"/>
      <c r="AA526" s="55"/>
      <c r="AB526" s="55"/>
    </row>
    <row r="527" spans="1:28" ht="15" customHeight="1">
      <c r="A527" s="48"/>
      <c r="B527" s="48"/>
      <c r="C527" s="48"/>
      <c r="D527" s="79"/>
      <c r="E527" s="80"/>
      <c r="F527" s="227"/>
      <c r="G527" s="48"/>
      <c r="H527" s="49"/>
      <c r="I527" s="48"/>
      <c r="J527" s="48"/>
      <c r="K527" s="48"/>
      <c r="L527" s="48"/>
      <c r="M527" s="53"/>
      <c r="N527" s="54"/>
      <c r="O527" s="48"/>
      <c r="P527" s="48"/>
      <c r="Q527" s="48"/>
      <c r="R527" s="48"/>
      <c r="S527" s="48"/>
      <c r="T527" s="48"/>
      <c r="U527" s="48"/>
      <c r="V527" s="48"/>
      <c r="W527" s="55"/>
      <c r="X527" s="55"/>
      <c r="Y527" s="55"/>
      <c r="Z527" s="55"/>
      <c r="AA527" s="55"/>
      <c r="AB527" s="55"/>
    </row>
    <row r="528" spans="1:28" ht="15" customHeight="1">
      <c r="A528" s="48"/>
      <c r="B528" s="48"/>
      <c r="C528" s="48"/>
      <c r="D528" s="79"/>
      <c r="E528" s="80"/>
      <c r="F528" s="227"/>
      <c r="G528" s="48"/>
      <c r="H528" s="49"/>
      <c r="I528" s="48"/>
      <c r="J528" s="48"/>
      <c r="K528" s="48"/>
      <c r="L528" s="48"/>
      <c r="M528" s="53"/>
      <c r="N528" s="54"/>
      <c r="O528" s="48"/>
      <c r="P528" s="48"/>
      <c r="Q528" s="48"/>
      <c r="R528" s="48"/>
      <c r="S528" s="48"/>
      <c r="T528" s="48"/>
      <c r="U528" s="48"/>
      <c r="V528" s="48"/>
      <c r="W528" s="55"/>
      <c r="X528" s="55"/>
      <c r="Y528" s="55"/>
      <c r="Z528" s="55"/>
      <c r="AA528" s="55"/>
      <c r="AB528" s="55"/>
    </row>
    <row r="529" spans="1:28" ht="15" customHeight="1">
      <c r="A529" s="48"/>
      <c r="B529" s="48"/>
      <c r="C529" s="48"/>
      <c r="D529" s="79"/>
      <c r="E529" s="80"/>
      <c r="F529" s="227"/>
      <c r="G529" s="48"/>
      <c r="H529" s="49"/>
      <c r="I529" s="48"/>
      <c r="J529" s="48"/>
      <c r="K529" s="48"/>
      <c r="L529" s="48"/>
      <c r="M529" s="53"/>
      <c r="N529" s="54"/>
      <c r="O529" s="48"/>
      <c r="P529" s="48"/>
      <c r="Q529" s="48"/>
      <c r="R529" s="48"/>
      <c r="S529" s="48"/>
      <c r="T529" s="48"/>
      <c r="U529" s="48"/>
      <c r="V529" s="48"/>
      <c r="W529" s="55"/>
      <c r="X529" s="55"/>
      <c r="Y529" s="55"/>
      <c r="Z529" s="55"/>
      <c r="AA529" s="55"/>
      <c r="AB529" s="55"/>
    </row>
    <row r="530" spans="1:28" ht="15" customHeight="1">
      <c r="A530" s="48"/>
      <c r="B530" s="48"/>
      <c r="C530" s="48"/>
      <c r="D530" s="79"/>
      <c r="E530" s="80"/>
      <c r="F530" s="227"/>
      <c r="G530" s="48"/>
      <c r="H530" s="49"/>
      <c r="I530" s="48"/>
      <c r="J530" s="48"/>
      <c r="K530" s="48"/>
      <c r="L530" s="48"/>
      <c r="M530" s="53"/>
      <c r="N530" s="54"/>
      <c r="O530" s="48"/>
      <c r="P530" s="48"/>
      <c r="Q530" s="48"/>
      <c r="R530" s="48"/>
      <c r="S530" s="48"/>
      <c r="T530" s="48"/>
      <c r="U530" s="48"/>
      <c r="V530" s="48"/>
      <c r="W530" s="55"/>
      <c r="X530" s="55"/>
      <c r="Y530" s="55"/>
      <c r="Z530" s="55"/>
      <c r="AA530" s="55"/>
      <c r="AB530" s="55"/>
    </row>
    <row r="531" spans="1:28" ht="15" customHeight="1">
      <c r="A531" s="48"/>
      <c r="B531" s="48"/>
      <c r="C531" s="48"/>
      <c r="D531" s="79"/>
      <c r="E531" s="80"/>
      <c r="F531" s="227"/>
      <c r="G531" s="48"/>
      <c r="H531" s="49"/>
      <c r="I531" s="48"/>
      <c r="J531" s="48"/>
      <c r="K531" s="48"/>
      <c r="L531" s="48"/>
      <c r="M531" s="53"/>
      <c r="N531" s="54"/>
      <c r="O531" s="48"/>
      <c r="P531" s="48"/>
      <c r="Q531" s="48"/>
      <c r="R531" s="48"/>
      <c r="S531" s="48"/>
      <c r="T531" s="48"/>
      <c r="U531" s="48"/>
      <c r="V531" s="48"/>
      <c r="W531" s="55"/>
      <c r="X531" s="55"/>
      <c r="Y531" s="55"/>
      <c r="Z531" s="55"/>
      <c r="AA531" s="55"/>
      <c r="AB531" s="55"/>
    </row>
    <row r="532" spans="1:28" ht="15" customHeight="1">
      <c r="A532" s="48"/>
      <c r="B532" s="48"/>
      <c r="C532" s="48"/>
      <c r="D532" s="79"/>
      <c r="E532" s="80"/>
      <c r="F532" s="227"/>
      <c r="G532" s="48"/>
      <c r="H532" s="49"/>
      <c r="I532" s="48"/>
      <c r="J532" s="48"/>
      <c r="K532" s="48"/>
      <c r="L532" s="48"/>
      <c r="M532" s="53"/>
      <c r="N532" s="54"/>
      <c r="O532" s="48"/>
      <c r="P532" s="48"/>
      <c r="Q532" s="48"/>
      <c r="R532" s="48"/>
      <c r="S532" s="48"/>
      <c r="T532" s="48"/>
      <c r="U532" s="48"/>
      <c r="V532" s="48"/>
      <c r="W532" s="55"/>
      <c r="X532" s="55"/>
      <c r="Y532" s="55"/>
      <c r="Z532" s="55"/>
      <c r="AA532" s="55"/>
      <c r="AB532" s="55"/>
    </row>
    <row r="533" spans="1:28" ht="15" customHeight="1">
      <c r="A533" s="48"/>
      <c r="B533" s="48"/>
      <c r="C533" s="48"/>
      <c r="D533" s="79"/>
      <c r="E533" s="80"/>
      <c r="F533" s="227"/>
      <c r="G533" s="48"/>
      <c r="H533" s="49"/>
      <c r="I533" s="48"/>
      <c r="J533" s="48"/>
      <c r="K533" s="48"/>
      <c r="L533" s="48"/>
      <c r="M533" s="53"/>
      <c r="N533" s="54"/>
      <c r="O533" s="48"/>
      <c r="P533" s="48"/>
      <c r="Q533" s="48"/>
      <c r="R533" s="48"/>
      <c r="S533" s="48"/>
      <c r="T533" s="48"/>
      <c r="U533" s="48"/>
      <c r="V533" s="48"/>
      <c r="W533" s="55"/>
      <c r="X533" s="55"/>
      <c r="Y533" s="55"/>
      <c r="Z533" s="55"/>
      <c r="AA533" s="55"/>
      <c r="AB533" s="55"/>
    </row>
    <row r="534" spans="1:28" ht="15" customHeight="1">
      <c r="A534" s="48"/>
      <c r="B534" s="48"/>
      <c r="C534" s="48"/>
      <c r="D534" s="79"/>
      <c r="E534" s="80"/>
      <c r="F534" s="227"/>
      <c r="G534" s="48"/>
      <c r="H534" s="49"/>
      <c r="I534" s="48"/>
      <c r="J534" s="48"/>
      <c r="K534" s="48"/>
      <c r="L534" s="48"/>
      <c r="M534" s="53"/>
      <c r="N534" s="54"/>
      <c r="O534" s="48"/>
      <c r="P534" s="48"/>
      <c r="Q534" s="48"/>
      <c r="R534" s="48"/>
      <c r="S534" s="48"/>
      <c r="T534" s="48"/>
      <c r="U534" s="48"/>
      <c r="V534" s="48"/>
      <c r="W534" s="55"/>
      <c r="X534" s="55"/>
      <c r="Y534" s="55"/>
      <c r="Z534" s="55"/>
      <c r="AA534" s="55"/>
      <c r="AB534" s="55"/>
    </row>
    <row r="535" spans="1:28" ht="15" customHeight="1">
      <c r="A535" s="48"/>
      <c r="B535" s="48"/>
      <c r="C535" s="48"/>
      <c r="D535" s="79"/>
      <c r="E535" s="80"/>
      <c r="F535" s="227"/>
      <c r="G535" s="48"/>
      <c r="H535" s="49"/>
      <c r="I535" s="48"/>
      <c r="J535" s="48"/>
      <c r="K535" s="48"/>
      <c r="L535" s="48"/>
      <c r="M535" s="53"/>
      <c r="N535" s="54"/>
      <c r="O535" s="48"/>
      <c r="P535" s="48"/>
      <c r="Q535" s="48"/>
      <c r="R535" s="48"/>
      <c r="S535" s="48"/>
      <c r="T535" s="48"/>
      <c r="U535" s="48"/>
      <c r="V535" s="48"/>
      <c r="W535" s="55"/>
      <c r="X535" s="55"/>
      <c r="Y535" s="55"/>
      <c r="Z535" s="55"/>
      <c r="AA535" s="55"/>
      <c r="AB535" s="55"/>
    </row>
    <row r="536" spans="1:28" ht="15" customHeight="1">
      <c r="A536" s="48"/>
      <c r="B536" s="48"/>
      <c r="C536" s="48"/>
      <c r="D536" s="79"/>
      <c r="E536" s="80"/>
      <c r="F536" s="227"/>
      <c r="G536" s="48"/>
      <c r="H536" s="49"/>
      <c r="I536" s="48"/>
      <c r="J536" s="48"/>
      <c r="K536" s="48"/>
      <c r="L536" s="48"/>
      <c r="M536" s="53"/>
      <c r="N536" s="54"/>
      <c r="O536" s="48"/>
      <c r="P536" s="48"/>
      <c r="Q536" s="48"/>
      <c r="R536" s="48"/>
      <c r="S536" s="48"/>
      <c r="T536" s="48"/>
      <c r="U536" s="48"/>
      <c r="V536" s="48"/>
      <c r="W536" s="55"/>
      <c r="X536" s="55"/>
      <c r="Y536" s="55"/>
      <c r="Z536" s="55"/>
      <c r="AA536" s="55"/>
      <c r="AB536" s="55"/>
    </row>
    <row r="537" spans="1:28" ht="15" customHeight="1">
      <c r="A537" s="48"/>
      <c r="B537" s="48"/>
      <c r="C537" s="48"/>
      <c r="D537" s="79"/>
      <c r="E537" s="80"/>
      <c r="F537" s="227"/>
      <c r="G537" s="48"/>
      <c r="H537" s="49"/>
      <c r="I537" s="48"/>
      <c r="J537" s="48"/>
      <c r="K537" s="48"/>
      <c r="L537" s="48"/>
      <c r="M537" s="53"/>
      <c r="N537" s="54"/>
      <c r="O537" s="48"/>
      <c r="P537" s="48"/>
      <c r="Q537" s="48"/>
      <c r="R537" s="48"/>
      <c r="S537" s="48"/>
      <c r="T537" s="48"/>
      <c r="U537" s="48"/>
      <c r="V537" s="48"/>
      <c r="W537" s="55"/>
      <c r="X537" s="55"/>
      <c r="Y537" s="55"/>
      <c r="Z537" s="55"/>
      <c r="AA537" s="55"/>
      <c r="AB537" s="55"/>
    </row>
    <row r="538" spans="1:28" ht="15" customHeight="1">
      <c r="A538" s="48"/>
      <c r="B538" s="48"/>
      <c r="C538" s="48"/>
      <c r="D538" s="79"/>
      <c r="E538" s="80"/>
      <c r="F538" s="227"/>
      <c r="G538" s="48"/>
      <c r="H538" s="49"/>
      <c r="I538" s="48"/>
      <c r="J538" s="48"/>
      <c r="K538" s="48"/>
      <c r="L538" s="48"/>
      <c r="M538" s="53"/>
      <c r="N538" s="54"/>
      <c r="O538" s="48"/>
      <c r="P538" s="48"/>
      <c r="Q538" s="48"/>
      <c r="R538" s="48"/>
      <c r="S538" s="48"/>
      <c r="T538" s="48"/>
      <c r="U538" s="48"/>
      <c r="V538" s="48"/>
      <c r="W538" s="55"/>
      <c r="X538" s="55"/>
      <c r="Y538" s="55"/>
      <c r="Z538" s="55"/>
      <c r="AA538" s="55"/>
      <c r="AB538" s="55"/>
    </row>
    <row r="539" spans="1:28" ht="15" customHeight="1">
      <c r="A539" s="48"/>
      <c r="B539" s="48"/>
      <c r="C539" s="48"/>
      <c r="D539" s="79"/>
      <c r="E539" s="80"/>
      <c r="F539" s="227"/>
      <c r="G539" s="48"/>
      <c r="H539" s="49"/>
      <c r="I539" s="48"/>
      <c r="J539" s="48"/>
      <c r="K539" s="48"/>
      <c r="L539" s="48"/>
      <c r="M539" s="53"/>
      <c r="N539" s="54"/>
      <c r="O539" s="48"/>
      <c r="P539" s="48"/>
      <c r="Q539" s="48"/>
      <c r="R539" s="48"/>
      <c r="S539" s="48"/>
      <c r="T539" s="48"/>
      <c r="U539" s="48"/>
      <c r="V539" s="48"/>
      <c r="W539" s="55"/>
      <c r="X539" s="55"/>
      <c r="Y539" s="55"/>
      <c r="Z539" s="55"/>
      <c r="AA539" s="55"/>
      <c r="AB539" s="55"/>
    </row>
    <row r="540" spans="1:28" ht="15" customHeight="1">
      <c r="A540" s="48"/>
      <c r="B540" s="48"/>
      <c r="C540" s="48"/>
      <c r="D540" s="79"/>
      <c r="E540" s="80"/>
      <c r="F540" s="227"/>
      <c r="G540" s="48"/>
      <c r="H540" s="49"/>
      <c r="I540" s="48"/>
      <c r="J540" s="48"/>
      <c r="K540" s="48"/>
      <c r="L540" s="48"/>
      <c r="M540" s="53"/>
      <c r="N540" s="54"/>
      <c r="O540" s="48"/>
      <c r="P540" s="48"/>
      <c r="Q540" s="48"/>
      <c r="R540" s="48"/>
      <c r="S540" s="48"/>
      <c r="T540" s="48"/>
      <c r="U540" s="48"/>
      <c r="V540" s="48"/>
      <c r="W540" s="55"/>
      <c r="X540" s="55"/>
      <c r="Y540" s="55"/>
      <c r="Z540" s="55"/>
      <c r="AA540" s="55"/>
      <c r="AB540" s="55"/>
    </row>
    <row r="541" spans="1:28" ht="15" customHeight="1">
      <c r="A541" s="48"/>
      <c r="B541" s="48"/>
      <c r="C541" s="48"/>
      <c r="D541" s="79"/>
      <c r="E541" s="80"/>
      <c r="F541" s="227"/>
      <c r="G541" s="48"/>
      <c r="H541" s="49"/>
      <c r="I541" s="48"/>
      <c r="J541" s="48"/>
      <c r="K541" s="48"/>
      <c r="L541" s="48"/>
      <c r="M541" s="53"/>
      <c r="N541" s="54"/>
      <c r="O541" s="48"/>
      <c r="P541" s="48"/>
      <c r="Q541" s="48"/>
      <c r="R541" s="48"/>
      <c r="S541" s="48"/>
      <c r="T541" s="48"/>
      <c r="U541" s="48"/>
      <c r="V541" s="48"/>
      <c r="W541" s="55"/>
      <c r="X541" s="55"/>
      <c r="Y541" s="55"/>
      <c r="Z541" s="55"/>
      <c r="AA541" s="55"/>
      <c r="AB541" s="55"/>
    </row>
    <row r="542" spans="1:28" ht="15" customHeight="1">
      <c r="A542" s="48"/>
      <c r="B542" s="48"/>
      <c r="C542" s="48"/>
      <c r="D542" s="79"/>
      <c r="E542" s="80"/>
      <c r="F542" s="227"/>
      <c r="G542" s="48"/>
      <c r="H542" s="49"/>
      <c r="I542" s="48"/>
      <c r="J542" s="48"/>
      <c r="K542" s="48"/>
      <c r="L542" s="48"/>
      <c r="M542" s="53"/>
      <c r="N542" s="54"/>
      <c r="O542" s="48"/>
      <c r="P542" s="48"/>
      <c r="Q542" s="48"/>
      <c r="R542" s="48"/>
      <c r="S542" s="48"/>
      <c r="T542" s="48"/>
      <c r="U542" s="48"/>
      <c r="V542" s="48"/>
      <c r="W542" s="55"/>
      <c r="X542" s="55"/>
      <c r="Y542" s="55"/>
      <c r="Z542" s="55"/>
      <c r="AA542" s="55"/>
      <c r="AB542" s="55"/>
    </row>
    <row r="543" spans="1:28" ht="15" customHeight="1">
      <c r="A543" s="48"/>
      <c r="B543" s="48"/>
      <c r="C543" s="48"/>
      <c r="D543" s="79"/>
      <c r="E543" s="80"/>
      <c r="F543" s="227"/>
      <c r="G543" s="48"/>
      <c r="H543" s="49"/>
      <c r="I543" s="48"/>
      <c r="J543" s="48"/>
      <c r="K543" s="48"/>
      <c r="L543" s="48"/>
      <c r="M543" s="53"/>
      <c r="N543" s="54"/>
      <c r="O543" s="48"/>
      <c r="P543" s="48"/>
      <c r="Q543" s="48"/>
      <c r="R543" s="48"/>
      <c r="S543" s="48"/>
      <c r="T543" s="48"/>
      <c r="U543" s="48"/>
      <c r="V543" s="48"/>
      <c r="W543" s="55"/>
      <c r="X543" s="55"/>
      <c r="Y543" s="55"/>
      <c r="Z543" s="55"/>
      <c r="AA543" s="55"/>
      <c r="AB543" s="55"/>
    </row>
    <row r="544" spans="1:28" ht="15" customHeight="1">
      <c r="A544" s="48"/>
      <c r="B544" s="48"/>
      <c r="C544" s="48"/>
      <c r="D544" s="79"/>
      <c r="E544" s="80"/>
      <c r="F544" s="227"/>
      <c r="G544" s="48"/>
      <c r="H544" s="49"/>
      <c r="I544" s="48"/>
      <c r="J544" s="48"/>
      <c r="K544" s="48"/>
      <c r="L544" s="48"/>
      <c r="M544" s="53"/>
      <c r="N544" s="54"/>
      <c r="O544" s="48"/>
      <c r="P544" s="48"/>
      <c r="Q544" s="48"/>
      <c r="R544" s="48"/>
      <c r="S544" s="48"/>
      <c r="T544" s="48"/>
      <c r="U544" s="48"/>
      <c r="V544" s="48"/>
      <c r="W544" s="55"/>
      <c r="X544" s="55"/>
      <c r="Y544" s="55"/>
      <c r="Z544" s="55"/>
      <c r="AA544" s="55"/>
      <c r="AB544" s="55"/>
    </row>
    <row r="545" spans="1:28" ht="15" customHeight="1">
      <c r="A545" s="48"/>
      <c r="B545" s="48"/>
      <c r="C545" s="48"/>
      <c r="D545" s="79"/>
      <c r="E545" s="80"/>
      <c r="F545" s="227"/>
      <c r="G545" s="48"/>
      <c r="H545" s="49"/>
      <c r="I545" s="48"/>
      <c r="J545" s="48"/>
      <c r="K545" s="48"/>
      <c r="L545" s="48"/>
      <c r="M545" s="53"/>
      <c r="N545" s="54"/>
      <c r="O545" s="48"/>
      <c r="P545" s="48"/>
      <c r="Q545" s="48"/>
      <c r="R545" s="48"/>
      <c r="S545" s="48"/>
      <c r="T545" s="48"/>
      <c r="U545" s="48"/>
      <c r="V545" s="48"/>
      <c r="W545" s="55"/>
      <c r="X545" s="55"/>
      <c r="Y545" s="55"/>
      <c r="Z545" s="55"/>
      <c r="AA545" s="55"/>
      <c r="AB545" s="55"/>
    </row>
    <row r="546" spans="1:28" ht="15" customHeight="1">
      <c r="A546" s="48"/>
      <c r="B546" s="48"/>
      <c r="C546" s="48"/>
      <c r="D546" s="79"/>
      <c r="E546" s="80"/>
      <c r="F546" s="227"/>
      <c r="G546" s="48"/>
      <c r="H546" s="49"/>
      <c r="I546" s="48"/>
      <c r="J546" s="48"/>
      <c r="K546" s="48"/>
      <c r="L546" s="48"/>
      <c r="M546" s="53"/>
      <c r="N546" s="54"/>
      <c r="O546" s="48"/>
      <c r="P546" s="48"/>
      <c r="Q546" s="48"/>
      <c r="R546" s="48"/>
      <c r="S546" s="48"/>
      <c r="T546" s="48"/>
      <c r="U546" s="48"/>
      <c r="V546" s="48"/>
      <c r="W546" s="55"/>
      <c r="X546" s="55"/>
      <c r="Y546" s="55"/>
      <c r="Z546" s="55"/>
      <c r="AA546" s="55"/>
      <c r="AB546" s="55"/>
    </row>
    <row r="547" spans="1:28" ht="15" customHeight="1">
      <c r="A547" s="48"/>
      <c r="B547" s="48"/>
      <c r="C547" s="48"/>
      <c r="D547" s="79"/>
      <c r="E547" s="80"/>
      <c r="F547" s="227"/>
      <c r="G547" s="48"/>
      <c r="H547" s="49"/>
      <c r="I547" s="48"/>
      <c r="J547" s="48"/>
      <c r="K547" s="48"/>
      <c r="L547" s="48"/>
      <c r="M547" s="53"/>
      <c r="N547" s="54"/>
      <c r="O547" s="48"/>
      <c r="P547" s="48"/>
      <c r="Q547" s="48"/>
      <c r="R547" s="48"/>
      <c r="S547" s="48"/>
      <c r="T547" s="48"/>
      <c r="U547" s="48"/>
      <c r="V547" s="48"/>
      <c r="W547" s="55"/>
      <c r="X547" s="55"/>
      <c r="Y547" s="55"/>
      <c r="Z547" s="55"/>
      <c r="AA547" s="55"/>
      <c r="AB547" s="55"/>
    </row>
    <row r="548" spans="1:28" ht="15" customHeight="1">
      <c r="A548" s="48"/>
      <c r="B548" s="48"/>
      <c r="C548" s="48"/>
      <c r="D548" s="79"/>
      <c r="E548" s="80"/>
      <c r="F548" s="227"/>
      <c r="G548" s="48"/>
      <c r="H548" s="49"/>
      <c r="I548" s="48"/>
      <c r="J548" s="48"/>
      <c r="K548" s="48"/>
      <c r="L548" s="48"/>
      <c r="M548" s="53"/>
      <c r="N548" s="54"/>
      <c r="O548" s="48"/>
      <c r="P548" s="48"/>
      <c r="Q548" s="48"/>
      <c r="R548" s="48"/>
      <c r="S548" s="48"/>
      <c r="T548" s="48"/>
      <c r="U548" s="48"/>
      <c r="V548" s="48"/>
      <c r="W548" s="55"/>
      <c r="X548" s="55"/>
      <c r="Y548" s="55"/>
      <c r="Z548" s="55"/>
      <c r="AA548" s="55"/>
      <c r="AB548" s="55"/>
    </row>
    <row r="549" spans="1:28" ht="15" customHeight="1">
      <c r="A549" s="48"/>
      <c r="B549" s="48"/>
      <c r="C549" s="48"/>
      <c r="D549" s="79"/>
      <c r="E549" s="80"/>
      <c r="F549" s="227"/>
      <c r="G549" s="48"/>
      <c r="H549" s="49"/>
      <c r="I549" s="48"/>
      <c r="J549" s="48"/>
      <c r="K549" s="48"/>
      <c r="L549" s="48"/>
      <c r="M549" s="53"/>
      <c r="N549" s="54"/>
      <c r="O549" s="48"/>
      <c r="P549" s="48"/>
      <c r="Q549" s="48"/>
      <c r="R549" s="48"/>
      <c r="S549" s="48"/>
      <c r="T549" s="48"/>
      <c r="U549" s="48"/>
      <c r="V549" s="48"/>
      <c r="W549" s="55"/>
      <c r="X549" s="55"/>
      <c r="Y549" s="55"/>
      <c r="Z549" s="55"/>
      <c r="AA549" s="55"/>
      <c r="AB549" s="55"/>
    </row>
    <row r="550" spans="1:28" ht="15" customHeight="1">
      <c r="A550" s="48"/>
      <c r="B550" s="48"/>
      <c r="C550" s="48"/>
      <c r="D550" s="79"/>
      <c r="E550" s="80"/>
      <c r="F550" s="227"/>
      <c r="G550" s="48"/>
      <c r="H550" s="49"/>
      <c r="I550" s="48"/>
      <c r="J550" s="48"/>
      <c r="K550" s="48"/>
      <c r="L550" s="48"/>
      <c r="M550" s="53"/>
      <c r="N550" s="54"/>
      <c r="O550" s="48"/>
      <c r="P550" s="48"/>
      <c r="Q550" s="48"/>
      <c r="R550" s="48"/>
      <c r="S550" s="48"/>
      <c r="T550" s="48"/>
      <c r="U550" s="48"/>
      <c r="V550" s="48"/>
      <c r="W550" s="55"/>
      <c r="X550" s="55"/>
      <c r="Y550" s="55"/>
      <c r="Z550" s="55"/>
      <c r="AA550" s="55"/>
      <c r="AB550" s="55"/>
    </row>
    <row r="551" spans="1:28" ht="15" customHeight="1">
      <c r="A551" s="48"/>
      <c r="B551" s="48"/>
      <c r="C551" s="48"/>
      <c r="D551" s="79"/>
      <c r="E551" s="80"/>
      <c r="F551" s="227"/>
      <c r="G551" s="48"/>
      <c r="H551" s="49"/>
      <c r="I551" s="48"/>
      <c r="J551" s="48"/>
      <c r="K551" s="48"/>
      <c r="L551" s="48"/>
      <c r="M551" s="53"/>
      <c r="N551" s="54"/>
      <c r="O551" s="48"/>
      <c r="P551" s="48"/>
      <c r="Q551" s="48"/>
      <c r="R551" s="48"/>
      <c r="S551" s="48"/>
      <c r="T551" s="48"/>
      <c r="U551" s="48"/>
      <c r="V551" s="48"/>
      <c r="W551" s="55"/>
      <c r="X551" s="55"/>
      <c r="Y551" s="55"/>
      <c r="Z551" s="55"/>
      <c r="AA551" s="55"/>
      <c r="AB551" s="55"/>
    </row>
    <row r="552" spans="1:28" ht="15" customHeight="1">
      <c r="A552" s="48"/>
      <c r="B552" s="48"/>
      <c r="C552" s="48"/>
      <c r="D552" s="79"/>
      <c r="E552" s="80"/>
      <c r="F552" s="227"/>
      <c r="G552" s="48"/>
      <c r="H552" s="49"/>
      <c r="I552" s="48"/>
      <c r="J552" s="48"/>
      <c r="K552" s="48"/>
      <c r="L552" s="48"/>
      <c r="M552" s="53"/>
      <c r="N552" s="54"/>
      <c r="O552" s="48"/>
      <c r="P552" s="48"/>
      <c r="Q552" s="48"/>
      <c r="R552" s="48"/>
      <c r="S552" s="48"/>
      <c r="T552" s="48"/>
      <c r="U552" s="48"/>
      <c r="V552" s="48"/>
      <c r="W552" s="55"/>
      <c r="X552" s="55"/>
      <c r="Y552" s="55"/>
      <c r="Z552" s="55"/>
      <c r="AA552" s="55"/>
      <c r="AB552" s="55"/>
    </row>
    <row r="553" spans="1:28" ht="15" customHeight="1">
      <c r="A553" s="48"/>
      <c r="B553" s="48"/>
      <c r="C553" s="48"/>
      <c r="D553" s="79"/>
      <c r="E553" s="80"/>
      <c r="F553" s="227"/>
      <c r="G553" s="48"/>
      <c r="H553" s="49"/>
      <c r="I553" s="48"/>
      <c r="J553" s="48"/>
      <c r="K553" s="48"/>
      <c r="L553" s="48"/>
      <c r="M553" s="53"/>
      <c r="N553" s="54"/>
      <c r="O553" s="48"/>
      <c r="P553" s="48"/>
      <c r="Q553" s="48"/>
      <c r="R553" s="48"/>
      <c r="S553" s="48"/>
      <c r="T553" s="48"/>
      <c r="U553" s="48"/>
      <c r="V553" s="48"/>
      <c r="W553" s="55"/>
      <c r="X553" s="55"/>
      <c r="Y553" s="55"/>
      <c r="Z553" s="55"/>
      <c r="AA553" s="55"/>
      <c r="AB553" s="55"/>
    </row>
    <row r="554" spans="1:28" ht="15" customHeight="1">
      <c r="A554" s="48"/>
      <c r="B554" s="48"/>
      <c r="C554" s="48"/>
      <c r="D554" s="79"/>
      <c r="E554" s="80"/>
      <c r="F554" s="227"/>
      <c r="G554" s="48"/>
      <c r="H554" s="49"/>
      <c r="I554" s="48"/>
      <c r="J554" s="48"/>
      <c r="K554" s="48"/>
      <c r="L554" s="48"/>
      <c r="M554" s="53"/>
      <c r="N554" s="54"/>
      <c r="O554" s="48"/>
      <c r="P554" s="48"/>
      <c r="Q554" s="48"/>
      <c r="R554" s="48"/>
      <c r="S554" s="48"/>
      <c r="T554" s="48"/>
      <c r="U554" s="48"/>
      <c r="V554" s="48"/>
      <c r="W554" s="55"/>
      <c r="X554" s="55"/>
      <c r="Y554" s="55"/>
      <c r="Z554" s="55"/>
      <c r="AA554" s="55"/>
      <c r="AB554" s="55"/>
    </row>
    <row r="555" spans="1:28" ht="15" customHeight="1">
      <c r="A555" s="48"/>
      <c r="B555" s="48"/>
      <c r="C555" s="48"/>
      <c r="D555" s="79"/>
      <c r="E555" s="80"/>
      <c r="F555" s="227"/>
      <c r="G555" s="48"/>
      <c r="H555" s="49"/>
      <c r="I555" s="48"/>
      <c r="J555" s="48"/>
      <c r="K555" s="48"/>
      <c r="L555" s="48"/>
      <c r="M555" s="53"/>
      <c r="N555" s="54"/>
      <c r="O555" s="48"/>
      <c r="P555" s="48"/>
      <c r="Q555" s="48"/>
      <c r="R555" s="48"/>
      <c r="S555" s="48"/>
      <c r="T555" s="48"/>
      <c r="U555" s="48"/>
      <c r="V555" s="48"/>
      <c r="W555" s="55"/>
      <c r="X555" s="55"/>
      <c r="Y555" s="55"/>
      <c r="Z555" s="55"/>
      <c r="AA555" s="55"/>
      <c r="AB555" s="55"/>
    </row>
    <row r="556" spans="1:28" ht="15" customHeight="1">
      <c r="A556" s="48"/>
      <c r="B556" s="48"/>
      <c r="C556" s="48"/>
      <c r="D556" s="79"/>
      <c r="E556" s="80"/>
      <c r="F556" s="227"/>
      <c r="G556" s="48"/>
      <c r="H556" s="49"/>
      <c r="I556" s="48"/>
      <c r="J556" s="48"/>
      <c r="K556" s="48"/>
      <c r="L556" s="48"/>
      <c r="M556" s="53"/>
      <c r="N556" s="54"/>
      <c r="O556" s="48"/>
      <c r="P556" s="48"/>
      <c r="Q556" s="48"/>
      <c r="R556" s="48"/>
      <c r="S556" s="48"/>
      <c r="T556" s="48"/>
      <c r="U556" s="48"/>
      <c r="V556" s="48"/>
      <c r="W556" s="55"/>
      <c r="X556" s="55"/>
      <c r="Y556" s="55"/>
      <c r="Z556" s="55"/>
      <c r="AA556" s="55"/>
      <c r="AB556" s="55"/>
    </row>
    <row r="557" spans="1:28" ht="15" customHeight="1">
      <c r="A557" s="48"/>
      <c r="B557" s="48"/>
      <c r="C557" s="48"/>
      <c r="D557" s="79"/>
      <c r="E557" s="80"/>
      <c r="F557" s="227"/>
      <c r="G557" s="48"/>
      <c r="H557" s="49"/>
      <c r="I557" s="48"/>
      <c r="J557" s="48"/>
      <c r="K557" s="48"/>
      <c r="L557" s="48"/>
      <c r="M557" s="53"/>
      <c r="N557" s="54"/>
      <c r="O557" s="48"/>
      <c r="P557" s="48"/>
      <c r="Q557" s="48"/>
      <c r="R557" s="48"/>
      <c r="S557" s="48"/>
      <c r="T557" s="48"/>
      <c r="U557" s="48"/>
      <c r="V557" s="48"/>
      <c r="W557" s="55"/>
      <c r="X557" s="55"/>
      <c r="Y557" s="55"/>
      <c r="Z557" s="55"/>
      <c r="AA557" s="55"/>
      <c r="AB557" s="55"/>
    </row>
    <row r="558" spans="1:28" ht="15" customHeight="1">
      <c r="A558" s="48"/>
      <c r="B558" s="48"/>
      <c r="C558" s="48"/>
      <c r="D558" s="79"/>
      <c r="E558" s="80"/>
      <c r="F558" s="227"/>
      <c r="G558" s="48"/>
      <c r="H558" s="49"/>
      <c r="I558" s="48"/>
      <c r="J558" s="48"/>
      <c r="K558" s="48"/>
      <c r="L558" s="48"/>
      <c r="M558" s="53"/>
      <c r="N558" s="54"/>
      <c r="O558" s="48"/>
      <c r="P558" s="48"/>
      <c r="Q558" s="48"/>
      <c r="R558" s="48"/>
      <c r="S558" s="48"/>
      <c r="T558" s="48"/>
      <c r="U558" s="48"/>
      <c r="V558" s="48"/>
      <c r="W558" s="55"/>
      <c r="X558" s="55"/>
      <c r="Y558" s="55"/>
      <c r="Z558" s="55"/>
      <c r="AA558" s="55"/>
      <c r="AB558" s="55"/>
    </row>
    <row r="559" spans="1:28" ht="15" customHeight="1">
      <c r="A559" s="48"/>
      <c r="B559" s="48"/>
      <c r="C559" s="48"/>
      <c r="D559" s="79"/>
      <c r="E559" s="80"/>
      <c r="F559" s="227"/>
      <c r="G559" s="48"/>
      <c r="H559" s="49"/>
      <c r="I559" s="48"/>
      <c r="J559" s="48"/>
      <c r="K559" s="48"/>
      <c r="L559" s="48"/>
      <c r="M559" s="53"/>
      <c r="N559" s="54"/>
      <c r="O559" s="48"/>
      <c r="P559" s="48"/>
      <c r="Q559" s="48"/>
      <c r="R559" s="48"/>
      <c r="S559" s="48"/>
      <c r="T559" s="48"/>
      <c r="U559" s="48"/>
      <c r="V559" s="48"/>
      <c r="W559" s="55"/>
      <c r="X559" s="55"/>
      <c r="Y559" s="55"/>
      <c r="Z559" s="55"/>
      <c r="AA559" s="55"/>
      <c r="AB559" s="55"/>
    </row>
    <row r="560" spans="1:28" ht="15" customHeight="1">
      <c r="A560" s="48"/>
      <c r="B560" s="48"/>
      <c r="C560" s="48"/>
      <c r="D560" s="79"/>
      <c r="E560" s="80"/>
      <c r="F560" s="227"/>
      <c r="G560" s="48"/>
      <c r="H560" s="49"/>
      <c r="I560" s="48"/>
      <c r="J560" s="48"/>
      <c r="K560" s="48"/>
      <c r="L560" s="48"/>
      <c r="M560" s="53"/>
      <c r="N560" s="54"/>
      <c r="O560" s="48"/>
      <c r="P560" s="48"/>
      <c r="Q560" s="48"/>
      <c r="R560" s="48"/>
      <c r="S560" s="48"/>
      <c r="T560" s="48"/>
      <c r="U560" s="48"/>
      <c r="V560" s="48"/>
      <c r="W560" s="55"/>
      <c r="X560" s="55"/>
      <c r="Y560" s="55"/>
      <c r="Z560" s="55"/>
      <c r="AA560" s="55"/>
      <c r="AB560" s="55"/>
    </row>
    <row r="561" spans="1:28" ht="15" customHeight="1">
      <c r="A561" s="48"/>
      <c r="B561" s="48"/>
      <c r="C561" s="48"/>
      <c r="D561" s="79"/>
      <c r="E561" s="80"/>
      <c r="F561" s="227"/>
      <c r="G561" s="48"/>
      <c r="H561" s="49"/>
      <c r="I561" s="48"/>
      <c r="J561" s="48"/>
      <c r="K561" s="48"/>
      <c r="L561" s="48"/>
      <c r="M561" s="53"/>
      <c r="N561" s="54"/>
      <c r="O561" s="48"/>
      <c r="P561" s="48"/>
      <c r="Q561" s="48"/>
      <c r="R561" s="48"/>
      <c r="S561" s="48"/>
      <c r="T561" s="48"/>
      <c r="U561" s="48"/>
      <c r="V561" s="48"/>
      <c r="W561" s="55"/>
      <c r="X561" s="55"/>
      <c r="Y561" s="55"/>
      <c r="Z561" s="55"/>
      <c r="AA561" s="55"/>
      <c r="AB561" s="55"/>
    </row>
    <row r="562" spans="1:28" ht="15" customHeight="1">
      <c r="A562" s="48"/>
      <c r="B562" s="48"/>
      <c r="C562" s="48"/>
      <c r="D562" s="79"/>
      <c r="E562" s="80"/>
      <c r="F562" s="227"/>
      <c r="G562" s="48"/>
      <c r="H562" s="49"/>
      <c r="I562" s="48"/>
      <c r="J562" s="48"/>
      <c r="K562" s="48"/>
      <c r="L562" s="48"/>
      <c r="M562" s="53"/>
      <c r="N562" s="54"/>
      <c r="O562" s="48"/>
      <c r="P562" s="48"/>
      <c r="Q562" s="48"/>
      <c r="R562" s="48"/>
      <c r="S562" s="48"/>
      <c r="T562" s="48"/>
      <c r="U562" s="48"/>
      <c r="V562" s="48"/>
      <c r="W562" s="55"/>
      <c r="X562" s="55"/>
      <c r="Y562" s="55"/>
      <c r="Z562" s="55"/>
      <c r="AA562" s="55"/>
      <c r="AB562" s="55"/>
    </row>
    <row r="563" spans="1:28" ht="15" customHeight="1">
      <c r="A563" s="48"/>
      <c r="B563" s="48"/>
      <c r="C563" s="48"/>
      <c r="D563" s="79"/>
      <c r="E563" s="80"/>
      <c r="F563" s="227"/>
      <c r="G563" s="48"/>
      <c r="H563" s="49"/>
      <c r="I563" s="48"/>
      <c r="J563" s="48"/>
      <c r="K563" s="48"/>
      <c r="L563" s="48"/>
      <c r="M563" s="53"/>
      <c r="N563" s="54"/>
      <c r="O563" s="48"/>
      <c r="P563" s="48"/>
      <c r="Q563" s="48"/>
      <c r="R563" s="48"/>
      <c r="S563" s="48"/>
      <c r="T563" s="48"/>
      <c r="U563" s="48"/>
      <c r="V563" s="48"/>
      <c r="W563" s="55"/>
      <c r="X563" s="55"/>
      <c r="Y563" s="55"/>
      <c r="Z563" s="55"/>
      <c r="AA563" s="55"/>
      <c r="AB563" s="55"/>
    </row>
    <row r="564" spans="1:28" ht="15" customHeight="1">
      <c r="A564" s="48"/>
      <c r="B564" s="48"/>
      <c r="C564" s="48"/>
      <c r="D564" s="79"/>
      <c r="E564" s="80"/>
      <c r="F564" s="227"/>
      <c r="G564" s="48"/>
      <c r="H564" s="49"/>
      <c r="I564" s="48"/>
      <c r="J564" s="48"/>
      <c r="K564" s="48"/>
      <c r="L564" s="48"/>
      <c r="M564" s="53"/>
      <c r="N564" s="54"/>
      <c r="O564" s="48"/>
      <c r="P564" s="48"/>
      <c r="Q564" s="48"/>
      <c r="R564" s="48"/>
      <c r="S564" s="48"/>
      <c r="T564" s="48"/>
      <c r="U564" s="48"/>
      <c r="V564" s="48"/>
      <c r="W564" s="55"/>
      <c r="X564" s="55"/>
      <c r="Y564" s="55"/>
      <c r="Z564" s="55"/>
      <c r="AA564" s="55"/>
      <c r="AB564" s="55"/>
    </row>
    <row r="565" spans="1:28" ht="15" customHeight="1">
      <c r="A565" s="48"/>
      <c r="B565" s="48"/>
      <c r="C565" s="48"/>
      <c r="D565" s="79"/>
      <c r="E565" s="80"/>
      <c r="F565" s="227"/>
      <c r="G565" s="48"/>
      <c r="H565" s="49"/>
      <c r="I565" s="48"/>
      <c r="J565" s="48"/>
      <c r="K565" s="48"/>
      <c r="L565" s="48"/>
      <c r="M565" s="53"/>
      <c r="N565" s="54"/>
      <c r="O565" s="48"/>
      <c r="P565" s="48"/>
      <c r="Q565" s="48"/>
      <c r="R565" s="48"/>
      <c r="S565" s="48"/>
      <c r="T565" s="48"/>
      <c r="U565" s="48"/>
      <c r="V565" s="48"/>
      <c r="W565" s="55"/>
      <c r="X565" s="55"/>
      <c r="Y565" s="55"/>
      <c r="Z565" s="55"/>
      <c r="AA565" s="55"/>
      <c r="AB565" s="55"/>
    </row>
    <row r="566" spans="1:28" ht="15" customHeight="1">
      <c r="A566" s="48"/>
      <c r="B566" s="48"/>
      <c r="C566" s="48"/>
      <c r="D566" s="79"/>
      <c r="E566" s="80"/>
      <c r="F566" s="227"/>
      <c r="G566" s="48"/>
      <c r="H566" s="49"/>
      <c r="I566" s="48"/>
      <c r="J566" s="48"/>
      <c r="K566" s="48"/>
      <c r="L566" s="48"/>
      <c r="M566" s="53"/>
      <c r="N566" s="54"/>
      <c r="O566" s="48"/>
      <c r="P566" s="48"/>
      <c r="Q566" s="48"/>
      <c r="R566" s="48"/>
      <c r="S566" s="48"/>
      <c r="T566" s="48"/>
      <c r="U566" s="48"/>
      <c r="V566" s="48"/>
      <c r="W566" s="55"/>
      <c r="X566" s="55"/>
      <c r="Y566" s="55"/>
      <c r="Z566" s="55"/>
      <c r="AA566" s="55"/>
      <c r="AB566" s="55"/>
    </row>
    <row r="567" spans="1:28" ht="15" customHeight="1">
      <c r="A567" s="48"/>
      <c r="B567" s="48"/>
      <c r="C567" s="48"/>
      <c r="D567" s="79"/>
      <c r="E567" s="80"/>
      <c r="F567" s="227"/>
      <c r="G567" s="48"/>
      <c r="H567" s="49"/>
      <c r="I567" s="48"/>
      <c r="J567" s="48"/>
      <c r="K567" s="48"/>
      <c r="L567" s="48"/>
      <c r="M567" s="53"/>
      <c r="N567" s="54"/>
      <c r="O567" s="48"/>
      <c r="P567" s="48"/>
      <c r="Q567" s="48"/>
      <c r="R567" s="48"/>
      <c r="S567" s="48"/>
      <c r="T567" s="48"/>
      <c r="U567" s="48"/>
      <c r="V567" s="48"/>
      <c r="W567" s="55"/>
      <c r="X567" s="55"/>
      <c r="Y567" s="55"/>
      <c r="Z567" s="55"/>
      <c r="AA567" s="55"/>
      <c r="AB567" s="55"/>
    </row>
    <row r="568" spans="1:28" ht="15" customHeight="1">
      <c r="A568" s="48"/>
      <c r="B568" s="48"/>
      <c r="C568" s="48"/>
      <c r="D568" s="79"/>
      <c r="E568" s="80"/>
      <c r="F568" s="227"/>
      <c r="G568" s="48"/>
      <c r="H568" s="49"/>
      <c r="I568" s="48"/>
      <c r="J568" s="48"/>
      <c r="K568" s="48"/>
      <c r="L568" s="48"/>
      <c r="M568" s="53"/>
      <c r="N568" s="54"/>
      <c r="O568" s="48"/>
      <c r="P568" s="48"/>
      <c r="Q568" s="48"/>
      <c r="R568" s="48"/>
      <c r="S568" s="48"/>
      <c r="T568" s="48"/>
      <c r="U568" s="48"/>
      <c r="V568" s="48"/>
      <c r="W568" s="55"/>
      <c r="X568" s="55"/>
      <c r="Y568" s="55"/>
      <c r="Z568" s="55"/>
      <c r="AA568" s="55"/>
      <c r="AB568" s="55"/>
    </row>
    <row r="569" spans="1:28" ht="15" customHeight="1">
      <c r="A569" s="48"/>
      <c r="B569" s="48"/>
      <c r="C569" s="48"/>
      <c r="D569" s="79"/>
      <c r="E569" s="80"/>
      <c r="F569" s="227"/>
      <c r="G569" s="48"/>
      <c r="H569" s="49"/>
      <c r="I569" s="48"/>
      <c r="J569" s="48"/>
      <c r="K569" s="48"/>
      <c r="L569" s="48"/>
      <c r="M569" s="53"/>
      <c r="N569" s="54"/>
      <c r="O569" s="48"/>
      <c r="P569" s="48"/>
      <c r="Q569" s="48"/>
      <c r="R569" s="48"/>
      <c r="S569" s="48"/>
      <c r="T569" s="48"/>
      <c r="U569" s="48"/>
      <c r="V569" s="48"/>
      <c r="W569" s="55"/>
      <c r="X569" s="55"/>
      <c r="Y569" s="55"/>
      <c r="Z569" s="55"/>
      <c r="AA569" s="55"/>
      <c r="AB569" s="55"/>
    </row>
    <row r="570" spans="1:28" ht="15" customHeight="1">
      <c r="A570" s="48"/>
      <c r="B570" s="48"/>
      <c r="C570" s="48"/>
      <c r="D570" s="79"/>
      <c r="E570" s="80"/>
      <c r="F570" s="227"/>
      <c r="G570" s="48"/>
      <c r="H570" s="49"/>
      <c r="I570" s="48"/>
      <c r="J570" s="48"/>
      <c r="K570" s="48"/>
      <c r="L570" s="48"/>
      <c r="M570" s="53"/>
      <c r="N570" s="54"/>
      <c r="O570" s="48"/>
      <c r="P570" s="48"/>
      <c r="Q570" s="48"/>
      <c r="R570" s="48"/>
      <c r="S570" s="48"/>
      <c r="T570" s="48"/>
      <c r="U570" s="48"/>
      <c r="V570" s="48"/>
      <c r="W570" s="55"/>
      <c r="X570" s="55"/>
      <c r="Y570" s="55"/>
      <c r="Z570" s="55"/>
      <c r="AA570" s="55"/>
      <c r="AB570" s="55"/>
    </row>
    <row r="571" spans="1:28" ht="15" customHeight="1">
      <c r="A571" s="48"/>
      <c r="B571" s="48"/>
      <c r="C571" s="48"/>
      <c r="D571" s="79"/>
      <c r="E571" s="80"/>
      <c r="F571" s="227"/>
      <c r="G571" s="48"/>
      <c r="H571" s="49"/>
      <c r="I571" s="48"/>
      <c r="J571" s="48"/>
      <c r="K571" s="48"/>
      <c r="L571" s="48"/>
      <c r="M571" s="53"/>
      <c r="N571" s="54"/>
      <c r="O571" s="48"/>
      <c r="P571" s="48"/>
      <c r="Q571" s="48"/>
      <c r="R571" s="48"/>
      <c r="S571" s="48"/>
      <c r="T571" s="48"/>
      <c r="U571" s="48"/>
      <c r="V571" s="48"/>
      <c r="W571" s="55"/>
      <c r="X571" s="55"/>
      <c r="Y571" s="55"/>
      <c r="Z571" s="55"/>
      <c r="AA571" s="55"/>
      <c r="AB571" s="55"/>
    </row>
    <row r="572" spans="1:28" ht="15" customHeight="1">
      <c r="A572" s="48"/>
      <c r="B572" s="48"/>
      <c r="C572" s="48"/>
      <c r="D572" s="79"/>
      <c r="E572" s="80"/>
      <c r="F572" s="227"/>
      <c r="G572" s="48"/>
      <c r="H572" s="49"/>
      <c r="I572" s="48"/>
      <c r="J572" s="48"/>
      <c r="K572" s="48"/>
      <c r="L572" s="48"/>
      <c r="M572" s="53"/>
      <c r="N572" s="54"/>
      <c r="O572" s="48"/>
      <c r="P572" s="48"/>
      <c r="Q572" s="48"/>
      <c r="R572" s="48"/>
      <c r="S572" s="48"/>
      <c r="T572" s="48"/>
      <c r="U572" s="48"/>
      <c r="V572" s="48"/>
      <c r="W572" s="55"/>
      <c r="X572" s="55"/>
      <c r="Y572" s="55"/>
      <c r="Z572" s="55"/>
      <c r="AA572" s="55"/>
      <c r="AB572" s="55"/>
    </row>
    <row r="573" spans="1:28" ht="15" customHeight="1">
      <c r="A573" s="48"/>
      <c r="B573" s="48"/>
      <c r="C573" s="48"/>
      <c r="D573" s="79"/>
      <c r="E573" s="80"/>
      <c r="F573" s="227"/>
      <c r="G573" s="48"/>
      <c r="H573" s="49"/>
      <c r="I573" s="48"/>
      <c r="J573" s="48"/>
      <c r="K573" s="48"/>
      <c r="L573" s="48"/>
      <c r="M573" s="53"/>
      <c r="N573" s="54"/>
      <c r="O573" s="48"/>
      <c r="P573" s="48"/>
      <c r="Q573" s="48"/>
      <c r="R573" s="48"/>
      <c r="S573" s="48"/>
      <c r="T573" s="48"/>
      <c r="U573" s="48"/>
      <c r="V573" s="48"/>
      <c r="W573" s="55"/>
      <c r="X573" s="55"/>
      <c r="Y573" s="55"/>
      <c r="Z573" s="55"/>
      <c r="AA573" s="55"/>
      <c r="AB573" s="55"/>
    </row>
    <row r="574" spans="1:28" ht="15" customHeight="1">
      <c r="A574" s="48"/>
      <c r="B574" s="48"/>
      <c r="C574" s="48"/>
      <c r="D574" s="79"/>
      <c r="E574" s="80"/>
      <c r="F574" s="227"/>
      <c r="G574" s="48"/>
      <c r="H574" s="49"/>
      <c r="I574" s="48"/>
      <c r="J574" s="48"/>
      <c r="K574" s="48"/>
      <c r="L574" s="48"/>
      <c r="M574" s="53"/>
      <c r="N574" s="54"/>
      <c r="O574" s="48"/>
      <c r="P574" s="48"/>
      <c r="Q574" s="48"/>
      <c r="R574" s="48"/>
      <c r="S574" s="48"/>
      <c r="T574" s="48"/>
      <c r="U574" s="48"/>
      <c r="V574" s="48"/>
      <c r="W574" s="55"/>
      <c r="X574" s="55"/>
      <c r="Y574" s="55"/>
      <c r="Z574" s="55"/>
      <c r="AA574" s="55"/>
      <c r="AB574" s="55"/>
    </row>
    <row r="575" spans="1:28" ht="15" customHeight="1">
      <c r="A575" s="48"/>
      <c r="B575" s="48"/>
      <c r="C575" s="48"/>
      <c r="D575" s="79"/>
      <c r="E575" s="80"/>
      <c r="F575" s="227"/>
      <c r="G575" s="48"/>
      <c r="H575" s="49"/>
      <c r="I575" s="48"/>
      <c r="J575" s="48"/>
      <c r="K575" s="48"/>
      <c r="L575" s="48"/>
      <c r="M575" s="53"/>
      <c r="N575" s="54"/>
      <c r="O575" s="48"/>
      <c r="P575" s="48"/>
      <c r="Q575" s="48"/>
      <c r="R575" s="48"/>
      <c r="S575" s="48"/>
      <c r="T575" s="48"/>
      <c r="U575" s="48"/>
      <c r="V575" s="48"/>
      <c r="W575" s="55"/>
      <c r="X575" s="55"/>
      <c r="Y575" s="55"/>
      <c r="Z575" s="55"/>
      <c r="AA575" s="55"/>
      <c r="AB575" s="55"/>
    </row>
    <row r="576" spans="1:28" ht="15" customHeight="1">
      <c r="A576" s="48"/>
      <c r="B576" s="48"/>
      <c r="C576" s="48"/>
      <c r="D576" s="79"/>
      <c r="E576" s="80"/>
      <c r="F576" s="227"/>
      <c r="G576" s="48"/>
      <c r="H576" s="49"/>
      <c r="I576" s="48"/>
      <c r="J576" s="48"/>
      <c r="K576" s="48"/>
      <c r="L576" s="48"/>
      <c r="M576" s="53"/>
      <c r="N576" s="54"/>
      <c r="O576" s="48"/>
      <c r="P576" s="48"/>
      <c r="Q576" s="48"/>
      <c r="R576" s="48"/>
      <c r="S576" s="48"/>
      <c r="T576" s="48"/>
      <c r="U576" s="48"/>
      <c r="V576" s="48"/>
      <c r="W576" s="55"/>
      <c r="X576" s="55"/>
      <c r="Y576" s="55"/>
      <c r="Z576" s="55"/>
      <c r="AA576" s="55"/>
      <c r="AB576" s="55"/>
    </row>
    <row r="577" spans="1:28" ht="15" customHeight="1">
      <c r="A577" s="48"/>
      <c r="B577" s="48"/>
      <c r="C577" s="48"/>
      <c r="D577" s="79"/>
      <c r="E577" s="80"/>
      <c r="F577" s="227"/>
      <c r="G577" s="48"/>
      <c r="H577" s="49"/>
      <c r="I577" s="48"/>
      <c r="J577" s="48"/>
      <c r="K577" s="48"/>
      <c r="L577" s="48"/>
      <c r="M577" s="53"/>
      <c r="N577" s="54"/>
      <c r="O577" s="48"/>
      <c r="P577" s="48"/>
      <c r="Q577" s="48"/>
      <c r="R577" s="48"/>
      <c r="S577" s="48"/>
      <c r="T577" s="48"/>
      <c r="U577" s="48"/>
      <c r="V577" s="48"/>
      <c r="W577" s="55"/>
      <c r="X577" s="55"/>
      <c r="Y577" s="55"/>
      <c r="Z577" s="55"/>
      <c r="AA577" s="55"/>
      <c r="AB577" s="55"/>
    </row>
    <row r="578" spans="1:28" ht="15" customHeight="1">
      <c r="A578" s="48"/>
      <c r="B578" s="48"/>
      <c r="C578" s="48"/>
      <c r="D578" s="79"/>
      <c r="E578" s="80"/>
      <c r="F578" s="227"/>
      <c r="G578" s="48"/>
      <c r="H578" s="49"/>
      <c r="I578" s="48"/>
      <c r="J578" s="48"/>
      <c r="K578" s="48"/>
      <c r="L578" s="48"/>
      <c r="M578" s="53"/>
      <c r="N578" s="54"/>
      <c r="O578" s="48"/>
      <c r="P578" s="48"/>
      <c r="Q578" s="48"/>
      <c r="R578" s="48"/>
      <c r="S578" s="48"/>
      <c r="T578" s="48"/>
      <c r="U578" s="48"/>
      <c r="V578" s="48"/>
      <c r="W578" s="55"/>
      <c r="X578" s="55"/>
      <c r="Y578" s="55"/>
      <c r="Z578" s="55"/>
      <c r="AA578" s="55"/>
      <c r="AB578" s="55"/>
    </row>
    <row r="579" spans="1:28" ht="15" customHeight="1">
      <c r="A579" s="48"/>
      <c r="B579" s="48"/>
      <c r="C579" s="48"/>
      <c r="D579" s="79"/>
      <c r="E579" s="80"/>
      <c r="F579" s="227"/>
      <c r="G579" s="48"/>
      <c r="H579" s="49"/>
      <c r="I579" s="48"/>
      <c r="J579" s="48"/>
      <c r="K579" s="48"/>
      <c r="L579" s="48"/>
      <c r="M579" s="53"/>
      <c r="N579" s="54"/>
      <c r="O579" s="48"/>
      <c r="P579" s="48"/>
      <c r="Q579" s="48"/>
      <c r="R579" s="48"/>
      <c r="S579" s="48"/>
      <c r="T579" s="48"/>
      <c r="U579" s="48"/>
      <c r="V579" s="48"/>
      <c r="W579" s="55"/>
      <c r="X579" s="55"/>
      <c r="Y579" s="55"/>
      <c r="Z579" s="55"/>
      <c r="AA579" s="55"/>
      <c r="AB579" s="55"/>
    </row>
    <row r="580" spans="1:28" ht="15" customHeight="1">
      <c r="A580" s="48"/>
      <c r="B580" s="48"/>
      <c r="C580" s="48"/>
      <c r="D580" s="79"/>
      <c r="E580" s="80"/>
      <c r="F580" s="227"/>
      <c r="G580" s="48"/>
      <c r="H580" s="49"/>
      <c r="I580" s="48"/>
      <c r="J580" s="48"/>
      <c r="K580" s="48"/>
      <c r="L580" s="48"/>
      <c r="M580" s="53"/>
      <c r="N580" s="54"/>
      <c r="O580" s="48"/>
      <c r="P580" s="48"/>
      <c r="Q580" s="48"/>
      <c r="R580" s="48"/>
      <c r="S580" s="48"/>
      <c r="T580" s="48"/>
      <c r="U580" s="48"/>
      <c r="V580" s="48"/>
      <c r="W580" s="55"/>
      <c r="X580" s="55"/>
      <c r="Y580" s="55"/>
      <c r="Z580" s="55"/>
      <c r="AA580" s="55"/>
      <c r="AB580" s="55"/>
    </row>
    <row r="581" spans="1:28" ht="15" customHeight="1">
      <c r="A581" s="48"/>
      <c r="B581" s="48"/>
      <c r="C581" s="48"/>
      <c r="D581" s="79"/>
      <c r="E581" s="80"/>
      <c r="F581" s="227"/>
      <c r="G581" s="48"/>
      <c r="H581" s="49"/>
      <c r="I581" s="48"/>
      <c r="J581" s="48"/>
      <c r="K581" s="48"/>
      <c r="L581" s="48"/>
      <c r="M581" s="53"/>
      <c r="N581" s="54"/>
      <c r="O581" s="48"/>
      <c r="P581" s="48"/>
      <c r="Q581" s="48"/>
      <c r="R581" s="48"/>
      <c r="S581" s="48"/>
      <c r="T581" s="48"/>
      <c r="U581" s="48"/>
      <c r="V581" s="48"/>
      <c r="W581" s="55"/>
      <c r="X581" s="55"/>
      <c r="Y581" s="55"/>
      <c r="Z581" s="55"/>
      <c r="AA581" s="55"/>
      <c r="AB581" s="55"/>
    </row>
    <row r="582" spans="1:28" ht="15" customHeight="1">
      <c r="A582" s="48"/>
      <c r="B582" s="48"/>
      <c r="C582" s="48"/>
      <c r="D582" s="79"/>
      <c r="E582" s="80"/>
      <c r="F582" s="227"/>
      <c r="G582" s="48"/>
      <c r="H582" s="49"/>
      <c r="I582" s="48"/>
      <c r="J582" s="48"/>
      <c r="K582" s="48"/>
      <c r="L582" s="48"/>
      <c r="M582" s="53"/>
      <c r="N582" s="54"/>
      <c r="O582" s="48"/>
      <c r="P582" s="48"/>
      <c r="Q582" s="48"/>
      <c r="R582" s="48"/>
      <c r="S582" s="48"/>
      <c r="T582" s="48"/>
      <c r="U582" s="48"/>
      <c r="V582" s="48"/>
      <c r="W582" s="55"/>
      <c r="X582" s="55"/>
      <c r="Y582" s="55"/>
      <c r="Z582" s="55"/>
      <c r="AA582" s="55"/>
      <c r="AB582" s="55"/>
    </row>
    <row r="583" spans="1:28" ht="15" customHeight="1">
      <c r="A583" s="48"/>
      <c r="B583" s="48"/>
      <c r="C583" s="48"/>
      <c r="D583" s="79"/>
      <c r="E583" s="80"/>
      <c r="F583" s="227"/>
      <c r="G583" s="48"/>
      <c r="H583" s="49"/>
      <c r="I583" s="48"/>
      <c r="J583" s="48"/>
      <c r="K583" s="48"/>
      <c r="L583" s="48"/>
      <c r="M583" s="53"/>
      <c r="N583" s="54"/>
      <c r="O583" s="48"/>
      <c r="P583" s="48"/>
      <c r="Q583" s="48"/>
      <c r="R583" s="48"/>
      <c r="S583" s="48"/>
      <c r="T583" s="48"/>
      <c r="U583" s="48"/>
      <c r="V583" s="48"/>
      <c r="W583" s="55"/>
      <c r="X583" s="55"/>
      <c r="Y583" s="55"/>
      <c r="Z583" s="55"/>
      <c r="AA583" s="55"/>
      <c r="AB583" s="55"/>
    </row>
    <row r="584" spans="1:28" ht="15" customHeight="1">
      <c r="A584" s="48"/>
      <c r="B584" s="48"/>
      <c r="C584" s="48"/>
      <c r="D584" s="79"/>
      <c r="E584" s="80"/>
      <c r="F584" s="227"/>
      <c r="G584" s="48"/>
      <c r="H584" s="49"/>
      <c r="I584" s="48"/>
      <c r="J584" s="48"/>
      <c r="K584" s="48"/>
      <c r="L584" s="48"/>
      <c r="M584" s="53"/>
      <c r="N584" s="54"/>
      <c r="O584" s="48"/>
      <c r="P584" s="48"/>
      <c r="Q584" s="48"/>
      <c r="R584" s="48"/>
      <c r="S584" s="48"/>
      <c r="T584" s="48"/>
      <c r="U584" s="48"/>
      <c r="V584" s="48"/>
      <c r="W584" s="55"/>
      <c r="X584" s="55"/>
      <c r="Y584" s="55"/>
      <c r="Z584" s="55"/>
      <c r="AA584" s="55"/>
      <c r="AB584" s="55"/>
    </row>
    <row r="585" spans="1:28" ht="15" customHeight="1">
      <c r="A585" s="48"/>
      <c r="B585" s="48"/>
      <c r="C585" s="48"/>
      <c r="D585" s="79"/>
      <c r="E585" s="80"/>
      <c r="F585" s="227"/>
      <c r="G585" s="48"/>
      <c r="H585" s="49"/>
      <c r="I585" s="48"/>
      <c r="J585" s="48"/>
      <c r="K585" s="48"/>
      <c r="L585" s="48"/>
      <c r="M585" s="53"/>
      <c r="N585" s="54"/>
      <c r="O585" s="48"/>
      <c r="P585" s="48"/>
      <c r="Q585" s="48"/>
      <c r="R585" s="48"/>
      <c r="S585" s="48"/>
      <c r="T585" s="48"/>
      <c r="U585" s="48"/>
      <c r="V585" s="48"/>
      <c r="W585" s="55"/>
      <c r="X585" s="55"/>
      <c r="Y585" s="55"/>
      <c r="Z585" s="55"/>
      <c r="AA585" s="55"/>
      <c r="AB585" s="55"/>
    </row>
    <row r="586" spans="1:28" ht="15" customHeight="1">
      <c r="A586" s="48"/>
      <c r="B586" s="48"/>
      <c r="C586" s="48"/>
      <c r="D586" s="79"/>
      <c r="E586" s="80"/>
      <c r="F586" s="227"/>
      <c r="G586" s="48"/>
      <c r="H586" s="49"/>
      <c r="I586" s="48"/>
      <c r="J586" s="48"/>
      <c r="K586" s="48"/>
      <c r="L586" s="48"/>
      <c r="M586" s="53"/>
      <c r="N586" s="54"/>
      <c r="O586" s="48"/>
      <c r="P586" s="48"/>
      <c r="Q586" s="48"/>
      <c r="R586" s="48"/>
      <c r="S586" s="48"/>
      <c r="T586" s="48"/>
      <c r="U586" s="48"/>
      <c r="V586" s="48"/>
      <c r="W586" s="55"/>
      <c r="X586" s="55"/>
      <c r="Y586" s="55"/>
      <c r="Z586" s="55"/>
      <c r="AA586" s="55"/>
      <c r="AB586" s="55"/>
    </row>
    <row r="587" spans="1:28" ht="15" customHeight="1">
      <c r="A587" s="48"/>
      <c r="B587" s="48"/>
      <c r="C587" s="48"/>
      <c r="D587" s="79"/>
      <c r="E587" s="80"/>
      <c r="F587" s="227"/>
      <c r="G587" s="48"/>
      <c r="H587" s="49"/>
      <c r="I587" s="48"/>
      <c r="J587" s="48"/>
      <c r="K587" s="48"/>
      <c r="L587" s="48"/>
      <c r="M587" s="53"/>
      <c r="N587" s="54"/>
      <c r="O587" s="48"/>
      <c r="P587" s="48"/>
      <c r="Q587" s="48"/>
      <c r="R587" s="48"/>
      <c r="S587" s="48"/>
      <c r="T587" s="48"/>
      <c r="U587" s="48"/>
      <c r="V587" s="48"/>
      <c r="W587" s="55"/>
      <c r="X587" s="55"/>
      <c r="Y587" s="55"/>
      <c r="Z587" s="55"/>
      <c r="AA587" s="55"/>
      <c r="AB587" s="55"/>
    </row>
    <row r="588" spans="1:28" ht="15" customHeight="1">
      <c r="A588" s="48"/>
      <c r="B588" s="48"/>
      <c r="C588" s="48"/>
      <c r="D588" s="79"/>
      <c r="E588" s="80"/>
      <c r="F588" s="227"/>
      <c r="G588" s="48"/>
      <c r="H588" s="49"/>
      <c r="I588" s="48"/>
      <c r="J588" s="48"/>
      <c r="K588" s="48"/>
      <c r="L588" s="48"/>
      <c r="M588" s="53"/>
      <c r="N588" s="54"/>
      <c r="O588" s="48"/>
      <c r="P588" s="48"/>
      <c r="Q588" s="48"/>
      <c r="R588" s="48"/>
      <c r="S588" s="48"/>
      <c r="T588" s="48"/>
      <c r="U588" s="48"/>
      <c r="V588" s="48"/>
      <c r="W588" s="55"/>
      <c r="X588" s="55"/>
      <c r="Y588" s="55"/>
      <c r="Z588" s="55"/>
      <c r="AA588" s="55"/>
      <c r="AB588" s="55"/>
    </row>
    <row r="589" spans="1:28" ht="15" customHeight="1">
      <c r="A589" s="48"/>
      <c r="B589" s="48"/>
      <c r="C589" s="48"/>
      <c r="D589" s="79"/>
      <c r="E589" s="80"/>
      <c r="F589" s="227"/>
      <c r="G589" s="48"/>
      <c r="H589" s="49"/>
      <c r="I589" s="48"/>
      <c r="J589" s="48"/>
      <c r="K589" s="48"/>
      <c r="L589" s="48"/>
      <c r="M589" s="53"/>
      <c r="N589" s="54"/>
      <c r="O589" s="48"/>
      <c r="P589" s="48"/>
      <c r="Q589" s="48"/>
      <c r="R589" s="48"/>
      <c r="S589" s="48"/>
      <c r="T589" s="48"/>
      <c r="U589" s="48"/>
      <c r="V589" s="48"/>
      <c r="W589" s="55"/>
      <c r="X589" s="55"/>
      <c r="Y589" s="55"/>
      <c r="Z589" s="55"/>
      <c r="AA589" s="55"/>
      <c r="AB589" s="55"/>
    </row>
    <row r="590" spans="1:28" ht="15" customHeight="1">
      <c r="A590" s="48"/>
      <c r="B590" s="48"/>
      <c r="C590" s="48"/>
      <c r="D590" s="79"/>
      <c r="E590" s="80"/>
      <c r="F590" s="227"/>
      <c r="G590" s="48"/>
      <c r="H590" s="49"/>
      <c r="I590" s="48"/>
      <c r="J590" s="48"/>
      <c r="K590" s="48"/>
      <c r="L590" s="48"/>
      <c r="M590" s="53"/>
      <c r="N590" s="54"/>
      <c r="O590" s="48"/>
      <c r="P590" s="48"/>
      <c r="Q590" s="48"/>
      <c r="R590" s="48"/>
      <c r="S590" s="48"/>
      <c r="T590" s="48"/>
      <c r="U590" s="48"/>
      <c r="V590" s="48"/>
      <c r="W590" s="55"/>
      <c r="X590" s="55"/>
      <c r="Y590" s="55"/>
      <c r="Z590" s="55"/>
      <c r="AA590" s="55"/>
      <c r="AB590" s="55"/>
    </row>
    <row r="591" spans="1:28" ht="15" customHeight="1">
      <c r="A591" s="48"/>
      <c r="B591" s="48"/>
      <c r="C591" s="48"/>
      <c r="D591" s="79"/>
      <c r="E591" s="80"/>
      <c r="F591" s="227"/>
      <c r="G591" s="48"/>
      <c r="H591" s="49"/>
      <c r="I591" s="48"/>
      <c r="J591" s="48"/>
      <c r="K591" s="48"/>
      <c r="L591" s="48"/>
      <c r="M591" s="53"/>
      <c r="N591" s="54"/>
      <c r="O591" s="48"/>
      <c r="P591" s="48"/>
      <c r="Q591" s="48"/>
      <c r="R591" s="48"/>
      <c r="S591" s="48"/>
      <c r="T591" s="48"/>
      <c r="U591" s="48"/>
      <c r="V591" s="48"/>
      <c r="W591" s="55"/>
      <c r="X591" s="55"/>
      <c r="Y591" s="55"/>
      <c r="Z591" s="55"/>
      <c r="AA591" s="55"/>
      <c r="AB591" s="55"/>
    </row>
    <row r="592" spans="1:28" ht="15" customHeight="1">
      <c r="A592" s="48"/>
      <c r="B592" s="48"/>
      <c r="C592" s="48"/>
      <c r="D592" s="79"/>
      <c r="E592" s="80"/>
      <c r="F592" s="227"/>
      <c r="G592" s="48"/>
      <c r="H592" s="49"/>
      <c r="I592" s="48"/>
      <c r="J592" s="48"/>
      <c r="K592" s="48"/>
      <c r="L592" s="48"/>
      <c r="M592" s="53"/>
      <c r="N592" s="54"/>
      <c r="O592" s="48"/>
      <c r="P592" s="48"/>
      <c r="Q592" s="48"/>
      <c r="R592" s="48"/>
      <c r="S592" s="48"/>
      <c r="T592" s="48"/>
      <c r="U592" s="48"/>
      <c r="V592" s="48"/>
      <c r="W592" s="55"/>
      <c r="X592" s="55"/>
      <c r="Y592" s="55"/>
      <c r="Z592" s="55"/>
      <c r="AA592" s="55"/>
      <c r="AB592" s="55"/>
    </row>
    <row r="593" spans="1:28" ht="15" customHeight="1">
      <c r="A593" s="48"/>
      <c r="B593" s="48"/>
      <c r="C593" s="48"/>
      <c r="D593" s="79"/>
      <c r="E593" s="80"/>
      <c r="F593" s="227"/>
      <c r="G593" s="48"/>
      <c r="H593" s="49"/>
      <c r="I593" s="48"/>
      <c r="J593" s="48"/>
      <c r="K593" s="48"/>
      <c r="L593" s="48"/>
      <c r="M593" s="53"/>
      <c r="N593" s="54"/>
      <c r="O593" s="48"/>
      <c r="P593" s="48"/>
      <c r="Q593" s="48"/>
      <c r="R593" s="48"/>
      <c r="S593" s="48"/>
      <c r="T593" s="48"/>
      <c r="U593" s="48"/>
      <c r="V593" s="48"/>
      <c r="W593" s="55"/>
      <c r="X593" s="55"/>
      <c r="Y593" s="55"/>
      <c r="Z593" s="55"/>
      <c r="AA593" s="55"/>
      <c r="AB593" s="55"/>
    </row>
    <row r="594" spans="1:28" ht="15" customHeight="1">
      <c r="A594" s="48"/>
      <c r="B594" s="48"/>
      <c r="C594" s="48"/>
      <c r="D594" s="79"/>
      <c r="E594" s="80"/>
      <c r="F594" s="227"/>
      <c r="G594" s="48"/>
      <c r="H594" s="49"/>
      <c r="I594" s="48"/>
      <c r="J594" s="48"/>
      <c r="K594" s="48"/>
      <c r="L594" s="48"/>
      <c r="M594" s="53"/>
      <c r="N594" s="54"/>
      <c r="O594" s="48"/>
      <c r="P594" s="48"/>
      <c r="Q594" s="48"/>
      <c r="R594" s="48"/>
      <c r="S594" s="48"/>
      <c r="T594" s="48"/>
      <c r="U594" s="48"/>
      <c r="V594" s="48"/>
      <c r="W594" s="55"/>
      <c r="X594" s="55"/>
      <c r="Y594" s="55"/>
      <c r="Z594" s="55"/>
      <c r="AA594" s="55"/>
      <c r="AB594" s="55"/>
    </row>
    <row r="595" spans="1:28" ht="15" customHeight="1">
      <c r="A595" s="48"/>
      <c r="B595" s="48"/>
      <c r="C595" s="48"/>
      <c r="D595" s="79"/>
      <c r="E595" s="80"/>
      <c r="F595" s="227"/>
      <c r="G595" s="48"/>
      <c r="H595" s="49"/>
      <c r="I595" s="48"/>
      <c r="J595" s="48"/>
      <c r="K595" s="48"/>
      <c r="L595" s="48"/>
      <c r="M595" s="53"/>
      <c r="N595" s="54"/>
      <c r="O595" s="48"/>
      <c r="P595" s="48"/>
      <c r="Q595" s="48"/>
      <c r="R595" s="48"/>
      <c r="S595" s="48"/>
      <c r="T595" s="48"/>
      <c r="U595" s="48"/>
      <c r="V595" s="48"/>
      <c r="W595" s="55"/>
      <c r="X595" s="55"/>
      <c r="Y595" s="55"/>
      <c r="Z595" s="55"/>
      <c r="AA595" s="55"/>
      <c r="AB595" s="55"/>
    </row>
    <row r="596" spans="1:28" ht="15" customHeight="1">
      <c r="A596" s="48"/>
      <c r="B596" s="48"/>
      <c r="C596" s="48"/>
      <c r="D596" s="79"/>
      <c r="E596" s="80"/>
      <c r="F596" s="227"/>
      <c r="G596" s="48"/>
      <c r="H596" s="49"/>
      <c r="I596" s="48"/>
      <c r="J596" s="48"/>
      <c r="K596" s="48"/>
      <c r="L596" s="48"/>
      <c r="M596" s="53"/>
      <c r="N596" s="54"/>
      <c r="O596" s="48"/>
      <c r="P596" s="48"/>
      <c r="Q596" s="48"/>
      <c r="R596" s="48"/>
      <c r="S596" s="48"/>
      <c r="T596" s="48"/>
      <c r="U596" s="48"/>
      <c r="V596" s="48"/>
      <c r="W596" s="55"/>
      <c r="X596" s="55"/>
      <c r="Y596" s="55"/>
      <c r="Z596" s="55"/>
      <c r="AA596" s="55"/>
      <c r="AB596" s="55"/>
    </row>
    <row r="597" spans="1:28" ht="15" customHeight="1">
      <c r="A597" s="48"/>
      <c r="B597" s="48"/>
      <c r="C597" s="48"/>
      <c r="D597" s="79"/>
      <c r="E597" s="80"/>
      <c r="F597" s="227"/>
      <c r="G597" s="48"/>
      <c r="H597" s="49"/>
      <c r="I597" s="48"/>
      <c r="J597" s="48"/>
      <c r="K597" s="48"/>
      <c r="L597" s="48"/>
      <c r="M597" s="53"/>
      <c r="N597" s="54"/>
      <c r="O597" s="48"/>
      <c r="P597" s="48"/>
      <c r="Q597" s="48"/>
      <c r="R597" s="48"/>
      <c r="S597" s="48"/>
      <c r="T597" s="48"/>
      <c r="U597" s="48"/>
      <c r="V597" s="48"/>
      <c r="W597" s="55"/>
      <c r="X597" s="55"/>
      <c r="Y597" s="55"/>
      <c r="Z597" s="55"/>
      <c r="AA597" s="55"/>
      <c r="AB597" s="55"/>
    </row>
    <row r="598" spans="1:28" ht="15" customHeight="1">
      <c r="A598" s="48"/>
      <c r="B598" s="48"/>
      <c r="C598" s="48"/>
      <c r="D598" s="79"/>
      <c r="E598" s="80"/>
      <c r="F598" s="227"/>
      <c r="G598" s="48"/>
      <c r="H598" s="49"/>
      <c r="I598" s="48"/>
      <c r="J598" s="48"/>
      <c r="K598" s="48"/>
      <c r="L598" s="48"/>
      <c r="M598" s="53"/>
      <c r="N598" s="54"/>
      <c r="O598" s="48"/>
      <c r="P598" s="48"/>
      <c r="Q598" s="48"/>
      <c r="R598" s="48"/>
      <c r="S598" s="48"/>
      <c r="T598" s="48"/>
      <c r="U598" s="48"/>
      <c r="V598" s="48"/>
      <c r="W598" s="55"/>
      <c r="X598" s="55"/>
      <c r="Y598" s="55"/>
      <c r="Z598" s="55"/>
      <c r="AA598" s="55"/>
      <c r="AB598" s="55"/>
    </row>
    <row r="599" spans="1:28" ht="15" customHeight="1">
      <c r="A599" s="48"/>
      <c r="B599" s="48"/>
      <c r="C599" s="48"/>
      <c r="D599" s="79"/>
      <c r="E599" s="80"/>
      <c r="F599" s="227"/>
      <c r="G599" s="48"/>
      <c r="H599" s="49"/>
      <c r="I599" s="48"/>
      <c r="J599" s="48"/>
      <c r="K599" s="48"/>
      <c r="L599" s="48"/>
      <c r="M599" s="53"/>
      <c r="N599" s="54"/>
      <c r="O599" s="48"/>
      <c r="P599" s="48"/>
      <c r="Q599" s="48"/>
      <c r="R599" s="48"/>
      <c r="S599" s="48"/>
      <c r="T599" s="48"/>
      <c r="U599" s="48"/>
      <c r="V599" s="48"/>
      <c r="W599" s="55"/>
      <c r="X599" s="55"/>
      <c r="Y599" s="55"/>
      <c r="Z599" s="55"/>
      <c r="AA599" s="55"/>
      <c r="AB599" s="55"/>
    </row>
    <row r="600" spans="1:28" ht="15" customHeight="1">
      <c r="A600" s="48"/>
      <c r="B600" s="48"/>
      <c r="C600" s="48"/>
      <c r="D600" s="79"/>
      <c r="E600" s="80"/>
      <c r="F600" s="227"/>
      <c r="G600" s="48"/>
      <c r="H600" s="49"/>
      <c r="I600" s="48"/>
      <c r="J600" s="48"/>
      <c r="K600" s="48"/>
      <c r="L600" s="48"/>
      <c r="M600" s="53"/>
      <c r="N600" s="54"/>
      <c r="O600" s="48"/>
      <c r="P600" s="48"/>
      <c r="Q600" s="48"/>
      <c r="R600" s="48"/>
      <c r="S600" s="48"/>
      <c r="T600" s="48"/>
      <c r="U600" s="48"/>
      <c r="V600" s="48"/>
      <c r="W600" s="55"/>
      <c r="X600" s="55"/>
      <c r="Y600" s="55"/>
      <c r="Z600" s="55"/>
      <c r="AA600" s="55"/>
      <c r="AB600" s="55"/>
    </row>
    <row r="601" spans="1:28" ht="15" customHeight="1">
      <c r="A601" s="48"/>
      <c r="B601" s="48"/>
      <c r="C601" s="48"/>
      <c r="D601" s="79"/>
      <c r="E601" s="80"/>
      <c r="F601" s="227"/>
      <c r="G601" s="48"/>
      <c r="H601" s="49"/>
      <c r="I601" s="48"/>
      <c r="J601" s="48"/>
      <c r="K601" s="48"/>
      <c r="L601" s="48"/>
      <c r="M601" s="53"/>
      <c r="N601" s="54"/>
      <c r="O601" s="48"/>
      <c r="P601" s="48"/>
      <c r="Q601" s="48"/>
      <c r="R601" s="48"/>
      <c r="S601" s="48"/>
      <c r="T601" s="48"/>
      <c r="U601" s="48"/>
      <c r="V601" s="48"/>
      <c r="W601" s="55"/>
      <c r="X601" s="55"/>
      <c r="Y601" s="55"/>
      <c r="Z601" s="55"/>
      <c r="AA601" s="55"/>
      <c r="AB601" s="55"/>
    </row>
    <row r="602" spans="1:28" ht="15" customHeight="1">
      <c r="A602" s="48"/>
      <c r="B602" s="48"/>
      <c r="C602" s="48"/>
      <c r="D602" s="79"/>
      <c r="E602" s="80"/>
      <c r="F602" s="227"/>
      <c r="G602" s="48"/>
      <c r="H602" s="49"/>
      <c r="I602" s="48"/>
      <c r="J602" s="48"/>
      <c r="K602" s="48"/>
      <c r="L602" s="48"/>
      <c r="M602" s="53"/>
      <c r="N602" s="54"/>
      <c r="O602" s="48"/>
      <c r="P602" s="48"/>
      <c r="Q602" s="48"/>
      <c r="R602" s="48"/>
      <c r="S602" s="48"/>
      <c r="T602" s="48"/>
      <c r="U602" s="48"/>
      <c r="V602" s="48"/>
      <c r="W602" s="55"/>
      <c r="X602" s="55"/>
      <c r="Y602" s="55"/>
      <c r="Z602" s="55"/>
      <c r="AA602" s="55"/>
      <c r="AB602" s="55"/>
    </row>
    <row r="603" spans="1:28" ht="15" customHeight="1">
      <c r="A603" s="48"/>
      <c r="B603" s="48"/>
      <c r="C603" s="48"/>
      <c r="D603" s="79"/>
      <c r="E603" s="80"/>
      <c r="F603" s="227"/>
      <c r="G603" s="48"/>
      <c r="H603" s="49"/>
      <c r="I603" s="48"/>
      <c r="J603" s="48"/>
      <c r="K603" s="48"/>
      <c r="L603" s="48"/>
      <c r="M603" s="53"/>
      <c r="N603" s="54"/>
      <c r="O603" s="48"/>
      <c r="P603" s="48"/>
      <c r="Q603" s="48"/>
      <c r="R603" s="48"/>
      <c r="S603" s="48"/>
      <c r="T603" s="48"/>
      <c r="U603" s="48"/>
      <c r="V603" s="48"/>
      <c r="W603" s="55"/>
      <c r="X603" s="55"/>
      <c r="Y603" s="55"/>
      <c r="Z603" s="55"/>
      <c r="AA603" s="55"/>
      <c r="AB603" s="55"/>
    </row>
    <row r="604" spans="1:28" ht="15" customHeight="1">
      <c r="A604" s="48"/>
      <c r="B604" s="48"/>
      <c r="C604" s="48"/>
      <c r="D604" s="79"/>
      <c r="E604" s="80"/>
      <c r="F604" s="227"/>
      <c r="G604" s="48"/>
      <c r="H604" s="49"/>
      <c r="I604" s="48"/>
      <c r="J604" s="48"/>
      <c r="K604" s="48"/>
      <c r="L604" s="48"/>
      <c r="M604" s="53"/>
      <c r="N604" s="54"/>
      <c r="O604" s="48"/>
      <c r="P604" s="48"/>
      <c r="Q604" s="48"/>
      <c r="R604" s="48"/>
      <c r="S604" s="48"/>
      <c r="T604" s="48"/>
      <c r="U604" s="48"/>
      <c r="V604" s="48"/>
      <c r="W604" s="55"/>
      <c r="X604" s="55"/>
      <c r="Y604" s="55"/>
      <c r="Z604" s="55"/>
      <c r="AA604" s="55"/>
      <c r="AB604" s="55"/>
    </row>
    <row r="605" spans="1:28" ht="15" customHeight="1">
      <c r="A605" s="48"/>
      <c r="B605" s="48"/>
      <c r="C605" s="48"/>
      <c r="D605" s="79"/>
      <c r="E605" s="80"/>
      <c r="F605" s="227"/>
      <c r="G605" s="48"/>
      <c r="H605" s="49"/>
      <c r="I605" s="48"/>
      <c r="J605" s="48"/>
      <c r="K605" s="48"/>
      <c r="L605" s="48"/>
      <c r="M605" s="53"/>
      <c r="N605" s="54"/>
      <c r="O605" s="48"/>
      <c r="P605" s="48"/>
      <c r="Q605" s="48"/>
      <c r="R605" s="48"/>
      <c r="S605" s="48"/>
      <c r="T605" s="48"/>
      <c r="U605" s="48"/>
      <c r="V605" s="48"/>
      <c r="W605" s="55"/>
      <c r="X605" s="55"/>
      <c r="Y605" s="55"/>
      <c r="Z605" s="55"/>
      <c r="AA605" s="55"/>
      <c r="AB605" s="55"/>
    </row>
    <row r="606" spans="1:28" ht="15" customHeight="1">
      <c r="A606" s="48"/>
      <c r="B606" s="48"/>
      <c r="C606" s="48"/>
      <c r="D606" s="79"/>
      <c r="E606" s="80"/>
      <c r="F606" s="227"/>
      <c r="G606" s="48"/>
      <c r="H606" s="49"/>
      <c r="I606" s="48"/>
      <c r="J606" s="48"/>
      <c r="K606" s="48"/>
      <c r="L606" s="48"/>
      <c r="M606" s="53"/>
      <c r="N606" s="54"/>
      <c r="O606" s="48"/>
      <c r="P606" s="48"/>
      <c r="Q606" s="48"/>
      <c r="R606" s="48"/>
      <c r="S606" s="48"/>
      <c r="T606" s="48"/>
      <c r="U606" s="48"/>
      <c r="V606" s="48"/>
      <c r="W606" s="55"/>
      <c r="X606" s="55"/>
      <c r="Y606" s="55"/>
      <c r="Z606" s="55"/>
      <c r="AA606" s="55"/>
      <c r="AB606" s="55"/>
    </row>
    <row r="607" spans="1:28" ht="15" customHeight="1">
      <c r="A607" s="48"/>
      <c r="B607" s="48"/>
      <c r="C607" s="48"/>
      <c r="D607" s="79"/>
      <c r="E607" s="80"/>
      <c r="F607" s="227"/>
      <c r="G607" s="48"/>
      <c r="H607" s="49"/>
      <c r="I607" s="48"/>
      <c r="J607" s="48"/>
      <c r="K607" s="48"/>
      <c r="L607" s="48"/>
      <c r="M607" s="53"/>
      <c r="N607" s="54"/>
      <c r="O607" s="48"/>
      <c r="P607" s="48"/>
      <c r="Q607" s="48"/>
      <c r="R607" s="48"/>
      <c r="S607" s="48"/>
      <c r="T607" s="48"/>
      <c r="U607" s="48"/>
      <c r="V607" s="48"/>
      <c r="W607" s="55"/>
      <c r="X607" s="55"/>
      <c r="Y607" s="55"/>
      <c r="Z607" s="55"/>
      <c r="AA607" s="55"/>
      <c r="AB607" s="55"/>
    </row>
    <row r="608" spans="1:28" ht="15" customHeight="1">
      <c r="A608" s="48"/>
      <c r="B608" s="48"/>
      <c r="C608" s="48"/>
      <c r="D608" s="79"/>
      <c r="E608" s="80"/>
      <c r="F608" s="227"/>
      <c r="G608" s="48"/>
      <c r="H608" s="49"/>
      <c r="I608" s="48"/>
      <c r="J608" s="48"/>
      <c r="K608" s="48"/>
      <c r="L608" s="48"/>
      <c r="M608" s="53"/>
      <c r="N608" s="54"/>
      <c r="O608" s="48"/>
      <c r="P608" s="48"/>
      <c r="Q608" s="48"/>
      <c r="R608" s="48"/>
      <c r="S608" s="48"/>
      <c r="T608" s="48"/>
      <c r="U608" s="48"/>
      <c r="V608" s="48"/>
      <c r="W608" s="55"/>
      <c r="X608" s="55"/>
      <c r="Y608" s="55"/>
      <c r="Z608" s="55"/>
      <c r="AA608" s="55"/>
      <c r="AB608" s="55"/>
    </row>
    <row r="609" spans="1:28" ht="15" customHeight="1">
      <c r="A609" s="48"/>
      <c r="B609" s="48"/>
      <c r="C609" s="48"/>
      <c r="D609" s="79"/>
      <c r="E609" s="80"/>
      <c r="F609" s="227"/>
      <c r="G609" s="48"/>
      <c r="H609" s="49"/>
      <c r="I609" s="48"/>
      <c r="J609" s="48"/>
      <c r="K609" s="48"/>
      <c r="L609" s="48"/>
      <c r="M609" s="53"/>
      <c r="N609" s="54"/>
      <c r="O609" s="48"/>
      <c r="P609" s="48"/>
      <c r="Q609" s="48"/>
      <c r="R609" s="48"/>
      <c r="S609" s="48"/>
      <c r="T609" s="48"/>
      <c r="U609" s="48"/>
      <c r="V609" s="48"/>
      <c r="W609" s="55"/>
      <c r="X609" s="55"/>
      <c r="Y609" s="55"/>
      <c r="Z609" s="55"/>
      <c r="AA609" s="55"/>
      <c r="AB609" s="55"/>
    </row>
    <row r="610" spans="1:28" ht="15" customHeight="1">
      <c r="A610" s="48"/>
      <c r="B610" s="48"/>
      <c r="C610" s="48"/>
      <c r="D610" s="79"/>
      <c r="E610" s="80"/>
      <c r="F610" s="227"/>
      <c r="G610" s="48"/>
      <c r="H610" s="49"/>
      <c r="I610" s="48"/>
      <c r="J610" s="48"/>
      <c r="K610" s="48"/>
      <c r="L610" s="48"/>
      <c r="M610" s="53"/>
      <c r="N610" s="54"/>
      <c r="O610" s="48"/>
      <c r="P610" s="48"/>
      <c r="Q610" s="48"/>
      <c r="R610" s="48"/>
      <c r="S610" s="48"/>
      <c r="T610" s="48"/>
      <c r="U610" s="48"/>
      <c r="V610" s="48"/>
      <c r="W610" s="55"/>
      <c r="X610" s="55"/>
      <c r="Y610" s="55"/>
      <c r="Z610" s="55"/>
      <c r="AA610" s="55"/>
      <c r="AB610" s="55"/>
    </row>
    <row r="611" spans="1:28" ht="15" customHeight="1">
      <c r="A611" s="48"/>
      <c r="B611" s="48"/>
      <c r="C611" s="48"/>
      <c r="D611" s="79"/>
      <c r="E611" s="80"/>
      <c r="F611" s="227"/>
      <c r="G611" s="48"/>
      <c r="H611" s="49"/>
      <c r="I611" s="48"/>
      <c r="J611" s="48"/>
      <c r="K611" s="48"/>
      <c r="L611" s="48"/>
      <c r="M611" s="53"/>
      <c r="N611" s="54"/>
      <c r="O611" s="48"/>
      <c r="P611" s="48"/>
      <c r="Q611" s="48"/>
      <c r="R611" s="48"/>
      <c r="S611" s="48"/>
      <c r="T611" s="48"/>
      <c r="U611" s="48"/>
      <c r="V611" s="48"/>
      <c r="W611" s="55"/>
      <c r="X611" s="55"/>
      <c r="Y611" s="55"/>
      <c r="Z611" s="55"/>
      <c r="AA611" s="55"/>
      <c r="AB611" s="55"/>
    </row>
    <row r="612" spans="1:28" ht="15" customHeight="1">
      <c r="A612" s="48"/>
      <c r="B612" s="48"/>
      <c r="C612" s="48"/>
      <c r="D612" s="79"/>
      <c r="E612" s="80"/>
      <c r="F612" s="227"/>
      <c r="G612" s="48"/>
      <c r="H612" s="49"/>
      <c r="I612" s="48"/>
      <c r="J612" s="48"/>
      <c r="K612" s="48"/>
      <c r="L612" s="48"/>
      <c r="M612" s="53"/>
      <c r="N612" s="54"/>
      <c r="O612" s="48"/>
      <c r="P612" s="48"/>
      <c r="Q612" s="48"/>
      <c r="R612" s="48"/>
      <c r="S612" s="48"/>
      <c r="T612" s="48"/>
      <c r="U612" s="48"/>
      <c r="V612" s="48"/>
      <c r="W612" s="55"/>
      <c r="X612" s="55"/>
      <c r="Y612" s="55"/>
      <c r="Z612" s="55"/>
      <c r="AA612" s="55"/>
      <c r="AB612" s="55"/>
    </row>
    <row r="613" spans="1:28" ht="15" customHeight="1">
      <c r="A613" s="48"/>
      <c r="B613" s="48"/>
      <c r="C613" s="48"/>
      <c r="D613" s="79"/>
      <c r="E613" s="80"/>
      <c r="F613" s="227"/>
      <c r="G613" s="48"/>
      <c r="H613" s="49"/>
      <c r="I613" s="48"/>
      <c r="J613" s="48"/>
      <c r="K613" s="48"/>
      <c r="L613" s="48"/>
      <c r="M613" s="53"/>
      <c r="N613" s="54"/>
      <c r="O613" s="48"/>
      <c r="P613" s="48"/>
      <c r="Q613" s="48"/>
      <c r="R613" s="48"/>
      <c r="S613" s="48"/>
      <c r="T613" s="48"/>
      <c r="U613" s="48"/>
      <c r="V613" s="48"/>
      <c r="W613" s="55"/>
      <c r="X613" s="55"/>
      <c r="Y613" s="55"/>
      <c r="Z613" s="55"/>
      <c r="AA613" s="55"/>
      <c r="AB613" s="55"/>
    </row>
    <row r="614" spans="1:28" ht="15" customHeight="1">
      <c r="A614" s="48"/>
      <c r="B614" s="48"/>
      <c r="C614" s="48"/>
      <c r="D614" s="79"/>
      <c r="E614" s="80"/>
      <c r="F614" s="227"/>
      <c r="G614" s="48"/>
      <c r="H614" s="49"/>
      <c r="I614" s="48"/>
      <c r="J614" s="48"/>
      <c r="K614" s="48"/>
      <c r="L614" s="48"/>
      <c r="M614" s="53"/>
      <c r="N614" s="54"/>
      <c r="O614" s="48"/>
      <c r="P614" s="48"/>
      <c r="Q614" s="48"/>
      <c r="R614" s="48"/>
      <c r="S614" s="48"/>
      <c r="T614" s="48"/>
      <c r="U614" s="48"/>
      <c r="V614" s="48"/>
      <c r="W614" s="55"/>
      <c r="X614" s="55"/>
      <c r="Y614" s="55"/>
      <c r="Z614" s="55"/>
      <c r="AA614" s="55"/>
      <c r="AB614" s="55"/>
    </row>
    <row r="615" spans="1:28" ht="15" customHeight="1">
      <c r="A615" s="48"/>
      <c r="B615" s="48"/>
      <c r="C615" s="48"/>
      <c r="D615" s="79"/>
      <c r="E615" s="80"/>
      <c r="F615" s="227"/>
      <c r="G615" s="48"/>
      <c r="H615" s="49"/>
      <c r="I615" s="48"/>
      <c r="J615" s="48"/>
      <c r="K615" s="48"/>
      <c r="L615" s="48"/>
      <c r="M615" s="53"/>
      <c r="N615" s="54"/>
      <c r="O615" s="48"/>
      <c r="P615" s="48"/>
      <c r="Q615" s="48"/>
      <c r="R615" s="48"/>
      <c r="S615" s="48"/>
      <c r="T615" s="48"/>
      <c r="U615" s="48"/>
      <c r="V615" s="48"/>
      <c r="W615" s="55"/>
      <c r="X615" s="55"/>
      <c r="Y615" s="55"/>
      <c r="Z615" s="55"/>
      <c r="AA615" s="55"/>
      <c r="AB615" s="55"/>
    </row>
    <row r="616" spans="1:28" ht="15" customHeight="1">
      <c r="A616" s="48"/>
      <c r="B616" s="48"/>
      <c r="C616" s="48"/>
      <c r="D616" s="79"/>
      <c r="E616" s="80"/>
      <c r="F616" s="227"/>
      <c r="G616" s="48"/>
      <c r="H616" s="49"/>
      <c r="I616" s="48"/>
      <c r="J616" s="48"/>
      <c r="K616" s="48"/>
      <c r="L616" s="48"/>
      <c r="M616" s="53"/>
      <c r="N616" s="54"/>
      <c r="O616" s="48"/>
      <c r="P616" s="48"/>
      <c r="Q616" s="48"/>
      <c r="R616" s="48"/>
      <c r="S616" s="48"/>
      <c r="T616" s="48"/>
      <c r="U616" s="48"/>
      <c r="V616" s="48"/>
      <c r="W616" s="55"/>
      <c r="X616" s="55"/>
      <c r="Y616" s="55"/>
      <c r="Z616" s="55"/>
      <c r="AA616" s="55"/>
      <c r="AB616" s="55"/>
    </row>
    <row r="617" spans="1:28" ht="15" customHeight="1">
      <c r="A617" s="48"/>
      <c r="B617" s="48"/>
      <c r="C617" s="48"/>
      <c r="D617" s="79"/>
      <c r="E617" s="80"/>
      <c r="F617" s="227"/>
      <c r="G617" s="48"/>
      <c r="H617" s="49"/>
      <c r="I617" s="48"/>
      <c r="J617" s="48"/>
      <c r="K617" s="48"/>
      <c r="L617" s="48"/>
      <c r="M617" s="53"/>
      <c r="N617" s="54"/>
      <c r="O617" s="48"/>
      <c r="P617" s="48"/>
      <c r="Q617" s="48"/>
      <c r="R617" s="48"/>
      <c r="S617" s="48"/>
      <c r="T617" s="48"/>
      <c r="U617" s="48"/>
      <c r="V617" s="48"/>
      <c r="W617" s="55"/>
      <c r="X617" s="55"/>
      <c r="Y617" s="55"/>
      <c r="Z617" s="55"/>
      <c r="AA617" s="55"/>
      <c r="AB617" s="55"/>
    </row>
    <row r="618" spans="1:28" ht="15" customHeight="1">
      <c r="A618" s="48"/>
      <c r="B618" s="48"/>
      <c r="C618" s="48"/>
      <c r="D618" s="79"/>
      <c r="E618" s="80"/>
      <c r="F618" s="227"/>
      <c r="G618" s="48"/>
      <c r="H618" s="49"/>
      <c r="I618" s="48"/>
      <c r="J618" s="48"/>
      <c r="K618" s="48"/>
      <c r="L618" s="48"/>
      <c r="M618" s="53"/>
      <c r="N618" s="54"/>
      <c r="O618" s="48"/>
      <c r="P618" s="48"/>
      <c r="Q618" s="48"/>
      <c r="R618" s="48"/>
      <c r="S618" s="48"/>
      <c r="T618" s="48"/>
      <c r="U618" s="48"/>
      <c r="V618" s="48"/>
      <c r="W618" s="55"/>
      <c r="X618" s="55"/>
      <c r="Y618" s="55"/>
      <c r="Z618" s="55"/>
      <c r="AA618" s="55"/>
      <c r="AB618" s="55"/>
    </row>
    <row r="619" spans="1:28" ht="15" customHeight="1">
      <c r="A619" s="48"/>
      <c r="B619" s="48"/>
      <c r="C619" s="48"/>
      <c r="D619" s="79"/>
      <c r="E619" s="80"/>
      <c r="F619" s="227"/>
      <c r="G619" s="48"/>
      <c r="H619" s="49"/>
      <c r="I619" s="48"/>
      <c r="J619" s="48"/>
      <c r="K619" s="48"/>
      <c r="L619" s="48"/>
      <c r="M619" s="53"/>
      <c r="N619" s="54"/>
      <c r="O619" s="48"/>
      <c r="P619" s="48"/>
      <c r="Q619" s="48"/>
      <c r="R619" s="48"/>
      <c r="S619" s="48"/>
      <c r="T619" s="48"/>
      <c r="U619" s="48"/>
      <c r="V619" s="48"/>
      <c r="W619" s="55"/>
      <c r="X619" s="55"/>
      <c r="Y619" s="55"/>
      <c r="Z619" s="55"/>
      <c r="AA619" s="55"/>
      <c r="AB619" s="55"/>
    </row>
    <row r="620" spans="1:28" ht="15" customHeight="1">
      <c r="A620" s="48"/>
      <c r="B620" s="48"/>
      <c r="C620" s="48"/>
      <c r="D620" s="79"/>
      <c r="E620" s="80"/>
      <c r="F620" s="227"/>
      <c r="G620" s="48"/>
      <c r="H620" s="49"/>
      <c r="I620" s="48"/>
      <c r="J620" s="48"/>
      <c r="K620" s="48"/>
      <c r="L620" s="48"/>
      <c r="M620" s="53"/>
      <c r="N620" s="54"/>
      <c r="O620" s="48"/>
      <c r="P620" s="48"/>
      <c r="Q620" s="48"/>
      <c r="R620" s="48"/>
      <c r="S620" s="48"/>
      <c r="T620" s="48"/>
      <c r="U620" s="48"/>
      <c r="V620" s="48"/>
      <c r="W620" s="55"/>
      <c r="X620" s="55"/>
      <c r="Y620" s="55"/>
      <c r="Z620" s="55"/>
      <c r="AA620" s="55"/>
      <c r="AB620" s="55"/>
    </row>
    <row r="621" spans="1:28" ht="15" customHeight="1">
      <c r="A621" s="48"/>
      <c r="B621" s="48"/>
      <c r="C621" s="48"/>
      <c r="D621" s="79"/>
      <c r="E621" s="80"/>
      <c r="F621" s="227"/>
      <c r="G621" s="48"/>
      <c r="H621" s="49"/>
      <c r="I621" s="48"/>
      <c r="J621" s="48"/>
      <c r="K621" s="48"/>
      <c r="L621" s="48"/>
      <c r="M621" s="53"/>
      <c r="N621" s="54"/>
      <c r="O621" s="48"/>
      <c r="P621" s="48"/>
      <c r="Q621" s="48"/>
      <c r="R621" s="48"/>
      <c r="S621" s="48"/>
      <c r="T621" s="48"/>
      <c r="U621" s="48"/>
      <c r="V621" s="48"/>
      <c r="W621" s="55"/>
      <c r="X621" s="55"/>
      <c r="Y621" s="55"/>
      <c r="Z621" s="55"/>
      <c r="AA621" s="55"/>
      <c r="AB621" s="55"/>
    </row>
    <row r="622" spans="1:28" ht="15" customHeight="1">
      <c r="A622" s="48"/>
      <c r="B622" s="48"/>
      <c r="C622" s="48"/>
      <c r="D622" s="79"/>
      <c r="E622" s="80"/>
      <c r="F622" s="227"/>
      <c r="G622" s="48"/>
      <c r="H622" s="49"/>
      <c r="I622" s="48"/>
      <c r="J622" s="48"/>
      <c r="K622" s="48"/>
      <c r="L622" s="48"/>
      <c r="M622" s="53"/>
      <c r="N622" s="54"/>
      <c r="O622" s="48"/>
      <c r="P622" s="48"/>
      <c r="Q622" s="48"/>
      <c r="R622" s="48"/>
      <c r="S622" s="48"/>
      <c r="T622" s="48"/>
      <c r="U622" s="48"/>
      <c r="V622" s="48"/>
      <c r="W622" s="55"/>
      <c r="X622" s="55"/>
      <c r="Y622" s="55"/>
      <c r="Z622" s="55"/>
      <c r="AA622" s="55"/>
      <c r="AB622" s="55"/>
    </row>
    <row r="623" spans="1:28" ht="15" customHeight="1">
      <c r="A623" s="48"/>
      <c r="B623" s="48"/>
      <c r="C623" s="48"/>
      <c r="D623" s="79"/>
      <c r="E623" s="80"/>
      <c r="F623" s="227"/>
      <c r="G623" s="48"/>
      <c r="H623" s="49"/>
      <c r="I623" s="48"/>
      <c r="J623" s="48"/>
      <c r="K623" s="48"/>
      <c r="L623" s="48"/>
      <c r="M623" s="53"/>
      <c r="N623" s="54"/>
      <c r="O623" s="48"/>
      <c r="P623" s="48"/>
      <c r="Q623" s="48"/>
      <c r="R623" s="48"/>
      <c r="S623" s="48"/>
      <c r="T623" s="48"/>
      <c r="U623" s="48"/>
      <c r="V623" s="48"/>
      <c r="W623" s="55"/>
      <c r="X623" s="55"/>
      <c r="Y623" s="55"/>
      <c r="Z623" s="55"/>
      <c r="AA623" s="55"/>
      <c r="AB623" s="55"/>
    </row>
    <row r="624" spans="1:28" ht="15" customHeight="1">
      <c r="A624" s="48"/>
      <c r="B624" s="48"/>
      <c r="C624" s="48"/>
      <c r="D624" s="79"/>
      <c r="E624" s="80"/>
      <c r="F624" s="227"/>
      <c r="G624" s="48"/>
      <c r="H624" s="49"/>
      <c r="I624" s="48"/>
      <c r="J624" s="48"/>
      <c r="K624" s="48"/>
      <c r="L624" s="48"/>
      <c r="M624" s="53"/>
      <c r="N624" s="54"/>
      <c r="O624" s="48"/>
      <c r="P624" s="48"/>
      <c r="Q624" s="48"/>
      <c r="R624" s="48"/>
      <c r="S624" s="48"/>
      <c r="T624" s="48"/>
      <c r="U624" s="48"/>
      <c r="V624" s="48"/>
      <c r="W624" s="55"/>
      <c r="X624" s="55"/>
      <c r="Y624" s="55"/>
      <c r="Z624" s="55"/>
      <c r="AA624" s="55"/>
      <c r="AB624" s="55"/>
    </row>
    <row r="625" spans="1:28" ht="15" customHeight="1">
      <c r="A625" s="48"/>
      <c r="B625" s="48"/>
      <c r="C625" s="48"/>
      <c r="D625" s="79"/>
      <c r="E625" s="80"/>
      <c r="F625" s="227"/>
      <c r="G625" s="48"/>
      <c r="H625" s="49"/>
      <c r="I625" s="48"/>
      <c r="J625" s="48"/>
      <c r="K625" s="48"/>
      <c r="L625" s="48"/>
      <c r="M625" s="53"/>
      <c r="N625" s="54"/>
      <c r="O625" s="48"/>
      <c r="P625" s="48"/>
      <c r="Q625" s="48"/>
      <c r="R625" s="48"/>
      <c r="S625" s="48"/>
      <c r="T625" s="48"/>
      <c r="U625" s="48"/>
      <c r="V625" s="48"/>
      <c r="W625" s="55"/>
      <c r="X625" s="55"/>
      <c r="Y625" s="55"/>
      <c r="Z625" s="55"/>
      <c r="AA625" s="55"/>
      <c r="AB625" s="55"/>
    </row>
    <row r="626" spans="1:28" ht="15" customHeight="1">
      <c r="A626" s="48"/>
      <c r="B626" s="48"/>
      <c r="C626" s="48"/>
      <c r="D626" s="79"/>
      <c r="E626" s="80"/>
      <c r="F626" s="227"/>
      <c r="G626" s="48"/>
      <c r="H626" s="49"/>
      <c r="I626" s="48"/>
      <c r="J626" s="48"/>
      <c r="K626" s="48"/>
      <c r="L626" s="48"/>
      <c r="M626" s="53"/>
      <c r="N626" s="54"/>
      <c r="O626" s="48"/>
      <c r="P626" s="48"/>
      <c r="Q626" s="48"/>
      <c r="R626" s="48"/>
      <c r="S626" s="48"/>
      <c r="T626" s="48"/>
      <c r="U626" s="48"/>
      <c r="V626" s="48"/>
      <c r="W626" s="55"/>
      <c r="X626" s="55"/>
      <c r="Y626" s="55"/>
      <c r="Z626" s="55"/>
      <c r="AA626" s="55"/>
      <c r="AB626" s="55"/>
    </row>
    <row r="627" spans="1:28" ht="15" customHeight="1">
      <c r="A627" s="48"/>
      <c r="B627" s="48"/>
      <c r="C627" s="48"/>
      <c r="D627" s="79"/>
      <c r="E627" s="80"/>
      <c r="F627" s="227"/>
      <c r="G627" s="48"/>
      <c r="H627" s="49"/>
      <c r="I627" s="48"/>
      <c r="J627" s="48"/>
      <c r="K627" s="48"/>
      <c r="L627" s="48"/>
      <c r="M627" s="53"/>
      <c r="N627" s="54"/>
      <c r="O627" s="48"/>
      <c r="P627" s="48"/>
      <c r="Q627" s="48"/>
      <c r="R627" s="48"/>
      <c r="S627" s="48"/>
      <c r="T627" s="48"/>
      <c r="U627" s="48"/>
      <c r="V627" s="48"/>
      <c r="W627" s="55"/>
      <c r="X627" s="55"/>
      <c r="Y627" s="55"/>
      <c r="Z627" s="55"/>
      <c r="AA627" s="55"/>
      <c r="AB627" s="55"/>
    </row>
    <row r="628" spans="1:28" ht="15" customHeight="1">
      <c r="A628" s="48"/>
      <c r="B628" s="48"/>
      <c r="C628" s="48"/>
      <c r="D628" s="79"/>
      <c r="E628" s="80"/>
      <c r="F628" s="227"/>
      <c r="G628" s="48"/>
      <c r="H628" s="49"/>
      <c r="I628" s="48"/>
      <c r="J628" s="48"/>
      <c r="K628" s="48"/>
      <c r="L628" s="48"/>
      <c r="M628" s="53"/>
      <c r="N628" s="54"/>
      <c r="O628" s="48"/>
      <c r="P628" s="48"/>
      <c r="Q628" s="48"/>
      <c r="R628" s="48"/>
      <c r="S628" s="48"/>
      <c r="T628" s="48"/>
      <c r="U628" s="48"/>
      <c r="V628" s="48"/>
      <c r="W628" s="55"/>
      <c r="X628" s="55"/>
      <c r="Y628" s="55"/>
      <c r="Z628" s="55"/>
      <c r="AA628" s="55"/>
      <c r="AB628" s="55"/>
    </row>
    <row r="629" spans="1:28" ht="15" customHeight="1">
      <c r="A629" s="48"/>
      <c r="B629" s="48"/>
      <c r="C629" s="48"/>
      <c r="D629" s="79"/>
      <c r="E629" s="80"/>
      <c r="F629" s="227"/>
      <c r="G629" s="48"/>
      <c r="H629" s="49"/>
      <c r="I629" s="48"/>
      <c r="J629" s="48"/>
      <c r="K629" s="48"/>
      <c r="L629" s="48"/>
      <c r="M629" s="53"/>
      <c r="N629" s="54"/>
      <c r="O629" s="48"/>
      <c r="P629" s="48"/>
      <c r="Q629" s="48"/>
      <c r="R629" s="48"/>
      <c r="S629" s="48"/>
      <c r="T629" s="48"/>
      <c r="U629" s="48"/>
      <c r="V629" s="48"/>
      <c r="W629" s="55"/>
      <c r="X629" s="55"/>
      <c r="Y629" s="55"/>
      <c r="Z629" s="55"/>
      <c r="AA629" s="55"/>
      <c r="AB629" s="55"/>
    </row>
    <row r="630" spans="1:28" ht="15" customHeight="1">
      <c r="A630" s="48"/>
      <c r="B630" s="48"/>
      <c r="C630" s="48"/>
      <c r="D630" s="79"/>
      <c r="E630" s="80"/>
      <c r="F630" s="227"/>
      <c r="G630" s="48"/>
      <c r="H630" s="49"/>
      <c r="I630" s="48"/>
      <c r="J630" s="48"/>
      <c r="K630" s="48"/>
      <c r="L630" s="48"/>
      <c r="M630" s="53"/>
      <c r="N630" s="54"/>
      <c r="O630" s="48"/>
      <c r="P630" s="48"/>
      <c r="Q630" s="48"/>
      <c r="R630" s="48"/>
      <c r="S630" s="48"/>
      <c r="T630" s="48"/>
      <c r="U630" s="48"/>
      <c r="V630" s="48"/>
      <c r="W630" s="55"/>
      <c r="X630" s="55"/>
      <c r="Y630" s="55"/>
      <c r="Z630" s="55"/>
      <c r="AA630" s="55"/>
      <c r="AB630" s="55"/>
    </row>
    <row r="631" spans="1:28" ht="15" customHeight="1">
      <c r="A631" s="48"/>
      <c r="B631" s="48"/>
      <c r="C631" s="48"/>
      <c r="D631" s="79"/>
      <c r="E631" s="80"/>
      <c r="F631" s="227"/>
      <c r="G631" s="48"/>
      <c r="H631" s="49"/>
      <c r="I631" s="48"/>
      <c r="J631" s="48"/>
      <c r="K631" s="48"/>
      <c r="L631" s="48"/>
      <c r="M631" s="53"/>
      <c r="N631" s="54"/>
      <c r="O631" s="48"/>
      <c r="P631" s="48"/>
      <c r="Q631" s="48"/>
      <c r="R631" s="48"/>
      <c r="S631" s="48"/>
      <c r="T631" s="48"/>
      <c r="U631" s="48"/>
      <c r="V631" s="48"/>
      <c r="W631" s="55"/>
      <c r="X631" s="55"/>
      <c r="Y631" s="55"/>
      <c r="Z631" s="55"/>
      <c r="AA631" s="55"/>
      <c r="AB631" s="55"/>
    </row>
    <row r="632" spans="1:28" ht="15" customHeight="1">
      <c r="A632" s="48"/>
      <c r="B632" s="48"/>
      <c r="C632" s="48"/>
      <c r="D632" s="79"/>
      <c r="E632" s="80"/>
      <c r="F632" s="227"/>
      <c r="G632" s="48"/>
      <c r="H632" s="49"/>
      <c r="I632" s="48"/>
      <c r="J632" s="48"/>
      <c r="K632" s="48"/>
      <c r="L632" s="48"/>
      <c r="M632" s="53"/>
      <c r="N632" s="54"/>
      <c r="O632" s="48"/>
      <c r="P632" s="48"/>
      <c r="Q632" s="48"/>
      <c r="R632" s="48"/>
      <c r="S632" s="48"/>
      <c r="T632" s="48"/>
      <c r="U632" s="48"/>
      <c r="V632" s="48"/>
      <c r="W632" s="55"/>
      <c r="X632" s="55"/>
      <c r="Y632" s="55"/>
      <c r="Z632" s="55"/>
      <c r="AA632" s="55"/>
      <c r="AB632" s="55"/>
    </row>
    <row r="633" spans="1:28" ht="15" customHeight="1">
      <c r="A633" s="48"/>
      <c r="B633" s="48"/>
      <c r="C633" s="48"/>
      <c r="D633" s="79"/>
      <c r="E633" s="80"/>
      <c r="F633" s="227"/>
      <c r="G633" s="48"/>
      <c r="H633" s="49"/>
      <c r="I633" s="48"/>
      <c r="J633" s="48"/>
      <c r="K633" s="48"/>
      <c r="L633" s="48"/>
      <c r="M633" s="53"/>
      <c r="N633" s="54"/>
      <c r="O633" s="48"/>
      <c r="P633" s="48"/>
      <c r="Q633" s="48"/>
      <c r="R633" s="48"/>
      <c r="S633" s="48"/>
      <c r="T633" s="48"/>
      <c r="U633" s="48"/>
      <c r="V633" s="48"/>
      <c r="W633" s="55"/>
      <c r="X633" s="55"/>
      <c r="Y633" s="55"/>
      <c r="Z633" s="55"/>
      <c r="AA633" s="55"/>
      <c r="AB633" s="55"/>
    </row>
    <row r="634" spans="1:28" ht="15" customHeight="1">
      <c r="A634" s="48"/>
      <c r="B634" s="48"/>
      <c r="C634" s="48"/>
      <c r="D634" s="79"/>
      <c r="E634" s="80"/>
      <c r="F634" s="227"/>
      <c r="G634" s="48"/>
      <c r="H634" s="49"/>
      <c r="I634" s="48"/>
      <c r="J634" s="48"/>
      <c r="K634" s="48"/>
      <c r="L634" s="48"/>
      <c r="M634" s="53"/>
      <c r="N634" s="54"/>
      <c r="O634" s="48"/>
      <c r="P634" s="48"/>
      <c r="Q634" s="48"/>
      <c r="R634" s="48"/>
      <c r="S634" s="48"/>
      <c r="T634" s="48"/>
      <c r="U634" s="48"/>
      <c r="V634" s="48"/>
      <c r="W634" s="55"/>
      <c r="X634" s="55"/>
      <c r="Y634" s="55"/>
      <c r="Z634" s="55"/>
      <c r="AA634" s="55"/>
      <c r="AB634" s="55"/>
    </row>
    <row r="635" spans="1:28" ht="15" customHeight="1">
      <c r="A635" s="48"/>
      <c r="B635" s="48"/>
      <c r="C635" s="48"/>
      <c r="D635" s="79"/>
      <c r="E635" s="80"/>
      <c r="F635" s="227"/>
      <c r="G635" s="48"/>
      <c r="H635" s="49"/>
      <c r="I635" s="48"/>
      <c r="J635" s="48"/>
      <c r="K635" s="48"/>
      <c r="L635" s="48"/>
      <c r="M635" s="53"/>
      <c r="N635" s="54"/>
      <c r="O635" s="48"/>
      <c r="P635" s="48"/>
      <c r="Q635" s="48"/>
      <c r="R635" s="48"/>
      <c r="S635" s="48"/>
      <c r="T635" s="48"/>
      <c r="U635" s="48"/>
      <c r="V635" s="48"/>
      <c r="W635" s="55"/>
      <c r="X635" s="55"/>
      <c r="Y635" s="55"/>
      <c r="Z635" s="55"/>
      <c r="AA635" s="55"/>
      <c r="AB635" s="55"/>
    </row>
    <row r="636" spans="1:28" ht="15" customHeight="1">
      <c r="A636" s="48"/>
      <c r="B636" s="48"/>
      <c r="C636" s="48"/>
      <c r="D636" s="79"/>
      <c r="E636" s="80"/>
      <c r="F636" s="227"/>
      <c r="G636" s="48"/>
      <c r="H636" s="49"/>
      <c r="I636" s="48"/>
      <c r="J636" s="48"/>
      <c r="K636" s="48"/>
      <c r="L636" s="48"/>
      <c r="M636" s="53"/>
      <c r="N636" s="54"/>
      <c r="O636" s="48"/>
      <c r="P636" s="48"/>
      <c r="Q636" s="48"/>
      <c r="R636" s="48"/>
      <c r="S636" s="48"/>
      <c r="T636" s="48"/>
      <c r="U636" s="48"/>
      <c r="V636" s="48"/>
      <c r="W636" s="55"/>
      <c r="X636" s="55"/>
      <c r="Y636" s="55"/>
      <c r="Z636" s="55"/>
      <c r="AA636" s="55"/>
      <c r="AB636" s="55"/>
    </row>
    <row r="637" spans="1:28" ht="15" customHeight="1">
      <c r="A637" s="48"/>
      <c r="B637" s="48"/>
      <c r="C637" s="48"/>
      <c r="D637" s="79"/>
      <c r="E637" s="80"/>
      <c r="F637" s="227"/>
      <c r="G637" s="48"/>
      <c r="H637" s="49"/>
      <c r="I637" s="48"/>
      <c r="J637" s="48"/>
      <c r="K637" s="48"/>
      <c r="L637" s="48"/>
      <c r="M637" s="53"/>
      <c r="N637" s="54"/>
      <c r="O637" s="48"/>
      <c r="P637" s="48"/>
      <c r="Q637" s="48"/>
      <c r="R637" s="48"/>
      <c r="S637" s="48"/>
      <c r="T637" s="48"/>
      <c r="U637" s="48"/>
      <c r="V637" s="48"/>
      <c r="W637" s="55"/>
      <c r="X637" s="55"/>
      <c r="Y637" s="55"/>
      <c r="Z637" s="55"/>
      <c r="AA637" s="55"/>
      <c r="AB637" s="55"/>
    </row>
    <row r="638" spans="1:28" ht="15" customHeight="1">
      <c r="A638" s="48"/>
      <c r="B638" s="48"/>
      <c r="C638" s="48"/>
      <c r="D638" s="79"/>
      <c r="E638" s="80"/>
      <c r="F638" s="227"/>
      <c r="G638" s="48"/>
      <c r="H638" s="49"/>
      <c r="I638" s="48"/>
      <c r="J638" s="48"/>
      <c r="K638" s="48"/>
      <c r="L638" s="48"/>
      <c r="M638" s="53"/>
      <c r="N638" s="54"/>
      <c r="O638" s="48"/>
      <c r="P638" s="48"/>
      <c r="Q638" s="48"/>
      <c r="R638" s="48"/>
      <c r="S638" s="48"/>
      <c r="T638" s="48"/>
      <c r="U638" s="48"/>
      <c r="V638" s="48"/>
      <c r="W638" s="55"/>
      <c r="X638" s="55"/>
      <c r="Y638" s="55"/>
      <c r="Z638" s="55"/>
      <c r="AA638" s="55"/>
      <c r="AB638" s="55"/>
    </row>
    <row r="639" spans="1:28" ht="15" customHeight="1">
      <c r="A639" s="48"/>
      <c r="B639" s="48"/>
      <c r="C639" s="48"/>
      <c r="D639" s="79"/>
      <c r="E639" s="80"/>
      <c r="F639" s="227"/>
      <c r="G639" s="48"/>
      <c r="H639" s="49"/>
      <c r="I639" s="48"/>
      <c r="J639" s="48"/>
      <c r="K639" s="48"/>
      <c r="L639" s="48"/>
      <c r="M639" s="53"/>
      <c r="N639" s="54"/>
      <c r="O639" s="48"/>
      <c r="P639" s="48"/>
      <c r="Q639" s="48"/>
      <c r="R639" s="48"/>
      <c r="S639" s="48"/>
      <c r="T639" s="48"/>
      <c r="U639" s="48"/>
      <c r="V639" s="48"/>
      <c r="W639" s="55"/>
      <c r="X639" s="55"/>
      <c r="Y639" s="55"/>
      <c r="Z639" s="55"/>
      <c r="AA639" s="55"/>
      <c r="AB639" s="55"/>
    </row>
    <row r="640" spans="1:28" ht="15" customHeight="1">
      <c r="A640" s="48"/>
      <c r="B640" s="48"/>
      <c r="C640" s="48"/>
      <c r="D640" s="79"/>
      <c r="E640" s="80"/>
      <c r="F640" s="227"/>
      <c r="G640" s="48"/>
      <c r="H640" s="49"/>
      <c r="I640" s="48"/>
      <c r="J640" s="48"/>
      <c r="K640" s="48"/>
      <c r="L640" s="48"/>
      <c r="M640" s="53"/>
      <c r="N640" s="54"/>
      <c r="O640" s="48"/>
      <c r="P640" s="48"/>
      <c r="Q640" s="48"/>
      <c r="R640" s="48"/>
      <c r="S640" s="48"/>
      <c r="T640" s="48"/>
      <c r="U640" s="48"/>
      <c r="V640" s="48"/>
      <c r="W640" s="55"/>
      <c r="X640" s="55"/>
      <c r="Y640" s="55"/>
      <c r="Z640" s="55"/>
      <c r="AA640" s="55"/>
      <c r="AB640" s="55"/>
    </row>
    <row r="641" spans="1:28" ht="15" customHeight="1">
      <c r="A641" s="48"/>
      <c r="B641" s="48"/>
      <c r="C641" s="48"/>
      <c r="D641" s="79"/>
      <c r="E641" s="80"/>
      <c r="F641" s="227"/>
      <c r="G641" s="48"/>
      <c r="H641" s="49"/>
      <c r="I641" s="48"/>
      <c r="J641" s="48"/>
      <c r="K641" s="48"/>
      <c r="L641" s="48"/>
      <c r="M641" s="53"/>
      <c r="N641" s="54"/>
      <c r="O641" s="48"/>
      <c r="P641" s="48"/>
      <c r="Q641" s="48"/>
      <c r="R641" s="48"/>
      <c r="S641" s="48"/>
      <c r="T641" s="48"/>
      <c r="U641" s="48"/>
      <c r="V641" s="48"/>
      <c r="W641" s="55"/>
      <c r="X641" s="55"/>
      <c r="Y641" s="55"/>
      <c r="Z641" s="55"/>
      <c r="AA641" s="55"/>
      <c r="AB641" s="55"/>
    </row>
    <row r="642" spans="1:28" ht="15" customHeight="1">
      <c r="A642" s="48"/>
      <c r="B642" s="48"/>
      <c r="C642" s="48"/>
      <c r="D642" s="79"/>
      <c r="E642" s="80"/>
      <c r="F642" s="227"/>
      <c r="G642" s="48"/>
      <c r="H642" s="49"/>
      <c r="I642" s="48"/>
      <c r="J642" s="48"/>
      <c r="K642" s="48"/>
      <c r="L642" s="48"/>
      <c r="M642" s="53"/>
      <c r="N642" s="54"/>
      <c r="O642" s="48"/>
      <c r="P642" s="48"/>
      <c r="Q642" s="48"/>
      <c r="R642" s="48"/>
      <c r="S642" s="48"/>
      <c r="T642" s="48"/>
      <c r="U642" s="48"/>
      <c r="V642" s="48"/>
      <c r="W642" s="55"/>
      <c r="X642" s="55"/>
      <c r="Y642" s="55"/>
      <c r="Z642" s="55"/>
      <c r="AA642" s="55"/>
      <c r="AB642" s="55"/>
    </row>
    <row r="643" spans="1:28" ht="15" customHeight="1">
      <c r="A643" s="48"/>
      <c r="B643" s="48"/>
      <c r="C643" s="48"/>
      <c r="D643" s="79"/>
      <c r="E643" s="80"/>
      <c r="F643" s="227"/>
      <c r="G643" s="48"/>
      <c r="H643" s="49"/>
      <c r="I643" s="48"/>
      <c r="J643" s="48"/>
      <c r="K643" s="48"/>
      <c r="L643" s="48"/>
      <c r="M643" s="53"/>
      <c r="N643" s="54"/>
      <c r="O643" s="48"/>
      <c r="P643" s="48"/>
      <c r="Q643" s="48"/>
      <c r="R643" s="48"/>
      <c r="S643" s="48"/>
      <c r="T643" s="48"/>
      <c r="U643" s="48"/>
      <c r="V643" s="48"/>
      <c r="W643" s="55"/>
      <c r="X643" s="55"/>
      <c r="Y643" s="55"/>
      <c r="Z643" s="55"/>
      <c r="AA643" s="55"/>
      <c r="AB643" s="55"/>
    </row>
    <row r="644" spans="1:28" ht="15" customHeight="1">
      <c r="A644" s="48"/>
      <c r="B644" s="48"/>
      <c r="C644" s="48"/>
      <c r="D644" s="79"/>
      <c r="E644" s="80"/>
      <c r="F644" s="227"/>
      <c r="G644" s="48"/>
      <c r="H644" s="49"/>
      <c r="I644" s="48"/>
      <c r="J644" s="48"/>
      <c r="K644" s="48"/>
      <c r="L644" s="48"/>
      <c r="M644" s="53"/>
      <c r="N644" s="54"/>
      <c r="O644" s="48"/>
      <c r="P644" s="48"/>
      <c r="Q644" s="48"/>
      <c r="R644" s="48"/>
      <c r="S644" s="48"/>
      <c r="T644" s="48"/>
      <c r="U644" s="48"/>
      <c r="V644" s="48"/>
      <c r="W644" s="55"/>
      <c r="X644" s="55"/>
      <c r="Y644" s="55"/>
      <c r="Z644" s="55"/>
      <c r="AA644" s="55"/>
      <c r="AB644" s="55"/>
    </row>
    <row r="645" spans="1:28" ht="15" customHeight="1">
      <c r="A645" s="48"/>
      <c r="B645" s="48"/>
      <c r="C645" s="48"/>
      <c r="D645" s="79"/>
      <c r="E645" s="80"/>
      <c r="F645" s="227"/>
      <c r="G645" s="48"/>
      <c r="H645" s="49"/>
      <c r="I645" s="48"/>
      <c r="J645" s="48"/>
      <c r="K645" s="48"/>
      <c r="L645" s="48"/>
      <c r="M645" s="53"/>
      <c r="N645" s="54"/>
      <c r="O645" s="48"/>
      <c r="P645" s="48"/>
      <c r="Q645" s="48"/>
      <c r="R645" s="48"/>
      <c r="S645" s="48"/>
      <c r="T645" s="48"/>
      <c r="U645" s="48"/>
      <c r="V645" s="48"/>
      <c r="W645" s="55"/>
      <c r="X645" s="55"/>
      <c r="Y645" s="55"/>
      <c r="Z645" s="55"/>
      <c r="AA645" s="55"/>
      <c r="AB645" s="55"/>
    </row>
    <row r="646" spans="1:28" ht="15" customHeight="1">
      <c r="A646" s="48"/>
      <c r="B646" s="48"/>
      <c r="C646" s="48"/>
      <c r="D646" s="79"/>
      <c r="E646" s="80"/>
      <c r="F646" s="227"/>
      <c r="G646" s="48"/>
      <c r="H646" s="49"/>
      <c r="I646" s="48"/>
      <c r="J646" s="48"/>
      <c r="K646" s="48"/>
      <c r="L646" s="48"/>
      <c r="M646" s="53"/>
      <c r="N646" s="54"/>
      <c r="O646" s="48"/>
      <c r="P646" s="48"/>
      <c r="Q646" s="48"/>
      <c r="R646" s="48"/>
      <c r="S646" s="48"/>
      <c r="T646" s="48"/>
      <c r="U646" s="48"/>
      <c r="V646" s="48"/>
      <c r="W646" s="55"/>
      <c r="X646" s="55"/>
      <c r="Y646" s="55"/>
      <c r="Z646" s="55"/>
      <c r="AA646" s="55"/>
      <c r="AB646" s="55"/>
    </row>
    <row r="647" spans="1:28" ht="15" customHeight="1">
      <c r="A647" s="48"/>
      <c r="B647" s="48"/>
      <c r="C647" s="48"/>
      <c r="D647" s="79"/>
      <c r="E647" s="80"/>
      <c r="F647" s="227"/>
      <c r="G647" s="48"/>
      <c r="H647" s="49"/>
      <c r="I647" s="48"/>
      <c r="J647" s="48"/>
      <c r="K647" s="48"/>
      <c r="L647" s="48"/>
      <c r="M647" s="53"/>
      <c r="N647" s="54"/>
      <c r="O647" s="48"/>
      <c r="P647" s="48"/>
      <c r="Q647" s="48"/>
      <c r="R647" s="48"/>
      <c r="S647" s="48"/>
      <c r="T647" s="48"/>
      <c r="U647" s="48"/>
      <c r="V647" s="48"/>
      <c r="W647" s="55"/>
      <c r="X647" s="55"/>
      <c r="Y647" s="55"/>
      <c r="Z647" s="55"/>
      <c r="AA647" s="55"/>
      <c r="AB647" s="55"/>
    </row>
    <row r="648" spans="1:28" ht="15" customHeight="1">
      <c r="A648" s="48"/>
      <c r="B648" s="48"/>
      <c r="C648" s="48"/>
      <c r="D648" s="79"/>
      <c r="E648" s="80"/>
      <c r="F648" s="227"/>
      <c r="G648" s="48"/>
      <c r="H648" s="49"/>
      <c r="I648" s="48"/>
      <c r="J648" s="48"/>
      <c r="K648" s="48"/>
      <c r="L648" s="48"/>
      <c r="M648" s="53"/>
      <c r="N648" s="54"/>
      <c r="O648" s="48"/>
      <c r="P648" s="48"/>
      <c r="Q648" s="48"/>
      <c r="R648" s="48"/>
      <c r="S648" s="48"/>
      <c r="T648" s="48"/>
      <c r="U648" s="48"/>
      <c r="V648" s="48"/>
      <c r="W648" s="55"/>
      <c r="X648" s="55"/>
      <c r="Y648" s="55"/>
      <c r="Z648" s="55"/>
      <c r="AA648" s="55"/>
      <c r="AB648" s="55"/>
    </row>
    <row r="649" spans="1:28" ht="15" customHeight="1">
      <c r="A649" s="48"/>
      <c r="B649" s="48"/>
      <c r="C649" s="48"/>
      <c r="D649" s="79"/>
      <c r="E649" s="80"/>
      <c r="F649" s="227"/>
      <c r="G649" s="48"/>
      <c r="H649" s="49"/>
      <c r="I649" s="48"/>
      <c r="J649" s="48"/>
      <c r="K649" s="48"/>
      <c r="L649" s="48"/>
      <c r="M649" s="53"/>
      <c r="N649" s="54"/>
      <c r="O649" s="48"/>
      <c r="P649" s="48"/>
      <c r="Q649" s="48"/>
      <c r="R649" s="48"/>
      <c r="S649" s="48"/>
      <c r="T649" s="48"/>
      <c r="U649" s="48"/>
      <c r="V649" s="48"/>
      <c r="W649" s="55"/>
      <c r="X649" s="55"/>
      <c r="Y649" s="55"/>
      <c r="Z649" s="55"/>
      <c r="AA649" s="55"/>
      <c r="AB649" s="55"/>
    </row>
    <row r="650" spans="1:28" ht="15" customHeight="1">
      <c r="A650" s="48"/>
      <c r="B650" s="48"/>
      <c r="C650" s="48"/>
      <c r="D650" s="79"/>
      <c r="E650" s="80"/>
      <c r="F650" s="227"/>
      <c r="G650" s="48"/>
      <c r="H650" s="49"/>
      <c r="I650" s="48"/>
      <c r="J650" s="48"/>
      <c r="K650" s="48"/>
      <c r="L650" s="48"/>
      <c r="M650" s="53"/>
      <c r="N650" s="54"/>
      <c r="O650" s="48"/>
      <c r="P650" s="48"/>
      <c r="Q650" s="48"/>
      <c r="R650" s="48"/>
      <c r="S650" s="48"/>
      <c r="T650" s="48"/>
      <c r="U650" s="48"/>
      <c r="V650" s="48"/>
      <c r="W650" s="55"/>
      <c r="X650" s="55"/>
      <c r="Y650" s="55"/>
      <c r="Z650" s="55"/>
      <c r="AA650" s="55"/>
      <c r="AB650" s="55"/>
    </row>
    <row r="651" spans="1:28" ht="15" customHeight="1">
      <c r="A651" s="48"/>
      <c r="B651" s="48"/>
      <c r="C651" s="48"/>
      <c r="D651" s="79"/>
      <c r="E651" s="80"/>
      <c r="F651" s="227"/>
      <c r="G651" s="48"/>
      <c r="H651" s="49"/>
      <c r="I651" s="48"/>
      <c r="J651" s="48"/>
      <c r="K651" s="48"/>
      <c r="L651" s="48"/>
      <c r="M651" s="53"/>
      <c r="N651" s="54"/>
      <c r="O651" s="48"/>
      <c r="P651" s="48"/>
      <c r="Q651" s="48"/>
      <c r="R651" s="48"/>
      <c r="S651" s="48"/>
      <c r="T651" s="48"/>
      <c r="U651" s="48"/>
      <c r="V651" s="48"/>
      <c r="W651" s="55"/>
      <c r="X651" s="55"/>
      <c r="Y651" s="55"/>
      <c r="Z651" s="55"/>
      <c r="AA651" s="55"/>
      <c r="AB651" s="55"/>
    </row>
    <row r="652" spans="1:28" ht="15" customHeight="1">
      <c r="A652" s="48"/>
      <c r="B652" s="48"/>
      <c r="C652" s="48"/>
      <c r="D652" s="79"/>
      <c r="E652" s="80"/>
      <c r="F652" s="227"/>
      <c r="G652" s="48"/>
      <c r="H652" s="49"/>
      <c r="I652" s="48"/>
      <c r="J652" s="48"/>
      <c r="K652" s="48"/>
      <c r="L652" s="48"/>
      <c r="M652" s="53"/>
      <c r="N652" s="54"/>
      <c r="O652" s="48"/>
      <c r="P652" s="48"/>
      <c r="Q652" s="48"/>
      <c r="R652" s="48"/>
      <c r="S652" s="48"/>
      <c r="T652" s="48"/>
      <c r="U652" s="48"/>
      <c r="V652" s="48"/>
      <c r="W652" s="55"/>
      <c r="X652" s="55"/>
      <c r="Y652" s="55"/>
      <c r="Z652" s="55"/>
      <c r="AA652" s="55"/>
      <c r="AB652" s="55"/>
    </row>
    <row r="653" spans="1:28" ht="15" customHeight="1">
      <c r="A653" s="48"/>
      <c r="B653" s="48"/>
      <c r="C653" s="48"/>
      <c r="D653" s="79"/>
      <c r="E653" s="80"/>
      <c r="F653" s="227"/>
      <c r="G653" s="48"/>
      <c r="H653" s="49"/>
      <c r="I653" s="48"/>
      <c r="J653" s="48"/>
      <c r="K653" s="48"/>
      <c r="L653" s="48"/>
      <c r="M653" s="53"/>
      <c r="N653" s="54"/>
      <c r="O653" s="48"/>
      <c r="P653" s="48"/>
      <c r="Q653" s="48"/>
      <c r="R653" s="48"/>
      <c r="S653" s="48"/>
      <c r="T653" s="48"/>
      <c r="U653" s="48"/>
      <c r="V653" s="48"/>
      <c r="W653" s="55"/>
      <c r="X653" s="55"/>
      <c r="Y653" s="55"/>
      <c r="Z653" s="55"/>
      <c r="AA653" s="55"/>
      <c r="AB653" s="55"/>
    </row>
    <row r="654" spans="1:28" ht="15" customHeight="1">
      <c r="A654" s="48"/>
      <c r="B654" s="48"/>
      <c r="C654" s="48"/>
      <c r="D654" s="79"/>
      <c r="E654" s="80"/>
      <c r="F654" s="227"/>
      <c r="G654" s="48"/>
      <c r="H654" s="49"/>
      <c r="I654" s="48"/>
      <c r="J654" s="48"/>
      <c r="K654" s="48"/>
      <c r="L654" s="48"/>
      <c r="M654" s="53"/>
      <c r="N654" s="54"/>
      <c r="O654" s="48"/>
      <c r="P654" s="48"/>
      <c r="Q654" s="48"/>
      <c r="R654" s="48"/>
      <c r="S654" s="48"/>
      <c r="T654" s="48"/>
      <c r="U654" s="48"/>
      <c r="V654" s="48"/>
      <c r="W654" s="55"/>
      <c r="X654" s="55"/>
      <c r="Y654" s="55"/>
      <c r="Z654" s="55"/>
      <c r="AA654" s="55"/>
      <c r="AB654" s="55"/>
    </row>
    <row r="655" spans="1:28" ht="15" customHeight="1">
      <c r="A655" s="48"/>
      <c r="B655" s="48"/>
      <c r="C655" s="48"/>
      <c r="D655" s="79"/>
      <c r="E655" s="80"/>
      <c r="F655" s="227"/>
      <c r="G655" s="48"/>
      <c r="H655" s="49"/>
      <c r="I655" s="48"/>
      <c r="J655" s="48"/>
      <c r="K655" s="48"/>
      <c r="L655" s="48"/>
      <c r="M655" s="53"/>
      <c r="N655" s="54"/>
      <c r="O655" s="48"/>
      <c r="P655" s="48"/>
      <c r="Q655" s="48"/>
      <c r="R655" s="48"/>
      <c r="S655" s="48"/>
      <c r="T655" s="48"/>
      <c r="U655" s="48"/>
      <c r="V655" s="48"/>
      <c r="W655" s="55"/>
      <c r="X655" s="55"/>
      <c r="Y655" s="55"/>
      <c r="Z655" s="55"/>
      <c r="AA655" s="55"/>
      <c r="AB655" s="55"/>
    </row>
    <row r="656" spans="1:28" ht="15" customHeight="1">
      <c r="A656" s="48"/>
      <c r="B656" s="48"/>
      <c r="C656" s="48"/>
      <c r="D656" s="79"/>
      <c r="E656" s="80"/>
      <c r="F656" s="227"/>
      <c r="G656" s="48"/>
      <c r="H656" s="49"/>
      <c r="I656" s="48"/>
      <c r="J656" s="48"/>
      <c r="K656" s="48"/>
      <c r="L656" s="48"/>
      <c r="M656" s="53"/>
      <c r="N656" s="54"/>
      <c r="O656" s="48"/>
      <c r="P656" s="48"/>
      <c r="Q656" s="48"/>
      <c r="R656" s="48"/>
      <c r="S656" s="48"/>
      <c r="T656" s="48"/>
      <c r="U656" s="48"/>
      <c r="V656" s="48"/>
      <c r="W656" s="55"/>
      <c r="X656" s="55"/>
      <c r="Y656" s="55"/>
      <c r="Z656" s="55"/>
      <c r="AA656" s="55"/>
      <c r="AB656" s="55"/>
    </row>
    <row r="657" spans="1:28" ht="15" customHeight="1">
      <c r="A657" s="48"/>
      <c r="B657" s="48"/>
      <c r="C657" s="48"/>
      <c r="D657" s="79"/>
      <c r="E657" s="80"/>
      <c r="F657" s="227"/>
      <c r="G657" s="48"/>
      <c r="H657" s="49"/>
      <c r="I657" s="48"/>
      <c r="J657" s="48"/>
      <c r="K657" s="48"/>
      <c r="L657" s="48"/>
      <c r="M657" s="53"/>
      <c r="N657" s="54"/>
      <c r="O657" s="48"/>
      <c r="P657" s="48"/>
      <c r="Q657" s="48"/>
      <c r="R657" s="48"/>
      <c r="S657" s="48"/>
      <c r="T657" s="48"/>
      <c r="U657" s="48"/>
      <c r="V657" s="48"/>
      <c r="W657" s="55"/>
      <c r="X657" s="55"/>
      <c r="Y657" s="55"/>
      <c r="Z657" s="55"/>
      <c r="AA657" s="55"/>
      <c r="AB657" s="55"/>
    </row>
    <row r="658" spans="1:28" ht="15" customHeight="1">
      <c r="A658" s="48"/>
      <c r="B658" s="48"/>
      <c r="C658" s="48"/>
      <c r="D658" s="79"/>
      <c r="E658" s="80"/>
      <c r="F658" s="227"/>
      <c r="G658" s="48"/>
      <c r="H658" s="49"/>
      <c r="I658" s="48"/>
      <c r="J658" s="48"/>
      <c r="K658" s="48"/>
      <c r="L658" s="48"/>
      <c r="M658" s="53"/>
      <c r="N658" s="54"/>
      <c r="O658" s="48"/>
      <c r="P658" s="48"/>
      <c r="Q658" s="48"/>
      <c r="R658" s="48"/>
      <c r="S658" s="48"/>
      <c r="T658" s="48"/>
      <c r="U658" s="48"/>
      <c r="V658" s="48"/>
      <c r="W658" s="55"/>
      <c r="X658" s="55"/>
      <c r="Y658" s="55"/>
      <c r="Z658" s="55"/>
      <c r="AA658" s="55"/>
      <c r="AB658" s="55"/>
    </row>
    <row r="659" spans="1:28" ht="15" customHeight="1">
      <c r="A659" s="48"/>
      <c r="B659" s="48"/>
      <c r="C659" s="48"/>
      <c r="D659" s="79"/>
      <c r="E659" s="80"/>
      <c r="F659" s="227"/>
      <c r="G659" s="48"/>
      <c r="H659" s="49"/>
      <c r="I659" s="48"/>
      <c r="J659" s="48"/>
      <c r="K659" s="48"/>
      <c r="L659" s="48"/>
      <c r="M659" s="53"/>
      <c r="N659" s="54"/>
      <c r="O659" s="48"/>
      <c r="P659" s="48"/>
      <c r="Q659" s="48"/>
      <c r="R659" s="48"/>
      <c r="S659" s="48"/>
      <c r="T659" s="48"/>
      <c r="U659" s="48"/>
      <c r="V659" s="48"/>
      <c r="W659" s="55"/>
      <c r="X659" s="55"/>
      <c r="Y659" s="55"/>
      <c r="Z659" s="55"/>
      <c r="AA659" s="55"/>
      <c r="AB659" s="55"/>
    </row>
    <row r="660" spans="1:28" ht="15" customHeight="1">
      <c r="A660" s="48"/>
      <c r="B660" s="48"/>
      <c r="C660" s="48"/>
      <c r="D660" s="79"/>
      <c r="E660" s="80"/>
      <c r="F660" s="227"/>
      <c r="G660" s="48"/>
      <c r="H660" s="49"/>
      <c r="I660" s="48"/>
      <c r="J660" s="48"/>
      <c r="K660" s="48"/>
      <c r="L660" s="48"/>
      <c r="M660" s="53"/>
      <c r="N660" s="54"/>
      <c r="O660" s="48"/>
      <c r="P660" s="48"/>
      <c r="Q660" s="48"/>
      <c r="R660" s="48"/>
      <c r="S660" s="48"/>
      <c r="T660" s="48"/>
      <c r="U660" s="48"/>
      <c r="V660" s="48"/>
      <c r="W660" s="55"/>
      <c r="X660" s="55"/>
      <c r="Y660" s="55"/>
      <c r="Z660" s="55"/>
      <c r="AA660" s="55"/>
      <c r="AB660" s="55"/>
    </row>
    <row r="661" spans="1:28" ht="15" customHeight="1">
      <c r="A661" s="48"/>
      <c r="B661" s="48"/>
      <c r="C661" s="48"/>
      <c r="D661" s="79"/>
      <c r="E661" s="80"/>
      <c r="F661" s="227"/>
      <c r="G661" s="48"/>
      <c r="H661" s="49"/>
      <c r="I661" s="48"/>
      <c r="J661" s="48"/>
      <c r="K661" s="48"/>
      <c r="L661" s="48"/>
      <c r="M661" s="53"/>
      <c r="N661" s="54"/>
      <c r="O661" s="48"/>
      <c r="P661" s="48"/>
      <c r="Q661" s="48"/>
      <c r="R661" s="48"/>
      <c r="S661" s="48"/>
      <c r="T661" s="48"/>
      <c r="U661" s="48"/>
      <c r="V661" s="48"/>
      <c r="W661" s="55"/>
      <c r="X661" s="55"/>
      <c r="Y661" s="55"/>
      <c r="Z661" s="55"/>
      <c r="AA661" s="55"/>
      <c r="AB661" s="55"/>
    </row>
    <row r="662" spans="1:28" ht="15" customHeight="1">
      <c r="A662" s="48"/>
      <c r="B662" s="48"/>
      <c r="C662" s="48"/>
      <c r="D662" s="79"/>
      <c r="E662" s="80"/>
      <c r="F662" s="227"/>
      <c r="G662" s="48"/>
      <c r="H662" s="49"/>
      <c r="I662" s="48"/>
      <c r="J662" s="48"/>
      <c r="K662" s="48"/>
      <c r="L662" s="48"/>
      <c r="M662" s="53"/>
      <c r="N662" s="54"/>
      <c r="O662" s="48"/>
      <c r="P662" s="48"/>
      <c r="Q662" s="48"/>
      <c r="R662" s="48"/>
      <c r="S662" s="48"/>
      <c r="T662" s="48"/>
      <c r="U662" s="48"/>
      <c r="V662" s="48"/>
      <c r="W662" s="55"/>
      <c r="X662" s="55"/>
      <c r="Y662" s="55"/>
      <c r="Z662" s="55"/>
      <c r="AA662" s="55"/>
      <c r="AB662" s="55"/>
    </row>
    <row r="663" spans="1:28" ht="15" customHeight="1">
      <c r="A663" s="48"/>
      <c r="B663" s="48"/>
      <c r="C663" s="48"/>
      <c r="D663" s="79"/>
      <c r="E663" s="80"/>
      <c r="F663" s="227"/>
      <c r="G663" s="48"/>
      <c r="H663" s="49"/>
      <c r="I663" s="48"/>
      <c r="J663" s="48"/>
      <c r="K663" s="48"/>
      <c r="L663" s="48"/>
      <c r="M663" s="53"/>
      <c r="N663" s="54"/>
      <c r="O663" s="48"/>
      <c r="P663" s="48"/>
      <c r="Q663" s="48"/>
      <c r="R663" s="48"/>
      <c r="S663" s="48"/>
      <c r="T663" s="48"/>
      <c r="U663" s="48"/>
      <c r="V663" s="48"/>
      <c r="W663" s="55"/>
      <c r="X663" s="55"/>
      <c r="Y663" s="55"/>
      <c r="Z663" s="55"/>
      <c r="AA663" s="55"/>
      <c r="AB663" s="55"/>
    </row>
    <row r="664" spans="1:28" ht="15" customHeight="1">
      <c r="A664" s="48"/>
      <c r="B664" s="48"/>
      <c r="C664" s="48"/>
      <c r="D664" s="79"/>
      <c r="E664" s="80"/>
      <c r="F664" s="227"/>
      <c r="G664" s="48"/>
      <c r="H664" s="49"/>
      <c r="I664" s="48"/>
      <c r="J664" s="48"/>
      <c r="K664" s="48"/>
      <c r="L664" s="48"/>
      <c r="M664" s="53"/>
      <c r="N664" s="54"/>
      <c r="O664" s="48"/>
      <c r="P664" s="48"/>
      <c r="Q664" s="48"/>
      <c r="R664" s="48"/>
      <c r="S664" s="48"/>
      <c r="T664" s="48"/>
      <c r="U664" s="48"/>
      <c r="V664" s="48"/>
      <c r="W664" s="55"/>
      <c r="X664" s="55"/>
      <c r="Y664" s="55"/>
      <c r="Z664" s="55"/>
      <c r="AA664" s="55"/>
      <c r="AB664" s="55"/>
    </row>
    <row r="665" spans="1:28" ht="15" customHeight="1">
      <c r="A665" s="48"/>
      <c r="B665" s="48"/>
      <c r="C665" s="48"/>
      <c r="D665" s="79"/>
      <c r="E665" s="80"/>
      <c r="F665" s="227"/>
      <c r="G665" s="48"/>
      <c r="H665" s="49"/>
      <c r="I665" s="48"/>
      <c r="J665" s="48"/>
      <c r="K665" s="48"/>
      <c r="L665" s="48"/>
      <c r="M665" s="53"/>
      <c r="N665" s="54"/>
      <c r="O665" s="48"/>
      <c r="P665" s="48"/>
      <c r="Q665" s="48"/>
      <c r="R665" s="48"/>
      <c r="S665" s="48"/>
      <c r="T665" s="48"/>
      <c r="U665" s="48"/>
      <c r="V665" s="48"/>
      <c r="W665" s="55"/>
      <c r="X665" s="55"/>
      <c r="Y665" s="55"/>
      <c r="Z665" s="55"/>
      <c r="AA665" s="55"/>
      <c r="AB665" s="55"/>
    </row>
    <row r="666" spans="1:28" ht="15" customHeight="1">
      <c r="A666" s="48"/>
      <c r="B666" s="48"/>
      <c r="C666" s="48"/>
      <c r="D666" s="79"/>
      <c r="E666" s="80"/>
      <c r="F666" s="227"/>
      <c r="G666" s="48"/>
      <c r="H666" s="49"/>
      <c r="I666" s="48"/>
      <c r="J666" s="48"/>
      <c r="K666" s="48"/>
      <c r="L666" s="48"/>
      <c r="M666" s="53"/>
      <c r="N666" s="54"/>
      <c r="O666" s="48"/>
      <c r="P666" s="48"/>
      <c r="Q666" s="48"/>
      <c r="R666" s="48"/>
      <c r="S666" s="48"/>
      <c r="T666" s="48"/>
      <c r="U666" s="48"/>
      <c r="V666" s="48"/>
      <c r="W666" s="55"/>
      <c r="X666" s="55"/>
      <c r="Y666" s="55"/>
      <c r="Z666" s="55"/>
      <c r="AA666" s="55"/>
      <c r="AB666" s="55"/>
    </row>
    <row r="667" spans="1:28" ht="15" customHeight="1">
      <c r="A667" s="48"/>
      <c r="B667" s="48"/>
      <c r="C667" s="48"/>
      <c r="D667" s="79"/>
      <c r="E667" s="80"/>
      <c r="F667" s="227"/>
      <c r="G667" s="48"/>
      <c r="H667" s="49"/>
      <c r="I667" s="48"/>
      <c r="J667" s="48"/>
      <c r="K667" s="48"/>
      <c r="L667" s="48"/>
      <c r="M667" s="53"/>
      <c r="N667" s="54"/>
      <c r="O667" s="48"/>
      <c r="P667" s="48"/>
      <c r="Q667" s="48"/>
      <c r="R667" s="48"/>
      <c r="S667" s="48"/>
      <c r="T667" s="48"/>
      <c r="U667" s="48"/>
      <c r="V667" s="48"/>
      <c r="W667" s="55"/>
      <c r="X667" s="55"/>
      <c r="Y667" s="55"/>
      <c r="Z667" s="55"/>
      <c r="AA667" s="55"/>
      <c r="AB667" s="55"/>
    </row>
    <row r="668" spans="1:28" ht="15" customHeight="1">
      <c r="A668" s="48"/>
      <c r="B668" s="48"/>
      <c r="C668" s="48"/>
      <c r="D668" s="79"/>
      <c r="E668" s="80"/>
      <c r="F668" s="227"/>
      <c r="G668" s="48"/>
      <c r="H668" s="49"/>
      <c r="I668" s="48"/>
      <c r="J668" s="48"/>
      <c r="K668" s="48"/>
      <c r="L668" s="48"/>
      <c r="M668" s="53"/>
      <c r="N668" s="54"/>
      <c r="O668" s="48"/>
      <c r="P668" s="48"/>
      <c r="Q668" s="48"/>
      <c r="R668" s="48"/>
      <c r="S668" s="48"/>
      <c r="T668" s="48"/>
      <c r="U668" s="48"/>
      <c r="V668" s="48"/>
      <c r="W668" s="55"/>
      <c r="X668" s="55"/>
      <c r="Y668" s="55"/>
      <c r="Z668" s="55"/>
      <c r="AA668" s="55"/>
      <c r="AB668" s="55"/>
    </row>
    <row r="669" spans="1:28" ht="15" customHeight="1">
      <c r="A669" s="48"/>
      <c r="B669" s="48"/>
      <c r="C669" s="48"/>
      <c r="D669" s="79"/>
      <c r="E669" s="80"/>
      <c r="F669" s="227"/>
      <c r="G669" s="48"/>
      <c r="H669" s="49"/>
      <c r="I669" s="48"/>
      <c r="J669" s="48"/>
      <c r="K669" s="48"/>
      <c r="L669" s="48"/>
      <c r="M669" s="53"/>
      <c r="N669" s="54"/>
      <c r="O669" s="48"/>
      <c r="P669" s="48"/>
      <c r="Q669" s="48"/>
      <c r="R669" s="48"/>
      <c r="S669" s="48"/>
      <c r="T669" s="48"/>
      <c r="U669" s="48"/>
      <c r="V669" s="48"/>
      <c r="W669" s="55"/>
      <c r="X669" s="55"/>
      <c r="Y669" s="55"/>
      <c r="Z669" s="55"/>
      <c r="AA669" s="55"/>
      <c r="AB669" s="55"/>
    </row>
    <row r="670" spans="1:28" ht="15" customHeight="1">
      <c r="A670" s="48"/>
      <c r="B670" s="48"/>
      <c r="C670" s="48"/>
      <c r="D670" s="79"/>
      <c r="E670" s="80"/>
      <c r="F670" s="227"/>
      <c r="G670" s="48"/>
      <c r="H670" s="49"/>
      <c r="I670" s="48"/>
      <c r="J670" s="48"/>
      <c r="K670" s="48"/>
      <c r="L670" s="48"/>
      <c r="M670" s="53"/>
      <c r="N670" s="54"/>
      <c r="O670" s="48"/>
      <c r="P670" s="48"/>
      <c r="Q670" s="48"/>
      <c r="R670" s="48"/>
      <c r="S670" s="48"/>
      <c r="T670" s="48"/>
      <c r="U670" s="48"/>
      <c r="V670" s="48"/>
      <c r="W670" s="55"/>
      <c r="X670" s="55"/>
      <c r="Y670" s="55"/>
      <c r="Z670" s="55"/>
      <c r="AA670" s="55"/>
      <c r="AB670" s="55"/>
    </row>
    <row r="671" spans="1:28" ht="15" customHeight="1">
      <c r="A671" s="48"/>
      <c r="B671" s="48"/>
      <c r="C671" s="48"/>
      <c r="D671" s="79"/>
      <c r="E671" s="80"/>
      <c r="F671" s="227"/>
      <c r="G671" s="48"/>
      <c r="H671" s="49"/>
      <c r="I671" s="48"/>
      <c r="J671" s="48"/>
      <c r="K671" s="48"/>
      <c r="L671" s="48"/>
      <c r="M671" s="53"/>
      <c r="N671" s="54"/>
      <c r="O671" s="48"/>
      <c r="P671" s="48"/>
      <c r="Q671" s="48"/>
      <c r="R671" s="48"/>
      <c r="S671" s="48"/>
      <c r="T671" s="48"/>
      <c r="U671" s="48"/>
      <c r="V671" s="48"/>
      <c r="W671" s="55"/>
      <c r="X671" s="55"/>
      <c r="Y671" s="55"/>
      <c r="Z671" s="55"/>
      <c r="AA671" s="55"/>
      <c r="AB671" s="55"/>
    </row>
    <row r="672" spans="1:28" ht="15" customHeight="1">
      <c r="A672" s="48"/>
      <c r="B672" s="48"/>
      <c r="C672" s="48"/>
      <c r="D672" s="79"/>
      <c r="E672" s="80"/>
      <c r="F672" s="227"/>
      <c r="G672" s="48"/>
      <c r="H672" s="49"/>
      <c r="I672" s="48"/>
      <c r="J672" s="48"/>
      <c r="K672" s="48"/>
      <c r="L672" s="48"/>
      <c r="M672" s="53"/>
      <c r="N672" s="54"/>
      <c r="O672" s="48"/>
      <c r="P672" s="48"/>
      <c r="Q672" s="48"/>
      <c r="R672" s="48"/>
      <c r="S672" s="48"/>
      <c r="T672" s="48"/>
      <c r="U672" s="48"/>
      <c r="V672" s="48"/>
      <c r="W672" s="55"/>
      <c r="X672" s="55"/>
      <c r="Y672" s="55"/>
      <c r="Z672" s="55"/>
      <c r="AA672" s="55"/>
      <c r="AB672" s="55"/>
    </row>
    <row r="673" spans="1:28" ht="15" customHeight="1">
      <c r="A673" s="48"/>
      <c r="B673" s="48"/>
      <c r="C673" s="48"/>
      <c r="D673" s="79"/>
      <c r="E673" s="80"/>
      <c r="F673" s="227"/>
      <c r="G673" s="48"/>
      <c r="H673" s="49"/>
      <c r="I673" s="48"/>
      <c r="J673" s="48"/>
      <c r="K673" s="48"/>
      <c r="L673" s="48"/>
      <c r="M673" s="53"/>
      <c r="N673" s="54"/>
      <c r="O673" s="48"/>
      <c r="P673" s="48"/>
      <c r="Q673" s="48"/>
      <c r="R673" s="48"/>
      <c r="S673" s="48"/>
      <c r="T673" s="48"/>
      <c r="U673" s="48"/>
      <c r="V673" s="48"/>
      <c r="W673" s="55"/>
      <c r="X673" s="55"/>
      <c r="Y673" s="55"/>
      <c r="Z673" s="55"/>
      <c r="AA673" s="55"/>
      <c r="AB673" s="55"/>
    </row>
    <row r="674" spans="1:28" ht="15" customHeight="1">
      <c r="A674" s="48"/>
      <c r="B674" s="48"/>
      <c r="C674" s="48"/>
      <c r="D674" s="79"/>
      <c r="E674" s="80"/>
      <c r="F674" s="227"/>
      <c r="G674" s="48"/>
      <c r="H674" s="49"/>
      <c r="I674" s="48"/>
      <c r="J674" s="48"/>
      <c r="K674" s="48"/>
      <c r="L674" s="48"/>
      <c r="M674" s="53"/>
      <c r="N674" s="54"/>
      <c r="O674" s="48"/>
      <c r="P674" s="48"/>
      <c r="Q674" s="48"/>
      <c r="R674" s="48"/>
      <c r="S674" s="48"/>
      <c r="T674" s="48"/>
      <c r="U674" s="48"/>
      <c r="V674" s="48"/>
      <c r="W674" s="55"/>
      <c r="X674" s="55"/>
      <c r="Y674" s="55"/>
      <c r="Z674" s="55"/>
      <c r="AA674" s="55"/>
      <c r="AB674" s="55"/>
    </row>
    <row r="675" spans="1:28" ht="15" customHeight="1">
      <c r="A675" s="48"/>
      <c r="B675" s="48"/>
      <c r="C675" s="48"/>
      <c r="D675" s="79"/>
      <c r="E675" s="80"/>
      <c r="F675" s="227"/>
      <c r="G675" s="48"/>
      <c r="H675" s="49"/>
      <c r="I675" s="48"/>
      <c r="J675" s="48"/>
      <c r="K675" s="48"/>
      <c r="L675" s="48"/>
      <c r="M675" s="53"/>
      <c r="N675" s="54"/>
      <c r="O675" s="48"/>
      <c r="P675" s="48"/>
      <c r="Q675" s="48"/>
      <c r="R675" s="48"/>
      <c r="S675" s="48"/>
      <c r="T675" s="48"/>
      <c r="U675" s="48"/>
      <c r="V675" s="48"/>
      <c r="W675" s="55"/>
      <c r="X675" s="55"/>
      <c r="Y675" s="55"/>
      <c r="Z675" s="55"/>
      <c r="AA675" s="55"/>
      <c r="AB675" s="55"/>
    </row>
    <row r="676" spans="1:28" ht="15" customHeight="1">
      <c r="A676" s="48"/>
      <c r="B676" s="48"/>
      <c r="C676" s="48"/>
      <c r="D676" s="79"/>
      <c r="E676" s="80"/>
      <c r="F676" s="227"/>
      <c r="G676" s="48"/>
      <c r="H676" s="49"/>
      <c r="I676" s="48"/>
      <c r="J676" s="48"/>
      <c r="K676" s="48"/>
      <c r="L676" s="48"/>
      <c r="M676" s="53"/>
      <c r="N676" s="54"/>
      <c r="O676" s="48"/>
      <c r="P676" s="48"/>
      <c r="Q676" s="48"/>
      <c r="R676" s="48"/>
      <c r="S676" s="48"/>
      <c r="T676" s="48"/>
      <c r="U676" s="48"/>
      <c r="V676" s="48"/>
      <c r="W676" s="55"/>
      <c r="X676" s="55"/>
      <c r="Y676" s="55"/>
      <c r="Z676" s="55"/>
      <c r="AA676" s="55"/>
      <c r="AB676" s="55"/>
    </row>
    <row r="677" spans="1:28" ht="15" customHeight="1">
      <c r="A677" s="48"/>
      <c r="B677" s="48"/>
      <c r="C677" s="48"/>
      <c r="D677" s="79"/>
      <c r="E677" s="80"/>
      <c r="F677" s="227"/>
      <c r="G677" s="48"/>
      <c r="H677" s="49"/>
      <c r="I677" s="48"/>
      <c r="J677" s="48"/>
      <c r="K677" s="48"/>
      <c r="L677" s="48"/>
      <c r="M677" s="53"/>
      <c r="N677" s="54"/>
      <c r="O677" s="48"/>
      <c r="P677" s="48"/>
      <c r="Q677" s="48"/>
      <c r="R677" s="48"/>
      <c r="S677" s="48"/>
      <c r="T677" s="48"/>
      <c r="U677" s="48"/>
      <c r="V677" s="48"/>
      <c r="W677" s="55"/>
      <c r="X677" s="55"/>
      <c r="Y677" s="55"/>
      <c r="Z677" s="55"/>
      <c r="AA677" s="55"/>
      <c r="AB677" s="55"/>
    </row>
    <row r="678" spans="1:28" ht="15" customHeight="1">
      <c r="A678" s="48"/>
      <c r="B678" s="48"/>
      <c r="C678" s="48"/>
      <c r="D678" s="79"/>
      <c r="E678" s="80"/>
      <c r="F678" s="227"/>
      <c r="G678" s="48"/>
      <c r="H678" s="49"/>
      <c r="I678" s="48"/>
      <c r="J678" s="48"/>
      <c r="K678" s="48"/>
      <c r="L678" s="48"/>
      <c r="M678" s="53"/>
      <c r="N678" s="54"/>
      <c r="O678" s="48"/>
      <c r="P678" s="48"/>
      <c r="Q678" s="48"/>
      <c r="R678" s="48"/>
      <c r="S678" s="48"/>
      <c r="T678" s="48"/>
      <c r="U678" s="48"/>
      <c r="V678" s="48"/>
      <c r="W678" s="55"/>
      <c r="X678" s="55"/>
      <c r="Y678" s="55"/>
      <c r="Z678" s="55"/>
      <c r="AA678" s="55"/>
      <c r="AB678" s="55"/>
    </row>
    <row r="679" spans="1:28" ht="15" customHeight="1">
      <c r="A679" s="48"/>
      <c r="B679" s="48"/>
      <c r="C679" s="48"/>
      <c r="D679" s="79"/>
      <c r="E679" s="80"/>
      <c r="F679" s="227"/>
      <c r="G679" s="48"/>
      <c r="H679" s="49"/>
      <c r="I679" s="48"/>
      <c r="J679" s="48"/>
      <c r="K679" s="48"/>
      <c r="L679" s="48"/>
      <c r="M679" s="53"/>
      <c r="N679" s="54"/>
      <c r="O679" s="48"/>
      <c r="P679" s="48"/>
      <c r="Q679" s="48"/>
      <c r="R679" s="48"/>
      <c r="S679" s="48"/>
      <c r="T679" s="48"/>
      <c r="U679" s="48"/>
      <c r="V679" s="48"/>
      <c r="W679" s="55"/>
      <c r="X679" s="55"/>
      <c r="Y679" s="55"/>
      <c r="Z679" s="55"/>
      <c r="AA679" s="55"/>
      <c r="AB679" s="55"/>
    </row>
    <row r="680" spans="1:28" ht="15" customHeight="1">
      <c r="A680" s="48"/>
      <c r="B680" s="48"/>
      <c r="C680" s="48"/>
      <c r="D680" s="79"/>
      <c r="E680" s="80"/>
      <c r="F680" s="227"/>
      <c r="G680" s="48"/>
      <c r="H680" s="49"/>
      <c r="I680" s="48"/>
      <c r="J680" s="48"/>
      <c r="K680" s="48"/>
      <c r="L680" s="48"/>
      <c r="M680" s="53"/>
      <c r="N680" s="54"/>
      <c r="O680" s="48"/>
      <c r="P680" s="48"/>
      <c r="Q680" s="48"/>
      <c r="R680" s="48"/>
      <c r="S680" s="48"/>
      <c r="T680" s="48"/>
      <c r="U680" s="48"/>
      <c r="V680" s="48"/>
      <c r="W680" s="55"/>
      <c r="X680" s="55"/>
      <c r="Y680" s="55"/>
      <c r="Z680" s="55"/>
      <c r="AA680" s="55"/>
      <c r="AB680" s="55"/>
    </row>
    <row r="681" spans="1:28" ht="15" customHeight="1">
      <c r="A681" s="48"/>
      <c r="B681" s="48"/>
      <c r="C681" s="48"/>
      <c r="D681" s="79"/>
      <c r="E681" s="80"/>
      <c r="F681" s="227"/>
      <c r="G681" s="48"/>
      <c r="H681" s="49"/>
      <c r="I681" s="48"/>
      <c r="J681" s="48"/>
      <c r="K681" s="48"/>
      <c r="L681" s="48"/>
      <c r="M681" s="53"/>
      <c r="N681" s="54"/>
      <c r="O681" s="48"/>
      <c r="P681" s="48"/>
      <c r="Q681" s="48"/>
      <c r="R681" s="48"/>
      <c r="S681" s="48"/>
      <c r="T681" s="48"/>
      <c r="U681" s="48"/>
      <c r="V681" s="48"/>
      <c r="W681" s="55"/>
      <c r="X681" s="55"/>
      <c r="Y681" s="55"/>
      <c r="Z681" s="55"/>
      <c r="AA681" s="55"/>
      <c r="AB681" s="55"/>
    </row>
    <row r="682" spans="1:28" ht="15" customHeight="1">
      <c r="A682" s="48"/>
      <c r="B682" s="48"/>
      <c r="C682" s="48"/>
      <c r="D682" s="79"/>
      <c r="E682" s="80"/>
      <c r="F682" s="227"/>
      <c r="G682" s="48"/>
      <c r="H682" s="49"/>
      <c r="I682" s="48"/>
      <c r="J682" s="48"/>
      <c r="K682" s="48"/>
      <c r="L682" s="48"/>
      <c r="M682" s="53"/>
      <c r="N682" s="54"/>
      <c r="O682" s="48"/>
      <c r="P682" s="48"/>
      <c r="Q682" s="48"/>
      <c r="R682" s="48"/>
      <c r="S682" s="48"/>
      <c r="T682" s="48"/>
      <c r="U682" s="48"/>
      <c r="V682" s="48"/>
      <c r="W682" s="55"/>
      <c r="X682" s="55"/>
      <c r="Y682" s="55"/>
      <c r="Z682" s="55"/>
      <c r="AA682" s="55"/>
      <c r="AB682" s="55"/>
    </row>
    <row r="683" spans="1:28" ht="15" customHeight="1">
      <c r="A683" s="48"/>
      <c r="B683" s="48"/>
      <c r="C683" s="48"/>
      <c r="D683" s="79"/>
      <c r="E683" s="80"/>
      <c r="F683" s="227"/>
      <c r="G683" s="48"/>
      <c r="H683" s="49"/>
      <c r="I683" s="48"/>
      <c r="J683" s="48"/>
      <c r="K683" s="48"/>
      <c r="L683" s="48"/>
      <c r="M683" s="53"/>
      <c r="N683" s="54"/>
      <c r="O683" s="48"/>
      <c r="P683" s="48"/>
      <c r="Q683" s="48"/>
      <c r="R683" s="48"/>
      <c r="S683" s="48"/>
      <c r="T683" s="48"/>
      <c r="U683" s="48"/>
      <c r="V683" s="48"/>
      <c r="W683" s="55"/>
      <c r="X683" s="55"/>
      <c r="Y683" s="55"/>
      <c r="Z683" s="55"/>
      <c r="AA683" s="55"/>
      <c r="AB683" s="55"/>
    </row>
    <row r="684" spans="1:28" ht="15" customHeight="1">
      <c r="A684" s="48"/>
      <c r="B684" s="48"/>
      <c r="C684" s="48"/>
      <c r="D684" s="79"/>
      <c r="E684" s="80"/>
      <c r="F684" s="227"/>
      <c r="G684" s="48"/>
      <c r="H684" s="49"/>
      <c r="I684" s="48"/>
      <c r="J684" s="48"/>
      <c r="K684" s="48"/>
      <c r="L684" s="48"/>
      <c r="M684" s="53"/>
      <c r="N684" s="54"/>
      <c r="O684" s="48"/>
      <c r="P684" s="48"/>
      <c r="Q684" s="48"/>
      <c r="R684" s="48"/>
      <c r="S684" s="48"/>
      <c r="T684" s="48"/>
      <c r="U684" s="48"/>
      <c r="V684" s="48"/>
      <c r="W684" s="55"/>
      <c r="X684" s="55"/>
      <c r="Y684" s="55"/>
      <c r="Z684" s="55"/>
      <c r="AA684" s="55"/>
      <c r="AB684" s="55"/>
    </row>
    <row r="685" spans="1:28" ht="15.75" customHeight="1">
      <c r="A685" s="55"/>
      <c r="B685" s="55"/>
      <c r="C685" s="55"/>
      <c r="D685" s="55"/>
      <c r="E685" s="55"/>
      <c r="F685" s="55"/>
      <c r="G685" s="55"/>
      <c r="H685" s="228"/>
      <c r="I685" s="55"/>
      <c r="J685" s="55"/>
      <c r="K685" s="55"/>
      <c r="L685" s="55"/>
      <c r="M685" s="229"/>
      <c r="N685" s="230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5.75" customHeight="1">
      <c r="A686" s="55"/>
      <c r="B686" s="55"/>
      <c r="C686" s="55"/>
      <c r="D686" s="55"/>
      <c r="E686" s="55"/>
      <c r="F686" s="55"/>
      <c r="G686" s="55"/>
      <c r="H686" s="228"/>
      <c r="I686" s="55"/>
      <c r="J686" s="55"/>
      <c r="K686" s="55"/>
      <c r="L686" s="55"/>
      <c r="M686" s="229"/>
      <c r="N686" s="230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5.75" customHeight="1">
      <c r="A687" s="55"/>
      <c r="B687" s="55"/>
      <c r="C687" s="55"/>
      <c r="D687" s="55"/>
      <c r="E687" s="55"/>
      <c r="F687" s="55"/>
      <c r="G687" s="55"/>
      <c r="H687" s="228"/>
      <c r="I687" s="55"/>
      <c r="J687" s="55"/>
      <c r="K687" s="55"/>
      <c r="L687" s="55"/>
      <c r="M687" s="229"/>
      <c r="N687" s="230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5.75" customHeight="1">
      <c r="A688" s="55"/>
      <c r="B688" s="55"/>
      <c r="C688" s="55"/>
      <c r="D688" s="55"/>
      <c r="E688" s="55"/>
      <c r="F688" s="55"/>
      <c r="G688" s="55"/>
      <c r="H688" s="228"/>
      <c r="I688" s="55"/>
      <c r="J688" s="55"/>
      <c r="K688" s="55"/>
      <c r="L688" s="55"/>
      <c r="M688" s="229"/>
      <c r="N688" s="230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5.75" customHeight="1">
      <c r="A689" s="55"/>
      <c r="B689" s="55"/>
      <c r="C689" s="55"/>
      <c r="D689" s="55"/>
      <c r="E689" s="55"/>
      <c r="F689" s="55"/>
      <c r="G689" s="55"/>
      <c r="H689" s="228"/>
      <c r="I689" s="55"/>
      <c r="J689" s="55"/>
      <c r="K689" s="55"/>
      <c r="L689" s="55"/>
      <c r="M689" s="229"/>
      <c r="N689" s="230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5.75" customHeight="1">
      <c r="A690" s="55"/>
      <c r="B690" s="55"/>
      <c r="C690" s="55"/>
      <c r="D690" s="55"/>
      <c r="E690" s="55"/>
      <c r="F690" s="55"/>
      <c r="G690" s="55"/>
      <c r="H690" s="228"/>
      <c r="I690" s="55"/>
      <c r="J690" s="55"/>
      <c r="K690" s="55"/>
      <c r="L690" s="55"/>
      <c r="M690" s="229"/>
      <c r="N690" s="230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5.75" customHeight="1">
      <c r="A691" s="55"/>
      <c r="B691" s="55"/>
      <c r="C691" s="55"/>
      <c r="D691" s="55"/>
      <c r="E691" s="55"/>
      <c r="F691" s="55"/>
      <c r="G691" s="55"/>
      <c r="H691" s="228"/>
      <c r="I691" s="55"/>
      <c r="J691" s="55"/>
      <c r="K691" s="55"/>
      <c r="L691" s="55"/>
      <c r="M691" s="229"/>
      <c r="N691" s="230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5.75" customHeight="1">
      <c r="A692" s="55"/>
      <c r="B692" s="55"/>
      <c r="C692" s="55"/>
      <c r="D692" s="55"/>
      <c r="E692" s="55"/>
      <c r="F692" s="55"/>
      <c r="G692" s="55"/>
      <c r="H692" s="228"/>
      <c r="I692" s="55"/>
      <c r="J692" s="55"/>
      <c r="K692" s="55"/>
      <c r="L692" s="55"/>
      <c r="M692" s="229"/>
      <c r="N692" s="230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5.75" customHeight="1">
      <c r="A693" s="55"/>
      <c r="B693" s="55"/>
      <c r="C693" s="55"/>
      <c r="D693" s="55"/>
      <c r="E693" s="55"/>
      <c r="F693" s="55"/>
      <c r="G693" s="55"/>
      <c r="H693" s="228"/>
      <c r="I693" s="55"/>
      <c r="J693" s="55"/>
      <c r="K693" s="55"/>
      <c r="L693" s="55"/>
      <c r="M693" s="229"/>
      <c r="N693" s="230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5.75" customHeight="1">
      <c r="A694" s="55"/>
      <c r="B694" s="55"/>
      <c r="C694" s="55"/>
      <c r="D694" s="55"/>
      <c r="E694" s="55"/>
      <c r="F694" s="55"/>
      <c r="G694" s="55"/>
      <c r="H694" s="228"/>
      <c r="I694" s="55"/>
      <c r="J694" s="55"/>
      <c r="K694" s="55"/>
      <c r="L694" s="55"/>
      <c r="M694" s="229"/>
      <c r="N694" s="230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5.75" customHeight="1">
      <c r="A695" s="55"/>
      <c r="B695" s="55"/>
      <c r="C695" s="55"/>
      <c r="D695" s="55"/>
      <c r="E695" s="55"/>
      <c r="F695" s="55"/>
      <c r="G695" s="55"/>
      <c r="H695" s="228"/>
      <c r="I695" s="55"/>
      <c r="J695" s="55"/>
      <c r="K695" s="55"/>
      <c r="L695" s="55"/>
      <c r="M695" s="229"/>
      <c r="N695" s="230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5.75" customHeight="1">
      <c r="A696" s="55"/>
      <c r="B696" s="55"/>
      <c r="C696" s="55"/>
      <c r="D696" s="55"/>
      <c r="E696" s="55"/>
      <c r="F696" s="55"/>
      <c r="G696" s="55"/>
      <c r="H696" s="228"/>
      <c r="I696" s="55"/>
      <c r="J696" s="55"/>
      <c r="K696" s="55"/>
      <c r="L696" s="55"/>
      <c r="M696" s="229"/>
      <c r="N696" s="230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5.75" customHeight="1">
      <c r="A697" s="55"/>
      <c r="B697" s="55"/>
      <c r="C697" s="55"/>
      <c r="D697" s="55"/>
      <c r="E697" s="55"/>
      <c r="F697" s="55"/>
      <c r="G697" s="55"/>
      <c r="H697" s="228"/>
      <c r="I697" s="55"/>
      <c r="J697" s="55"/>
      <c r="K697" s="55"/>
      <c r="L697" s="55"/>
      <c r="M697" s="229"/>
      <c r="N697" s="230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5.75" customHeight="1">
      <c r="A698" s="55"/>
      <c r="B698" s="55"/>
      <c r="C698" s="55"/>
      <c r="D698" s="55"/>
      <c r="E698" s="55"/>
      <c r="F698" s="55"/>
      <c r="G698" s="55"/>
      <c r="H698" s="228"/>
      <c r="I698" s="55"/>
      <c r="J698" s="55"/>
      <c r="K698" s="55"/>
      <c r="L698" s="55"/>
      <c r="M698" s="229"/>
      <c r="N698" s="230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5.75" customHeight="1">
      <c r="A699" s="55"/>
      <c r="B699" s="55"/>
      <c r="C699" s="55"/>
      <c r="D699" s="55"/>
      <c r="E699" s="55"/>
      <c r="F699" s="55"/>
      <c r="G699" s="55"/>
      <c r="H699" s="228"/>
      <c r="I699" s="55"/>
      <c r="J699" s="55"/>
      <c r="K699" s="55"/>
      <c r="L699" s="55"/>
      <c r="M699" s="229"/>
      <c r="N699" s="230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5.75" customHeight="1">
      <c r="A700" s="55"/>
      <c r="B700" s="55"/>
      <c r="C700" s="55"/>
      <c r="D700" s="55"/>
      <c r="E700" s="55"/>
      <c r="F700" s="55"/>
      <c r="G700" s="55"/>
      <c r="H700" s="228"/>
      <c r="I700" s="55"/>
      <c r="J700" s="55"/>
      <c r="K700" s="55"/>
      <c r="L700" s="55"/>
      <c r="M700" s="229"/>
      <c r="N700" s="230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5.75" customHeight="1">
      <c r="A701" s="55"/>
      <c r="B701" s="55"/>
      <c r="C701" s="55"/>
      <c r="D701" s="55"/>
      <c r="E701" s="55"/>
      <c r="F701" s="55"/>
      <c r="G701" s="55"/>
      <c r="H701" s="228"/>
      <c r="I701" s="55"/>
      <c r="J701" s="55"/>
      <c r="K701" s="55"/>
      <c r="L701" s="55"/>
      <c r="M701" s="229"/>
      <c r="N701" s="230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5.75" customHeight="1">
      <c r="A702" s="55"/>
      <c r="B702" s="55"/>
      <c r="C702" s="55"/>
      <c r="D702" s="55"/>
      <c r="E702" s="55"/>
      <c r="F702" s="55"/>
      <c r="G702" s="55"/>
      <c r="H702" s="228"/>
      <c r="I702" s="55"/>
      <c r="J702" s="55"/>
      <c r="K702" s="55"/>
      <c r="L702" s="55"/>
      <c r="M702" s="229"/>
      <c r="N702" s="230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5.75" customHeight="1">
      <c r="A703" s="55"/>
      <c r="B703" s="55"/>
      <c r="C703" s="55"/>
      <c r="D703" s="55"/>
      <c r="E703" s="55"/>
      <c r="F703" s="55"/>
      <c r="G703" s="55"/>
      <c r="H703" s="228"/>
      <c r="I703" s="55"/>
      <c r="J703" s="55"/>
      <c r="K703" s="55"/>
      <c r="L703" s="55"/>
      <c r="M703" s="229"/>
      <c r="N703" s="230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5.75" customHeight="1">
      <c r="A704" s="55"/>
      <c r="B704" s="55"/>
      <c r="C704" s="55"/>
      <c r="D704" s="55"/>
      <c r="E704" s="55"/>
      <c r="F704" s="55"/>
      <c r="G704" s="55"/>
      <c r="H704" s="228"/>
      <c r="I704" s="55"/>
      <c r="J704" s="55"/>
      <c r="K704" s="55"/>
      <c r="L704" s="55"/>
      <c r="M704" s="229"/>
      <c r="N704" s="230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5.75" customHeight="1">
      <c r="A705" s="55"/>
      <c r="B705" s="55"/>
      <c r="C705" s="55"/>
      <c r="D705" s="55"/>
      <c r="E705" s="55"/>
      <c r="F705" s="55"/>
      <c r="G705" s="55"/>
      <c r="H705" s="228"/>
      <c r="I705" s="55"/>
      <c r="J705" s="55"/>
      <c r="K705" s="55"/>
      <c r="L705" s="55"/>
      <c r="M705" s="229"/>
      <c r="N705" s="230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5.75" customHeight="1">
      <c r="A706" s="55"/>
      <c r="B706" s="55"/>
      <c r="C706" s="55"/>
      <c r="D706" s="55"/>
      <c r="E706" s="55"/>
      <c r="F706" s="55"/>
      <c r="G706" s="55"/>
      <c r="H706" s="228"/>
      <c r="I706" s="55"/>
      <c r="J706" s="55"/>
      <c r="K706" s="55"/>
      <c r="L706" s="55"/>
      <c r="M706" s="229"/>
      <c r="N706" s="230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5.75" customHeight="1">
      <c r="A707" s="55"/>
      <c r="B707" s="55"/>
      <c r="C707" s="55"/>
      <c r="D707" s="55"/>
      <c r="E707" s="55"/>
      <c r="F707" s="55"/>
      <c r="G707" s="55"/>
      <c r="H707" s="228"/>
      <c r="I707" s="55"/>
      <c r="J707" s="55"/>
      <c r="K707" s="55"/>
      <c r="L707" s="55"/>
      <c r="M707" s="229"/>
      <c r="N707" s="230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5.75" customHeight="1">
      <c r="A708" s="55"/>
      <c r="B708" s="55"/>
      <c r="C708" s="55"/>
      <c r="D708" s="55"/>
      <c r="E708" s="55"/>
      <c r="F708" s="55"/>
      <c r="G708" s="55"/>
      <c r="H708" s="228"/>
      <c r="I708" s="55"/>
      <c r="J708" s="55"/>
      <c r="K708" s="55"/>
      <c r="L708" s="55"/>
      <c r="M708" s="229"/>
      <c r="N708" s="230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5.75" customHeight="1">
      <c r="A709" s="55"/>
      <c r="B709" s="55"/>
      <c r="C709" s="55"/>
      <c r="D709" s="55"/>
      <c r="E709" s="55"/>
      <c r="F709" s="55"/>
      <c r="G709" s="55"/>
      <c r="H709" s="228"/>
      <c r="I709" s="55"/>
      <c r="J709" s="55"/>
      <c r="K709" s="55"/>
      <c r="L709" s="55"/>
      <c r="M709" s="229"/>
      <c r="N709" s="230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5.75" customHeight="1">
      <c r="A710" s="55"/>
      <c r="B710" s="55"/>
      <c r="C710" s="55"/>
      <c r="D710" s="55"/>
      <c r="E710" s="55"/>
      <c r="F710" s="55"/>
      <c r="G710" s="55"/>
      <c r="H710" s="228"/>
      <c r="I710" s="55"/>
      <c r="J710" s="55"/>
      <c r="K710" s="55"/>
      <c r="L710" s="55"/>
      <c r="M710" s="229"/>
      <c r="N710" s="230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5.75" customHeight="1">
      <c r="A711" s="55"/>
      <c r="B711" s="55"/>
      <c r="C711" s="55"/>
      <c r="D711" s="55"/>
      <c r="E711" s="55"/>
      <c r="F711" s="55"/>
      <c r="G711" s="55"/>
      <c r="H711" s="228"/>
      <c r="I711" s="55"/>
      <c r="J711" s="55"/>
      <c r="K711" s="55"/>
      <c r="L711" s="55"/>
      <c r="M711" s="229"/>
      <c r="N711" s="230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5.75" customHeight="1">
      <c r="A712" s="55"/>
      <c r="B712" s="55"/>
      <c r="C712" s="55"/>
      <c r="D712" s="55"/>
      <c r="E712" s="55"/>
      <c r="F712" s="55"/>
      <c r="G712" s="55"/>
      <c r="H712" s="228"/>
      <c r="I712" s="55"/>
      <c r="J712" s="55"/>
      <c r="K712" s="55"/>
      <c r="L712" s="55"/>
      <c r="M712" s="229"/>
      <c r="N712" s="230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5.75" customHeight="1">
      <c r="A713" s="55"/>
      <c r="B713" s="55"/>
      <c r="C713" s="55"/>
      <c r="D713" s="55"/>
      <c r="E713" s="55"/>
      <c r="F713" s="55"/>
      <c r="G713" s="55"/>
      <c r="H713" s="228"/>
      <c r="I713" s="55"/>
      <c r="J713" s="55"/>
      <c r="K713" s="55"/>
      <c r="L713" s="55"/>
      <c r="M713" s="229"/>
      <c r="N713" s="230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5.75" customHeight="1">
      <c r="A714" s="55"/>
      <c r="B714" s="55"/>
      <c r="C714" s="55"/>
      <c r="D714" s="55"/>
      <c r="E714" s="55"/>
      <c r="F714" s="55"/>
      <c r="G714" s="55"/>
      <c r="H714" s="228"/>
      <c r="I714" s="55"/>
      <c r="J714" s="55"/>
      <c r="K714" s="55"/>
      <c r="L714" s="55"/>
      <c r="M714" s="229"/>
      <c r="N714" s="230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5.75" customHeight="1">
      <c r="A715" s="55"/>
      <c r="B715" s="55"/>
      <c r="C715" s="55"/>
      <c r="D715" s="55"/>
      <c r="E715" s="55"/>
      <c r="F715" s="55"/>
      <c r="G715" s="55"/>
      <c r="H715" s="228"/>
      <c r="I715" s="55"/>
      <c r="J715" s="55"/>
      <c r="K715" s="55"/>
      <c r="L715" s="55"/>
      <c r="M715" s="229"/>
      <c r="N715" s="230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5.75" customHeight="1">
      <c r="A716" s="55"/>
      <c r="B716" s="55"/>
      <c r="C716" s="55"/>
      <c r="D716" s="55"/>
      <c r="E716" s="55"/>
      <c r="F716" s="55"/>
      <c r="G716" s="55"/>
      <c r="H716" s="228"/>
      <c r="I716" s="55"/>
      <c r="J716" s="55"/>
      <c r="K716" s="55"/>
      <c r="L716" s="55"/>
      <c r="M716" s="229"/>
      <c r="N716" s="230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5.75" customHeight="1">
      <c r="A717" s="55"/>
      <c r="B717" s="55"/>
      <c r="C717" s="55"/>
      <c r="D717" s="55"/>
      <c r="E717" s="55"/>
      <c r="F717" s="55"/>
      <c r="G717" s="55"/>
      <c r="H717" s="228"/>
      <c r="I717" s="55"/>
      <c r="J717" s="55"/>
      <c r="K717" s="55"/>
      <c r="L717" s="55"/>
      <c r="M717" s="229"/>
      <c r="N717" s="230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5.75" customHeight="1">
      <c r="A718" s="55"/>
      <c r="B718" s="55"/>
      <c r="C718" s="55"/>
      <c r="D718" s="55"/>
      <c r="E718" s="55"/>
      <c r="F718" s="55"/>
      <c r="G718" s="55"/>
      <c r="H718" s="228"/>
      <c r="I718" s="55"/>
      <c r="J718" s="55"/>
      <c r="K718" s="55"/>
      <c r="L718" s="55"/>
      <c r="M718" s="229"/>
      <c r="N718" s="230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5.75" customHeight="1">
      <c r="A719" s="55"/>
      <c r="B719" s="55"/>
      <c r="C719" s="55"/>
      <c r="D719" s="55"/>
      <c r="E719" s="55"/>
      <c r="F719" s="55"/>
      <c r="G719" s="55"/>
      <c r="H719" s="228"/>
      <c r="I719" s="55"/>
      <c r="J719" s="55"/>
      <c r="K719" s="55"/>
      <c r="L719" s="55"/>
      <c r="M719" s="229"/>
      <c r="N719" s="230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5.75" customHeight="1">
      <c r="A720" s="55"/>
      <c r="B720" s="55"/>
      <c r="C720" s="55"/>
      <c r="D720" s="55"/>
      <c r="E720" s="55"/>
      <c r="F720" s="55"/>
      <c r="G720" s="55"/>
      <c r="H720" s="228"/>
      <c r="I720" s="55"/>
      <c r="J720" s="55"/>
      <c r="K720" s="55"/>
      <c r="L720" s="55"/>
      <c r="M720" s="229"/>
      <c r="N720" s="230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5.75" customHeight="1">
      <c r="A721" s="55"/>
      <c r="B721" s="55"/>
      <c r="C721" s="55"/>
      <c r="D721" s="55"/>
      <c r="E721" s="55"/>
      <c r="F721" s="55"/>
      <c r="G721" s="55"/>
      <c r="H721" s="228"/>
      <c r="I721" s="55"/>
      <c r="J721" s="55"/>
      <c r="K721" s="55"/>
      <c r="L721" s="55"/>
      <c r="M721" s="229"/>
      <c r="N721" s="230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5.75" customHeight="1">
      <c r="A722" s="55"/>
      <c r="B722" s="55"/>
      <c r="C722" s="55"/>
      <c r="D722" s="55"/>
      <c r="E722" s="55"/>
      <c r="F722" s="55"/>
      <c r="G722" s="55"/>
      <c r="H722" s="228"/>
      <c r="I722" s="55"/>
      <c r="J722" s="55"/>
      <c r="K722" s="55"/>
      <c r="L722" s="55"/>
      <c r="M722" s="229"/>
      <c r="N722" s="230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5.75" customHeight="1">
      <c r="A723" s="55"/>
      <c r="B723" s="55"/>
      <c r="C723" s="55"/>
      <c r="D723" s="55"/>
      <c r="E723" s="55"/>
      <c r="F723" s="55"/>
      <c r="G723" s="55"/>
      <c r="H723" s="228"/>
      <c r="I723" s="55"/>
      <c r="J723" s="55"/>
      <c r="K723" s="55"/>
      <c r="L723" s="55"/>
      <c r="M723" s="229"/>
      <c r="N723" s="230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5.75" customHeight="1">
      <c r="A724" s="55"/>
      <c r="B724" s="55"/>
      <c r="C724" s="55"/>
      <c r="D724" s="55"/>
      <c r="E724" s="55"/>
      <c r="F724" s="55"/>
      <c r="G724" s="55"/>
      <c r="H724" s="228"/>
      <c r="I724" s="55"/>
      <c r="J724" s="55"/>
      <c r="K724" s="55"/>
      <c r="L724" s="55"/>
      <c r="M724" s="229"/>
      <c r="N724" s="230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5.75" customHeight="1">
      <c r="A725" s="55"/>
      <c r="B725" s="55"/>
      <c r="C725" s="55"/>
      <c r="D725" s="55"/>
      <c r="E725" s="55"/>
      <c r="F725" s="55"/>
      <c r="G725" s="55"/>
      <c r="H725" s="228"/>
      <c r="I725" s="55"/>
      <c r="J725" s="55"/>
      <c r="K725" s="55"/>
      <c r="L725" s="55"/>
      <c r="M725" s="229"/>
      <c r="N725" s="230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5.75" customHeight="1">
      <c r="A726" s="55"/>
      <c r="B726" s="55"/>
      <c r="C726" s="55"/>
      <c r="D726" s="55"/>
      <c r="E726" s="55"/>
      <c r="F726" s="55"/>
      <c r="G726" s="55"/>
      <c r="H726" s="228"/>
      <c r="I726" s="55"/>
      <c r="J726" s="55"/>
      <c r="K726" s="55"/>
      <c r="L726" s="55"/>
      <c r="M726" s="229"/>
      <c r="N726" s="230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5.75" customHeight="1">
      <c r="A727" s="55"/>
      <c r="B727" s="55"/>
      <c r="C727" s="55"/>
      <c r="D727" s="55"/>
      <c r="E727" s="55"/>
      <c r="F727" s="55"/>
      <c r="G727" s="55"/>
      <c r="H727" s="228"/>
      <c r="I727" s="55"/>
      <c r="J727" s="55"/>
      <c r="K727" s="55"/>
      <c r="L727" s="55"/>
      <c r="M727" s="229"/>
      <c r="N727" s="230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5.75" customHeight="1">
      <c r="A728" s="55"/>
      <c r="B728" s="55"/>
      <c r="C728" s="55"/>
      <c r="D728" s="55"/>
      <c r="E728" s="55"/>
      <c r="F728" s="55"/>
      <c r="G728" s="55"/>
      <c r="H728" s="228"/>
      <c r="I728" s="55"/>
      <c r="J728" s="55"/>
      <c r="K728" s="55"/>
      <c r="L728" s="55"/>
      <c r="M728" s="229"/>
      <c r="N728" s="230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5.75" customHeight="1">
      <c r="A729" s="55"/>
      <c r="B729" s="55"/>
      <c r="C729" s="55"/>
      <c r="D729" s="55"/>
      <c r="E729" s="55"/>
      <c r="F729" s="55"/>
      <c r="G729" s="55"/>
      <c r="H729" s="228"/>
      <c r="I729" s="55"/>
      <c r="J729" s="55"/>
      <c r="K729" s="55"/>
      <c r="L729" s="55"/>
      <c r="M729" s="229"/>
      <c r="N729" s="230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5.75" customHeight="1">
      <c r="A730" s="55"/>
      <c r="B730" s="55"/>
      <c r="C730" s="55"/>
      <c r="D730" s="55"/>
      <c r="E730" s="55"/>
      <c r="F730" s="55"/>
      <c r="G730" s="55"/>
      <c r="H730" s="228"/>
      <c r="I730" s="55"/>
      <c r="J730" s="55"/>
      <c r="K730" s="55"/>
      <c r="L730" s="55"/>
      <c r="M730" s="229"/>
      <c r="N730" s="230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5.75" customHeight="1">
      <c r="A731" s="55"/>
      <c r="B731" s="55"/>
      <c r="C731" s="55"/>
      <c r="D731" s="55"/>
      <c r="E731" s="55"/>
      <c r="F731" s="55"/>
      <c r="G731" s="55"/>
      <c r="H731" s="228"/>
      <c r="I731" s="55"/>
      <c r="J731" s="55"/>
      <c r="K731" s="55"/>
      <c r="L731" s="55"/>
      <c r="M731" s="229"/>
      <c r="N731" s="230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5.75" customHeight="1">
      <c r="A732" s="55"/>
      <c r="B732" s="55"/>
      <c r="C732" s="55"/>
      <c r="D732" s="55"/>
      <c r="E732" s="55"/>
      <c r="F732" s="55"/>
      <c r="G732" s="55"/>
      <c r="H732" s="228"/>
      <c r="I732" s="55"/>
      <c r="J732" s="55"/>
      <c r="K732" s="55"/>
      <c r="L732" s="55"/>
      <c r="M732" s="229"/>
      <c r="N732" s="230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5.75" customHeight="1">
      <c r="A733" s="55"/>
      <c r="B733" s="55"/>
      <c r="C733" s="55"/>
      <c r="D733" s="55"/>
      <c r="E733" s="55"/>
      <c r="F733" s="55"/>
      <c r="G733" s="55"/>
      <c r="H733" s="228"/>
      <c r="I733" s="55"/>
      <c r="J733" s="55"/>
      <c r="K733" s="55"/>
      <c r="L733" s="55"/>
      <c r="M733" s="229"/>
      <c r="N733" s="230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5.75" customHeight="1">
      <c r="A734" s="55"/>
      <c r="B734" s="55"/>
      <c r="C734" s="55"/>
      <c r="D734" s="55"/>
      <c r="E734" s="55"/>
      <c r="F734" s="55"/>
      <c r="G734" s="55"/>
      <c r="H734" s="228"/>
      <c r="I734" s="55"/>
      <c r="J734" s="55"/>
      <c r="K734" s="55"/>
      <c r="L734" s="55"/>
      <c r="M734" s="229"/>
      <c r="N734" s="230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5.75" customHeight="1">
      <c r="A735" s="55"/>
      <c r="B735" s="55"/>
      <c r="C735" s="55"/>
      <c r="D735" s="55"/>
      <c r="E735" s="55"/>
      <c r="F735" s="55"/>
      <c r="G735" s="55"/>
      <c r="H735" s="228"/>
      <c r="I735" s="55"/>
      <c r="J735" s="55"/>
      <c r="K735" s="55"/>
      <c r="L735" s="55"/>
      <c r="M735" s="229"/>
      <c r="N735" s="230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5.75" customHeight="1">
      <c r="A736" s="55"/>
      <c r="B736" s="55"/>
      <c r="C736" s="55"/>
      <c r="D736" s="55"/>
      <c r="E736" s="55"/>
      <c r="F736" s="55"/>
      <c r="G736" s="55"/>
      <c r="H736" s="228"/>
      <c r="I736" s="55"/>
      <c r="J736" s="55"/>
      <c r="K736" s="55"/>
      <c r="L736" s="55"/>
      <c r="M736" s="229"/>
      <c r="N736" s="230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5.75" customHeight="1">
      <c r="A737" s="55"/>
      <c r="B737" s="55"/>
      <c r="C737" s="55"/>
      <c r="D737" s="55"/>
      <c r="E737" s="55"/>
      <c r="F737" s="55"/>
      <c r="G737" s="55"/>
      <c r="H737" s="228"/>
      <c r="I737" s="55"/>
      <c r="J737" s="55"/>
      <c r="K737" s="55"/>
      <c r="L737" s="55"/>
      <c r="M737" s="229"/>
      <c r="N737" s="230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5.75" customHeight="1">
      <c r="A738" s="55"/>
      <c r="B738" s="55"/>
      <c r="C738" s="55"/>
      <c r="D738" s="55"/>
      <c r="E738" s="55"/>
      <c r="F738" s="55"/>
      <c r="G738" s="55"/>
      <c r="H738" s="228"/>
      <c r="I738" s="55"/>
      <c r="J738" s="55"/>
      <c r="K738" s="55"/>
      <c r="L738" s="55"/>
      <c r="M738" s="229"/>
      <c r="N738" s="230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5.75" customHeight="1">
      <c r="A739" s="55"/>
      <c r="B739" s="55"/>
      <c r="C739" s="55"/>
      <c r="D739" s="55"/>
      <c r="E739" s="55"/>
      <c r="F739" s="55"/>
      <c r="G739" s="55"/>
      <c r="H739" s="228"/>
      <c r="I739" s="55"/>
      <c r="J739" s="55"/>
      <c r="K739" s="55"/>
      <c r="L739" s="55"/>
      <c r="M739" s="229"/>
      <c r="N739" s="230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5.75" customHeight="1">
      <c r="A740" s="55"/>
      <c r="B740" s="55"/>
      <c r="C740" s="55"/>
      <c r="D740" s="55"/>
      <c r="E740" s="55"/>
      <c r="F740" s="55"/>
      <c r="G740" s="55"/>
      <c r="H740" s="228"/>
      <c r="I740" s="55"/>
      <c r="J740" s="55"/>
      <c r="K740" s="55"/>
      <c r="L740" s="55"/>
      <c r="M740" s="229"/>
      <c r="N740" s="230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5.75" customHeight="1">
      <c r="A741" s="55"/>
      <c r="B741" s="55"/>
      <c r="C741" s="55"/>
      <c r="D741" s="55"/>
      <c r="E741" s="55"/>
      <c r="F741" s="55"/>
      <c r="G741" s="55"/>
      <c r="H741" s="228"/>
      <c r="I741" s="55"/>
      <c r="J741" s="55"/>
      <c r="K741" s="55"/>
      <c r="L741" s="55"/>
      <c r="M741" s="229"/>
      <c r="N741" s="230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5.75" customHeight="1">
      <c r="A742" s="55"/>
      <c r="B742" s="55"/>
      <c r="C742" s="55"/>
      <c r="D742" s="55"/>
      <c r="E742" s="55"/>
      <c r="F742" s="55"/>
      <c r="G742" s="55"/>
      <c r="H742" s="228"/>
      <c r="I742" s="55"/>
      <c r="J742" s="55"/>
      <c r="K742" s="55"/>
      <c r="L742" s="55"/>
      <c r="M742" s="229"/>
      <c r="N742" s="230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5.75" customHeight="1">
      <c r="A743" s="55"/>
      <c r="B743" s="55"/>
      <c r="C743" s="55"/>
      <c r="D743" s="55"/>
      <c r="E743" s="55"/>
      <c r="F743" s="55"/>
      <c r="G743" s="55"/>
      <c r="H743" s="228"/>
      <c r="I743" s="55"/>
      <c r="J743" s="55"/>
      <c r="K743" s="55"/>
      <c r="L743" s="55"/>
      <c r="M743" s="229"/>
      <c r="N743" s="230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5.75" customHeight="1">
      <c r="A744" s="55"/>
      <c r="B744" s="55"/>
      <c r="C744" s="55"/>
      <c r="D744" s="55"/>
      <c r="E744" s="55"/>
      <c r="F744" s="55"/>
      <c r="G744" s="55"/>
      <c r="H744" s="228"/>
      <c r="I744" s="55"/>
      <c r="J744" s="55"/>
      <c r="K744" s="55"/>
      <c r="L744" s="55"/>
      <c r="M744" s="229"/>
      <c r="N744" s="230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5.75" customHeight="1">
      <c r="A745" s="55"/>
      <c r="B745" s="55"/>
      <c r="C745" s="55"/>
      <c r="D745" s="55"/>
      <c r="E745" s="55"/>
      <c r="F745" s="55"/>
      <c r="G745" s="55"/>
      <c r="H745" s="228"/>
      <c r="I745" s="55"/>
      <c r="J745" s="55"/>
      <c r="K745" s="55"/>
      <c r="L745" s="55"/>
      <c r="M745" s="229"/>
      <c r="N745" s="230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5.75" customHeight="1">
      <c r="A746" s="55"/>
      <c r="B746" s="55"/>
      <c r="C746" s="55"/>
      <c r="D746" s="55"/>
      <c r="E746" s="55"/>
      <c r="F746" s="55"/>
      <c r="G746" s="55"/>
      <c r="H746" s="228"/>
      <c r="I746" s="55"/>
      <c r="J746" s="55"/>
      <c r="K746" s="55"/>
      <c r="L746" s="55"/>
      <c r="M746" s="229"/>
      <c r="N746" s="230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5.75" customHeight="1">
      <c r="A747" s="55"/>
      <c r="B747" s="55"/>
      <c r="C747" s="55"/>
      <c r="D747" s="55"/>
      <c r="E747" s="55"/>
      <c r="F747" s="55"/>
      <c r="G747" s="55"/>
      <c r="H747" s="228"/>
      <c r="I747" s="55"/>
      <c r="J747" s="55"/>
      <c r="K747" s="55"/>
      <c r="L747" s="55"/>
      <c r="M747" s="229"/>
      <c r="N747" s="230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5.75" customHeight="1">
      <c r="A748" s="55"/>
      <c r="B748" s="55"/>
      <c r="C748" s="55"/>
      <c r="D748" s="55"/>
      <c r="E748" s="55"/>
      <c r="F748" s="55"/>
      <c r="G748" s="55"/>
      <c r="H748" s="228"/>
      <c r="I748" s="55"/>
      <c r="J748" s="55"/>
      <c r="K748" s="55"/>
      <c r="L748" s="55"/>
      <c r="M748" s="229"/>
      <c r="N748" s="230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5.75" customHeight="1">
      <c r="A749" s="55"/>
      <c r="B749" s="55"/>
      <c r="C749" s="55"/>
      <c r="D749" s="55"/>
      <c r="E749" s="55"/>
      <c r="F749" s="55"/>
      <c r="G749" s="55"/>
      <c r="H749" s="228"/>
      <c r="I749" s="55"/>
      <c r="J749" s="55"/>
      <c r="K749" s="55"/>
      <c r="L749" s="55"/>
      <c r="M749" s="229"/>
      <c r="N749" s="230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5.75" customHeight="1">
      <c r="A750" s="55"/>
      <c r="B750" s="55"/>
      <c r="C750" s="55"/>
      <c r="D750" s="55"/>
      <c r="E750" s="55"/>
      <c r="F750" s="55"/>
      <c r="G750" s="55"/>
      <c r="H750" s="228"/>
      <c r="I750" s="55"/>
      <c r="J750" s="55"/>
      <c r="K750" s="55"/>
      <c r="L750" s="55"/>
      <c r="M750" s="229"/>
      <c r="N750" s="230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5.75" customHeight="1">
      <c r="A751" s="55"/>
      <c r="B751" s="55"/>
      <c r="C751" s="55"/>
      <c r="D751" s="55"/>
      <c r="E751" s="55"/>
      <c r="F751" s="55"/>
      <c r="G751" s="55"/>
      <c r="H751" s="228"/>
      <c r="I751" s="55"/>
      <c r="J751" s="55"/>
      <c r="K751" s="55"/>
      <c r="L751" s="55"/>
      <c r="M751" s="229"/>
      <c r="N751" s="230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5.75" customHeight="1">
      <c r="A752" s="55"/>
      <c r="B752" s="55"/>
      <c r="C752" s="55"/>
      <c r="D752" s="55"/>
      <c r="E752" s="55"/>
      <c r="F752" s="55"/>
      <c r="G752" s="55"/>
      <c r="H752" s="228"/>
      <c r="I752" s="55"/>
      <c r="J752" s="55"/>
      <c r="K752" s="55"/>
      <c r="L752" s="55"/>
      <c r="M752" s="229"/>
      <c r="N752" s="230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5.75" customHeight="1">
      <c r="A753" s="55"/>
      <c r="B753" s="55"/>
      <c r="C753" s="55"/>
      <c r="D753" s="55"/>
      <c r="E753" s="55"/>
      <c r="F753" s="55"/>
      <c r="G753" s="55"/>
      <c r="H753" s="228"/>
      <c r="I753" s="55"/>
      <c r="J753" s="55"/>
      <c r="K753" s="55"/>
      <c r="L753" s="55"/>
      <c r="M753" s="229"/>
      <c r="N753" s="230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5.75" customHeight="1">
      <c r="A754" s="55"/>
      <c r="B754" s="55"/>
      <c r="C754" s="55"/>
      <c r="D754" s="55"/>
      <c r="E754" s="55"/>
      <c r="F754" s="55"/>
      <c r="G754" s="55"/>
      <c r="H754" s="228"/>
      <c r="I754" s="55"/>
      <c r="J754" s="55"/>
      <c r="K754" s="55"/>
      <c r="L754" s="55"/>
      <c r="M754" s="229"/>
      <c r="N754" s="230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5.75" customHeight="1">
      <c r="A755" s="55"/>
      <c r="B755" s="55"/>
      <c r="C755" s="55"/>
      <c r="D755" s="55"/>
      <c r="E755" s="55"/>
      <c r="F755" s="55"/>
      <c r="G755" s="55"/>
      <c r="H755" s="228"/>
      <c r="I755" s="55"/>
      <c r="J755" s="55"/>
      <c r="K755" s="55"/>
      <c r="L755" s="55"/>
      <c r="M755" s="229"/>
      <c r="N755" s="230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5.75" customHeight="1">
      <c r="A756" s="55"/>
      <c r="B756" s="55"/>
      <c r="C756" s="55"/>
      <c r="D756" s="55"/>
      <c r="E756" s="55"/>
      <c r="F756" s="55"/>
      <c r="G756" s="55"/>
      <c r="H756" s="228"/>
      <c r="I756" s="55"/>
      <c r="J756" s="55"/>
      <c r="K756" s="55"/>
      <c r="L756" s="55"/>
      <c r="M756" s="229"/>
      <c r="N756" s="230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5.75" customHeight="1">
      <c r="A757" s="55"/>
      <c r="B757" s="55"/>
      <c r="C757" s="55"/>
      <c r="D757" s="55"/>
      <c r="E757" s="55"/>
      <c r="F757" s="55"/>
      <c r="G757" s="55"/>
      <c r="H757" s="228"/>
      <c r="I757" s="55"/>
      <c r="J757" s="55"/>
      <c r="K757" s="55"/>
      <c r="L757" s="55"/>
      <c r="M757" s="229"/>
      <c r="N757" s="230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5.75" customHeight="1">
      <c r="A758" s="55"/>
      <c r="B758" s="55"/>
      <c r="C758" s="55"/>
      <c r="D758" s="55"/>
      <c r="E758" s="55"/>
      <c r="F758" s="55"/>
      <c r="G758" s="55"/>
      <c r="H758" s="228"/>
      <c r="I758" s="55"/>
      <c r="J758" s="55"/>
      <c r="K758" s="55"/>
      <c r="L758" s="55"/>
      <c r="M758" s="229"/>
      <c r="N758" s="230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5.75" customHeight="1">
      <c r="A759" s="55"/>
      <c r="B759" s="55"/>
      <c r="C759" s="55"/>
      <c r="D759" s="55"/>
      <c r="E759" s="55"/>
      <c r="F759" s="55"/>
      <c r="G759" s="55"/>
      <c r="H759" s="228"/>
      <c r="I759" s="55"/>
      <c r="J759" s="55"/>
      <c r="K759" s="55"/>
      <c r="L759" s="55"/>
      <c r="M759" s="229"/>
      <c r="N759" s="230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5.75" customHeight="1">
      <c r="A760" s="55"/>
      <c r="B760" s="55"/>
      <c r="C760" s="55"/>
      <c r="D760" s="55"/>
      <c r="E760" s="55"/>
      <c r="F760" s="55"/>
      <c r="G760" s="55"/>
      <c r="H760" s="228"/>
      <c r="I760" s="55"/>
      <c r="J760" s="55"/>
      <c r="K760" s="55"/>
      <c r="L760" s="55"/>
      <c r="M760" s="229"/>
      <c r="N760" s="230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5.75" customHeight="1">
      <c r="A761" s="55"/>
      <c r="B761" s="55"/>
      <c r="C761" s="55"/>
      <c r="D761" s="55"/>
      <c r="E761" s="55"/>
      <c r="F761" s="55"/>
      <c r="G761" s="55"/>
      <c r="H761" s="228"/>
      <c r="I761" s="55"/>
      <c r="J761" s="55"/>
      <c r="K761" s="55"/>
      <c r="L761" s="55"/>
      <c r="M761" s="229"/>
      <c r="N761" s="230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5.75" customHeight="1">
      <c r="A762" s="55"/>
      <c r="B762" s="55"/>
      <c r="C762" s="55"/>
      <c r="D762" s="55"/>
      <c r="E762" s="55"/>
      <c r="F762" s="55"/>
      <c r="G762" s="55"/>
      <c r="H762" s="228"/>
      <c r="I762" s="55"/>
      <c r="J762" s="55"/>
      <c r="K762" s="55"/>
      <c r="L762" s="55"/>
      <c r="M762" s="229"/>
      <c r="N762" s="230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5.75" customHeight="1">
      <c r="A763" s="55"/>
      <c r="B763" s="55"/>
      <c r="C763" s="55"/>
      <c r="D763" s="55"/>
      <c r="E763" s="55"/>
      <c r="F763" s="55"/>
      <c r="G763" s="55"/>
      <c r="H763" s="228"/>
      <c r="I763" s="55"/>
      <c r="J763" s="55"/>
      <c r="K763" s="55"/>
      <c r="L763" s="55"/>
      <c r="M763" s="229"/>
      <c r="N763" s="230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5.75" customHeight="1">
      <c r="A764" s="55"/>
      <c r="B764" s="55"/>
      <c r="C764" s="55"/>
      <c r="D764" s="55"/>
      <c r="E764" s="55"/>
      <c r="F764" s="55"/>
      <c r="G764" s="55"/>
      <c r="H764" s="228"/>
      <c r="I764" s="55"/>
      <c r="J764" s="55"/>
      <c r="K764" s="55"/>
      <c r="L764" s="55"/>
      <c r="M764" s="229"/>
      <c r="N764" s="230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5.75" customHeight="1">
      <c r="A765" s="55"/>
      <c r="B765" s="55"/>
      <c r="C765" s="55"/>
      <c r="D765" s="55"/>
      <c r="E765" s="55"/>
      <c r="F765" s="55"/>
      <c r="G765" s="55"/>
      <c r="H765" s="228"/>
      <c r="I765" s="55"/>
      <c r="J765" s="55"/>
      <c r="K765" s="55"/>
      <c r="L765" s="55"/>
      <c r="M765" s="229"/>
      <c r="N765" s="230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5.75" customHeight="1">
      <c r="A766" s="55"/>
      <c r="B766" s="55"/>
      <c r="C766" s="55"/>
      <c r="D766" s="55"/>
      <c r="E766" s="55"/>
      <c r="F766" s="55"/>
      <c r="G766" s="55"/>
      <c r="H766" s="228"/>
      <c r="I766" s="55"/>
      <c r="J766" s="55"/>
      <c r="K766" s="55"/>
      <c r="L766" s="55"/>
      <c r="M766" s="229"/>
      <c r="N766" s="230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5.75" customHeight="1">
      <c r="A767" s="55"/>
      <c r="B767" s="55"/>
      <c r="C767" s="55"/>
      <c r="D767" s="55"/>
      <c r="E767" s="55"/>
      <c r="F767" s="55"/>
      <c r="G767" s="55"/>
      <c r="H767" s="228"/>
      <c r="I767" s="55"/>
      <c r="J767" s="55"/>
      <c r="K767" s="55"/>
      <c r="L767" s="55"/>
      <c r="M767" s="229"/>
      <c r="N767" s="230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5.75" customHeight="1">
      <c r="A768" s="55"/>
      <c r="B768" s="55"/>
      <c r="C768" s="55"/>
      <c r="D768" s="55"/>
      <c r="E768" s="55"/>
      <c r="F768" s="55"/>
      <c r="G768" s="55"/>
      <c r="H768" s="228"/>
      <c r="I768" s="55"/>
      <c r="J768" s="55"/>
      <c r="K768" s="55"/>
      <c r="L768" s="55"/>
      <c r="M768" s="229"/>
      <c r="N768" s="230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5.75" customHeight="1">
      <c r="A769" s="55"/>
      <c r="B769" s="55"/>
      <c r="C769" s="55"/>
      <c r="D769" s="55"/>
      <c r="E769" s="55"/>
      <c r="F769" s="55"/>
      <c r="G769" s="55"/>
      <c r="H769" s="228"/>
      <c r="I769" s="55"/>
      <c r="J769" s="55"/>
      <c r="K769" s="55"/>
      <c r="L769" s="55"/>
      <c r="M769" s="229"/>
      <c r="N769" s="230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5.75" customHeight="1">
      <c r="A770" s="55"/>
      <c r="B770" s="55"/>
      <c r="C770" s="55"/>
      <c r="D770" s="55"/>
      <c r="E770" s="55"/>
      <c r="F770" s="55"/>
      <c r="G770" s="55"/>
      <c r="H770" s="228"/>
      <c r="I770" s="55"/>
      <c r="J770" s="55"/>
      <c r="K770" s="55"/>
      <c r="L770" s="55"/>
      <c r="M770" s="229"/>
      <c r="N770" s="230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5.75" customHeight="1">
      <c r="A771" s="55"/>
      <c r="B771" s="55"/>
      <c r="C771" s="55"/>
      <c r="D771" s="55"/>
      <c r="E771" s="55"/>
      <c r="F771" s="55"/>
      <c r="G771" s="55"/>
      <c r="H771" s="228"/>
      <c r="I771" s="55"/>
      <c r="J771" s="55"/>
      <c r="K771" s="55"/>
      <c r="L771" s="55"/>
      <c r="M771" s="229"/>
      <c r="N771" s="230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5.75" customHeight="1">
      <c r="A772" s="55"/>
      <c r="B772" s="55"/>
      <c r="C772" s="55"/>
      <c r="D772" s="55"/>
      <c r="E772" s="55"/>
      <c r="F772" s="55"/>
      <c r="G772" s="55"/>
      <c r="H772" s="228"/>
      <c r="I772" s="55"/>
      <c r="J772" s="55"/>
      <c r="K772" s="55"/>
      <c r="L772" s="55"/>
      <c r="M772" s="229"/>
      <c r="N772" s="230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5.75" customHeight="1">
      <c r="A773" s="55"/>
      <c r="B773" s="55"/>
      <c r="C773" s="55"/>
      <c r="D773" s="55"/>
      <c r="E773" s="55"/>
      <c r="F773" s="55"/>
      <c r="G773" s="55"/>
      <c r="H773" s="228"/>
      <c r="I773" s="55"/>
      <c r="J773" s="55"/>
      <c r="K773" s="55"/>
      <c r="L773" s="55"/>
      <c r="M773" s="229"/>
      <c r="N773" s="230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5.75" customHeight="1">
      <c r="A774" s="55"/>
      <c r="B774" s="55"/>
      <c r="C774" s="55"/>
      <c r="D774" s="55"/>
      <c r="E774" s="55"/>
      <c r="F774" s="55"/>
      <c r="G774" s="55"/>
      <c r="H774" s="228"/>
      <c r="I774" s="55"/>
      <c r="J774" s="55"/>
      <c r="K774" s="55"/>
      <c r="L774" s="55"/>
      <c r="M774" s="229"/>
      <c r="N774" s="230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5.75" customHeight="1">
      <c r="A775" s="55"/>
      <c r="B775" s="55"/>
      <c r="C775" s="55"/>
      <c r="D775" s="55"/>
      <c r="E775" s="55"/>
      <c r="F775" s="55"/>
      <c r="G775" s="55"/>
      <c r="H775" s="228"/>
      <c r="I775" s="55"/>
      <c r="J775" s="55"/>
      <c r="K775" s="55"/>
      <c r="L775" s="55"/>
      <c r="M775" s="229"/>
      <c r="N775" s="230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5.75" customHeight="1">
      <c r="A776" s="55"/>
      <c r="B776" s="55"/>
      <c r="C776" s="55"/>
      <c r="D776" s="55"/>
      <c r="E776" s="55"/>
      <c r="F776" s="55"/>
      <c r="G776" s="55"/>
      <c r="H776" s="228"/>
      <c r="I776" s="55"/>
      <c r="J776" s="55"/>
      <c r="K776" s="55"/>
      <c r="L776" s="55"/>
      <c r="M776" s="229"/>
      <c r="N776" s="230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5.75" customHeight="1">
      <c r="A777" s="55"/>
      <c r="B777" s="55"/>
      <c r="C777" s="55"/>
      <c r="D777" s="55"/>
      <c r="E777" s="55"/>
      <c r="F777" s="55"/>
      <c r="G777" s="55"/>
      <c r="H777" s="228"/>
      <c r="I777" s="55"/>
      <c r="J777" s="55"/>
      <c r="K777" s="55"/>
      <c r="L777" s="55"/>
      <c r="M777" s="229"/>
      <c r="N777" s="230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5.75" customHeight="1">
      <c r="A778" s="55"/>
      <c r="B778" s="55"/>
      <c r="C778" s="55"/>
      <c r="D778" s="55"/>
      <c r="E778" s="55"/>
      <c r="F778" s="55"/>
      <c r="G778" s="55"/>
      <c r="H778" s="228"/>
      <c r="I778" s="55"/>
      <c r="J778" s="55"/>
      <c r="K778" s="55"/>
      <c r="L778" s="55"/>
      <c r="M778" s="229"/>
      <c r="N778" s="230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5.75" customHeight="1">
      <c r="A779" s="55"/>
      <c r="B779" s="55"/>
      <c r="C779" s="55"/>
      <c r="D779" s="55"/>
      <c r="E779" s="55"/>
      <c r="F779" s="55"/>
      <c r="G779" s="55"/>
      <c r="H779" s="228"/>
      <c r="I779" s="55"/>
      <c r="J779" s="55"/>
      <c r="K779" s="55"/>
      <c r="L779" s="55"/>
      <c r="M779" s="229"/>
      <c r="N779" s="230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5.75" customHeight="1">
      <c r="A780" s="55"/>
      <c r="B780" s="55"/>
      <c r="C780" s="55"/>
      <c r="D780" s="55"/>
      <c r="E780" s="55"/>
      <c r="F780" s="55"/>
      <c r="G780" s="55"/>
      <c r="H780" s="228"/>
      <c r="I780" s="55"/>
      <c r="J780" s="55"/>
      <c r="K780" s="55"/>
      <c r="L780" s="55"/>
      <c r="M780" s="229"/>
      <c r="N780" s="230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5.75" customHeight="1">
      <c r="A781" s="55"/>
      <c r="B781" s="55"/>
      <c r="C781" s="55"/>
      <c r="D781" s="55"/>
      <c r="E781" s="55"/>
      <c r="F781" s="55"/>
      <c r="G781" s="55"/>
      <c r="H781" s="228"/>
      <c r="I781" s="55"/>
      <c r="J781" s="55"/>
      <c r="K781" s="55"/>
      <c r="L781" s="55"/>
      <c r="M781" s="229"/>
      <c r="N781" s="230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5.75" customHeight="1">
      <c r="A782" s="55"/>
      <c r="B782" s="55"/>
      <c r="C782" s="55"/>
      <c r="D782" s="55"/>
      <c r="E782" s="55"/>
      <c r="F782" s="55"/>
      <c r="G782" s="55"/>
      <c r="H782" s="228"/>
      <c r="I782" s="55"/>
      <c r="J782" s="55"/>
      <c r="K782" s="55"/>
      <c r="L782" s="55"/>
      <c r="M782" s="229"/>
      <c r="N782" s="230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5.75" customHeight="1">
      <c r="A783" s="55"/>
      <c r="B783" s="55"/>
      <c r="C783" s="55"/>
      <c r="D783" s="55"/>
      <c r="E783" s="55"/>
      <c r="F783" s="55"/>
      <c r="G783" s="55"/>
      <c r="H783" s="228"/>
      <c r="I783" s="55"/>
      <c r="J783" s="55"/>
      <c r="K783" s="55"/>
      <c r="L783" s="55"/>
      <c r="M783" s="229"/>
      <c r="N783" s="230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5.75" customHeight="1">
      <c r="A784" s="55"/>
      <c r="B784" s="55"/>
      <c r="C784" s="55"/>
      <c r="D784" s="55"/>
      <c r="E784" s="55"/>
      <c r="F784" s="55"/>
      <c r="G784" s="55"/>
      <c r="H784" s="228"/>
      <c r="I784" s="55"/>
      <c r="J784" s="55"/>
      <c r="K784" s="55"/>
      <c r="L784" s="55"/>
      <c r="M784" s="229"/>
      <c r="N784" s="230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5.75" customHeight="1">
      <c r="A785" s="55"/>
      <c r="B785" s="55"/>
      <c r="C785" s="55"/>
      <c r="D785" s="55"/>
      <c r="E785" s="55"/>
      <c r="F785" s="55"/>
      <c r="G785" s="55"/>
      <c r="H785" s="228"/>
      <c r="I785" s="55"/>
      <c r="J785" s="55"/>
      <c r="K785" s="55"/>
      <c r="L785" s="55"/>
      <c r="M785" s="229"/>
      <c r="N785" s="230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5.75" customHeight="1">
      <c r="A786" s="55"/>
      <c r="B786" s="55"/>
      <c r="C786" s="55"/>
      <c r="D786" s="55"/>
      <c r="E786" s="55"/>
      <c r="F786" s="55"/>
      <c r="G786" s="55"/>
      <c r="H786" s="228"/>
      <c r="I786" s="55"/>
      <c r="J786" s="55"/>
      <c r="K786" s="55"/>
      <c r="L786" s="55"/>
      <c r="M786" s="229"/>
      <c r="N786" s="230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5.75" customHeight="1">
      <c r="A787" s="55"/>
      <c r="B787" s="55"/>
      <c r="C787" s="55"/>
      <c r="D787" s="55"/>
      <c r="E787" s="55"/>
      <c r="F787" s="55"/>
      <c r="G787" s="55"/>
      <c r="H787" s="228"/>
      <c r="I787" s="55"/>
      <c r="J787" s="55"/>
      <c r="K787" s="55"/>
      <c r="L787" s="55"/>
      <c r="M787" s="229"/>
      <c r="N787" s="230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5.75" customHeight="1">
      <c r="A788" s="55"/>
      <c r="B788" s="55"/>
      <c r="C788" s="55"/>
      <c r="D788" s="55"/>
      <c r="E788" s="55"/>
      <c r="F788" s="55"/>
      <c r="G788" s="55"/>
      <c r="H788" s="228"/>
      <c r="I788" s="55"/>
      <c r="J788" s="55"/>
      <c r="K788" s="55"/>
      <c r="L788" s="55"/>
      <c r="M788" s="229"/>
      <c r="N788" s="230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5.75" customHeight="1">
      <c r="A789" s="55"/>
      <c r="B789" s="55"/>
      <c r="C789" s="55"/>
      <c r="D789" s="55"/>
      <c r="E789" s="55"/>
      <c r="F789" s="55"/>
      <c r="G789" s="55"/>
      <c r="H789" s="228"/>
      <c r="I789" s="55"/>
      <c r="J789" s="55"/>
      <c r="K789" s="55"/>
      <c r="L789" s="55"/>
      <c r="M789" s="229"/>
      <c r="N789" s="230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5.75" customHeight="1">
      <c r="A790" s="55"/>
      <c r="B790" s="55"/>
      <c r="C790" s="55"/>
      <c r="D790" s="55"/>
      <c r="E790" s="55"/>
      <c r="F790" s="55"/>
      <c r="G790" s="55"/>
      <c r="H790" s="228"/>
      <c r="I790" s="55"/>
      <c r="J790" s="55"/>
      <c r="K790" s="55"/>
      <c r="L790" s="55"/>
      <c r="M790" s="229"/>
      <c r="N790" s="230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5.75" customHeight="1">
      <c r="A791" s="55"/>
      <c r="B791" s="55"/>
      <c r="C791" s="55"/>
      <c r="D791" s="55"/>
      <c r="E791" s="55"/>
      <c r="F791" s="55"/>
      <c r="G791" s="55"/>
      <c r="H791" s="228"/>
      <c r="I791" s="55"/>
      <c r="J791" s="55"/>
      <c r="K791" s="55"/>
      <c r="L791" s="55"/>
      <c r="M791" s="229"/>
      <c r="N791" s="230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5.75" customHeight="1">
      <c r="A792" s="55"/>
      <c r="B792" s="55"/>
      <c r="C792" s="55"/>
      <c r="D792" s="55"/>
      <c r="E792" s="55"/>
      <c r="F792" s="55"/>
      <c r="G792" s="55"/>
      <c r="H792" s="228"/>
      <c r="I792" s="55"/>
      <c r="J792" s="55"/>
      <c r="K792" s="55"/>
      <c r="L792" s="55"/>
      <c r="M792" s="229"/>
      <c r="N792" s="230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5.75" customHeight="1">
      <c r="A793" s="55"/>
      <c r="B793" s="55"/>
      <c r="C793" s="55"/>
      <c r="D793" s="55"/>
      <c r="E793" s="55"/>
      <c r="F793" s="55"/>
      <c r="G793" s="55"/>
      <c r="H793" s="228"/>
      <c r="I793" s="55"/>
      <c r="J793" s="55"/>
      <c r="K793" s="55"/>
      <c r="L793" s="55"/>
      <c r="M793" s="229"/>
      <c r="N793" s="230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5.75" customHeight="1">
      <c r="A794" s="55"/>
      <c r="B794" s="55"/>
      <c r="C794" s="55"/>
      <c r="D794" s="55"/>
      <c r="E794" s="55"/>
      <c r="F794" s="55"/>
      <c r="G794" s="55"/>
      <c r="H794" s="228"/>
      <c r="I794" s="55"/>
      <c r="J794" s="55"/>
      <c r="K794" s="55"/>
      <c r="L794" s="55"/>
      <c r="M794" s="229"/>
      <c r="N794" s="230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5.75" customHeight="1">
      <c r="A795" s="55"/>
      <c r="B795" s="55"/>
      <c r="C795" s="55"/>
      <c r="D795" s="55"/>
      <c r="E795" s="55"/>
      <c r="F795" s="55"/>
      <c r="G795" s="55"/>
      <c r="H795" s="228"/>
      <c r="I795" s="55"/>
      <c r="J795" s="55"/>
      <c r="K795" s="55"/>
      <c r="L795" s="55"/>
      <c r="M795" s="229"/>
      <c r="N795" s="230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5.75" customHeight="1">
      <c r="A796" s="55"/>
      <c r="B796" s="55"/>
      <c r="C796" s="55"/>
      <c r="D796" s="55"/>
      <c r="E796" s="55"/>
      <c r="F796" s="55"/>
      <c r="G796" s="55"/>
      <c r="H796" s="228"/>
      <c r="I796" s="55"/>
      <c r="J796" s="55"/>
      <c r="K796" s="55"/>
      <c r="L796" s="55"/>
      <c r="M796" s="229"/>
      <c r="N796" s="230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5.75" customHeight="1">
      <c r="A797" s="55"/>
      <c r="B797" s="55"/>
      <c r="C797" s="55"/>
      <c r="D797" s="55"/>
      <c r="E797" s="55"/>
      <c r="F797" s="55"/>
      <c r="G797" s="55"/>
      <c r="H797" s="228"/>
      <c r="I797" s="55"/>
      <c r="J797" s="55"/>
      <c r="K797" s="55"/>
      <c r="L797" s="55"/>
      <c r="M797" s="229"/>
      <c r="N797" s="230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5.75" customHeight="1">
      <c r="A798" s="55"/>
      <c r="B798" s="55"/>
      <c r="C798" s="55"/>
      <c r="D798" s="55"/>
      <c r="E798" s="55"/>
      <c r="F798" s="55"/>
      <c r="G798" s="55"/>
      <c r="H798" s="228"/>
      <c r="I798" s="55"/>
      <c r="J798" s="55"/>
      <c r="K798" s="55"/>
      <c r="L798" s="55"/>
      <c r="M798" s="229"/>
      <c r="N798" s="230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5.75" customHeight="1">
      <c r="A799" s="55"/>
      <c r="B799" s="55"/>
      <c r="C799" s="55"/>
      <c r="D799" s="55"/>
      <c r="E799" s="55"/>
      <c r="F799" s="55"/>
      <c r="G799" s="55"/>
      <c r="H799" s="228"/>
      <c r="I799" s="55"/>
      <c r="J799" s="55"/>
      <c r="K799" s="55"/>
      <c r="L799" s="55"/>
      <c r="M799" s="229"/>
      <c r="N799" s="230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5.75" customHeight="1">
      <c r="A800" s="55"/>
      <c r="B800" s="55"/>
      <c r="C800" s="55"/>
      <c r="D800" s="55"/>
      <c r="E800" s="55"/>
      <c r="F800" s="55"/>
      <c r="G800" s="55"/>
      <c r="H800" s="228"/>
      <c r="I800" s="55"/>
      <c r="J800" s="55"/>
      <c r="K800" s="55"/>
      <c r="L800" s="55"/>
      <c r="M800" s="229"/>
      <c r="N800" s="230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5.75" customHeight="1">
      <c r="A801" s="55"/>
      <c r="B801" s="55"/>
      <c r="C801" s="55"/>
      <c r="D801" s="55"/>
      <c r="E801" s="55"/>
      <c r="F801" s="55"/>
      <c r="G801" s="55"/>
      <c r="H801" s="228"/>
      <c r="I801" s="55"/>
      <c r="J801" s="55"/>
      <c r="K801" s="55"/>
      <c r="L801" s="55"/>
      <c r="M801" s="229"/>
      <c r="N801" s="230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5.75" customHeight="1">
      <c r="A802" s="55"/>
      <c r="B802" s="55"/>
      <c r="C802" s="55"/>
      <c r="D802" s="55"/>
      <c r="E802" s="55"/>
      <c r="F802" s="55"/>
      <c r="G802" s="55"/>
      <c r="H802" s="228"/>
      <c r="I802" s="55"/>
      <c r="J802" s="55"/>
      <c r="K802" s="55"/>
      <c r="L802" s="55"/>
      <c r="M802" s="229"/>
      <c r="N802" s="230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5.75" customHeight="1">
      <c r="A803" s="55"/>
      <c r="B803" s="55"/>
      <c r="C803" s="55"/>
      <c r="D803" s="55"/>
      <c r="E803" s="55"/>
      <c r="F803" s="55"/>
      <c r="G803" s="55"/>
      <c r="H803" s="228"/>
      <c r="I803" s="55"/>
      <c r="J803" s="55"/>
      <c r="K803" s="55"/>
      <c r="L803" s="55"/>
      <c r="M803" s="229"/>
      <c r="N803" s="230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5.75" customHeight="1">
      <c r="A804" s="55"/>
      <c r="B804" s="55"/>
      <c r="C804" s="55"/>
      <c r="D804" s="55"/>
      <c r="E804" s="55"/>
      <c r="F804" s="55"/>
      <c r="G804" s="55"/>
      <c r="H804" s="228"/>
      <c r="I804" s="55"/>
      <c r="J804" s="55"/>
      <c r="K804" s="55"/>
      <c r="L804" s="55"/>
      <c r="M804" s="229"/>
      <c r="N804" s="230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5.75" customHeight="1">
      <c r="A805" s="55"/>
      <c r="B805" s="55"/>
      <c r="C805" s="55"/>
      <c r="D805" s="55"/>
      <c r="E805" s="55"/>
      <c r="F805" s="55"/>
      <c r="G805" s="55"/>
      <c r="H805" s="228"/>
      <c r="I805" s="55"/>
      <c r="J805" s="55"/>
      <c r="K805" s="55"/>
      <c r="L805" s="55"/>
      <c r="M805" s="229"/>
      <c r="N805" s="230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5.75" customHeight="1">
      <c r="A806" s="55"/>
      <c r="B806" s="55"/>
      <c r="C806" s="55"/>
      <c r="D806" s="55"/>
      <c r="E806" s="55"/>
      <c r="F806" s="55"/>
      <c r="G806" s="55"/>
      <c r="H806" s="228"/>
      <c r="I806" s="55"/>
      <c r="J806" s="55"/>
      <c r="K806" s="55"/>
      <c r="L806" s="55"/>
      <c r="M806" s="229"/>
      <c r="N806" s="230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5.75" customHeight="1">
      <c r="A807" s="55"/>
      <c r="B807" s="55"/>
      <c r="C807" s="55"/>
      <c r="D807" s="55"/>
      <c r="E807" s="55"/>
      <c r="F807" s="55"/>
      <c r="G807" s="55"/>
      <c r="H807" s="228"/>
      <c r="I807" s="55"/>
      <c r="J807" s="55"/>
      <c r="K807" s="55"/>
      <c r="L807" s="55"/>
      <c r="M807" s="229"/>
      <c r="N807" s="230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5.75" customHeight="1">
      <c r="A808" s="55"/>
      <c r="B808" s="55"/>
      <c r="C808" s="55"/>
      <c r="D808" s="55"/>
      <c r="E808" s="55"/>
      <c r="F808" s="55"/>
      <c r="G808" s="55"/>
      <c r="H808" s="228"/>
      <c r="I808" s="55"/>
      <c r="J808" s="55"/>
      <c r="K808" s="55"/>
      <c r="L808" s="55"/>
      <c r="M808" s="229"/>
      <c r="N808" s="230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5.75" customHeight="1">
      <c r="A809" s="55"/>
      <c r="B809" s="55"/>
      <c r="C809" s="55"/>
      <c r="D809" s="55"/>
      <c r="E809" s="55"/>
      <c r="F809" s="55"/>
      <c r="G809" s="55"/>
      <c r="H809" s="228"/>
      <c r="I809" s="55"/>
      <c r="J809" s="55"/>
      <c r="K809" s="55"/>
      <c r="L809" s="55"/>
      <c r="M809" s="229"/>
      <c r="N809" s="230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5.75" customHeight="1">
      <c r="A810" s="55"/>
      <c r="B810" s="55"/>
      <c r="C810" s="55"/>
      <c r="D810" s="55"/>
      <c r="E810" s="55"/>
      <c r="F810" s="55"/>
      <c r="G810" s="55"/>
      <c r="H810" s="228"/>
      <c r="I810" s="55"/>
      <c r="J810" s="55"/>
      <c r="K810" s="55"/>
      <c r="L810" s="55"/>
      <c r="M810" s="229"/>
      <c r="N810" s="230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5.75" customHeight="1">
      <c r="A811" s="55"/>
      <c r="B811" s="55"/>
      <c r="C811" s="55"/>
      <c r="D811" s="55"/>
      <c r="E811" s="55"/>
      <c r="F811" s="55"/>
      <c r="G811" s="55"/>
      <c r="H811" s="228"/>
      <c r="I811" s="55"/>
      <c r="J811" s="55"/>
      <c r="K811" s="55"/>
      <c r="L811" s="55"/>
      <c r="M811" s="229"/>
      <c r="N811" s="230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5.75" customHeight="1">
      <c r="A812" s="55"/>
      <c r="B812" s="55"/>
      <c r="C812" s="55"/>
      <c r="D812" s="55"/>
      <c r="E812" s="55"/>
      <c r="F812" s="55"/>
      <c r="G812" s="55"/>
      <c r="H812" s="228"/>
      <c r="I812" s="55"/>
      <c r="J812" s="55"/>
      <c r="K812" s="55"/>
      <c r="L812" s="55"/>
      <c r="M812" s="229"/>
      <c r="N812" s="230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5.75" customHeight="1">
      <c r="A813" s="55"/>
      <c r="B813" s="55"/>
      <c r="C813" s="55"/>
      <c r="D813" s="55"/>
      <c r="E813" s="55"/>
      <c r="F813" s="55"/>
      <c r="G813" s="55"/>
      <c r="H813" s="228"/>
      <c r="I813" s="55"/>
      <c r="J813" s="55"/>
      <c r="K813" s="55"/>
      <c r="L813" s="55"/>
      <c r="M813" s="229"/>
      <c r="N813" s="230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5.75" customHeight="1">
      <c r="A814" s="55"/>
      <c r="B814" s="55"/>
      <c r="C814" s="55"/>
      <c r="D814" s="55"/>
      <c r="E814" s="55"/>
      <c r="F814" s="55"/>
      <c r="G814" s="55"/>
      <c r="H814" s="228"/>
      <c r="I814" s="55"/>
      <c r="J814" s="55"/>
      <c r="K814" s="55"/>
      <c r="L814" s="55"/>
      <c r="M814" s="229"/>
      <c r="N814" s="230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5.75" customHeight="1">
      <c r="A815" s="55"/>
      <c r="B815" s="55"/>
      <c r="C815" s="55"/>
      <c r="D815" s="55"/>
      <c r="E815" s="55"/>
      <c r="F815" s="55"/>
      <c r="G815" s="55"/>
      <c r="H815" s="228"/>
      <c r="I815" s="55"/>
      <c r="J815" s="55"/>
      <c r="K815" s="55"/>
      <c r="L815" s="55"/>
      <c r="M815" s="229"/>
      <c r="N815" s="230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5.75" customHeight="1">
      <c r="A816" s="55"/>
      <c r="B816" s="55"/>
      <c r="C816" s="55"/>
      <c r="D816" s="55"/>
      <c r="E816" s="55"/>
      <c r="F816" s="55"/>
      <c r="G816" s="55"/>
      <c r="H816" s="228"/>
      <c r="I816" s="55"/>
      <c r="J816" s="55"/>
      <c r="K816" s="55"/>
      <c r="L816" s="55"/>
      <c r="M816" s="229"/>
      <c r="N816" s="230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5.75" customHeight="1">
      <c r="A817" s="55"/>
      <c r="B817" s="55"/>
      <c r="C817" s="55"/>
      <c r="D817" s="55"/>
      <c r="E817" s="55"/>
      <c r="F817" s="55"/>
      <c r="G817" s="55"/>
      <c r="H817" s="228"/>
      <c r="I817" s="55"/>
      <c r="J817" s="55"/>
      <c r="K817" s="55"/>
      <c r="L817" s="55"/>
      <c r="M817" s="229"/>
      <c r="N817" s="230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5.75" customHeight="1">
      <c r="A818" s="55"/>
      <c r="B818" s="55"/>
      <c r="C818" s="55"/>
      <c r="D818" s="55"/>
      <c r="E818" s="55"/>
      <c r="F818" s="55"/>
      <c r="G818" s="55"/>
      <c r="H818" s="228"/>
      <c r="I818" s="55"/>
      <c r="J818" s="55"/>
      <c r="K818" s="55"/>
      <c r="L818" s="55"/>
      <c r="M818" s="229"/>
      <c r="N818" s="230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5.75" customHeight="1">
      <c r="A819" s="55"/>
      <c r="B819" s="55"/>
      <c r="C819" s="55"/>
      <c r="D819" s="55"/>
      <c r="E819" s="55"/>
      <c r="F819" s="55"/>
      <c r="G819" s="55"/>
      <c r="H819" s="228"/>
      <c r="I819" s="55"/>
      <c r="J819" s="55"/>
      <c r="K819" s="55"/>
      <c r="L819" s="55"/>
      <c r="M819" s="229"/>
      <c r="N819" s="230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5.75" customHeight="1">
      <c r="A820" s="55"/>
      <c r="B820" s="55"/>
      <c r="C820" s="55"/>
      <c r="D820" s="55"/>
      <c r="E820" s="55"/>
      <c r="F820" s="55"/>
      <c r="G820" s="55"/>
      <c r="H820" s="228"/>
      <c r="I820" s="55"/>
      <c r="J820" s="55"/>
      <c r="K820" s="55"/>
      <c r="L820" s="55"/>
      <c r="M820" s="229"/>
      <c r="N820" s="230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5.75" customHeight="1">
      <c r="A821" s="55"/>
      <c r="B821" s="55"/>
      <c r="C821" s="55"/>
      <c r="D821" s="55"/>
      <c r="E821" s="55"/>
      <c r="F821" s="55"/>
      <c r="G821" s="55"/>
      <c r="H821" s="228"/>
      <c r="I821" s="55"/>
      <c r="J821" s="55"/>
      <c r="K821" s="55"/>
      <c r="L821" s="55"/>
      <c r="M821" s="229"/>
      <c r="N821" s="230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5.75" customHeight="1">
      <c r="A822" s="55"/>
      <c r="B822" s="55"/>
      <c r="C822" s="55"/>
      <c r="D822" s="55"/>
      <c r="E822" s="55"/>
      <c r="F822" s="55"/>
      <c r="G822" s="55"/>
      <c r="H822" s="228"/>
      <c r="I822" s="55"/>
      <c r="J822" s="55"/>
      <c r="K822" s="55"/>
      <c r="L822" s="55"/>
      <c r="M822" s="229"/>
      <c r="N822" s="230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5.75" customHeight="1">
      <c r="A823" s="55"/>
      <c r="B823" s="55"/>
      <c r="C823" s="55"/>
      <c r="D823" s="55"/>
      <c r="E823" s="55"/>
      <c r="F823" s="55"/>
      <c r="G823" s="55"/>
      <c r="H823" s="228"/>
      <c r="I823" s="55"/>
      <c r="J823" s="55"/>
      <c r="K823" s="55"/>
      <c r="L823" s="55"/>
      <c r="M823" s="229"/>
      <c r="N823" s="230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5.75" customHeight="1">
      <c r="A824" s="55"/>
      <c r="B824" s="55"/>
      <c r="C824" s="55"/>
      <c r="D824" s="55"/>
      <c r="E824" s="55"/>
      <c r="F824" s="55"/>
      <c r="G824" s="55"/>
      <c r="H824" s="228"/>
      <c r="I824" s="55"/>
      <c r="J824" s="55"/>
      <c r="K824" s="55"/>
      <c r="L824" s="55"/>
      <c r="M824" s="229"/>
      <c r="N824" s="230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5.75" customHeight="1">
      <c r="A825" s="55"/>
      <c r="B825" s="55"/>
      <c r="C825" s="55"/>
      <c r="D825" s="55"/>
      <c r="E825" s="55"/>
      <c r="F825" s="55"/>
      <c r="G825" s="55"/>
      <c r="H825" s="228"/>
      <c r="I825" s="55"/>
      <c r="J825" s="55"/>
      <c r="K825" s="55"/>
      <c r="L825" s="55"/>
      <c r="M825" s="229"/>
      <c r="N825" s="230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5.75" customHeight="1">
      <c r="A826" s="55"/>
      <c r="B826" s="55"/>
      <c r="C826" s="55"/>
      <c r="D826" s="55"/>
      <c r="E826" s="55"/>
      <c r="F826" s="55"/>
      <c r="G826" s="55"/>
      <c r="H826" s="228"/>
      <c r="I826" s="55"/>
      <c r="J826" s="55"/>
      <c r="K826" s="55"/>
      <c r="L826" s="55"/>
      <c r="M826" s="229"/>
      <c r="N826" s="230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5.75" customHeight="1">
      <c r="A827" s="55"/>
      <c r="B827" s="55"/>
      <c r="C827" s="55"/>
      <c r="D827" s="55"/>
      <c r="E827" s="55"/>
      <c r="F827" s="55"/>
      <c r="G827" s="55"/>
      <c r="H827" s="228"/>
      <c r="I827" s="55"/>
      <c r="J827" s="55"/>
      <c r="K827" s="55"/>
      <c r="L827" s="55"/>
      <c r="M827" s="229"/>
      <c r="N827" s="230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5.75" customHeight="1">
      <c r="A828" s="55"/>
      <c r="B828" s="55"/>
      <c r="C828" s="55"/>
      <c r="D828" s="55"/>
      <c r="E828" s="55"/>
      <c r="F828" s="55"/>
      <c r="G828" s="55"/>
      <c r="H828" s="228"/>
      <c r="I828" s="55"/>
      <c r="J828" s="55"/>
      <c r="K828" s="55"/>
      <c r="L828" s="55"/>
      <c r="M828" s="229"/>
      <c r="N828" s="230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5.75" customHeight="1">
      <c r="A829" s="55"/>
      <c r="B829" s="55"/>
      <c r="C829" s="55"/>
      <c r="D829" s="55"/>
      <c r="E829" s="55"/>
      <c r="F829" s="55"/>
      <c r="G829" s="55"/>
      <c r="H829" s="228"/>
      <c r="I829" s="55"/>
      <c r="J829" s="55"/>
      <c r="K829" s="55"/>
      <c r="L829" s="55"/>
      <c r="M829" s="229"/>
      <c r="N829" s="230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5.75" customHeight="1">
      <c r="A830" s="55"/>
      <c r="B830" s="55"/>
      <c r="C830" s="55"/>
      <c r="D830" s="55"/>
      <c r="E830" s="55"/>
      <c r="F830" s="55"/>
      <c r="G830" s="55"/>
      <c r="H830" s="228"/>
      <c r="I830" s="55"/>
      <c r="J830" s="55"/>
      <c r="K830" s="55"/>
      <c r="L830" s="55"/>
      <c r="M830" s="229"/>
      <c r="N830" s="230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5.75" customHeight="1">
      <c r="A831" s="55"/>
      <c r="B831" s="55"/>
      <c r="C831" s="55"/>
      <c r="D831" s="55"/>
      <c r="E831" s="55"/>
      <c r="F831" s="55"/>
      <c r="G831" s="55"/>
      <c r="H831" s="228"/>
      <c r="I831" s="55"/>
      <c r="J831" s="55"/>
      <c r="K831" s="55"/>
      <c r="L831" s="55"/>
      <c r="M831" s="229"/>
      <c r="N831" s="230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5.75" customHeight="1">
      <c r="A832" s="55"/>
      <c r="B832" s="55"/>
      <c r="C832" s="55"/>
      <c r="D832" s="55"/>
      <c r="E832" s="55"/>
      <c r="F832" s="55"/>
      <c r="G832" s="55"/>
      <c r="H832" s="228"/>
      <c r="I832" s="55"/>
      <c r="J832" s="55"/>
      <c r="K832" s="55"/>
      <c r="L832" s="55"/>
      <c r="M832" s="229"/>
      <c r="N832" s="230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5.75" customHeight="1">
      <c r="A833" s="55"/>
      <c r="B833" s="55"/>
      <c r="C833" s="55"/>
      <c r="D833" s="55"/>
      <c r="E833" s="55"/>
      <c r="F833" s="55"/>
      <c r="G833" s="55"/>
      <c r="H833" s="228"/>
      <c r="I833" s="55"/>
      <c r="J833" s="55"/>
      <c r="K833" s="55"/>
      <c r="L833" s="55"/>
      <c r="M833" s="229"/>
      <c r="N833" s="230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5.75" customHeight="1">
      <c r="A834" s="55"/>
      <c r="B834" s="55"/>
      <c r="C834" s="55"/>
      <c r="D834" s="55"/>
      <c r="E834" s="55"/>
      <c r="F834" s="55"/>
      <c r="G834" s="55"/>
      <c r="H834" s="228"/>
      <c r="I834" s="55"/>
      <c r="J834" s="55"/>
      <c r="K834" s="55"/>
      <c r="L834" s="55"/>
      <c r="M834" s="229"/>
      <c r="N834" s="230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5.75" customHeight="1">
      <c r="A835" s="55"/>
      <c r="B835" s="55"/>
      <c r="C835" s="55"/>
      <c r="D835" s="55"/>
      <c r="E835" s="55"/>
      <c r="F835" s="55"/>
      <c r="G835" s="55"/>
      <c r="H835" s="228"/>
      <c r="I835" s="55"/>
      <c r="J835" s="55"/>
      <c r="K835" s="55"/>
      <c r="L835" s="55"/>
      <c r="M835" s="229"/>
      <c r="N835" s="230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5.75" customHeight="1">
      <c r="A836" s="55"/>
      <c r="B836" s="55"/>
      <c r="C836" s="55"/>
      <c r="D836" s="55"/>
      <c r="E836" s="55"/>
      <c r="F836" s="55"/>
      <c r="G836" s="55"/>
      <c r="H836" s="228"/>
      <c r="I836" s="55"/>
      <c r="J836" s="55"/>
      <c r="K836" s="55"/>
      <c r="L836" s="55"/>
      <c r="M836" s="229"/>
      <c r="N836" s="230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5.75" customHeight="1">
      <c r="A837" s="55"/>
      <c r="B837" s="55"/>
      <c r="C837" s="55"/>
      <c r="D837" s="55"/>
      <c r="E837" s="55"/>
      <c r="F837" s="55"/>
      <c r="G837" s="55"/>
      <c r="H837" s="228"/>
      <c r="I837" s="55"/>
      <c r="J837" s="55"/>
      <c r="K837" s="55"/>
      <c r="L837" s="55"/>
      <c r="M837" s="229"/>
      <c r="N837" s="230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5.75" customHeight="1">
      <c r="A838" s="55"/>
      <c r="B838" s="55"/>
      <c r="C838" s="55"/>
      <c r="D838" s="55"/>
      <c r="E838" s="55"/>
      <c r="F838" s="55"/>
      <c r="G838" s="55"/>
      <c r="H838" s="228"/>
      <c r="I838" s="55"/>
      <c r="J838" s="55"/>
      <c r="K838" s="55"/>
      <c r="L838" s="55"/>
      <c r="M838" s="229"/>
      <c r="N838" s="230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5.75" customHeight="1">
      <c r="A839" s="55"/>
      <c r="B839" s="55"/>
      <c r="C839" s="55"/>
      <c r="D839" s="55"/>
      <c r="E839" s="55"/>
      <c r="F839" s="55"/>
      <c r="G839" s="55"/>
      <c r="H839" s="228"/>
      <c r="I839" s="55"/>
      <c r="J839" s="55"/>
      <c r="K839" s="55"/>
      <c r="L839" s="55"/>
      <c r="M839" s="229"/>
      <c r="N839" s="230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5.75" customHeight="1">
      <c r="A840" s="55"/>
      <c r="B840" s="55"/>
      <c r="C840" s="55"/>
      <c r="D840" s="55"/>
      <c r="E840" s="55"/>
      <c r="F840" s="55"/>
      <c r="G840" s="55"/>
      <c r="H840" s="228"/>
      <c r="I840" s="55"/>
      <c r="J840" s="55"/>
      <c r="K840" s="55"/>
      <c r="L840" s="55"/>
      <c r="M840" s="229"/>
      <c r="N840" s="230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5.75" customHeight="1">
      <c r="A841" s="55"/>
      <c r="B841" s="55"/>
      <c r="C841" s="55"/>
      <c r="D841" s="55"/>
      <c r="E841" s="55"/>
      <c r="F841" s="55"/>
      <c r="G841" s="55"/>
      <c r="H841" s="228"/>
      <c r="I841" s="55"/>
      <c r="J841" s="55"/>
      <c r="K841" s="55"/>
      <c r="L841" s="55"/>
      <c r="M841" s="229"/>
      <c r="N841" s="230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5.75" customHeight="1">
      <c r="A842" s="55"/>
      <c r="B842" s="55"/>
      <c r="C842" s="55"/>
      <c r="D842" s="55"/>
      <c r="E842" s="55"/>
      <c r="F842" s="55"/>
      <c r="G842" s="55"/>
      <c r="H842" s="228"/>
      <c r="I842" s="55"/>
      <c r="J842" s="55"/>
      <c r="K842" s="55"/>
      <c r="L842" s="55"/>
      <c r="M842" s="229"/>
      <c r="N842" s="230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5.75" customHeight="1">
      <c r="A843" s="55"/>
      <c r="B843" s="55"/>
      <c r="C843" s="55"/>
      <c r="D843" s="55"/>
      <c r="E843" s="55"/>
      <c r="F843" s="55"/>
      <c r="G843" s="55"/>
      <c r="H843" s="228"/>
      <c r="I843" s="55"/>
      <c r="J843" s="55"/>
      <c r="K843" s="55"/>
      <c r="L843" s="55"/>
      <c r="M843" s="229"/>
      <c r="N843" s="230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5.75" customHeight="1">
      <c r="A844" s="55"/>
      <c r="B844" s="55"/>
      <c r="C844" s="55"/>
      <c r="D844" s="55"/>
      <c r="E844" s="55"/>
      <c r="F844" s="55"/>
      <c r="G844" s="55"/>
      <c r="H844" s="228"/>
      <c r="I844" s="55"/>
      <c r="J844" s="55"/>
      <c r="K844" s="55"/>
      <c r="L844" s="55"/>
      <c r="M844" s="229"/>
      <c r="N844" s="230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5.75" customHeight="1">
      <c r="A845" s="55"/>
      <c r="B845" s="55"/>
      <c r="C845" s="55"/>
      <c r="D845" s="55"/>
      <c r="E845" s="55"/>
      <c r="F845" s="55"/>
      <c r="G845" s="55"/>
      <c r="H845" s="228"/>
      <c r="I845" s="55"/>
      <c r="J845" s="55"/>
      <c r="K845" s="55"/>
      <c r="L845" s="55"/>
      <c r="M845" s="229"/>
      <c r="N845" s="230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5.75" customHeight="1">
      <c r="A846" s="55"/>
      <c r="B846" s="55"/>
      <c r="C846" s="55"/>
      <c r="D846" s="55"/>
      <c r="E846" s="55"/>
      <c r="F846" s="55"/>
      <c r="G846" s="55"/>
      <c r="H846" s="228"/>
      <c r="I846" s="55"/>
      <c r="J846" s="55"/>
      <c r="K846" s="55"/>
      <c r="L846" s="55"/>
      <c r="M846" s="229"/>
      <c r="N846" s="230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5.75" customHeight="1">
      <c r="A847" s="55"/>
      <c r="B847" s="55"/>
      <c r="C847" s="55"/>
      <c r="D847" s="55"/>
      <c r="E847" s="55"/>
      <c r="F847" s="55"/>
      <c r="G847" s="55"/>
      <c r="H847" s="228"/>
      <c r="I847" s="55"/>
      <c r="J847" s="55"/>
      <c r="K847" s="55"/>
      <c r="L847" s="55"/>
      <c r="M847" s="229"/>
      <c r="N847" s="230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5.75" customHeight="1">
      <c r="A848" s="55"/>
      <c r="B848" s="55"/>
      <c r="C848" s="55"/>
      <c r="D848" s="55"/>
      <c r="E848" s="55"/>
      <c r="F848" s="55"/>
      <c r="G848" s="55"/>
      <c r="H848" s="228"/>
      <c r="I848" s="55"/>
      <c r="J848" s="55"/>
      <c r="K848" s="55"/>
      <c r="L848" s="55"/>
      <c r="M848" s="229"/>
      <c r="N848" s="230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5.75" customHeight="1">
      <c r="A849" s="55"/>
      <c r="B849" s="55"/>
      <c r="C849" s="55"/>
      <c r="D849" s="55"/>
      <c r="E849" s="55"/>
      <c r="F849" s="55"/>
      <c r="G849" s="55"/>
      <c r="H849" s="228"/>
      <c r="I849" s="55"/>
      <c r="J849" s="55"/>
      <c r="K849" s="55"/>
      <c r="L849" s="55"/>
      <c r="M849" s="229"/>
      <c r="N849" s="230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5.75" customHeight="1">
      <c r="A850" s="55"/>
      <c r="B850" s="55"/>
      <c r="C850" s="55"/>
      <c r="D850" s="55"/>
      <c r="E850" s="55"/>
      <c r="F850" s="55"/>
      <c r="G850" s="55"/>
      <c r="H850" s="228"/>
      <c r="I850" s="55"/>
      <c r="J850" s="55"/>
      <c r="K850" s="55"/>
      <c r="L850" s="55"/>
      <c r="M850" s="229"/>
      <c r="N850" s="230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5.75" customHeight="1">
      <c r="A851" s="55"/>
      <c r="B851" s="55"/>
      <c r="C851" s="55"/>
      <c r="D851" s="55"/>
      <c r="E851" s="55"/>
      <c r="F851" s="55"/>
      <c r="G851" s="55"/>
      <c r="H851" s="228"/>
      <c r="I851" s="55"/>
      <c r="J851" s="55"/>
      <c r="K851" s="55"/>
      <c r="L851" s="55"/>
      <c r="M851" s="229"/>
      <c r="N851" s="230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5.75" customHeight="1">
      <c r="A852" s="55"/>
      <c r="B852" s="55"/>
      <c r="C852" s="55"/>
      <c r="D852" s="55"/>
      <c r="E852" s="55"/>
      <c r="F852" s="55"/>
      <c r="G852" s="55"/>
      <c r="H852" s="228"/>
      <c r="I852" s="55"/>
      <c r="J852" s="55"/>
      <c r="K852" s="55"/>
      <c r="L852" s="55"/>
      <c r="M852" s="229"/>
      <c r="N852" s="230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5.75" customHeight="1">
      <c r="A853" s="55"/>
      <c r="B853" s="55"/>
      <c r="C853" s="55"/>
      <c r="D853" s="55"/>
      <c r="E853" s="55"/>
      <c r="F853" s="55"/>
      <c r="G853" s="55"/>
      <c r="H853" s="228"/>
      <c r="I853" s="55"/>
      <c r="J853" s="55"/>
      <c r="K853" s="55"/>
      <c r="L853" s="55"/>
      <c r="M853" s="229"/>
      <c r="N853" s="230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5.75" customHeight="1">
      <c r="A854" s="55"/>
      <c r="B854" s="55"/>
      <c r="C854" s="55"/>
      <c r="D854" s="55"/>
      <c r="E854" s="55"/>
      <c r="F854" s="55"/>
      <c r="G854" s="55"/>
      <c r="H854" s="228"/>
      <c r="I854" s="55"/>
      <c r="J854" s="55"/>
      <c r="K854" s="55"/>
      <c r="L854" s="55"/>
      <c r="M854" s="229"/>
      <c r="N854" s="230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5.75" customHeight="1">
      <c r="A855" s="55"/>
      <c r="B855" s="55"/>
      <c r="C855" s="55"/>
      <c r="D855" s="55"/>
      <c r="E855" s="55"/>
      <c r="F855" s="55"/>
      <c r="G855" s="55"/>
      <c r="H855" s="228"/>
      <c r="I855" s="55"/>
      <c r="J855" s="55"/>
      <c r="K855" s="55"/>
      <c r="L855" s="55"/>
      <c r="M855" s="229"/>
      <c r="N855" s="230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5.75" customHeight="1">
      <c r="A856" s="55"/>
      <c r="B856" s="55"/>
      <c r="C856" s="55"/>
      <c r="D856" s="55"/>
      <c r="E856" s="55"/>
      <c r="F856" s="55"/>
      <c r="G856" s="55"/>
      <c r="H856" s="228"/>
      <c r="I856" s="55"/>
      <c r="J856" s="55"/>
      <c r="K856" s="55"/>
      <c r="L856" s="55"/>
      <c r="M856" s="229"/>
      <c r="N856" s="230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5.75" customHeight="1">
      <c r="A857" s="55"/>
      <c r="B857" s="55"/>
      <c r="C857" s="55"/>
      <c r="D857" s="55"/>
      <c r="E857" s="55"/>
      <c r="F857" s="55"/>
      <c r="G857" s="55"/>
      <c r="H857" s="228"/>
      <c r="I857" s="55"/>
      <c r="J857" s="55"/>
      <c r="K857" s="55"/>
      <c r="L857" s="55"/>
      <c r="M857" s="229"/>
      <c r="N857" s="230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5.75" customHeight="1">
      <c r="A858" s="55"/>
      <c r="B858" s="55"/>
      <c r="C858" s="55"/>
      <c r="D858" s="55"/>
      <c r="E858" s="55"/>
      <c r="F858" s="55"/>
      <c r="G858" s="55"/>
      <c r="H858" s="228"/>
      <c r="I858" s="55"/>
      <c r="J858" s="55"/>
      <c r="K858" s="55"/>
      <c r="L858" s="55"/>
      <c r="M858" s="229"/>
      <c r="N858" s="230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5.75" customHeight="1">
      <c r="A859" s="55"/>
      <c r="B859" s="55"/>
      <c r="C859" s="55"/>
      <c r="D859" s="55"/>
      <c r="E859" s="55"/>
      <c r="F859" s="55"/>
      <c r="G859" s="55"/>
      <c r="H859" s="228"/>
      <c r="I859" s="55"/>
      <c r="J859" s="55"/>
      <c r="K859" s="55"/>
      <c r="L859" s="55"/>
      <c r="M859" s="229"/>
      <c r="N859" s="230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5.75" customHeight="1">
      <c r="A860" s="55"/>
      <c r="B860" s="55"/>
      <c r="C860" s="55"/>
      <c r="D860" s="55"/>
      <c r="E860" s="55"/>
      <c r="F860" s="55"/>
      <c r="G860" s="55"/>
      <c r="H860" s="228"/>
      <c r="I860" s="55"/>
      <c r="J860" s="55"/>
      <c r="K860" s="55"/>
      <c r="L860" s="55"/>
      <c r="M860" s="229"/>
      <c r="N860" s="230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5.75" customHeight="1">
      <c r="A861" s="55"/>
      <c r="B861" s="55"/>
      <c r="C861" s="55"/>
      <c r="D861" s="55"/>
      <c r="E861" s="55"/>
      <c r="F861" s="55"/>
      <c r="G861" s="55"/>
      <c r="H861" s="228"/>
      <c r="I861" s="55"/>
      <c r="J861" s="55"/>
      <c r="K861" s="55"/>
      <c r="L861" s="55"/>
      <c r="M861" s="229"/>
      <c r="N861" s="230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5.75" customHeight="1">
      <c r="A862" s="55"/>
      <c r="B862" s="55"/>
      <c r="C862" s="55"/>
      <c r="D862" s="55"/>
      <c r="E862" s="55"/>
      <c r="F862" s="55"/>
      <c r="G862" s="55"/>
      <c r="H862" s="228"/>
      <c r="I862" s="55"/>
      <c r="J862" s="55"/>
      <c r="K862" s="55"/>
      <c r="L862" s="55"/>
      <c r="M862" s="229"/>
      <c r="N862" s="230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5.75" customHeight="1">
      <c r="A863" s="55"/>
      <c r="B863" s="55"/>
      <c r="C863" s="55"/>
      <c r="D863" s="55"/>
      <c r="E863" s="55"/>
      <c r="F863" s="55"/>
      <c r="G863" s="55"/>
      <c r="H863" s="228"/>
      <c r="I863" s="55"/>
      <c r="J863" s="55"/>
      <c r="K863" s="55"/>
      <c r="L863" s="55"/>
      <c r="M863" s="229"/>
      <c r="N863" s="230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5.75" customHeight="1">
      <c r="A864" s="55"/>
      <c r="B864" s="55"/>
      <c r="C864" s="55"/>
      <c r="D864" s="55"/>
      <c r="E864" s="55"/>
      <c r="F864" s="55"/>
      <c r="G864" s="55"/>
      <c r="H864" s="228"/>
      <c r="I864" s="55"/>
      <c r="J864" s="55"/>
      <c r="K864" s="55"/>
      <c r="L864" s="55"/>
      <c r="M864" s="229"/>
      <c r="N864" s="230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5.75" customHeight="1">
      <c r="A865" s="55"/>
      <c r="B865" s="55"/>
      <c r="C865" s="55"/>
      <c r="D865" s="55"/>
      <c r="E865" s="55"/>
      <c r="F865" s="55"/>
      <c r="G865" s="55"/>
      <c r="H865" s="228"/>
      <c r="I865" s="55"/>
      <c r="J865" s="55"/>
      <c r="K865" s="55"/>
      <c r="L865" s="55"/>
      <c r="M865" s="229"/>
      <c r="N865" s="230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5.75" customHeight="1">
      <c r="A866" s="55"/>
      <c r="B866" s="55"/>
      <c r="C866" s="55"/>
      <c r="D866" s="55"/>
      <c r="E866" s="55"/>
      <c r="F866" s="55"/>
      <c r="G866" s="55"/>
      <c r="H866" s="228"/>
      <c r="I866" s="55"/>
      <c r="J866" s="55"/>
      <c r="K866" s="55"/>
      <c r="L866" s="55"/>
      <c r="M866" s="229"/>
      <c r="N866" s="230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5.75" customHeight="1">
      <c r="A867" s="55"/>
      <c r="B867" s="55"/>
      <c r="C867" s="55"/>
      <c r="D867" s="55"/>
      <c r="E867" s="55"/>
      <c r="F867" s="55"/>
      <c r="G867" s="55"/>
      <c r="H867" s="228"/>
      <c r="I867" s="55"/>
      <c r="J867" s="55"/>
      <c r="K867" s="55"/>
      <c r="L867" s="55"/>
      <c r="M867" s="229"/>
      <c r="N867" s="230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5.75" customHeight="1">
      <c r="A868" s="55"/>
      <c r="B868" s="55"/>
      <c r="C868" s="55"/>
      <c r="D868" s="55"/>
      <c r="E868" s="55"/>
      <c r="F868" s="55"/>
      <c r="G868" s="55"/>
      <c r="H868" s="228"/>
      <c r="I868" s="55"/>
      <c r="J868" s="55"/>
      <c r="K868" s="55"/>
      <c r="L868" s="55"/>
      <c r="M868" s="229"/>
      <c r="N868" s="230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5.75" customHeight="1">
      <c r="A869" s="55"/>
      <c r="B869" s="55"/>
      <c r="C869" s="55"/>
      <c r="D869" s="55"/>
      <c r="E869" s="55"/>
      <c r="F869" s="55"/>
      <c r="G869" s="55"/>
      <c r="H869" s="228"/>
      <c r="I869" s="55"/>
      <c r="J869" s="55"/>
      <c r="K869" s="55"/>
      <c r="L869" s="55"/>
      <c r="M869" s="229"/>
      <c r="N869" s="230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5.75" customHeight="1">
      <c r="A870" s="55"/>
      <c r="B870" s="55"/>
      <c r="C870" s="55"/>
      <c r="D870" s="55"/>
      <c r="E870" s="55"/>
      <c r="F870" s="55"/>
      <c r="G870" s="55"/>
      <c r="H870" s="228"/>
      <c r="I870" s="55"/>
      <c r="J870" s="55"/>
      <c r="K870" s="55"/>
      <c r="L870" s="55"/>
      <c r="M870" s="229"/>
      <c r="N870" s="230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5.75" customHeight="1">
      <c r="A871" s="55"/>
      <c r="B871" s="55"/>
      <c r="C871" s="55"/>
      <c r="D871" s="55"/>
      <c r="E871" s="55"/>
      <c r="F871" s="55"/>
      <c r="G871" s="55"/>
      <c r="H871" s="228"/>
      <c r="I871" s="55"/>
      <c r="J871" s="55"/>
      <c r="K871" s="55"/>
      <c r="L871" s="55"/>
      <c r="M871" s="229"/>
      <c r="N871" s="230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5.75" customHeight="1">
      <c r="A872" s="55"/>
      <c r="B872" s="55"/>
      <c r="C872" s="55"/>
      <c r="D872" s="55"/>
      <c r="E872" s="55"/>
      <c r="F872" s="55"/>
      <c r="G872" s="55"/>
      <c r="H872" s="228"/>
      <c r="I872" s="55"/>
      <c r="J872" s="55"/>
      <c r="K872" s="55"/>
      <c r="L872" s="55"/>
      <c r="M872" s="229"/>
      <c r="N872" s="230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5.75" customHeight="1">
      <c r="A873" s="55"/>
      <c r="B873" s="55"/>
      <c r="C873" s="55"/>
      <c r="D873" s="55"/>
      <c r="E873" s="55"/>
      <c r="F873" s="55"/>
      <c r="G873" s="55"/>
      <c r="H873" s="228"/>
      <c r="I873" s="55"/>
      <c r="J873" s="55"/>
      <c r="K873" s="55"/>
      <c r="L873" s="55"/>
      <c r="M873" s="229"/>
      <c r="N873" s="230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5.75" customHeight="1">
      <c r="A874" s="55"/>
      <c r="B874" s="55"/>
      <c r="C874" s="55"/>
      <c r="D874" s="55"/>
      <c r="E874" s="55"/>
      <c r="F874" s="55"/>
      <c r="G874" s="55"/>
      <c r="H874" s="228"/>
      <c r="I874" s="55"/>
      <c r="J874" s="55"/>
      <c r="K874" s="55"/>
      <c r="L874" s="55"/>
      <c r="M874" s="229"/>
      <c r="N874" s="230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5.75" customHeight="1">
      <c r="A875" s="55"/>
      <c r="B875" s="55"/>
      <c r="C875" s="55"/>
      <c r="D875" s="55"/>
      <c r="E875" s="55"/>
      <c r="F875" s="55"/>
      <c r="G875" s="55"/>
      <c r="H875" s="228"/>
      <c r="I875" s="55"/>
      <c r="J875" s="55"/>
      <c r="K875" s="55"/>
      <c r="L875" s="55"/>
      <c r="M875" s="229"/>
      <c r="N875" s="230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5.75" customHeight="1">
      <c r="A876" s="55"/>
      <c r="B876" s="55"/>
      <c r="C876" s="55"/>
      <c r="D876" s="55"/>
      <c r="E876" s="55"/>
      <c r="F876" s="55"/>
      <c r="G876" s="55"/>
      <c r="H876" s="228"/>
      <c r="I876" s="55"/>
      <c r="J876" s="55"/>
      <c r="K876" s="55"/>
      <c r="L876" s="55"/>
      <c r="M876" s="229"/>
      <c r="N876" s="230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5.75" customHeight="1">
      <c r="A877" s="55"/>
      <c r="B877" s="55"/>
      <c r="C877" s="55"/>
      <c r="D877" s="55"/>
      <c r="E877" s="55"/>
      <c r="F877" s="55"/>
      <c r="G877" s="55"/>
      <c r="H877" s="228"/>
      <c r="I877" s="55"/>
      <c r="J877" s="55"/>
      <c r="K877" s="55"/>
      <c r="L877" s="55"/>
      <c r="M877" s="229"/>
      <c r="N877" s="230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5.75" customHeight="1">
      <c r="A878" s="55"/>
      <c r="B878" s="55"/>
      <c r="C878" s="55"/>
      <c r="D878" s="55"/>
      <c r="E878" s="55"/>
      <c r="F878" s="55"/>
      <c r="G878" s="55"/>
      <c r="H878" s="228"/>
      <c r="I878" s="55"/>
      <c r="J878" s="55"/>
      <c r="K878" s="55"/>
      <c r="L878" s="55"/>
      <c r="M878" s="229"/>
      <c r="N878" s="230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5.75" customHeight="1">
      <c r="A879" s="55"/>
      <c r="B879" s="55"/>
      <c r="C879" s="55"/>
      <c r="D879" s="55"/>
      <c r="E879" s="55"/>
      <c r="F879" s="55"/>
      <c r="G879" s="55"/>
      <c r="H879" s="228"/>
      <c r="I879" s="55"/>
      <c r="J879" s="55"/>
      <c r="K879" s="55"/>
      <c r="L879" s="55"/>
      <c r="M879" s="229"/>
      <c r="N879" s="230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5.75" customHeight="1">
      <c r="A880" s="55"/>
      <c r="B880" s="55"/>
      <c r="C880" s="55"/>
      <c r="D880" s="55"/>
      <c r="E880" s="55"/>
      <c r="F880" s="55"/>
      <c r="G880" s="55"/>
      <c r="H880" s="228"/>
      <c r="I880" s="55"/>
      <c r="J880" s="55"/>
      <c r="K880" s="55"/>
      <c r="L880" s="55"/>
      <c r="M880" s="229"/>
      <c r="N880" s="230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5.75" customHeight="1">
      <c r="A881" s="55"/>
      <c r="B881" s="55"/>
      <c r="C881" s="55"/>
      <c r="D881" s="55"/>
      <c r="E881" s="55"/>
      <c r="F881" s="55"/>
      <c r="G881" s="55"/>
      <c r="H881" s="228"/>
      <c r="I881" s="55"/>
      <c r="J881" s="55"/>
      <c r="K881" s="55"/>
      <c r="L881" s="55"/>
      <c r="M881" s="229"/>
      <c r="N881" s="230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5.75" customHeight="1">
      <c r="A882" s="55"/>
      <c r="B882" s="55"/>
      <c r="C882" s="55"/>
      <c r="D882" s="55"/>
      <c r="E882" s="55"/>
      <c r="F882" s="55"/>
      <c r="G882" s="55"/>
      <c r="H882" s="228"/>
      <c r="I882" s="55"/>
      <c r="J882" s="55"/>
      <c r="K882" s="55"/>
      <c r="L882" s="55"/>
      <c r="M882" s="229"/>
      <c r="N882" s="230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5.75" customHeight="1">
      <c r="A883" s="55"/>
      <c r="B883" s="55"/>
      <c r="C883" s="55"/>
      <c r="D883" s="55"/>
      <c r="E883" s="55"/>
      <c r="F883" s="55"/>
      <c r="G883" s="55"/>
      <c r="H883" s="228"/>
      <c r="I883" s="55"/>
      <c r="J883" s="55"/>
      <c r="K883" s="55"/>
      <c r="L883" s="55"/>
      <c r="M883" s="229"/>
      <c r="N883" s="230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5.75" customHeight="1">
      <c r="A884" s="55"/>
      <c r="B884" s="55"/>
      <c r="C884" s="55"/>
      <c r="D884" s="55"/>
      <c r="E884" s="55"/>
      <c r="F884" s="55"/>
      <c r="G884" s="55"/>
      <c r="H884" s="228"/>
      <c r="I884" s="55"/>
      <c r="J884" s="55"/>
      <c r="K884" s="55"/>
      <c r="L884" s="55"/>
      <c r="M884" s="229"/>
      <c r="N884" s="230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5.75" customHeight="1">
      <c r="A885" s="55"/>
      <c r="B885" s="55"/>
      <c r="C885" s="55"/>
      <c r="D885" s="55"/>
      <c r="E885" s="55"/>
      <c r="F885" s="55"/>
      <c r="G885" s="55"/>
      <c r="H885" s="228"/>
      <c r="I885" s="55"/>
      <c r="J885" s="55"/>
      <c r="K885" s="55"/>
      <c r="L885" s="55"/>
      <c r="M885" s="229"/>
      <c r="N885" s="230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5.75" customHeight="1">
      <c r="A886" s="55"/>
      <c r="B886" s="55"/>
      <c r="C886" s="55"/>
      <c r="D886" s="55"/>
      <c r="E886" s="55"/>
      <c r="F886" s="55"/>
      <c r="G886" s="55"/>
      <c r="H886" s="228"/>
      <c r="I886" s="55"/>
      <c r="J886" s="55"/>
      <c r="K886" s="55"/>
      <c r="L886" s="55"/>
      <c r="M886" s="229"/>
      <c r="N886" s="230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5.75" customHeight="1">
      <c r="A887" s="55"/>
      <c r="B887" s="55"/>
      <c r="C887" s="55"/>
      <c r="D887" s="55"/>
      <c r="E887" s="55"/>
      <c r="F887" s="55"/>
      <c r="G887" s="55"/>
      <c r="H887" s="228"/>
      <c r="I887" s="55"/>
      <c r="J887" s="55"/>
      <c r="K887" s="55"/>
      <c r="L887" s="55"/>
      <c r="M887" s="229"/>
      <c r="N887" s="230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5.75" customHeight="1">
      <c r="A888" s="55"/>
      <c r="B888" s="55"/>
      <c r="C888" s="55"/>
      <c r="D888" s="55"/>
      <c r="E888" s="55"/>
      <c r="F888" s="55"/>
      <c r="G888" s="55"/>
      <c r="H888" s="228"/>
      <c r="I888" s="55"/>
      <c r="J888" s="55"/>
      <c r="K888" s="55"/>
      <c r="L888" s="55"/>
      <c r="M888" s="229"/>
      <c r="N888" s="230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5.75" customHeight="1">
      <c r="A889" s="55"/>
      <c r="B889" s="55"/>
      <c r="C889" s="55"/>
      <c r="D889" s="55"/>
      <c r="E889" s="55"/>
      <c r="F889" s="55"/>
      <c r="G889" s="55"/>
      <c r="H889" s="228"/>
      <c r="I889" s="55"/>
      <c r="J889" s="55"/>
      <c r="K889" s="55"/>
      <c r="L889" s="55"/>
      <c r="M889" s="229"/>
      <c r="N889" s="230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5.75" customHeight="1">
      <c r="A890" s="55"/>
      <c r="B890" s="55"/>
      <c r="C890" s="55"/>
      <c r="D890" s="55"/>
      <c r="E890" s="55"/>
      <c r="F890" s="55"/>
      <c r="G890" s="55"/>
      <c r="H890" s="228"/>
      <c r="I890" s="55"/>
      <c r="J890" s="55"/>
      <c r="K890" s="55"/>
      <c r="L890" s="55"/>
      <c r="M890" s="229"/>
      <c r="N890" s="230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5.75" customHeight="1">
      <c r="A891" s="55"/>
      <c r="B891" s="55"/>
      <c r="C891" s="55"/>
      <c r="D891" s="55"/>
      <c r="E891" s="55"/>
      <c r="F891" s="55"/>
      <c r="G891" s="55"/>
      <c r="H891" s="228"/>
      <c r="I891" s="55"/>
      <c r="J891" s="55"/>
      <c r="K891" s="55"/>
      <c r="L891" s="55"/>
      <c r="M891" s="229"/>
      <c r="N891" s="230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5.75" customHeight="1">
      <c r="A892" s="55"/>
      <c r="B892" s="55"/>
      <c r="C892" s="55"/>
      <c r="D892" s="55"/>
      <c r="E892" s="55"/>
      <c r="F892" s="55"/>
      <c r="G892" s="55"/>
      <c r="H892" s="228"/>
      <c r="I892" s="55"/>
      <c r="J892" s="55"/>
      <c r="K892" s="55"/>
      <c r="L892" s="55"/>
      <c r="M892" s="229"/>
      <c r="N892" s="230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5.75" customHeight="1">
      <c r="A893" s="55"/>
      <c r="B893" s="55"/>
      <c r="C893" s="55"/>
      <c r="D893" s="55"/>
      <c r="E893" s="55"/>
      <c r="F893" s="55"/>
      <c r="G893" s="55"/>
      <c r="H893" s="228"/>
      <c r="I893" s="55"/>
      <c r="J893" s="55"/>
      <c r="K893" s="55"/>
      <c r="L893" s="55"/>
      <c r="M893" s="229"/>
      <c r="N893" s="230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5.75" customHeight="1">
      <c r="A894" s="55"/>
      <c r="B894" s="55"/>
      <c r="C894" s="55"/>
      <c r="D894" s="55"/>
      <c r="E894" s="55"/>
      <c r="F894" s="55"/>
      <c r="G894" s="55"/>
      <c r="H894" s="228"/>
      <c r="I894" s="55"/>
      <c r="J894" s="55"/>
      <c r="K894" s="55"/>
      <c r="L894" s="55"/>
      <c r="M894" s="229"/>
      <c r="N894" s="230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5.75" customHeight="1">
      <c r="A895" s="55"/>
      <c r="B895" s="55"/>
      <c r="C895" s="55"/>
      <c r="D895" s="55"/>
      <c r="E895" s="55"/>
      <c r="F895" s="55"/>
      <c r="G895" s="55"/>
      <c r="H895" s="228"/>
      <c r="I895" s="55"/>
      <c r="J895" s="55"/>
      <c r="K895" s="55"/>
      <c r="L895" s="55"/>
      <c r="M895" s="229"/>
      <c r="N895" s="230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5.75" customHeight="1">
      <c r="A896" s="55"/>
      <c r="B896" s="55"/>
      <c r="C896" s="55"/>
      <c r="D896" s="55"/>
      <c r="E896" s="55"/>
      <c r="F896" s="55"/>
      <c r="G896" s="55"/>
      <c r="H896" s="228"/>
      <c r="I896" s="55"/>
      <c r="J896" s="55"/>
      <c r="K896" s="55"/>
      <c r="L896" s="55"/>
      <c r="M896" s="229"/>
      <c r="N896" s="230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5.75" customHeight="1">
      <c r="A897" s="55"/>
      <c r="B897" s="55"/>
      <c r="C897" s="55"/>
      <c r="D897" s="55"/>
      <c r="E897" s="55"/>
      <c r="F897" s="55"/>
      <c r="G897" s="55"/>
      <c r="H897" s="228"/>
      <c r="I897" s="55"/>
      <c r="J897" s="55"/>
      <c r="K897" s="55"/>
      <c r="L897" s="55"/>
      <c r="M897" s="229"/>
      <c r="N897" s="230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5.75" customHeight="1">
      <c r="A898" s="55"/>
      <c r="B898" s="55"/>
      <c r="C898" s="55"/>
      <c r="D898" s="55"/>
      <c r="E898" s="55"/>
      <c r="F898" s="55"/>
      <c r="G898" s="55"/>
      <c r="H898" s="228"/>
      <c r="I898" s="55"/>
      <c r="J898" s="55"/>
      <c r="K898" s="55"/>
      <c r="L898" s="55"/>
      <c r="M898" s="229"/>
      <c r="N898" s="230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5.75" customHeight="1">
      <c r="A899" s="55"/>
      <c r="B899" s="55"/>
      <c r="C899" s="55"/>
      <c r="D899" s="55"/>
      <c r="E899" s="55"/>
      <c r="F899" s="55"/>
      <c r="G899" s="55"/>
      <c r="H899" s="228"/>
      <c r="I899" s="55"/>
      <c r="J899" s="55"/>
      <c r="K899" s="55"/>
      <c r="L899" s="55"/>
      <c r="M899" s="229"/>
      <c r="N899" s="230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5.75" customHeight="1">
      <c r="A900" s="55"/>
      <c r="B900" s="55"/>
      <c r="C900" s="55"/>
      <c r="D900" s="55"/>
      <c r="E900" s="55"/>
      <c r="F900" s="55"/>
      <c r="G900" s="55"/>
      <c r="H900" s="228"/>
      <c r="I900" s="55"/>
      <c r="J900" s="55"/>
      <c r="K900" s="55"/>
      <c r="L900" s="55"/>
      <c r="M900" s="229"/>
      <c r="N900" s="230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5.75" customHeight="1">
      <c r="A901" s="55"/>
      <c r="B901" s="55"/>
      <c r="C901" s="55"/>
      <c r="D901" s="55"/>
      <c r="E901" s="55"/>
      <c r="F901" s="55"/>
      <c r="G901" s="55"/>
      <c r="H901" s="228"/>
      <c r="I901" s="55"/>
      <c r="J901" s="55"/>
      <c r="K901" s="55"/>
      <c r="L901" s="55"/>
      <c r="M901" s="229"/>
      <c r="N901" s="230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5.75" customHeight="1">
      <c r="A902" s="55"/>
      <c r="B902" s="55"/>
      <c r="C902" s="55"/>
      <c r="D902" s="55"/>
      <c r="E902" s="55"/>
      <c r="F902" s="55"/>
      <c r="G902" s="55"/>
      <c r="H902" s="228"/>
      <c r="I902" s="55"/>
      <c r="J902" s="55"/>
      <c r="K902" s="55"/>
      <c r="L902" s="55"/>
      <c r="M902" s="229"/>
      <c r="N902" s="230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5.75" customHeight="1">
      <c r="A903" s="55"/>
      <c r="B903" s="55"/>
      <c r="C903" s="55"/>
      <c r="D903" s="55"/>
      <c r="E903" s="55"/>
      <c r="F903" s="55"/>
      <c r="G903" s="55"/>
      <c r="H903" s="228"/>
      <c r="I903" s="55"/>
      <c r="J903" s="55"/>
      <c r="K903" s="55"/>
      <c r="L903" s="55"/>
      <c r="M903" s="229"/>
      <c r="N903" s="230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5.75" customHeight="1">
      <c r="A904" s="55"/>
      <c r="B904" s="55"/>
      <c r="C904" s="55"/>
      <c r="D904" s="55"/>
      <c r="E904" s="55"/>
      <c r="F904" s="55"/>
      <c r="G904" s="55"/>
      <c r="H904" s="228"/>
      <c r="I904" s="55"/>
      <c r="J904" s="55"/>
      <c r="K904" s="55"/>
      <c r="L904" s="55"/>
      <c r="M904" s="229"/>
      <c r="N904" s="230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5.75" customHeight="1">
      <c r="A905" s="55"/>
      <c r="B905" s="55"/>
      <c r="C905" s="55"/>
      <c r="D905" s="55"/>
      <c r="E905" s="55"/>
      <c r="F905" s="55"/>
      <c r="G905" s="55"/>
      <c r="H905" s="228"/>
      <c r="I905" s="55"/>
      <c r="J905" s="55"/>
      <c r="K905" s="55"/>
      <c r="L905" s="55"/>
      <c r="M905" s="229"/>
      <c r="N905" s="230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5.75" customHeight="1">
      <c r="A906" s="55"/>
      <c r="B906" s="55"/>
      <c r="C906" s="55"/>
      <c r="D906" s="55"/>
      <c r="E906" s="55"/>
      <c r="F906" s="55"/>
      <c r="G906" s="55"/>
      <c r="H906" s="228"/>
      <c r="I906" s="55"/>
      <c r="J906" s="55"/>
      <c r="K906" s="55"/>
      <c r="L906" s="55"/>
      <c r="M906" s="229"/>
      <c r="N906" s="230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5.75" customHeight="1">
      <c r="A907" s="55"/>
      <c r="B907" s="55"/>
      <c r="C907" s="55"/>
      <c r="D907" s="55"/>
      <c r="E907" s="55"/>
      <c r="F907" s="55"/>
      <c r="G907" s="55"/>
      <c r="H907" s="228"/>
      <c r="I907" s="55"/>
      <c r="J907" s="55"/>
      <c r="K907" s="55"/>
      <c r="L907" s="55"/>
      <c r="M907" s="229"/>
      <c r="N907" s="230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5.75" customHeight="1">
      <c r="A908" s="55"/>
      <c r="B908" s="55"/>
      <c r="C908" s="55"/>
      <c r="D908" s="55"/>
      <c r="E908" s="55"/>
      <c r="F908" s="55"/>
      <c r="G908" s="55"/>
      <c r="H908" s="228"/>
      <c r="I908" s="55"/>
      <c r="J908" s="55"/>
      <c r="K908" s="55"/>
      <c r="L908" s="55"/>
      <c r="M908" s="229"/>
      <c r="N908" s="230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5.75" customHeight="1">
      <c r="A909" s="55"/>
      <c r="B909" s="55"/>
      <c r="C909" s="55"/>
      <c r="D909" s="55"/>
      <c r="E909" s="55"/>
      <c r="F909" s="55"/>
      <c r="G909" s="55"/>
      <c r="H909" s="228"/>
      <c r="I909" s="55"/>
      <c r="J909" s="55"/>
      <c r="K909" s="55"/>
      <c r="L909" s="55"/>
      <c r="M909" s="229"/>
      <c r="N909" s="230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5.75" customHeight="1">
      <c r="A910" s="55"/>
      <c r="B910" s="55"/>
      <c r="C910" s="55"/>
      <c r="D910" s="55"/>
      <c r="E910" s="55"/>
      <c r="F910" s="55"/>
      <c r="G910" s="55"/>
      <c r="H910" s="228"/>
      <c r="I910" s="55"/>
      <c r="J910" s="55"/>
      <c r="K910" s="55"/>
      <c r="L910" s="55"/>
      <c r="M910" s="229"/>
      <c r="N910" s="230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5.75" customHeight="1">
      <c r="A911" s="55"/>
      <c r="B911" s="55"/>
      <c r="C911" s="55"/>
      <c r="D911" s="55"/>
      <c r="E911" s="55"/>
      <c r="F911" s="55"/>
      <c r="G911" s="55"/>
      <c r="H911" s="228"/>
      <c r="I911" s="55"/>
      <c r="J911" s="55"/>
      <c r="K911" s="55"/>
      <c r="L911" s="55"/>
      <c r="M911" s="229"/>
      <c r="N911" s="230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5.75" customHeight="1">
      <c r="A912" s="55"/>
      <c r="B912" s="55"/>
      <c r="C912" s="55"/>
      <c r="D912" s="55"/>
      <c r="E912" s="55"/>
      <c r="F912" s="55"/>
      <c r="G912" s="55"/>
      <c r="H912" s="228"/>
      <c r="I912" s="55"/>
      <c r="J912" s="55"/>
      <c r="K912" s="55"/>
      <c r="L912" s="55"/>
      <c r="M912" s="229"/>
      <c r="N912" s="230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5.75" customHeight="1">
      <c r="A913" s="55"/>
      <c r="B913" s="55"/>
      <c r="C913" s="55"/>
      <c r="D913" s="55"/>
      <c r="E913" s="55"/>
      <c r="F913" s="55"/>
      <c r="G913" s="55"/>
      <c r="H913" s="228"/>
      <c r="I913" s="55"/>
      <c r="J913" s="55"/>
      <c r="K913" s="55"/>
      <c r="L913" s="55"/>
      <c r="M913" s="229"/>
      <c r="N913" s="230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5.75" customHeight="1">
      <c r="A914" s="55"/>
      <c r="B914" s="55"/>
      <c r="C914" s="55"/>
      <c r="D914" s="55"/>
      <c r="E914" s="55"/>
      <c r="F914" s="55"/>
      <c r="G914" s="55"/>
      <c r="H914" s="228"/>
      <c r="I914" s="55"/>
      <c r="J914" s="55"/>
      <c r="K914" s="55"/>
      <c r="L914" s="55"/>
      <c r="M914" s="229"/>
      <c r="N914" s="230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5.75" customHeight="1">
      <c r="A915" s="55"/>
      <c r="B915" s="55"/>
      <c r="C915" s="55"/>
      <c r="D915" s="55"/>
      <c r="E915" s="55"/>
      <c r="F915" s="55"/>
      <c r="G915" s="55"/>
      <c r="H915" s="228"/>
      <c r="I915" s="55"/>
      <c r="J915" s="55"/>
      <c r="K915" s="55"/>
      <c r="L915" s="55"/>
      <c r="M915" s="229"/>
      <c r="N915" s="230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5.75" customHeight="1">
      <c r="A916" s="55"/>
      <c r="B916" s="55"/>
      <c r="C916" s="55"/>
      <c r="D916" s="55"/>
      <c r="E916" s="55"/>
      <c r="F916" s="55"/>
      <c r="G916" s="55"/>
      <c r="H916" s="228"/>
      <c r="I916" s="55"/>
      <c r="J916" s="55"/>
      <c r="K916" s="55"/>
      <c r="L916" s="55"/>
      <c r="M916" s="229"/>
      <c r="N916" s="230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5.75" customHeight="1">
      <c r="A917" s="55"/>
      <c r="B917" s="55"/>
      <c r="C917" s="55"/>
      <c r="D917" s="55"/>
      <c r="E917" s="55"/>
      <c r="F917" s="55"/>
      <c r="G917" s="55"/>
      <c r="H917" s="228"/>
      <c r="I917" s="55"/>
      <c r="J917" s="55"/>
      <c r="K917" s="55"/>
      <c r="L917" s="55"/>
      <c r="M917" s="229"/>
      <c r="N917" s="230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5.75" customHeight="1">
      <c r="A918" s="55"/>
      <c r="B918" s="55"/>
      <c r="C918" s="55"/>
      <c r="D918" s="55"/>
      <c r="E918" s="55"/>
      <c r="F918" s="55"/>
      <c r="G918" s="55"/>
      <c r="H918" s="228"/>
      <c r="I918" s="55"/>
      <c r="J918" s="55"/>
      <c r="K918" s="55"/>
      <c r="L918" s="55"/>
      <c r="M918" s="229"/>
      <c r="N918" s="230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5.75" customHeight="1">
      <c r="A919" s="55"/>
      <c r="B919" s="55"/>
      <c r="C919" s="55"/>
      <c r="D919" s="55"/>
      <c r="E919" s="55"/>
      <c r="F919" s="55"/>
      <c r="G919" s="55"/>
      <c r="H919" s="228"/>
      <c r="I919" s="55"/>
      <c r="J919" s="55"/>
      <c r="K919" s="55"/>
      <c r="L919" s="55"/>
      <c r="M919" s="229"/>
      <c r="N919" s="230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5.75" customHeight="1">
      <c r="A920" s="55"/>
      <c r="B920" s="55"/>
      <c r="C920" s="55"/>
      <c r="D920" s="55"/>
      <c r="E920" s="55"/>
      <c r="F920" s="55"/>
      <c r="G920" s="55"/>
      <c r="H920" s="228"/>
      <c r="I920" s="55"/>
      <c r="J920" s="55"/>
      <c r="K920" s="55"/>
      <c r="L920" s="55"/>
      <c r="M920" s="229"/>
      <c r="N920" s="230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5.75" customHeight="1">
      <c r="A921" s="55"/>
      <c r="B921" s="55"/>
      <c r="C921" s="55"/>
      <c r="D921" s="55"/>
      <c r="E921" s="55"/>
      <c r="F921" s="55"/>
      <c r="G921" s="55"/>
      <c r="H921" s="228"/>
      <c r="I921" s="55"/>
      <c r="J921" s="55"/>
      <c r="K921" s="55"/>
      <c r="L921" s="55"/>
      <c r="M921" s="229"/>
      <c r="N921" s="230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5.75" customHeight="1">
      <c r="A922" s="55"/>
      <c r="B922" s="55"/>
      <c r="C922" s="55"/>
      <c r="D922" s="55"/>
      <c r="E922" s="55"/>
      <c r="F922" s="55"/>
      <c r="G922" s="55"/>
      <c r="H922" s="228"/>
      <c r="I922" s="55"/>
      <c r="J922" s="55"/>
      <c r="K922" s="55"/>
      <c r="L922" s="55"/>
      <c r="M922" s="229"/>
      <c r="N922" s="230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5.75" customHeight="1">
      <c r="A923" s="55"/>
      <c r="B923" s="55"/>
      <c r="C923" s="55"/>
      <c r="D923" s="55"/>
      <c r="E923" s="55"/>
      <c r="F923" s="55"/>
      <c r="G923" s="55"/>
      <c r="H923" s="228"/>
      <c r="I923" s="55"/>
      <c r="J923" s="55"/>
      <c r="K923" s="55"/>
      <c r="L923" s="55"/>
      <c r="M923" s="229"/>
      <c r="N923" s="230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5.75" customHeight="1">
      <c r="A924" s="55"/>
      <c r="B924" s="55"/>
      <c r="C924" s="55"/>
      <c r="D924" s="55"/>
      <c r="E924" s="55"/>
      <c r="F924" s="55"/>
      <c r="G924" s="55"/>
      <c r="H924" s="228"/>
      <c r="I924" s="55"/>
      <c r="J924" s="55"/>
      <c r="K924" s="55"/>
      <c r="L924" s="55"/>
      <c r="M924" s="229"/>
      <c r="N924" s="230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5.75" customHeight="1">
      <c r="A925" s="55"/>
      <c r="B925" s="55"/>
      <c r="C925" s="55"/>
      <c r="D925" s="55"/>
      <c r="E925" s="55"/>
      <c r="F925" s="55"/>
      <c r="G925" s="55"/>
      <c r="H925" s="228"/>
      <c r="I925" s="55"/>
      <c r="J925" s="55"/>
      <c r="K925" s="55"/>
      <c r="L925" s="55"/>
      <c r="M925" s="229"/>
      <c r="N925" s="230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5.75" customHeight="1">
      <c r="A926" s="55"/>
      <c r="B926" s="55"/>
      <c r="C926" s="55"/>
      <c r="D926" s="55"/>
      <c r="E926" s="55"/>
      <c r="F926" s="55"/>
      <c r="G926" s="55"/>
      <c r="H926" s="228"/>
      <c r="I926" s="55"/>
      <c r="J926" s="55"/>
      <c r="K926" s="55"/>
      <c r="L926" s="55"/>
      <c r="M926" s="229"/>
      <c r="N926" s="230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5.75" customHeight="1">
      <c r="A927" s="55"/>
      <c r="B927" s="55"/>
      <c r="C927" s="55"/>
      <c r="D927" s="55"/>
      <c r="E927" s="55"/>
      <c r="F927" s="55"/>
      <c r="G927" s="55"/>
      <c r="H927" s="228"/>
      <c r="I927" s="55"/>
      <c r="J927" s="55"/>
      <c r="K927" s="55"/>
      <c r="L927" s="55"/>
      <c r="M927" s="229"/>
      <c r="N927" s="230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5.75" customHeight="1">
      <c r="A928" s="55"/>
      <c r="B928" s="55"/>
      <c r="C928" s="55"/>
      <c r="D928" s="55"/>
      <c r="E928" s="55"/>
      <c r="F928" s="55"/>
      <c r="G928" s="55"/>
      <c r="H928" s="228"/>
      <c r="I928" s="55"/>
      <c r="J928" s="55"/>
      <c r="K928" s="55"/>
      <c r="L928" s="55"/>
      <c r="M928" s="229"/>
      <c r="N928" s="230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5.75" customHeight="1">
      <c r="A929" s="55"/>
      <c r="B929" s="55"/>
      <c r="C929" s="55"/>
      <c r="D929" s="55"/>
      <c r="E929" s="55"/>
      <c r="F929" s="55"/>
      <c r="G929" s="55"/>
      <c r="H929" s="228"/>
      <c r="I929" s="55"/>
      <c r="J929" s="55"/>
      <c r="K929" s="55"/>
      <c r="L929" s="55"/>
      <c r="M929" s="229"/>
      <c r="N929" s="230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5.75" customHeight="1">
      <c r="A930" s="55"/>
      <c r="B930" s="55"/>
      <c r="C930" s="55"/>
      <c r="D930" s="55"/>
      <c r="E930" s="55"/>
      <c r="F930" s="55"/>
      <c r="G930" s="55"/>
      <c r="H930" s="228"/>
      <c r="I930" s="55"/>
      <c r="J930" s="55"/>
      <c r="K930" s="55"/>
      <c r="L930" s="55"/>
      <c r="M930" s="229"/>
      <c r="N930" s="230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5.75" customHeight="1">
      <c r="A931" s="55"/>
      <c r="B931" s="55"/>
      <c r="C931" s="55"/>
      <c r="D931" s="55"/>
      <c r="E931" s="55"/>
      <c r="F931" s="55"/>
      <c r="G931" s="55"/>
      <c r="H931" s="228"/>
      <c r="I931" s="55"/>
      <c r="J931" s="55"/>
      <c r="K931" s="55"/>
      <c r="L931" s="55"/>
      <c r="M931" s="229"/>
      <c r="N931" s="230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5.75" customHeight="1">
      <c r="A932" s="55"/>
      <c r="B932" s="55"/>
      <c r="C932" s="55"/>
      <c r="D932" s="55"/>
      <c r="E932" s="55"/>
      <c r="F932" s="55"/>
      <c r="G932" s="55"/>
      <c r="H932" s="228"/>
      <c r="I932" s="55"/>
      <c r="J932" s="55"/>
      <c r="K932" s="55"/>
      <c r="L932" s="55"/>
      <c r="M932" s="229"/>
      <c r="N932" s="230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5.75" customHeight="1">
      <c r="A933" s="55"/>
      <c r="B933" s="55"/>
      <c r="C933" s="55"/>
      <c r="D933" s="55"/>
      <c r="E933" s="55"/>
      <c r="F933" s="55"/>
      <c r="G933" s="55"/>
      <c r="H933" s="228"/>
      <c r="I933" s="55"/>
      <c r="J933" s="55"/>
      <c r="K933" s="55"/>
      <c r="L933" s="55"/>
      <c r="M933" s="229"/>
      <c r="N933" s="230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5.75" customHeight="1">
      <c r="A934" s="55"/>
      <c r="B934" s="55"/>
      <c r="C934" s="55"/>
      <c r="D934" s="55"/>
      <c r="E934" s="55"/>
      <c r="F934" s="55"/>
      <c r="G934" s="55"/>
      <c r="H934" s="228"/>
      <c r="I934" s="55"/>
      <c r="J934" s="55"/>
      <c r="K934" s="55"/>
      <c r="L934" s="55"/>
      <c r="M934" s="229"/>
      <c r="N934" s="230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5.75" customHeight="1">
      <c r="A935" s="55"/>
      <c r="B935" s="55"/>
      <c r="C935" s="55"/>
      <c r="D935" s="55"/>
      <c r="E935" s="55"/>
      <c r="F935" s="55"/>
      <c r="G935" s="55"/>
      <c r="H935" s="228"/>
      <c r="I935" s="55"/>
      <c r="J935" s="55"/>
      <c r="K935" s="55"/>
      <c r="L935" s="55"/>
      <c r="M935" s="229"/>
      <c r="N935" s="230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5.75" customHeight="1">
      <c r="A936" s="55"/>
      <c r="B936" s="55"/>
      <c r="C936" s="55"/>
      <c r="D936" s="55"/>
      <c r="E936" s="55"/>
      <c r="F936" s="55"/>
      <c r="G936" s="55"/>
      <c r="H936" s="228"/>
      <c r="I936" s="55"/>
      <c r="J936" s="55"/>
      <c r="K936" s="55"/>
      <c r="L936" s="55"/>
      <c r="M936" s="229"/>
      <c r="N936" s="230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5.75" customHeight="1">
      <c r="A937" s="55"/>
      <c r="B937" s="55"/>
      <c r="C937" s="55"/>
      <c r="D937" s="55"/>
      <c r="E937" s="55"/>
      <c r="F937" s="55"/>
      <c r="G937" s="55"/>
      <c r="H937" s="228"/>
      <c r="I937" s="55"/>
      <c r="J937" s="55"/>
      <c r="K937" s="55"/>
      <c r="L937" s="55"/>
      <c r="M937" s="229"/>
      <c r="N937" s="230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5.75" customHeight="1">
      <c r="A938" s="55"/>
      <c r="B938" s="55"/>
      <c r="C938" s="55"/>
      <c r="D938" s="55"/>
      <c r="E938" s="55"/>
      <c r="F938" s="55"/>
      <c r="G938" s="55"/>
      <c r="H938" s="228"/>
      <c r="I938" s="55"/>
      <c r="J938" s="55"/>
      <c r="K938" s="55"/>
      <c r="L938" s="55"/>
      <c r="M938" s="229"/>
      <c r="N938" s="230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5.75" customHeight="1">
      <c r="A939" s="55"/>
      <c r="B939" s="55"/>
      <c r="C939" s="55"/>
      <c r="D939" s="55"/>
      <c r="E939" s="55"/>
      <c r="F939" s="55"/>
      <c r="G939" s="55"/>
      <c r="H939" s="228"/>
      <c r="I939" s="55"/>
      <c r="J939" s="55"/>
      <c r="K939" s="55"/>
      <c r="L939" s="55"/>
      <c r="M939" s="229"/>
      <c r="N939" s="230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5.75" customHeight="1">
      <c r="A940" s="55"/>
      <c r="B940" s="55"/>
      <c r="C940" s="55"/>
      <c r="D940" s="55"/>
      <c r="E940" s="55"/>
      <c r="F940" s="55"/>
      <c r="G940" s="55"/>
      <c r="H940" s="228"/>
      <c r="I940" s="55"/>
      <c r="J940" s="55"/>
      <c r="K940" s="55"/>
      <c r="L940" s="55"/>
      <c r="M940" s="229"/>
      <c r="N940" s="230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5.75" customHeight="1">
      <c r="A941" s="55"/>
      <c r="B941" s="55"/>
      <c r="C941" s="55"/>
      <c r="D941" s="55"/>
      <c r="E941" s="55"/>
      <c r="F941" s="55"/>
      <c r="G941" s="55"/>
      <c r="H941" s="228"/>
      <c r="I941" s="55"/>
      <c r="J941" s="55"/>
      <c r="K941" s="55"/>
      <c r="L941" s="55"/>
      <c r="M941" s="229"/>
      <c r="N941" s="230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5.75" customHeight="1">
      <c r="A942" s="55"/>
      <c r="B942" s="55"/>
      <c r="C942" s="55"/>
      <c r="D942" s="55"/>
      <c r="E942" s="55"/>
      <c r="F942" s="55"/>
      <c r="G942" s="55"/>
      <c r="H942" s="228"/>
      <c r="I942" s="55"/>
      <c r="J942" s="55"/>
      <c r="K942" s="55"/>
      <c r="L942" s="55"/>
      <c r="M942" s="229"/>
      <c r="N942" s="230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5.75" customHeight="1">
      <c r="A943" s="55"/>
      <c r="B943" s="55"/>
      <c r="C943" s="55"/>
      <c r="D943" s="55"/>
      <c r="E943" s="55"/>
      <c r="F943" s="55"/>
      <c r="G943" s="55"/>
      <c r="H943" s="228"/>
      <c r="I943" s="55"/>
      <c r="J943" s="55"/>
      <c r="K943" s="55"/>
      <c r="L943" s="55"/>
      <c r="M943" s="229"/>
      <c r="N943" s="230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5.75" customHeight="1">
      <c r="A944" s="55"/>
      <c r="B944" s="55"/>
      <c r="C944" s="55"/>
      <c r="D944" s="55"/>
      <c r="E944" s="55"/>
      <c r="F944" s="55"/>
      <c r="G944" s="55"/>
      <c r="H944" s="228"/>
      <c r="I944" s="55"/>
      <c r="J944" s="55"/>
      <c r="K944" s="55"/>
      <c r="L944" s="55"/>
      <c r="M944" s="229"/>
      <c r="N944" s="230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5.75" customHeight="1">
      <c r="A945" s="55"/>
      <c r="B945" s="55"/>
      <c r="C945" s="55"/>
      <c r="D945" s="55"/>
      <c r="E945" s="55"/>
      <c r="F945" s="55"/>
      <c r="G945" s="55"/>
      <c r="H945" s="228"/>
      <c r="I945" s="55"/>
      <c r="J945" s="55"/>
      <c r="K945" s="55"/>
      <c r="L945" s="55"/>
      <c r="M945" s="229"/>
      <c r="N945" s="230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5.75" customHeight="1">
      <c r="A946" s="55"/>
      <c r="B946" s="55"/>
      <c r="C946" s="55"/>
      <c r="D946" s="55"/>
      <c r="E946" s="55"/>
      <c r="F946" s="55"/>
      <c r="G946" s="55"/>
      <c r="H946" s="228"/>
      <c r="I946" s="55"/>
      <c r="J946" s="55"/>
      <c r="K946" s="55"/>
      <c r="L946" s="55"/>
      <c r="M946" s="229"/>
      <c r="N946" s="230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5.75" customHeight="1">
      <c r="A947" s="55"/>
      <c r="B947" s="55"/>
      <c r="C947" s="55"/>
      <c r="D947" s="55"/>
      <c r="E947" s="55"/>
      <c r="F947" s="55"/>
      <c r="G947" s="55"/>
      <c r="H947" s="228"/>
      <c r="I947" s="55"/>
      <c r="J947" s="55"/>
      <c r="K947" s="55"/>
      <c r="L947" s="55"/>
      <c r="M947" s="229"/>
      <c r="N947" s="230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5.75" customHeight="1">
      <c r="A948" s="55"/>
      <c r="B948" s="55"/>
      <c r="C948" s="55"/>
      <c r="D948" s="55"/>
      <c r="E948" s="55"/>
      <c r="F948" s="55"/>
      <c r="G948" s="55"/>
      <c r="H948" s="228"/>
      <c r="I948" s="55"/>
      <c r="J948" s="55"/>
      <c r="K948" s="55"/>
      <c r="L948" s="55"/>
      <c r="M948" s="229"/>
      <c r="N948" s="230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5.75" customHeight="1">
      <c r="A949" s="55"/>
      <c r="B949" s="55"/>
      <c r="C949" s="55"/>
      <c r="D949" s="55"/>
      <c r="E949" s="55"/>
      <c r="F949" s="55"/>
      <c r="G949" s="55"/>
      <c r="H949" s="228"/>
      <c r="I949" s="55"/>
      <c r="J949" s="55"/>
      <c r="K949" s="55"/>
      <c r="L949" s="55"/>
      <c r="M949" s="229"/>
      <c r="N949" s="230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5.75" customHeight="1">
      <c r="A950" s="55"/>
      <c r="B950" s="55"/>
      <c r="C950" s="55"/>
      <c r="D950" s="55"/>
      <c r="E950" s="55"/>
      <c r="F950" s="55"/>
      <c r="G950" s="55"/>
      <c r="H950" s="228"/>
      <c r="I950" s="55"/>
      <c r="J950" s="55"/>
      <c r="K950" s="55"/>
      <c r="L950" s="55"/>
      <c r="M950" s="229"/>
      <c r="N950" s="230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5.75" customHeight="1">
      <c r="A951" s="55"/>
      <c r="B951" s="55"/>
      <c r="C951" s="55"/>
      <c r="D951" s="55"/>
      <c r="E951" s="55"/>
      <c r="F951" s="55"/>
      <c r="G951" s="55"/>
      <c r="H951" s="228"/>
      <c r="I951" s="55"/>
      <c r="J951" s="55"/>
      <c r="K951" s="55"/>
      <c r="L951" s="55"/>
      <c r="M951" s="229"/>
      <c r="N951" s="230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5.75" customHeight="1">
      <c r="A952" s="55"/>
      <c r="B952" s="55"/>
      <c r="C952" s="55"/>
      <c r="D952" s="55"/>
      <c r="E952" s="55"/>
      <c r="F952" s="55"/>
      <c r="G952" s="55"/>
      <c r="H952" s="228"/>
      <c r="I952" s="55"/>
      <c r="J952" s="55"/>
      <c r="K952" s="55"/>
      <c r="L952" s="55"/>
      <c r="M952" s="229"/>
      <c r="N952" s="230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5.75" customHeight="1">
      <c r="A953" s="55"/>
      <c r="B953" s="55"/>
      <c r="C953" s="55"/>
      <c r="D953" s="55"/>
      <c r="E953" s="55"/>
      <c r="F953" s="55"/>
      <c r="G953" s="55"/>
      <c r="H953" s="228"/>
      <c r="I953" s="55"/>
      <c r="J953" s="55"/>
      <c r="K953" s="55"/>
      <c r="L953" s="55"/>
      <c r="M953" s="229"/>
      <c r="N953" s="230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5.75" customHeight="1">
      <c r="A954" s="55"/>
      <c r="B954" s="55"/>
      <c r="C954" s="55"/>
      <c r="D954" s="55"/>
      <c r="E954" s="55"/>
      <c r="F954" s="55"/>
      <c r="G954" s="55"/>
      <c r="H954" s="228"/>
      <c r="I954" s="55"/>
      <c r="J954" s="55"/>
      <c r="K954" s="55"/>
      <c r="L954" s="55"/>
      <c r="M954" s="229"/>
      <c r="N954" s="230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5.75" customHeight="1">
      <c r="A955" s="55"/>
      <c r="B955" s="55"/>
      <c r="C955" s="55"/>
      <c r="D955" s="55"/>
      <c r="E955" s="55"/>
      <c r="F955" s="55"/>
      <c r="G955" s="55"/>
      <c r="H955" s="228"/>
      <c r="I955" s="55"/>
      <c r="J955" s="55"/>
      <c r="K955" s="55"/>
      <c r="L955" s="55"/>
      <c r="M955" s="229"/>
      <c r="N955" s="230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5.75" customHeight="1">
      <c r="A956" s="55"/>
      <c r="B956" s="55"/>
      <c r="C956" s="55"/>
      <c r="D956" s="55"/>
      <c r="E956" s="55"/>
      <c r="F956" s="55"/>
      <c r="G956" s="55"/>
      <c r="H956" s="228"/>
      <c r="I956" s="55"/>
      <c r="J956" s="55"/>
      <c r="K956" s="55"/>
      <c r="L956" s="55"/>
      <c r="M956" s="229"/>
      <c r="N956" s="230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5.75" customHeight="1">
      <c r="A957" s="55"/>
      <c r="B957" s="55"/>
      <c r="C957" s="55"/>
      <c r="D957" s="55"/>
      <c r="E957" s="55"/>
      <c r="F957" s="55"/>
      <c r="G957" s="55"/>
      <c r="H957" s="228"/>
      <c r="I957" s="55"/>
      <c r="J957" s="55"/>
      <c r="K957" s="55"/>
      <c r="L957" s="55"/>
      <c r="M957" s="229"/>
      <c r="N957" s="230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5.75" customHeight="1">
      <c r="A958" s="55"/>
      <c r="B958" s="55"/>
      <c r="C958" s="55"/>
      <c r="D958" s="55"/>
      <c r="E958" s="55"/>
      <c r="F958" s="55"/>
      <c r="G958" s="55"/>
      <c r="H958" s="228"/>
      <c r="I958" s="55"/>
      <c r="J958" s="55"/>
      <c r="K958" s="55"/>
      <c r="L958" s="55"/>
      <c r="M958" s="229"/>
      <c r="N958" s="230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5.75" customHeight="1">
      <c r="A959" s="55"/>
      <c r="B959" s="55"/>
      <c r="C959" s="55"/>
      <c r="D959" s="55"/>
      <c r="E959" s="55"/>
      <c r="F959" s="55"/>
      <c r="G959" s="55"/>
      <c r="H959" s="228"/>
      <c r="I959" s="55"/>
      <c r="J959" s="55"/>
      <c r="K959" s="55"/>
      <c r="L959" s="55"/>
      <c r="M959" s="229"/>
      <c r="N959" s="230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5.75" customHeight="1">
      <c r="A960" s="55"/>
      <c r="B960" s="55"/>
      <c r="C960" s="55"/>
      <c r="D960" s="55"/>
      <c r="E960" s="55"/>
      <c r="F960" s="55"/>
      <c r="G960" s="55"/>
      <c r="H960" s="228"/>
      <c r="I960" s="55"/>
      <c r="J960" s="55"/>
      <c r="K960" s="55"/>
      <c r="L960" s="55"/>
      <c r="M960" s="229"/>
      <c r="N960" s="230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5.75" customHeight="1">
      <c r="A961" s="55"/>
      <c r="B961" s="55"/>
      <c r="C961" s="55"/>
      <c r="D961" s="55"/>
      <c r="E961" s="55"/>
      <c r="F961" s="55"/>
      <c r="G961" s="55"/>
      <c r="H961" s="228"/>
      <c r="I961" s="55"/>
      <c r="J961" s="55"/>
      <c r="K961" s="55"/>
      <c r="L961" s="55"/>
      <c r="M961" s="229"/>
      <c r="N961" s="230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5.75" customHeight="1">
      <c r="A962" s="55"/>
      <c r="B962" s="55"/>
      <c r="C962" s="55"/>
      <c r="D962" s="55"/>
      <c r="E962" s="55"/>
      <c r="F962" s="55"/>
      <c r="G962" s="55"/>
      <c r="H962" s="228"/>
      <c r="I962" s="55"/>
      <c r="J962" s="55"/>
      <c r="K962" s="55"/>
      <c r="L962" s="55"/>
      <c r="M962" s="229"/>
      <c r="N962" s="230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5.75" customHeight="1">
      <c r="A963" s="55"/>
      <c r="B963" s="55"/>
      <c r="C963" s="55"/>
      <c r="D963" s="55"/>
      <c r="E963" s="55"/>
      <c r="F963" s="55"/>
      <c r="G963" s="55"/>
      <c r="H963" s="228"/>
      <c r="I963" s="55"/>
      <c r="J963" s="55"/>
      <c r="K963" s="55"/>
      <c r="L963" s="55"/>
      <c r="M963" s="229"/>
      <c r="N963" s="230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5.75" customHeight="1">
      <c r="A964" s="55"/>
      <c r="B964" s="55"/>
      <c r="C964" s="55"/>
      <c r="D964" s="55"/>
      <c r="E964" s="55"/>
      <c r="F964" s="55"/>
      <c r="G964" s="55"/>
      <c r="H964" s="228"/>
      <c r="I964" s="55"/>
      <c r="J964" s="55"/>
      <c r="K964" s="55"/>
      <c r="L964" s="55"/>
      <c r="M964" s="229"/>
      <c r="N964" s="230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5.75" customHeight="1">
      <c r="A965" s="55"/>
      <c r="B965" s="55"/>
      <c r="C965" s="55"/>
      <c r="D965" s="55"/>
      <c r="E965" s="55"/>
      <c r="F965" s="55"/>
      <c r="G965" s="55"/>
      <c r="H965" s="228"/>
      <c r="I965" s="55"/>
      <c r="J965" s="55"/>
      <c r="K965" s="55"/>
      <c r="L965" s="55"/>
      <c r="M965" s="229"/>
      <c r="N965" s="230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5.75" customHeight="1">
      <c r="A966" s="55"/>
      <c r="B966" s="55"/>
      <c r="C966" s="55"/>
      <c r="D966" s="55"/>
      <c r="E966" s="55"/>
      <c r="F966" s="55"/>
      <c r="G966" s="55"/>
      <c r="H966" s="228"/>
      <c r="I966" s="55"/>
      <c r="J966" s="55"/>
      <c r="K966" s="55"/>
      <c r="L966" s="55"/>
      <c r="M966" s="229"/>
      <c r="N966" s="230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5.75" customHeight="1">
      <c r="A967" s="55"/>
      <c r="B967" s="55"/>
      <c r="C967" s="55"/>
      <c r="D967" s="55"/>
      <c r="E967" s="55"/>
      <c r="F967" s="55"/>
      <c r="G967" s="55"/>
      <c r="H967" s="228"/>
      <c r="I967" s="55"/>
      <c r="J967" s="55"/>
      <c r="K967" s="55"/>
      <c r="L967" s="55"/>
      <c r="M967" s="229"/>
      <c r="N967" s="230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5.75" customHeight="1">
      <c r="A968" s="55"/>
      <c r="B968" s="55"/>
      <c r="C968" s="55"/>
      <c r="D968" s="55"/>
      <c r="E968" s="55"/>
      <c r="F968" s="55"/>
      <c r="G968" s="55"/>
      <c r="H968" s="228"/>
      <c r="I968" s="55"/>
      <c r="J968" s="55"/>
      <c r="K968" s="55"/>
      <c r="L968" s="55"/>
      <c r="M968" s="229"/>
      <c r="N968" s="230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5.75" customHeight="1">
      <c r="A969" s="55"/>
      <c r="B969" s="55"/>
      <c r="C969" s="55"/>
      <c r="D969" s="55"/>
      <c r="E969" s="55"/>
      <c r="F969" s="55"/>
      <c r="G969" s="55"/>
      <c r="H969" s="228"/>
      <c r="I969" s="55"/>
      <c r="J969" s="55"/>
      <c r="K969" s="55"/>
      <c r="L969" s="55"/>
      <c r="M969" s="229"/>
      <c r="N969" s="230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5.75" customHeight="1">
      <c r="A970" s="55"/>
      <c r="B970" s="55"/>
      <c r="C970" s="55"/>
      <c r="D970" s="55"/>
      <c r="E970" s="55"/>
      <c r="F970" s="55"/>
      <c r="G970" s="55"/>
      <c r="H970" s="228"/>
      <c r="I970" s="55"/>
      <c r="J970" s="55"/>
      <c r="K970" s="55"/>
      <c r="L970" s="55"/>
      <c r="M970" s="229"/>
      <c r="N970" s="230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5.75" customHeight="1">
      <c r="A971" s="55"/>
      <c r="B971" s="55"/>
      <c r="C971" s="55"/>
      <c r="D971" s="55"/>
      <c r="E971" s="55"/>
      <c r="F971" s="55"/>
      <c r="G971" s="55"/>
      <c r="H971" s="228"/>
      <c r="I971" s="55"/>
      <c r="J971" s="55"/>
      <c r="K971" s="55"/>
      <c r="L971" s="55"/>
      <c r="M971" s="229"/>
      <c r="N971" s="230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5.75" customHeight="1">
      <c r="A972" s="55"/>
      <c r="B972" s="55"/>
      <c r="C972" s="55"/>
      <c r="D972" s="55"/>
      <c r="E972" s="55"/>
      <c r="F972" s="55"/>
      <c r="G972" s="55"/>
      <c r="H972" s="228"/>
      <c r="I972" s="55"/>
      <c r="J972" s="55"/>
      <c r="K972" s="55"/>
      <c r="L972" s="55"/>
      <c r="M972" s="229"/>
      <c r="N972" s="230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5.75" customHeight="1">
      <c r="A973" s="55"/>
      <c r="B973" s="55"/>
      <c r="C973" s="55"/>
      <c r="D973" s="55"/>
      <c r="E973" s="55"/>
      <c r="F973" s="55"/>
      <c r="G973" s="55"/>
      <c r="H973" s="228"/>
      <c r="I973" s="55"/>
      <c r="J973" s="55"/>
      <c r="K973" s="55"/>
      <c r="L973" s="55"/>
      <c r="M973" s="229"/>
      <c r="N973" s="230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5.75" customHeight="1">
      <c r="A974" s="55"/>
      <c r="B974" s="55"/>
      <c r="C974" s="55"/>
      <c r="D974" s="55"/>
      <c r="E974" s="55"/>
      <c r="F974" s="55"/>
      <c r="G974" s="55"/>
      <c r="H974" s="228"/>
      <c r="I974" s="55"/>
      <c r="J974" s="55"/>
      <c r="K974" s="55"/>
      <c r="L974" s="55"/>
      <c r="M974" s="229"/>
      <c r="N974" s="230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5.75" customHeight="1">
      <c r="A975" s="55"/>
      <c r="B975" s="55"/>
      <c r="C975" s="55"/>
      <c r="D975" s="55"/>
      <c r="E975" s="55"/>
      <c r="F975" s="55"/>
      <c r="G975" s="55"/>
      <c r="H975" s="228"/>
      <c r="I975" s="55"/>
      <c r="J975" s="55"/>
      <c r="K975" s="55"/>
      <c r="L975" s="55"/>
      <c r="M975" s="229"/>
      <c r="N975" s="230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5.75" customHeight="1">
      <c r="A976" s="55"/>
      <c r="B976" s="55"/>
      <c r="C976" s="55"/>
      <c r="D976" s="55"/>
      <c r="E976" s="55"/>
      <c r="F976" s="55"/>
      <c r="G976" s="55"/>
      <c r="H976" s="228"/>
      <c r="I976" s="55"/>
      <c r="J976" s="55"/>
      <c r="K976" s="55"/>
      <c r="L976" s="55"/>
      <c r="M976" s="229"/>
      <c r="N976" s="230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5.75" customHeight="1">
      <c r="A977" s="55"/>
      <c r="B977" s="55"/>
      <c r="C977" s="55"/>
      <c r="D977" s="55"/>
      <c r="E977" s="55"/>
      <c r="F977" s="55"/>
      <c r="G977" s="55"/>
      <c r="H977" s="228"/>
      <c r="I977" s="55"/>
      <c r="J977" s="55"/>
      <c r="K977" s="55"/>
      <c r="L977" s="55"/>
      <c r="M977" s="229"/>
      <c r="N977" s="230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5.75" customHeight="1">
      <c r="A978" s="55"/>
      <c r="B978" s="55"/>
      <c r="C978" s="55"/>
      <c r="D978" s="55"/>
      <c r="E978" s="55"/>
      <c r="F978" s="55"/>
      <c r="G978" s="55"/>
      <c r="H978" s="228"/>
      <c r="I978" s="55"/>
      <c r="J978" s="55"/>
      <c r="K978" s="55"/>
      <c r="L978" s="55"/>
      <c r="M978" s="229"/>
      <c r="N978" s="230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5.75" customHeight="1">
      <c r="A979" s="55"/>
      <c r="B979" s="55"/>
      <c r="C979" s="55"/>
      <c r="D979" s="55"/>
      <c r="E979" s="55"/>
      <c r="F979" s="55"/>
      <c r="G979" s="55"/>
      <c r="H979" s="228"/>
      <c r="I979" s="55"/>
      <c r="J979" s="55"/>
      <c r="K979" s="55"/>
      <c r="L979" s="55"/>
      <c r="M979" s="229"/>
      <c r="N979" s="230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5.75" customHeight="1">
      <c r="A980" s="55"/>
      <c r="B980" s="55"/>
      <c r="C980" s="55"/>
      <c r="D980" s="55"/>
      <c r="E980" s="55"/>
      <c r="F980" s="55"/>
      <c r="G980" s="55"/>
      <c r="H980" s="228"/>
      <c r="I980" s="55"/>
      <c r="J980" s="55"/>
      <c r="K980" s="55"/>
      <c r="L980" s="55"/>
      <c r="M980" s="229"/>
      <c r="N980" s="230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5.75" customHeight="1">
      <c r="A981" s="55"/>
      <c r="B981" s="55"/>
      <c r="C981" s="55"/>
      <c r="D981" s="55"/>
      <c r="E981" s="55"/>
      <c r="F981" s="55"/>
      <c r="G981" s="55"/>
      <c r="H981" s="228"/>
      <c r="I981" s="55"/>
      <c r="J981" s="55"/>
      <c r="K981" s="55"/>
      <c r="L981" s="55"/>
      <c r="M981" s="229"/>
      <c r="N981" s="230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5.75" customHeight="1">
      <c r="A982" s="55"/>
      <c r="B982" s="55"/>
      <c r="C982" s="55"/>
      <c r="D982" s="55"/>
      <c r="E982" s="55"/>
      <c r="F982" s="55"/>
      <c r="G982" s="55"/>
      <c r="H982" s="228"/>
      <c r="I982" s="55"/>
      <c r="J982" s="55"/>
      <c r="K982" s="55"/>
      <c r="L982" s="55"/>
      <c r="M982" s="229"/>
      <c r="N982" s="230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5.75" customHeight="1">
      <c r="A983" s="55"/>
      <c r="B983" s="55"/>
      <c r="C983" s="55"/>
      <c r="D983" s="55"/>
      <c r="E983" s="55"/>
      <c r="F983" s="55"/>
      <c r="G983" s="55"/>
      <c r="H983" s="228"/>
      <c r="I983" s="55"/>
      <c r="J983" s="55"/>
      <c r="K983" s="55"/>
      <c r="L983" s="55"/>
      <c r="M983" s="229"/>
      <c r="N983" s="230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5.75" customHeight="1">
      <c r="A984" s="55"/>
      <c r="B984" s="55"/>
      <c r="C984" s="55"/>
      <c r="D984" s="55"/>
      <c r="E984" s="55"/>
      <c r="F984" s="55"/>
      <c r="G984" s="55"/>
      <c r="H984" s="228"/>
      <c r="I984" s="55"/>
      <c r="J984" s="55"/>
      <c r="K984" s="55"/>
      <c r="L984" s="55"/>
      <c r="M984" s="229"/>
      <c r="N984" s="230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5.75" customHeight="1">
      <c r="A985" s="55"/>
      <c r="B985" s="55"/>
      <c r="C985" s="55"/>
      <c r="D985" s="55"/>
      <c r="E985" s="55"/>
      <c r="F985" s="55"/>
      <c r="G985" s="55"/>
      <c r="H985" s="228"/>
      <c r="I985" s="55"/>
      <c r="J985" s="55"/>
      <c r="K985" s="55"/>
      <c r="L985" s="55"/>
      <c r="M985" s="229"/>
      <c r="N985" s="230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5.75" customHeight="1">
      <c r="A986" s="55"/>
      <c r="B986" s="55"/>
      <c r="C986" s="55"/>
      <c r="D986" s="55"/>
      <c r="E986" s="55"/>
      <c r="F986" s="55"/>
      <c r="G986" s="55"/>
      <c r="H986" s="228"/>
      <c r="I986" s="55"/>
      <c r="J986" s="55"/>
      <c r="K986" s="55"/>
      <c r="L986" s="55"/>
      <c r="M986" s="229"/>
      <c r="N986" s="230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5.75" customHeight="1">
      <c r="A987" s="55"/>
      <c r="B987" s="55"/>
      <c r="C987" s="55"/>
      <c r="D987" s="55"/>
      <c r="E987" s="55"/>
      <c r="F987" s="55"/>
      <c r="G987" s="55"/>
      <c r="H987" s="228"/>
      <c r="I987" s="55"/>
      <c r="J987" s="55"/>
      <c r="K987" s="55"/>
      <c r="L987" s="55"/>
      <c r="M987" s="229"/>
      <c r="N987" s="230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5.75" customHeight="1">
      <c r="A988" s="55"/>
      <c r="B988" s="55"/>
      <c r="C988" s="55"/>
      <c r="D988" s="55"/>
      <c r="E988" s="55"/>
      <c r="F988" s="55"/>
      <c r="G988" s="55"/>
      <c r="H988" s="228"/>
      <c r="I988" s="55"/>
      <c r="J988" s="55"/>
      <c r="K988" s="55"/>
      <c r="L988" s="55"/>
      <c r="M988" s="229"/>
      <c r="N988" s="230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5.75" customHeight="1">
      <c r="A989" s="55"/>
      <c r="B989" s="55"/>
      <c r="C989" s="55"/>
      <c r="D989" s="55"/>
      <c r="E989" s="55"/>
      <c r="F989" s="55"/>
      <c r="G989" s="55"/>
      <c r="H989" s="228"/>
      <c r="I989" s="55"/>
      <c r="J989" s="55"/>
      <c r="K989" s="55"/>
      <c r="L989" s="55"/>
      <c r="M989" s="229"/>
      <c r="N989" s="230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5.75" customHeight="1">
      <c r="A990" s="55"/>
      <c r="B990" s="55"/>
      <c r="C990" s="55"/>
      <c r="D990" s="55"/>
      <c r="E990" s="55"/>
      <c r="F990" s="55"/>
      <c r="G990" s="55"/>
      <c r="H990" s="228"/>
      <c r="I990" s="55"/>
      <c r="J990" s="55"/>
      <c r="K990" s="55"/>
      <c r="L990" s="55"/>
      <c r="M990" s="229"/>
      <c r="N990" s="230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5.75" customHeight="1">
      <c r="A991" s="55"/>
      <c r="B991" s="55"/>
      <c r="C991" s="55"/>
      <c r="D991" s="55"/>
      <c r="E991" s="55"/>
      <c r="F991" s="55"/>
      <c r="G991" s="55"/>
      <c r="H991" s="228"/>
      <c r="I991" s="55"/>
      <c r="J991" s="55"/>
      <c r="K991" s="55"/>
      <c r="L991" s="55"/>
      <c r="M991" s="229"/>
      <c r="N991" s="230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5.75" customHeight="1">
      <c r="A992" s="55"/>
      <c r="B992" s="55"/>
      <c r="C992" s="55"/>
      <c r="D992" s="55"/>
      <c r="E992" s="55"/>
      <c r="F992" s="55"/>
      <c r="G992" s="55"/>
      <c r="H992" s="228"/>
      <c r="I992" s="55"/>
      <c r="J992" s="55"/>
      <c r="K992" s="55"/>
      <c r="L992" s="55"/>
      <c r="M992" s="229"/>
      <c r="N992" s="230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5.75" customHeight="1">
      <c r="A993" s="55"/>
      <c r="B993" s="55"/>
      <c r="C993" s="55"/>
      <c r="D993" s="55"/>
      <c r="E993" s="55"/>
      <c r="F993" s="55"/>
      <c r="G993" s="55"/>
      <c r="H993" s="228"/>
      <c r="I993" s="55"/>
      <c r="J993" s="55"/>
      <c r="K993" s="55"/>
      <c r="L993" s="55"/>
      <c r="M993" s="229"/>
      <c r="N993" s="230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5.75" customHeight="1">
      <c r="A994" s="55"/>
      <c r="B994" s="55"/>
      <c r="C994" s="55"/>
      <c r="D994" s="55"/>
      <c r="E994" s="55"/>
      <c r="F994" s="55"/>
      <c r="G994" s="55"/>
      <c r="H994" s="228"/>
      <c r="I994" s="55"/>
      <c r="J994" s="55"/>
      <c r="K994" s="55"/>
      <c r="L994" s="55"/>
      <c r="M994" s="229"/>
      <c r="N994" s="230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5.75" customHeight="1">
      <c r="A995" s="55"/>
      <c r="B995" s="55"/>
      <c r="C995" s="55"/>
      <c r="D995" s="55"/>
      <c r="E995" s="55"/>
      <c r="F995" s="55"/>
      <c r="G995" s="55"/>
      <c r="H995" s="228"/>
      <c r="I995" s="55"/>
      <c r="J995" s="55"/>
      <c r="K995" s="55"/>
      <c r="L995" s="55"/>
      <c r="M995" s="229"/>
      <c r="N995" s="230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5.75" customHeight="1">
      <c r="A996" s="55"/>
      <c r="B996" s="55"/>
      <c r="C996" s="55"/>
      <c r="D996" s="55"/>
      <c r="E996" s="55"/>
      <c r="F996" s="55"/>
      <c r="G996" s="55"/>
      <c r="H996" s="228"/>
      <c r="I996" s="55"/>
      <c r="J996" s="55"/>
      <c r="K996" s="55"/>
      <c r="L996" s="55"/>
      <c r="M996" s="229"/>
      <c r="N996" s="230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5.75" customHeight="1">
      <c r="A997" s="55"/>
      <c r="B997" s="55"/>
      <c r="C997" s="55"/>
      <c r="D997" s="55"/>
      <c r="E997" s="55"/>
      <c r="F997" s="55"/>
      <c r="G997" s="55"/>
      <c r="H997" s="228"/>
      <c r="I997" s="55"/>
      <c r="J997" s="55"/>
      <c r="K997" s="55"/>
      <c r="L997" s="55"/>
      <c r="M997" s="229"/>
      <c r="N997" s="230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5.75" customHeight="1">
      <c r="A998" s="55"/>
      <c r="B998" s="55"/>
      <c r="C998" s="55"/>
      <c r="D998" s="55"/>
      <c r="E998" s="55"/>
      <c r="F998" s="55"/>
      <c r="G998" s="55"/>
      <c r="H998" s="228"/>
      <c r="I998" s="55"/>
      <c r="J998" s="55"/>
      <c r="K998" s="55"/>
      <c r="L998" s="55"/>
      <c r="M998" s="229"/>
      <c r="N998" s="230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5.75" customHeight="1">
      <c r="A999" s="55"/>
      <c r="B999" s="55"/>
      <c r="C999" s="55"/>
      <c r="D999" s="55"/>
      <c r="E999" s="55"/>
      <c r="F999" s="55"/>
      <c r="G999" s="55"/>
      <c r="H999" s="228"/>
      <c r="I999" s="55"/>
      <c r="J999" s="55"/>
      <c r="K999" s="55"/>
      <c r="L999" s="55"/>
      <c r="M999" s="229"/>
      <c r="N999" s="230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spans="1:28" ht="15.75" customHeight="1">
      <c r="A1000" s="55"/>
      <c r="B1000" s="55"/>
      <c r="C1000" s="55"/>
      <c r="D1000" s="55"/>
      <c r="E1000" s="55"/>
      <c r="F1000" s="55"/>
      <c r="G1000" s="55"/>
      <c r="H1000" s="228"/>
      <c r="I1000" s="55"/>
      <c r="J1000" s="55"/>
      <c r="K1000" s="55"/>
      <c r="L1000" s="55"/>
      <c r="M1000" s="229"/>
      <c r="N1000" s="230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  <row r="1001" spans="1:28" ht="15.75" customHeight="1">
      <c r="A1001" s="55"/>
      <c r="B1001" s="55"/>
      <c r="C1001" s="55"/>
      <c r="D1001" s="55"/>
      <c r="E1001" s="55"/>
      <c r="F1001" s="55"/>
      <c r="G1001" s="55"/>
      <c r="H1001" s="228"/>
      <c r="I1001" s="55"/>
      <c r="J1001" s="55"/>
      <c r="K1001" s="55"/>
      <c r="L1001" s="55"/>
      <c r="M1001" s="229"/>
      <c r="N1001" s="230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</row>
    <row r="1002" spans="1:28" ht="15.75" customHeight="1">
      <c r="A1002" s="55"/>
      <c r="B1002" s="55"/>
      <c r="C1002" s="55"/>
      <c r="D1002" s="55"/>
      <c r="E1002" s="55"/>
      <c r="F1002" s="55"/>
      <c r="G1002" s="55"/>
      <c r="H1002" s="228"/>
      <c r="I1002" s="55"/>
      <c r="J1002" s="55"/>
      <c r="K1002" s="55"/>
      <c r="L1002" s="55"/>
      <c r="M1002" s="229"/>
      <c r="N1002" s="230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</row>
    <row r="1003" spans="1:28" ht="15.75" customHeight="1">
      <c r="A1003" s="55"/>
      <c r="B1003" s="55"/>
      <c r="C1003" s="55"/>
      <c r="D1003" s="55"/>
      <c r="E1003" s="55"/>
      <c r="F1003" s="55"/>
      <c r="G1003" s="55"/>
      <c r="H1003" s="228"/>
      <c r="I1003" s="55"/>
      <c r="J1003" s="55"/>
      <c r="K1003" s="55"/>
      <c r="L1003" s="55"/>
      <c r="M1003" s="229"/>
      <c r="N1003" s="230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</row>
    <row r="1004" spans="1:28" ht="15.75" customHeight="1">
      <c r="A1004" s="55"/>
      <c r="B1004" s="55"/>
      <c r="C1004" s="55"/>
      <c r="D1004" s="55"/>
      <c r="E1004" s="55"/>
      <c r="F1004" s="55"/>
      <c r="G1004" s="55"/>
      <c r="H1004" s="228"/>
      <c r="I1004" s="55"/>
      <c r="J1004" s="55"/>
      <c r="K1004" s="55"/>
      <c r="L1004" s="55"/>
      <c r="M1004" s="229"/>
      <c r="N1004" s="230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</row>
    <row r="1005" spans="1:28" ht="15.75" customHeight="1">
      <c r="A1005" s="55"/>
      <c r="B1005" s="55"/>
      <c r="C1005" s="55"/>
      <c r="D1005" s="55"/>
      <c r="E1005" s="55"/>
      <c r="F1005" s="55"/>
      <c r="G1005" s="55"/>
      <c r="H1005" s="228"/>
      <c r="I1005" s="55"/>
      <c r="J1005" s="55"/>
      <c r="K1005" s="55"/>
      <c r="L1005" s="55"/>
      <c r="M1005" s="229"/>
      <c r="N1005" s="230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</row>
    <row r="1006" spans="1:28" ht="15.75" customHeight="1">
      <c r="A1006" s="55"/>
      <c r="B1006" s="55"/>
      <c r="C1006" s="55"/>
      <c r="D1006" s="55"/>
      <c r="E1006" s="55"/>
      <c r="F1006" s="55"/>
      <c r="G1006" s="55"/>
      <c r="H1006" s="228"/>
      <c r="I1006" s="55"/>
      <c r="J1006" s="55"/>
      <c r="K1006" s="55"/>
      <c r="L1006" s="55"/>
      <c r="M1006" s="229"/>
      <c r="N1006" s="230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</row>
    <row r="1007" spans="1:28" ht="15.75" customHeight="1">
      <c r="A1007" s="55"/>
      <c r="B1007" s="55"/>
      <c r="C1007" s="55"/>
      <c r="D1007" s="55"/>
      <c r="E1007" s="55"/>
      <c r="F1007" s="55"/>
      <c r="G1007" s="55"/>
      <c r="H1007" s="228"/>
      <c r="I1007" s="55"/>
      <c r="J1007" s="55"/>
      <c r="K1007" s="55"/>
      <c r="L1007" s="55"/>
      <c r="M1007" s="229"/>
      <c r="N1007" s="230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</row>
    <row r="1008" spans="1:28" ht="15.75" customHeight="1">
      <c r="A1008" s="55"/>
      <c r="B1008" s="55"/>
      <c r="C1008" s="55"/>
      <c r="D1008" s="55"/>
      <c r="E1008" s="55"/>
      <c r="F1008" s="55"/>
      <c r="G1008" s="55"/>
      <c r="H1008" s="228"/>
      <c r="I1008" s="55"/>
      <c r="J1008" s="55"/>
      <c r="K1008" s="55"/>
      <c r="L1008" s="55"/>
      <c r="M1008" s="229"/>
      <c r="N1008" s="230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</row>
    <row r="1009" spans="1:28" ht="15.75" customHeight="1">
      <c r="A1009" s="55"/>
      <c r="B1009" s="55"/>
      <c r="C1009" s="55"/>
      <c r="D1009" s="55"/>
      <c r="E1009" s="55"/>
      <c r="F1009" s="55"/>
      <c r="G1009" s="55"/>
      <c r="H1009" s="228"/>
      <c r="I1009" s="55"/>
      <c r="J1009" s="55"/>
      <c r="K1009" s="55"/>
      <c r="L1009" s="55"/>
      <c r="M1009" s="229"/>
      <c r="N1009" s="230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</row>
    <row r="1010" spans="1:28" ht="15.75" customHeight="1">
      <c r="A1010" s="55"/>
      <c r="B1010" s="55"/>
      <c r="C1010" s="55"/>
      <c r="D1010" s="55"/>
      <c r="E1010" s="55"/>
      <c r="F1010" s="55"/>
      <c r="G1010" s="55"/>
      <c r="H1010" s="228"/>
      <c r="I1010" s="55"/>
      <c r="J1010" s="55"/>
      <c r="K1010" s="55"/>
      <c r="L1010" s="55"/>
      <c r="M1010" s="229"/>
      <c r="N1010" s="230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</row>
    <row r="1011" spans="1:28" ht="15.75" customHeight="1">
      <c r="A1011" s="55"/>
      <c r="B1011" s="55"/>
      <c r="C1011" s="55"/>
      <c r="D1011" s="55"/>
      <c r="E1011" s="55"/>
      <c r="F1011" s="55"/>
      <c r="G1011" s="55"/>
      <c r="H1011" s="228"/>
      <c r="I1011" s="55"/>
      <c r="J1011" s="55"/>
      <c r="K1011" s="55"/>
      <c r="L1011" s="55"/>
      <c r="M1011" s="229"/>
      <c r="N1011" s="230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</row>
    <row r="1012" spans="1:28" ht="15.75" customHeight="1">
      <c r="A1012" s="55"/>
      <c r="B1012" s="55"/>
      <c r="C1012" s="55"/>
      <c r="D1012" s="55"/>
      <c r="E1012" s="55"/>
      <c r="F1012" s="55"/>
      <c r="G1012" s="55"/>
      <c r="H1012" s="228"/>
      <c r="I1012" s="55"/>
      <c r="J1012" s="55"/>
      <c r="K1012" s="55"/>
      <c r="L1012" s="55"/>
      <c r="M1012" s="229"/>
      <c r="N1012" s="230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</row>
    <row r="1013" spans="1:28" ht="15.75" customHeight="1">
      <c r="A1013" s="55"/>
      <c r="B1013" s="55"/>
      <c r="C1013" s="55"/>
      <c r="D1013" s="55"/>
      <c r="E1013" s="55"/>
      <c r="F1013" s="55"/>
      <c r="G1013" s="55"/>
      <c r="H1013" s="228"/>
      <c r="I1013" s="55"/>
      <c r="J1013" s="55"/>
      <c r="K1013" s="55"/>
      <c r="L1013" s="55"/>
      <c r="M1013" s="229"/>
      <c r="N1013" s="230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</row>
    <row r="1014" spans="1:28" ht="15.75" customHeight="1">
      <c r="A1014" s="55"/>
      <c r="B1014" s="55"/>
      <c r="C1014" s="55"/>
      <c r="D1014" s="55"/>
      <c r="E1014" s="55"/>
      <c r="F1014" s="55"/>
      <c r="G1014" s="55"/>
      <c r="H1014" s="228"/>
      <c r="I1014" s="55"/>
      <c r="J1014" s="55"/>
      <c r="K1014" s="55"/>
      <c r="L1014" s="55"/>
      <c r="M1014" s="229"/>
      <c r="N1014" s="230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</row>
    <row r="1015" spans="1:28" ht="15.75" customHeight="1">
      <c r="A1015" s="55"/>
      <c r="B1015" s="55"/>
      <c r="C1015" s="55"/>
      <c r="D1015" s="55"/>
      <c r="E1015" s="55"/>
      <c r="F1015" s="55"/>
      <c r="G1015" s="55"/>
      <c r="H1015" s="228"/>
      <c r="I1015" s="55"/>
      <c r="J1015" s="55"/>
      <c r="K1015" s="55"/>
      <c r="L1015" s="55"/>
      <c r="M1015" s="229"/>
      <c r="N1015" s="230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</row>
    <row r="1016" spans="1:28" ht="15.75" customHeight="1">
      <c r="A1016" s="55"/>
      <c r="B1016" s="55"/>
      <c r="C1016" s="55"/>
      <c r="D1016" s="55"/>
      <c r="E1016" s="55"/>
      <c r="F1016" s="55"/>
      <c r="G1016" s="55"/>
      <c r="H1016" s="228"/>
      <c r="I1016" s="55"/>
      <c r="J1016" s="55"/>
      <c r="K1016" s="55"/>
      <c r="L1016" s="55"/>
      <c r="M1016" s="229"/>
      <c r="N1016" s="230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</row>
    <row r="1017" spans="1:28" ht="15.75" customHeight="1">
      <c r="A1017" s="55"/>
      <c r="B1017" s="55"/>
      <c r="C1017" s="55"/>
      <c r="D1017" s="55"/>
      <c r="E1017" s="55"/>
      <c r="F1017" s="55"/>
      <c r="G1017" s="55"/>
      <c r="H1017" s="228"/>
      <c r="I1017" s="55"/>
      <c r="J1017" s="55"/>
      <c r="K1017" s="55"/>
      <c r="L1017" s="55"/>
      <c r="M1017" s="229"/>
      <c r="N1017" s="230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</row>
    <row r="1018" spans="1:28" ht="15.75" customHeight="1">
      <c r="A1018" s="55"/>
      <c r="B1018" s="55"/>
      <c r="C1018" s="55"/>
      <c r="D1018" s="55"/>
      <c r="E1018" s="55"/>
      <c r="F1018" s="55"/>
      <c r="G1018" s="55"/>
      <c r="H1018" s="228"/>
      <c r="I1018" s="55"/>
      <c r="J1018" s="55"/>
      <c r="K1018" s="55"/>
      <c r="L1018" s="55"/>
      <c r="M1018" s="229"/>
      <c r="N1018" s="230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</row>
    <row r="1019" spans="1:28" ht="15.75" customHeight="1">
      <c r="A1019" s="55"/>
      <c r="B1019" s="55"/>
      <c r="C1019" s="55"/>
      <c r="D1019" s="55"/>
      <c r="E1019" s="55"/>
      <c r="F1019" s="55"/>
      <c r="G1019" s="55"/>
      <c r="H1019" s="228"/>
      <c r="I1019" s="55"/>
      <c r="J1019" s="55"/>
      <c r="K1019" s="55"/>
      <c r="L1019" s="55"/>
      <c r="M1019" s="229"/>
      <c r="N1019" s="230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</row>
    <row r="1020" spans="1:28" ht="15.75" customHeight="1">
      <c r="A1020" s="55"/>
      <c r="B1020" s="55"/>
      <c r="C1020" s="55"/>
      <c r="D1020" s="55"/>
      <c r="E1020" s="55"/>
      <c r="F1020" s="55"/>
      <c r="G1020" s="55"/>
      <c r="H1020" s="228"/>
      <c r="I1020" s="55"/>
      <c r="J1020" s="55"/>
      <c r="K1020" s="55"/>
      <c r="L1020" s="55"/>
      <c r="M1020" s="229"/>
      <c r="N1020" s="230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</row>
    <row r="1021" spans="1:28" ht="15.75" customHeight="1">
      <c r="A1021" s="55"/>
      <c r="B1021" s="55"/>
      <c r="C1021" s="55"/>
      <c r="D1021" s="55"/>
      <c r="E1021" s="55"/>
      <c r="F1021" s="55"/>
      <c r="G1021" s="55"/>
      <c r="H1021" s="228"/>
      <c r="I1021" s="55"/>
      <c r="J1021" s="55"/>
      <c r="K1021" s="55"/>
      <c r="L1021" s="55"/>
      <c r="M1021" s="229"/>
      <c r="N1021" s="230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</row>
    <row r="1022" spans="1:28" ht="15.75" customHeight="1">
      <c r="A1022" s="55"/>
      <c r="B1022" s="55"/>
      <c r="C1022" s="55"/>
      <c r="D1022" s="55"/>
      <c r="E1022" s="55"/>
      <c r="F1022" s="55"/>
      <c r="G1022" s="55"/>
      <c r="H1022" s="228"/>
      <c r="I1022" s="55"/>
      <c r="J1022" s="55"/>
      <c r="K1022" s="55"/>
      <c r="L1022" s="55"/>
      <c r="M1022" s="229"/>
      <c r="N1022" s="230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</row>
    <row r="1023" spans="1:28" ht="15.75" customHeight="1">
      <c r="A1023" s="55"/>
      <c r="B1023" s="55"/>
      <c r="C1023" s="55"/>
      <c r="D1023" s="55"/>
      <c r="E1023" s="55"/>
      <c r="F1023" s="55"/>
      <c r="G1023" s="55"/>
      <c r="H1023" s="228"/>
      <c r="I1023" s="55"/>
      <c r="J1023" s="55"/>
      <c r="K1023" s="55"/>
      <c r="L1023" s="55"/>
      <c r="M1023" s="229"/>
      <c r="N1023" s="230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</row>
    <row r="1024" spans="1:28" ht="15.75" customHeight="1">
      <c r="A1024" s="55"/>
      <c r="B1024" s="55"/>
      <c r="C1024" s="55"/>
      <c r="D1024" s="55"/>
      <c r="E1024" s="55"/>
      <c r="F1024" s="55"/>
      <c r="G1024" s="55"/>
      <c r="H1024" s="228"/>
      <c r="I1024" s="55"/>
      <c r="J1024" s="55"/>
      <c r="K1024" s="55"/>
      <c r="L1024" s="55"/>
      <c r="M1024" s="229"/>
      <c r="N1024" s="230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</row>
    <row r="1025" spans="1:28" ht="15.75" customHeight="1">
      <c r="A1025" s="55"/>
      <c r="B1025" s="55"/>
      <c r="C1025" s="55"/>
      <c r="D1025" s="55"/>
      <c r="E1025" s="55"/>
      <c r="F1025" s="55"/>
      <c r="G1025" s="55"/>
      <c r="H1025" s="228"/>
      <c r="I1025" s="55"/>
      <c r="J1025" s="55"/>
      <c r="K1025" s="55"/>
      <c r="L1025" s="55"/>
      <c r="M1025" s="229"/>
      <c r="N1025" s="230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</row>
    <row r="1026" spans="1:28" ht="15.75" customHeight="1">
      <c r="A1026" s="55"/>
      <c r="B1026" s="55"/>
      <c r="C1026" s="55"/>
      <c r="D1026" s="55"/>
      <c r="E1026" s="55"/>
      <c r="F1026" s="55"/>
      <c r="G1026" s="55"/>
      <c r="H1026" s="228"/>
      <c r="I1026" s="55"/>
      <c r="J1026" s="55"/>
      <c r="K1026" s="55"/>
      <c r="L1026" s="55"/>
      <c r="M1026" s="229"/>
      <c r="N1026" s="230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</row>
    <row r="1027" spans="1:28" ht="15.75" customHeight="1">
      <c r="A1027" s="55"/>
      <c r="B1027" s="55"/>
      <c r="C1027" s="55"/>
      <c r="D1027" s="55"/>
      <c r="E1027" s="55"/>
      <c r="F1027" s="55"/>
      <c r="G1027" s="55"/>
      <c r="H1027" s="228"/>
      <c r="I1027" s="55"/>
      <c r="J1027" s="55"/>
      <c r="K1027" s="55"/>
      <c r="L1027" s="55"/>
      <c r="M1027" s="229"/>
      <c r="N1027" s="230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</row>
    <row r="1028" spans="1:28" ht="15.75" customHeight="1">
      <c r="A1028" s="55"/>
      <c r="B1028" s="55"/>
      <c r="C1028" s="55"/>
      <c r="D1028" s="55"/>
      <c r="E1028" s="55"/>
      <c r="F1028" s="55"/>
      <c r="G1028" s="55"/>
      <c r="H1028" s="228"/>
      <c r="I1028" s="55"/>
      <c r="J1028" s="55"/>
      <c r="K1028" s="55"/>
      <c r="L1028" s="55"/>
      <c r="M1028" s="229"/>
      <c r="N1028" s="230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</row>
    <row r="1029" spans="1:28" ht="15.75" customHeight="1">
      <c r="A1029" s="55"/>
      <c r="B1029" s="55"/>
      <c r="C1029" s="55"/>
      <c r="D1029" s="55"/>
      <c r="E1029" s="55"/>
      <c r="F1029" s="55"/>
      <c r="G1029" s="55"/>
      <c r="H1029" s="228"/>
      <c r="I1029" s="55"/>
      <c r="J1029" s="55"/>
      <c r="K1029" s="55"/>
      <c r="L1029" s="55"/>
      <c r="M1029" s="229"/>
      <c r="N1029" s="230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</row>
    <row r="1030" spans="1:28" ht="15.75" customHeight="1">
      <c r="A1030" s="55"/>
      <c r="B1030" s="55"/>
      <c r="C1030" s="55"/>
      <c r="D1030" s="55"/>
      <c r="E1030" s="55"/>
      <c r="F1030" s="55"/>
      <c r="G1030" s="55"/>
      <c r="H1030" s="228"/>
      <c r="I1030" s="55"/>
      <c r="J1030" s="55"/>
      <c r="K1030" s="55"/>
      <c r="L1030" s="55"/>
      <c r="M1030" s="229"/>
      <c r="N1030" s="230"/>
      <c r="O1030" s="55"/>
      <c r="P1030" s="55"/>
      <c r="Q1030" s="55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</row>
    <row r="1031" spans="1:28" ht="15.75" customHeight="1">
      <c r="A1031" s="55"/>
      <c r="B1031" s="55"/>
      <c r="C1031" s="55"/>
      <c r="D1031" s="55"/>
      <c r="E1031" s="55"/>
      <c r="F1031" s="55"/>
      <c r="G1031" s="55"/>
      <c r="H1031" s="228"/>
      <c r="I1031" s="55"/>
      <c r="J1031" s="55"/>
      <c r="K1031" s="55"/>
      <c r="L1031" s="55"/>
      <c r="M1031" s="229"/>
      <c r="N1031" s="230"/>
      <c r="O1031" s="55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</row>
    <row r="1032" spans="1:28" ht="15.75" customHeight="1">
      <c r="A1032" s="55"/>
      <c r="B1032" s="55"/>
      <c r="C1032" s="55"/>
      <c r="D1032" s="55"/>
      <c r="E1032" s="55"/>
      <c r="F1032" s="55"/>
      <c r="G1032" s="55"/>
      <c r="H1032" s="228"/>
      <c r="I1032" s="55"/>
      <c r="J1032" s="55"/>
      <c r="K1032" s="55"/>
      <c r="L1032" s="55"/>
      <c r="M1032" s="229"/>
      <c r="N1032" s="230"/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</row>
    <row r="1033" spans="1:28" ht="15.75" customHeight="1">
      <c r="A1033" s="55"/>
      <c r="B1033" s="55"/>
      <c r="C1033" s="55"/>
      <c r="D1033" s="55"/>
      <c r="E1033" s="55"/>
      <c r="F1033" s="55"/>
      <c r="G1033" s="55"/>
      <c r="H1033" s="228"/>
      <c r="I1033" s="55"/>
      <c r="J1033" s="55"/>
      <c r="K1033" s="55"/>
      <c r="L1033" s="55"/>
      <c r="M1033" s="229"/>
      <c r="N1033" s="230"/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</row>
    <row r="1034" spans="1:28" ht="15.75" customHeight="1">
      <c r="A1034" s="55"/>
      <c r="B1034" s="55"/>
      <c r="C1034" s="55"/>
      <c r="D1034" s="55"/>
      <c r="E1034" s="55"/>
      <c r="F1034" s="55"/>
      <c r="G1034" s="55"/>
      <c r="H1034" s="228"/>
      <c r="I1034" s="55"/>
      <c r="J1034" s="55"/>
      <c r="K1034" s="55"/>
      <c r="L1034" s="55"/>
      <c r="M1034" s="229"/>
      <c r="N1034" s="230"/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</row>
    <row r="1035" spans="1:28" ht="15.75" customHeight="1">
      <c r="A1035" s="55"/>
      <c r="B1035" s="55"/>
      <c r="C1035" s="55"/>
      <c r="D1035" s="55"/>
      <c r="E1035" s="55"/>
      <c r="F1035" s="55"/>
      <c r="G1035" s="55"/>
      <c r="H1035" s="228"/>
      <c r="I1035" s="55"/>
      <c r="J1035" s="55"/>
      <c r="K1035" s="55"/>
      <c r="L1035" s="55"/>
      <c r="M1035" s="229"/>
      <c r="N1035" s="230"/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</row>
    <row r="1036" spans="1:28" ht="15.75" customHeight="1">
      <c r="A1036" s="55"/>
      <c r="B1036" s="55"/>
      <c r="C1036" s="55"/>
      <c r="D1036" s="55"/>
      <c r="E1036" s="55"/>
      <c r="F1036" s="55"/>
      <c r="G1036" s="55"/>
      <c r="H1036" s="228"/>
      <c r="I1036" s="55"/>
      <c r="J1036" s="55"/>
      <c r="K1036" s="55"/>
      <c r="L1036" s="55"/>
      <c r="M1036" s="229"/>
      <c r="N1036" s="230"/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</row>
    <row r="1037" spans="1:28" ht="15.75" customHeight="1">
      <c r="A1037" s="55"/>
      <c r="B1037" s="55"/>
      <c r="C1037" s="55"/>
      <c r="D1037" s="55"/>
      <c r="E1037" s="55"/>
      <c r="F1037" s="55"/>
      <c r="G1037" s="55"/>
      <c r="H1037" s="228"/>
      <c r="I1037" s="55"/>
      <c r="J1037" s="55"/>
      <c r="K1037" s="55"/>
      <c r="L1037" s="55"/>
      <c r="M1037" s="229"/>
      <c r="N1037" s="230"/>
      <c r="O1037" s="55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</row>
    <row r="1038" spans="1:28" ht="15.75" customHeight="1">
      <c r="A1038" s="55"/>
      <c r="B1038" s="55"/>
      <c r="C1038" s="55"/>
      <c r="D1038" s="55"/>
      <c r="E1038" s="55"/>
      <c r="F1038" s="55"/>
      <c r="G1038" s="55"/>
      <c r="H1038" s="228"/>
      <c r="I1038" s="55"/>
      <c r="J1038" s="55"/>
      <c r="K1038" s="55"/>
      <c r="L1038" s="55"/>
      <c r="M1038" s="229"/>
      <c r="N1038" s="230"/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</row>
    <row r="1039" spans="1:28" ht="15.75" customHeight="1">
      <c r="A1039" s="55"/>
      <c r="B1039" s="55"/>
      <c r="C1039" s="55"/>
      <c r="D1039" s="55"/>
      <c r="E1039" s="55"/>
      <c r="F1039" s="55"/>
      <c r="G1039" s="55"/>
      <c r="H1039" s="228"/>
      <c r="I1039" s="55"/>
      <c r="J1039" s="55"/>
      <c r="K1039" s="55"/>
      <c r="L1039" s="55"/>
      <c r="M1039" s="229"/>
      <c r="N1039" s="230"/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</row>
    <row r="1040" spans="1:28" ht="15.75" customHeight="1">
      <c r="A1040" s="55"/>
      <c r="B1040" s="55"/>
      <c r="C1040" s="55"/>
      <c r="D1040" s="55"/>
      <c r="E1040" s="55"/>
      <c r="F1040" s="55"/>
      <c r="G1040" s="55"/>
      <c r="H1040" s="228"/>
      <c r="I1040" s="55"/>
      <c r="J1040" s="55"/>
      <c r="K1040" s="55"/>
      <c r="L1040" s="55"/>
      <c r="M1040" s="229"/>
      <c r="N1040" s="230"/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</row>
    <row r="1041" spans="1:28" ht="15.75" customHeight="1">
      <c r="A1041" s="55"/>
      <c r="B1041" s="55"/>
      <c r="C1041" s="55"/>
      <c r="D1041" s="55"/>
      <c r="E1041" s="55"/>
      <c r="F1041" s="55"/>
      <c r="G1041" s="55"/>
      <c r="H1041" s="228"/>
      <c r="I1041" s="55"/>
      <c r="J1041" s="55"/>
      <c r="K1041" s="55"/>
      <c r="L1041" s="55"/>
      <c r="M1041" s="229"/>
      <c r="N1041" s="230"/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</row>
    <row r="1042" spans="1:28" ht="15.75" customHeight="1">
      <c r="A1042" s="55"/>
      <c r="B1042" s="55"/>
      <c r="C1042" s="55"/>
      <c r="D1042" s="55"/>
      <c r="E1042" s="55"/>
      <c r="F1042" s="55"/>
      <c r="G1042" s="55"/>
      <c r="H1042" s="228"/>
      <c r="I1042" s="55"/>
      <c r="J1042" s="55"/>
      <c r="K1042" s="55"/>
      <c r="L1042" s="55"/>
      <c r="M1042" s="229"/>
      <c r="N1042" s="230"/>
      <c r="O1042" s="55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</row>
    <row r="1043" spans="1:28" ht="15.75" customHeight="1">
      <c r="A1043" s="55"/>
      <c r="B1043" s="55"/>
      <c r="C1043" s="55"/>
      <c r="D1043" s="55"/>
      <c r="E1043" s="55"/>
      <c r="F1043" s="55"/>
      <c r="G1043" s="55"/>
      <c r="H1043" s="228"/>
      <c r="I1043" s="55"/>
      <c r="J1043" s="55"/>
      <c r="K1043" s="55"/>
      <c r="L1043" s="55"/>
      <c r="M1043" s="229"/>
      <c r="N1043" s="230"/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</row>
    <row r="1044" spans="1:28" ht="15.75" customHeight="1">
      <c r="A1044" s="55"/>
      <c r="B1044" s="55"/>
      <c r="C1044" s="55"/>
      <c r="D1044" s="55"/>
      <c r="E1044" s="55"/>
      <c r="F1044" s="55"/>
      <c r="G1044" s="55"/>
      <c r="H1044" s="228"/>
      <c r="I1044" s="55"/>
      <c r="J1044" s="55"/>
      <c r="K1044" s="55"/>
      <c r="L1044" s="55"/>
      <c r="M1044" s="229"/>
      <c r="N1044" s="230"/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</row>
    <row r="1045" spans="1:28" ht="15.75" customHeight="1">
      <c r="A1045" s="55"/>
      <c r="B1045" s="55"/>
      <c r="C1045" s="55"/>
      <c r="D1045" s="55"/>
      <c r="E1045" s="55"/>
      <c r="F1045" s="55"/>
      <c r="G1045" s="55"/>
      <c r="H1045" s="228"/>
      <c r="I1045" s="55"/>
      <c r="J1045" s="55"/>
      <c r="K1045" s="55"/>
      <c r="L1045" s="55"/>
      <c r="M1045" s="229"/>
      <c r="N1045" s="230"/>
      <c r="O1045" s="55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</row>
    <row r="1046" spans="1:28" ht="15.75" customHeight="1">
      <c r="A1046" s="55"/>
      <c r="B1046" s="55"/>
      <c r="C1046" s="55"/>
      <c r="D1046" s="55"/>
      <c r="E1046" s="55"/>
      <c r="F1046" s="55"/>
      <c r="G1046" s="55"/>
      <c r="H1046" s="228"/>
      <c r="I1046" s="55"/>
      <c r="J1046" s="55"/>
      <c r="K1046" s="55"/>
      <c r="L1046" s="55"/>
      <c r="M1046" s="229"/>
      <c r="N1046" s="230"/>
      <c r="O1046" s="55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</row>
    <row r="1047" spans="1:28" ht="15.75" customHeight="1">
      <c r="A1047" s="55"/>
      <c r="B1047" s="55"/>
      <c r="C1047" s="55"/>
      <c r="D1047" s="55"/>
      <c r="E1047" s="55"/>
      <c r="F1047" s="55"/>
      <c r="G1047" s="55"/>
      <c r="H1047" s="228"/>
      <c r="I1047" s="55"/>
      <c r="J1047" s="55"/>
      <c r="K1047" s="55"/>
      <c r="L1047" s="55"/>
      <c r="M1047" s="229"/>
      <c r="N1047" s="230"/>
      <c r="O1047" s="55"/>
      <c r="P1047" s="55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</row>
    <row r="1048" spans="1:28" ht="15.75" customHeight="1">
      <c r="A1048" s="55"/>
      <c r="B1048" s="55"/>
      <c r="C1048" s="55"/>
      <c r="D1048" s="55"/>
      <c r="E1048" s="55"/>
      <c r="F1048" s="55"/>
      <c r="G1048" s="55"/>
      <c r="H1048" s="228"/>
      <c r="I1048" s="55"/>
      <c r="J1048" s="55"/>
      <c r="K1048" s="55"/>
      <c r="L1048" s="55"/>
      <c r="M1048" s="229"/>
      <c r="N1048" s="230"/>
      <c r="O1048" s="55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</row>
    <row r="1049" spans="1:28" ht="15.75" customHeight="1">
      <c r="A1049" s="55"/>
      <c r="B1049" s="55"/>
      <c r="C1049" s="55"/>
      <c r="D1049" s="55"/>
      <c r="E1049" s="55"/>
      <c r="F1049" s="55"/>
      <c r="G1049" s="55"/>
      <c r="H1049" s="228"/>
      <c r="I1049" s="55"/>
      <c r="J1049" s="55"/>
      <c r="K1049" s="55"/>
      <c r="L1049" s="55"/>
      <c r="M1049" s="229"/>
      <c r="N1049" s="230"/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</row>
    <row r="1050" spans="1:28" ht="15.75" customHeight="1">
      <c r="A1050" s="55"/>
      <c r="B1050" s="55"/>
      <c r="C1050" s="55"/>
      <c r="D1050" s="55"/>
      <c r="E1050" s="55"/>
      <c r="F1050" s="55"/>
      <c r="G1050" s="55"/>
      <c r="H1050" s="228"/>
      <c r="I1050" s="55"/>
      <c r="J1050" s="55"/>
      <c r="K1050" s="55"/>
      <c r="L1050" s="55"/>
      <c r="M1050" s="229"/>
      <c r="N1050" s="230"/>
      <c r="O1050" s="55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</row>
    <row r="1051" spans="1:28" ht="15.75" customHeight="1">
      <c r="A1051" s="55"/>
      <c r="B1051" s="55"/>
      <c r="C1051" s="55"/>
      <c r="D1051" s="55"/>
      <c r="E1051" s="55"/>
      <c r="F1051" s="55"/>
      <c r="G1051" s="55"/>
      <c r="H1051" s="228"/>
      <c r="I1051" s="55"/>
      <c r="J1051" s="55"/>
      <c r="K1051" s="55"/>
      <c r="L1051" s="55"/>
      <c r="M1051" s="229"/>
      <c r="N1051" s="230"/>
      <c r="O1051" s="55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</row>
    <row r="1052" spans="1:28" ht="15.75" customHeight="1">
      <c r="A1052" s="55"/>
      <c r="B1052" s="55"/>
      <c r="C1052" s="55"/>
      <c r="D1052" s="55"/>
      <c r="E1052" s="55"/>
      <c r="F1052" s="55"/>
      <c r="G1052" s="55"/>
      <c r="H1052" s="228"/>
      <c r="I1052" s="55"/>
      <c r="J1052" s="55"/>
      <c r="K1052" s="55"/>
      <c r="L1052" s="55"/>
      <c r="M1052" s="229"/>
      <c r="N1052" s="230"/>
      <c r="O1052" s="55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</row>
    <row r="1053" spans="1:28" ht="15.75" customHeight="1">
      <c r="A1053" s="55"/>
      <c r="B1053" s="55"/>
      <c r="C1053" s="55"/>
      <c r="D1053" s="55"/>
      <c r="E1053" s="55"/>
      <c r="F1053" s="55"/>
      <c r="G1053" s="55"/>
      <c r="H1053" s="228"/>
      <c r="I1053" s="55"/>
      <c r="J1053" s="55"/>
      <c r="K1053" s="55"/>
      <c r="L1053" s="55"/>
      <c r="M1053" s="229"/>
      <c r="N1053" s="230"/>
      <c r="O1053" s="55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</row>
    <row r="1054" spans="1:28" ht="15.75" customHeight="1">
      <c r="A1054" s="55"/>
      <c r="B1054" s="55"/>
      <c r="C1054" s="55"/>
      <c r="D1054" s="55"/>
      <c r="E1054" s="55"/>
      <c r="F1054" s="55"/>
      <c r="G1054" s="55"/>
      <c r="H1054" s="228"/>
      <c r="I1054" s="55"/>
      <c r="J1054" s="55"/>
      <c r="K1054" s="55"/>
      <c r="L1054" s="55"/>
      <c r="M1054" s="229"/>
      <c r="N1054" s="230"/>
      <c r="O1054" s="55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</row>
    <row r="1055" spans="1:28" ht="15.75" customHeight="1">
      <c r="A1055" s="55"/>
      <c r="B1055" s="55"/>
      <c r="C1055" s="55"/>
      <c r="D1055" s="55"/>
      <c r="E1055" s="55"/>
      <c r="F1055" s="55"/>
      <c r="G1055" s="55"/>
      <c r="H1055" s="228"/>
      <c r="I1055" s="55"/>
      <c r="J1055" s="55"/>
      <c r="K1055" s="55"/>
      <c r="L1055" s="55"/>
      <c r="M1055" s="229"/>
      <c r="N1055" s="230"/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</row>
    <row r="1056" spans="1:28" ht="15.75" customHeight="1">
      <c r="A1056" s="55"/>
      <c r="B1056" s="55"/>
      <c r="C1056" s="55"/>
      <c r="D1056" s="55"/>
      <c r="E1056" s="55"/>
      <c r="F1056" s="55"/>
      <c r="G1056" s="55"/>
      <c r="H1056" s="228"/>
      <c r="I1056" s="55"/>
      <c r="J1056" s="55"/>
      <c r="K1056" s="55"/>
      <c r="L1056" s="55"/>
      <c r="M1056" s="229"/>
      <c r="N1056" s="230"/>
      <c r="O1056" s="55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</row>
    <row r="1057" spans="1:28" ht="15.75" customHeight="1">
      <c r="A1057" s="55"/>
      <c r="B1057" s="55"/>
      <c r="C1057" s="55"/>
      <c r="D1057" s="55"/>
      <c r="E1057" s="55"/>
      <c r="F1057" s="55"/>
      <c r="G1057" s="55"/>
      <c r="H1057" s="228"/>
      <c r="I1057" s="55"/>
      <c r="J1057" s="55"/>
      <c r="K1057" s="55"/>
      <c r="L1057" s="55"/>
      <c r="M1057" s="229"/>
      <c r="N1057" s="230"/>
      <c r="O1057" s="55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</row>
    <row r="1058" spans="1:28" ht="15.75" customHeight="1">
      <c r="A1058" s="55"/>
      <c r="B1058" s="55"/>
      <c r="C1058" s="55"/>
      <c r="D1058" s="55"/>
      <c r="E1058" s="55"/>
      <c r="F1058" s="55"/>
      <c r="G1058" s="55"/>
      <c r="H1058" s="228"/>
      <c r="I1058" s="55"/>
      <c r="J1058" s="55"/>
      <c r="K1058" s="55"/>
      <c r="L1058" s="55"/>
      <c r="M1058" s="229"/>
      <c r="N1058" s="230"/>
      <c r="O1058" s="55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</row>
    <row r="1059" spans="1:28" ht="15.75" customHeight="1">
      <c r="A1059" s="55"/>
      <c r="B1059" s="55"/>
      <c r="C1059" s="55"/>
      <c r="D1059" s="55"/>
      <c r="E1059" s="55"/>
      <c r="F1059" s="55"/>
      <c r="G1059" s="55"/>
      <c r="H1059" s="228"/>
      <c r="I1059" s="55"/>
      <c r="J1059" s="55"/>
      <c r="K1059" s="55"/>
      <c r="L1059" s="55"/>
      <c r="M1059" s="229"/>
      <c r="N1059" s="230"/>
      <c r="O1059" s="55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</row>
    <row r="1060" spans="1:28" ht="15.75" customHeight="1">
      <c r="A1060" s="55"/>
      <c r="B1060" s="55"/>
      <c r="C1060" s="55"/>
      <c r="D1060" s="55"/>
      <c r="E1060" s="55"/>
      <c r="F1060" s="55"/>
      <c r="G1060" s="55"/>
      <c r="H1060" s="228"/>
      <c r="I1060" s="55"/>
      <c r="J1060" s="55"/>
      <c r="K1060" s="55"/>
      <c r="L1060" s="55"/>
      <c r="M1060" s="229"/>
      <c r="N1060" s="230"/>
      <c r="O1060" s="55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</row>
    <row r="1061" spans="1:28" ht="15.75" customHeight="1">
      <c r="A1061" s="55"/>
      <c r="B1061" s="55"/>
      <c r="C1061" s="55"/>
      <c r="D1061" s="55"/>
      <c r="E1061" s="55"/>
      <c r="F1061" s="55"/>
      <c r="G1061" s="55"/>
      <c r="H1061" s="228"/>
      <c r="I1061" s="55"/>
      <c r="J1061" s="55"/>
      <c r="K1061" s="55"/>
      <c r="L1061" s="55"/>
      <c r="M1061" s="229"/>
      <c r="N1061" s="230"/>
      <c r="O1061" s="55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</row>
    <row r="1062" spans="1:28" ht="15.75" customHeight="1">
      <c r="A1062" s="55"/>
      <c r="B1062" s="55"/>
      <c r="C1062" s="55"/>
      <c r="D1062" s="55"/>
      <c r="E1062" s="55"/>
      <c r="F1062" s="55"/>
      <c r="G1062" s="55"/>
      <c r="H1062" s="228"/>
      <c r="I1062" s="55"/>
      <c r="J1062" s="55"/>
      <c r="K1062" s="55"/>
      <c r="L1062" s="55"/>
      <c r="M1062" s="229"/>
      <c r="N1062" s="230"/>
      <c r="O1062" s="55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</row>
    <row r="1063" spans="1:28" ht="15.75" customHeight="1">
      <c r="A1063" s="55"/>
      <c r="B1063" s="55"/>
      <c r="C1063" s="55"/>
      <c r="D1063" s="55"/>
      <c r="E1063" s="55"/>
      <c r="F1063" s="55"/>
      <c r="G1063" s="55"/>
      <c r="H1063" s="228"/>
      <c r="I1063" s="55"/>
      <c r="J1063" s="55"/>
      <c r="K1063" s="55"/>
      <c r="L1063" s="55"/>
      <c r="M1063" s="229"/>
      <c r="N1063" s="230"/>
      <c r="O1063" s="55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</row>
    <row r="1064" spans="1:28" ht="15.75" customHeight="1">
      <c r="A1064" s="55"/>
      <c r="B1064" s="55"/>
      <c r="C1064" s="55"/>
      <c r="D1064" s="55"/>
      <c r="E1064" s="55"/>
      <c r="F1064" s="55"/>
      <c r="G1064" s="55"/>
      <c r="H1064" s="228"/>
      <c r="I1064" s="55"/>
      <c r="J1064" s="55"/>
      <c r="K1064" s="55"/>
      <c r="L1064" s="55"/>
      <c r="M1064" s="229"/>
      <c r="N1064" s="230"/>
      <c r="O1064" s="55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</row>
    <row r="1065" spans="1:28" ht="15.75" customHeight="1">
      <c r="A1065" s="55"/>
      <c r="B1065" s="55"/>
      <c r="C1065" s="55"/>
      <c r="D1065" s="55"/>
      <c r="E1065" s="55"/>
      <c r="F1065" s="55"/>
      <c r="G1065" s="55"/>
      <c r="H1065" s="228"/>
      <c r="I1065" s="55"/>
      <c r="J1065" s="55"/>
      <c r="K1065" s="55"/>
      <c r="L1065" s="55"/>
      <c r="M1065" s="229"/>
      <c r="N1065" s="230"/>
      <c r="O1065" s="55"/>
      <c r="P1065" s="55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</row>
    <row r="1066" spans="1:28" ht="15.75" customHeight="1">
      <c r="A1066" s="55"/>
      <c r="B1066" s="55"/>
      <c r="C1066" s="55"/>
      <c r="D1066" s="55"/>
      <c r="E1066" s="55"/>
      <c r="F1066" s="55"/>
      <c r="G1066" s="55"/>
      <c r="H1066" s="228"/>
      <c r="I1066" s="55"/>
      <c r="J1066" s="55"/>
      <c r="K1066" s="55"/>
      <c r="L1066" s="55"/>
      <c r="M1066" s="229"/>
      <c r="N1066" s="230"/>
      <c r="O1066" s="55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</row>
    <row r="1067" spans="1:28" ht="15.75" customHeight="1">
      <c r="A1067" s="55"/>
      <c r="B1067" s="55"/>
      <c r="C1067" s="55"/>
      <c r="D1067" s="55"/>
      <c r="E1067" s="55"/>
      <c r="F1067" s="55"/>
      <c r="G1067" s="55"/>
      <c r="H1067" s="228"/>
      <c r="I1067" s="55"/>
      <c r="J1067" s="55"/>
      <c r="K1067" s="55"/>
      <c r="L1067" s="55"/>
      <c r="M1067" s="229"/>
      <c r="N1067" s="230"/>
      <c r="O1067" s="55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</row>
    <row r="1068" spans="1:28" ht="15.75" customHeight="1">
      <c r="A1068" s="55"/>
      <c r="B1068" s="55"/>
      <c r="C1068" s="55"/>
      <c r="D1068" s="55"/>
      <c r="E1068" s="55"/>
      <c r="F1068" s="55"/>
      <c r="G1068" s="55"/>
      <c r="H1068" s="228"/>
      <c r="I1068" s="55"/>
      <c r="J1068" s="55"/>
      <c r="K1068" s="55"/>
      <c r="L1068" s="55"/>
      <c r="M1068" s="229"/>
      <c r="N1068" s="230"/>
      <c r="O1068" s="55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</row>
    <row r="1069" spans="1:28" ht="15.75" customHeight="1">
      <c r="A1069" s="55"/>
      <c r="B1069" s="55"/>
      <c r="C1069" s="55"/>
      <c r="D1069" s="55"/>
      <c r="E1069" s="55"/>
      <c r="F1069" s="55"/>
      <c r="G1069" s="55"/>
      <c r="H1069" s="228"/>
      <c r="I1069" s="55"/>
      <c r="J1069" s="55"/>
      <c r="K1069" s="55"/>
      <c r="L1069" s="55"/>
      <c r="M1069" s="229"/>
      <c r="N1069" s="230"/>
      <c r="O1069" s="55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</row>
    <row r="1070" spans="1:28" ht="15.75" customHeight="1">
      <c r="A1070" s="55"/>
      <c r="B1070" s="55"/>
      <c r="C1070" s="55"/>
      <c r="D1070" s="55"/>
      <c r="E1070" s="55"/>
      <c r="F1070" s="55"/>
      <c r="G1070" s="55"/>
      <c r="H1070" s="228"/>
      <c r="I1070" s="55"/>
      <c r="J1070" s="55"/>
      <c r="K1070" s="55"/>
      <c r="L1070" s="55"/>
      <c r="M1070" s="229"/>
      <c r="N1070" s="230"/>
      <c r="O1070" s="55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</row>
    <row r="1071" spans="1:28" ht="15.75" customHeight="1">
      <c r="A1071" s="55"/>
      <c r="B1071" s="55"/>
      <c r="C1071" s="55"/>
      <c r="D1071" s="55"/>
      <c r="E1071" s="55"/>
      <c r="F1071" s="55"/>
      <c r="G1071" s="55"/>
      <c r="H1071" s="228"/>
      <c r="I1071" s="55"/>
      <c r="J1071" s="55"/>
      <c r="K1071" s="55"/>
      <c r="L1071" s="55"/>
      <c r="M1071" s="229"/>
      <c r="N1071" s="230"/>
      <c r="O1071" s="55"/>
      <c r="P1071" s="55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</row>
    <row r="1072" spans="1:28" ht="15.75" customHeight="1">
      <c r="A1072" s="55"/>
      <c r="B1072" s="55"/>
      <c r="C1072" s="55"/>
      <c r="D1072" s="55"/>
      <c r="E1072" s="55"/>
      <c r="F1072" s="55"/>
      <c r="G1072" s="55"/>
      <c r="H1072" s="228"/>
      <c r="I1072" s="55"/>
      <c r="J1072" s="55"/>
      <c r="K1072" s="55"/>
      <c r="L1072" s="55"/>
      <c r="M1072" s="229"/>
      <c r="N1072" s="230"/>
      <c r="O1072" s="55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</row>
    <row r="1073" spans="1:28" ht="15.75" customHeight="1">
      <c r="A1073" s="55"/>
      <c r="B1073" s="55"/>
      <c r="C1073" s="55"/>
      <c r="D1073" s="55"/>
      <c r="E1073" s="55"/>
      <c r="F1073" s="55"/>
      <c r="G1073" s="55"/>
      <c r="H1073" s="228"/>
      <c r="I1073" s="55"/>
      <c r="J1073" s="55"/>
      <c r="K1073" s="55"/>
      <c r="L1073" s="55"/>
      <c r="M1073" s="229"/>
      <c r="N1073" s="230"/>
      <c r="O1073" s="55"/>
      <c r="P1073" s="55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</row>
    <row r="1074" spans="1:28" ht="15.75" customHeight="1">
      <c r="A1074" s="55"/>
      <c r="B1074" s="55"/>
      <c r="C1074" s="55"/>
      <c r="D1074" s="55"/>
      <c r="E1074" s="55"/>
      <c r="F1074" s="55"/>
      <c r="G1074" s="55"/>
      <c r="H1074" s="228"/>
      <c r="I1074" s="55"/>
      <c r="J1074" s="55"/>
      <c r="K1074" s="55"/>
      <c r="L1074" s="55"/>
      <c r="M1074" s="229"/>
      <c r="N1074" s="230"/>
      <c r="O1074" s="55"/>
      <c r="P1074" s="55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</row>
    <row r="1075" spans="1:28" ht="15.75" customHeight="1">
      <c r="A1075" s="55"/>
      <c r="B1075" s="55"/>
      <c r="C1075" s="55"/>
      <c r="D1075" s="55"/>
      <c r="E1075" s="55"/>
      <c r="F1075" s="55"/>
      <c r="G1075" s="55"/>
      <c r="H1075" s="228"/>
      <c r="I1075" s="55"/>
      <c r="J1075" s="55"/>
      <c r="K1075" s="55"/>
      <c r="L1075" s="55"/>
      <c r="M1075" s="229"/>
      <c r="N1075" s="230"/>
      <c r="O1075" s="55"/>
      <c r="P1075" s="55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</row>
    <row r="1076" spans="1:28" ht="15.75" customHeight="1">
      <c r="A1076" s="55"/>
      <c r="B1076" s="55"/>
      <c r="C1076" s="55"/>
      <c r="D1076" s="55"/>
      <c r="E1076" s="55"/>
      <c r="F1076" s="55"/>
      <c r="G1076" s="55"/>
      <c r="H1076" s="228"/>
      <c r="I1076" s="55"/>
      <c r="J1076" s="55"/>
      <c r="K1076" s="55"/>
      <c r="L1076" s="55"/>
      <c r="M1076" s="229"/>
      <c r="N1076" s="230"/>
      <c r="O1076" s="55"/>
      <c r="P1076" s="55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</row>
    <row r="1077" spans="1:28" ht="15.75" customHeight="1">
      <c r="A1077" s="55"/>
      <c r="B1077" s="55"/>
      <c r="C1077" s="55"/>
      <c r="D1077" s="55"/>
      <c r="E1077" s="55"/>
      <c r="F1077" s="55"/>
      <c r="G1077" s="55"/>
      <c r="H1077" s="228"/>
      <c r="I1077" s="55"/>
      <c r="J1077" s="55"/>
      <c r="K1077" s="55"/>
      <c r="L1077" s="55"/>
      <c r="M1077" s="229"/>
      <c r="N1077" s="230"/>
      <c r="O1077" s="55"/>
      <c r="P1077" s="55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</row>
    <row r="1078" spans="1:28" ht="15.75" customHeight="1">
      <c r="A1078" s="55"/>
      <c r="B1078" s="55"/>
      <c r="C1078" s="55"/>
      <c r="D1078" s="55"/>
      <c r="E1078" s="55"/>
      <c r="F1078" s="55"/>
      <c r="G1078" s="55"/>
      <c r="H1078" s="228"/>
      <c r="I1078" s="55"/>
      <c r="J1078" s="55"/>
      <c r="K1078" s="55"/>
      <c r="L1078" s="55"/>
      <c r="M1078" s="229"/>
      <c r="N1078" s="230"/>
      <c r="O1078" s="55"/>
      <c r="P1078" s="55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</row>
    <row r="1079" spans="1:28" ht="15.75" customHeight="1">
      <c r="A1079" s="55"/>
      <c r="B1079" s="55"/>
      <c r="C1079" s="55"/>
      <c r="D1079" s="55"/>
      <c r="E1079" s="55"/>
      <c r="F1079" s="55"/>
      <c r="G1079" s="55"/>
      <c r="H1079" s="228"/>
      <c r="I1079" s="55"/>
      <c r="J1079" s="55"/>
      <c r="K1079" s="55"/>
      <c r="L1079" s="55"/>
      <c r="M1079" s="229"/>
      <c r="N1079" s="230"/>
      <c r="O1079" s="55"/>
      <c r="P1079" s="55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</row>
    <row r="1080" spans="1:28" ht="15.75" customHeight="1">
      <c r="A1080" s="55"/>
      <c r="B1080" s="55"/>
      <c r="C1080" s="55"/>
      <c r="D1080" s="55"/>
      <c r="E1080" s="55"/>
      <c r="F1080" s="55"/>
      <c r="G1080" s="55"/>
      <c r="H1080" s="228"/>
      <c r="I1080" s="55"/>
      <c r="J1080" s="55"/>
      <c r="K1080" s="55"/>
      <c r="L1080" s="55"/>
      <c r="M1080" s="229"/>
      <c r="N1080" s="230"/>
      <c r="O1080" s="55"/>
      <c r="P1080" s="55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</row>
    <row r="1081" spans="1:28" ht="15.75" customHeight="1">
      <c r="A1081" s="55"/>
      <c r="B1081" s="55"/>
      <c r="C1081" s="55"/>
      <c r="D1081" s="55"/>
      <c r="E1081" s="55"/>
      <c r="F1081" s="55"/>
      <c r="G1081" s="55"/>
      <c r="H1081" s="228"/>
      <c r="I1081" s="55"/>
      <c r="J1081" s="55"/>
      <c r="K1081" s="55"/>
      <c r="L1081" s="55"/>
      <c r="M1081" s="229"/>
      <c r="N1081" s="230"/>
      <c r="O1081" s="55"/>
      <c r="P1081" s="55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</row>
    <row r="1082" spans="1:28" ht="15.75" customHeight="1">
      <c r="A1082" s="55"/>
      <c r="B1082" s="55"/>
      <c r="C1082" s="55"/>
      <c r="D1082" s="55"/>
      <c r="E1082" s="55"/>
      <c r="F1082" s="55"/>
      <c r="G1082" s="55"/>
      <c r="H1082" s="228"/>
      <c r="I1082" s="55"/>
      <c r="J1082" s="55"/>
      <c r="K1082" s="55"/>
      <c r="L1082" s="55"/>
      <c r="M1082" s="229"/>
      <c r="N1082" s="230"/>
      <c r="O1082" s="55"/>
      <c r="P1082" s="55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</row>
    <row r="1083" spans="1:28" ht="15.75" customHeight="1">
      <c r="A1083" s="55"/>
      <c r="B1083" s="55"/>
      <c r="C1083" s="55"/>
      <c r="D1083" s="55"/>
      <c r="E1083" s="55"/>
      <c r="F1083" s="55"/>
      <c r="G1083" s="55"/>
      <c r="H1083" s="228"/>
      <c r="I1083" s="55"/>
      <c r="J1083" s="55"/>
      <c r="K1083" s="55"/>
      <c r="L1083" s="55"/>
      <c r="M1083" s="229"/>
      <c r="N1083" s="230"/>
      <c r="O1083" s="55"/>
      <c r="P1083" s="55"/>
      <c r="Q1083" s="55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</row>
    <row r="1084" spans="1:28" ht="15.75" customHeight="1">
      <c r="A1084" s="55"/>
      <c r="B1084" s="55"/>
      <c r="C1084" s="55"/>
      <c r="D1084" s="55"/>
      <c r="E1084" s="55"/>
      <c r="F1084" s="55"/>
      <c r="G1084" s="55"/>
      <c r="H1084" s="228"/>
      <c r="I1084" s="55"/>
      <c r="J1084" s="55"/>
      <c r="K1084" s="55"/>
      <c r="L1084" s="55"/>
      <c r="M1084" s="229"/>
      <c r="N1084" s="230"/>
      <c r="O1084" s="55"/>
      <c r="P1084" s="55"/>
      <c r="Q1084" s="55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</row>
    <row r="1085" spans="1:28" ht="15.75" customHeight="1">
      <c r="A1085" s="55"/>
      <c r="B1085" s="55"/>
      <c r="C1085" s="55"/>
      <c r="D1085" s="55"/>
      <c r="E1085" s="55"/>
      <c r="F1085" s="55"/>
      <c r="G1085" s="55"/>
      <c r="H1085" s="228"/>
      <c r="I1085" s="55"/>
      <c r="J1085" s="55"/>
      <c r="K1085" s="55"/>
      <c r="L1085" s="55"/>
      <c r="M1085" s="229"/>
      <c r="N1085" s="230"/>
      <c r="O1085" s="55"/>
      <c r="P1085" s="55"/>
      <c r="Q1085" s="55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</row>
    <row r="1086" spans="1:28" ht="15.75" customHeight="1">
      <c r="A1086" s="55"/>
      <c r="B1086" s="55"/>
      <c r="C1086" s="55"/>
      <c r="D1086" s="55"/>
      <c r="E1086" s="55"/>
      <c r="F1086" s="55"/>
      <c r="G1086" s="55"/>
      <c r="H1086" s="228"/>
      <c r="I1086" s="55"/>
      <c r="J1086" s="55"/>
      <c r="K1086" s="55"/>
      <c r="L1086" s="55"/>
      <c r="M1086" s="229"/>
      <c r="N1086" s="230"/>
      <c r="O1086" s="55"/>
      <c r="P1086" s="55"/>
      <c r="Q1086" s="55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</row>
    <row r="1087" spans="1:28" ht="15.75" customHeight="1">
      <c r="A1087" s="55"/>
      <c r="B1087" s="55"/>
      <c r="C1087" s="55"/>
      <c r="D1087" s="55"/>
      <c r="E1087" s="55"/>
      <c r="F1087" s="55"/>
      <c r="G1087" s="55"/>
      <c r="H1087" s="228"/>
      <c r="I1087" s="55"/>
      <c r="J1087" s="55"/>
      <c r="K1087" s="55"/>
      <c r="L1087" s="55"/>
      <c r="M1087" s="229"/>
      <c r="N1087" s="230"/>
      <c r="O1087" s="55"/>
      <c r="P1087" s="55"/>
      <c r="Q1087" s="55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</row>
    <row r="1088" spans="1:28" ht="15.75" customHeight="1">
      <c r="A1088" s="55"/>
      <c r="B1088" s="55"/>
      <c r="C1088" s="55"/>
      <c r="D1088" s="55"/>
      <c r="E1088" s="55"/>
      <c r="F1088" s="55"/>
      <c r="G1088" s="55"/>
      <c r="H1088" s="228"/>
      <c r="I1088" s="55"/>
      <c r="J1088" s="55"/>
      <c r="K1088" s="55"/>
      <c r="L1088" s="55"/>
      <c r="M1088" s="229"/>
      <c r="N1088" s="230"/>
      <c r="O1088" s="55"/>
      <c r="P1088" s="55"/>
      <c r="Q1088" s="55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</row>
    <row r="1089" spans="1:28" ht="15.75" customHeight="1">
      <c r="A1089" s="55"/>
      <c r="B1089" s="55"/>
      <c r="C1089" s="55"/>
      <c r="D1089" s="55"/>
      <c r="E1089" s="55"/>
      <c r="F1089" s="55"/>
      <c r="G1089" s="55"/>
      <c r="H1089" s="228"/>
      <c r="I1089" s="55"/>
      <c r="J1089" s="55"/>
      <c r="K1089" s="55"/>
      <c r="L1089" s="55"/>
      <c r="M1089" s="229"/>
      <c r="N1089" s="230"/>
      <c r="O1089" s="55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</row>
    <row r="1090" spans="1:28" ht="15.75" customHeight="1">
      <c r="A1090" s="55"/>
      <c r="B1090" s="55"/>
      <c r="C1090" s="55"/>
      <c r="D1090" s="55"/>
      <c r="E1090" s="55"/>
      <c r="F1090" s="55"/>
      <c r="G1090" s="55"/>
      <c r="H1090" s="228"/>
      <c r="I1090" s="55"/>
      <c r="J1090" s="55"/>
      <c r="K1090" s="55"/>
      <c r="L1090" s="55"/>
      <c r="M1090" s="229"/>
      <c r="N1090" s="230"/>
      <c r="O1090" s="55"/>
      <c r="P1090" s="55"/>
      <c r="Q1090" s="55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</row>
    <row r="1091" spans="1:28" ht="15.75" customHeight="1">
      <c r="A1091" s="55"/>
      <c r="B1091" s="55"/>
      <c r="C1091" s="55"/>
      <c r="D1091" s="55"/>
      <c r="E1091" s="55"/>
      <c r="F1091" s="55"/>
      <c r="G1091" s="55"/>
      <c r="H1091" s="228"/>
      <c r="I1091" s="55"/>
      <c r="J1091" s="55"/>
      <c r="K1091" s="55"/>
      <c r="L1091" s="55"/>
      <c r="M1091" s="229"/>
      <c r="N1091" s="230"/>
      <c r="O1091" s="55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</row>
    <row r="1092" spans="1:28" ht="15.75" customHeight="1">
      <c r="A1092" s="55"/>
      <c r="B1092" s="55"/>
      <c r="C1092" s="55"/>
      <c r="D1092" s="55"/>
      <c r="E1092" s="55"/>
      <c r="F1092" s="55"/>
      <c r="G1092" s="55"/>
      <c r="H1092" s="228"/>
      <c r="I1092" s="55"/>
      <c r="J1092" s="55"/>
      <c r="K1092" s="55"/>
      <c r="L1092" s="55"/>
      <c r="M1092" s="229"/>
      <c r="N1092" s="230"/>
      <c r="O1092" s="55"/>
      <c r="P1092" s="55"/>
      <c r="Q1092" s="55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</row>
    <row r="1093" spans="1:28" ht="15.75" customHeight="1">
      <c r="A1093" s="55"/>
      <c r="B1093" s="55"/>
      <c r="C1093" s="55"/>
      <c r="D1093" s="55"/>
      <c r="E1093" s="55"/>
      <c r="F1093" s="55"/>
      <c r="G1093" s="55"/>
      <c r="H1093" s="228"/>
      <c r="I1093" s="55"/>
      <c r="J1093" s="55"/>
      <c r="K1093" s="55"/>
      <c r="L1093" s="55"/>
      <c r="M1093" s="229"/>
      <c r="N1093" s="230"/>
      <c r="O1093" s="55"/>
      <c r="P1093" s="55"/>
      <c r="Q1093" s="55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</row>
    <row r="1094" spans="1:28" ht="15.75" customHeight="1">
      <c r="A1094" s="55"/>
      <c r="B1094" s="55"/>
      <c r="C1094" s="55"/>
      <c r="D1094" s="55"/>
      <c r="E1094" s="55"/>
      <c r="F1094" s="55"/>
      <c r="G1094" s="55"/>
      <c r="H1094" s="228"/>
      <c r="I1094" s="55"/>
      <c r="J1094" s="55"/>
      <c r="K1094" s="55"/>
      <c r="L1094" s="55"/>
      <c r="M1094" s="229"/>
      <c r="N1094" s="230"/>
      <c r="O1094" s="55"/>
      <c r="P1094" s="55"/>
      <c r="Q1094" s="55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</row>
    <row r="1095" spans="1:28" ht="15.75" customHeight="1">
      <c r="A1095" s="55"/>
      <c r="B1095" s="55"/>
      <c r="C1095" s="55"/>
      <c r="D1095" s="55"/>
      <c r="E1095" s="55"/>
      <c r="F1095" s="55"/>
      <c r="G1095" s="55"/>
      <c r="H1095" s="228"/>
      <c r="I1095" s="55"/>
      <c r="J1095" s="55"/>
      <c r="K1095" s="55"/>
      <c r="L1095" s="55"/>
      <c r="M1095" s="229"/>
      <c r="N1095" s="230"/>
      <c r="O1095" s="55"/>
      <c r="P1095" s="55"/>
      <c r="Q1095" s="55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</row>
    <row r="1096" spans="1:28" ht="15.75" customHeight="1">
      <c r="A1096" s="55"/>
      <c r="B1096" s="55"/>
      <c r="C1096" s="55"/>
      <c r="D1096" s="55"/>
      <c r="E1096" s="55"/>
      <c r="F1096" s="55"/>
      <c r="G1096" s="55"/>
      <c r="H1096" s="228"/>
      <c r="I1096" s="55"/>
      <c r="J1096" s="55"/>
      <c r="K1096" s="55"/>
      <c r="L1096" s="55"/>
      <c r="M1096" s="229"/>
      <c r="N1096" s="230"/>
      <c r="O1096" s="55"/>
      <c r="P1096" s="55"/>
      <c r="Q1096" s="55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</row>
    <row r="1097" spans="1:28" ht="15.75" customHeight="1">
      <c r="A1097" s="55"/>
      <c r="B1097" s="55"/>
      <c r="C1097" s="55"/>
      <c r="D1097" s="55"/>
      <c r="E1097" s="55"/>
      <c r="F1097" s="55"/>
      <c r="G1097" s="55"/>
      <c r="H1097" s="228"/>
      <c r="I1097" s="55"/>
      <c r="J1097" s="55"/>
      <c r="K1097" s="55"/>
      <c r="L1097" s="55"/>
      <c r="M1097" s="229"/>
      <c r="N1097" s="230"/>
      <c r="O1097" s="55"/>
      <c r="P1097" s="55"/>
      <c r="Q1097" s="55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</row>
    <row r="1098" spans="1:28" ht="15.75" customHeight="1">
      <c r="A1098" s="55"/>
      <c r="B1098" s="55"/>
      <c r="C1098" s="55"/>
      <c r="D1098" s="55"/>
      <c r="E1098" s="55"/>
      <c r="F1098" s="55"/>
      <c r="G1098" s="55"/>
      <c r="H1098" s="228"/>
      <c r="I1098" s="55"/>
      <c r="J1098" s="55"/>
      <c r="K1098" s="55"/>
      <c r="L1098" s="55"/>
      <c r="M1098" s="229"/>
      <c r="N1098" s="230"/>
      <c r="O1098" s="55"/>
      <c r="P1098" s="55"/>
      <c r="Q1098" s="55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</row>
    <row r="1099" spans="1:28" ht="15.75" customHeight="1">
      <c r="A1099" s="55"/>
      <c r="B1099" s="55"/>
      <c r="C1099" s="55"/>
      <c r="D1099" s="55"/>
      <c r="E1099" s="55"/>
      <c r="F1099" s="55"/>
      <c r="G1099" s="55"/>
      <c r="H1099" s="228"/>
      <c r="I1099" s="55"/>
      <c r="J1099" s="55"/>
      <c r="K1099" s="55"/>
      <c r="L1099" s="55"/>
      <c r="M1099" s="229"/>
      <c r="N1099" s="230"/>
      <c r="O1099" s="55"/>
      <c r="P1099" s="55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</row>
    <row r="1100" spans="1:28" ht="15.75" customHeight="1">
      <c r="A1100" s="55"/>
      <c r="B1100" s="55"/>
      <c r="C1100" s="55"/>
      <c r="D1100" s="55"/>
      <c r="E1100" s="55"/>
      <c r="F1100" s="55"/>
      <c r="G1100" s="55"/>
      <c r="H1100" s="228"/>
      <c r="I1100" s="55"/>
      <c r="J1100" s="55"/>
      <c r="K1100" s="55"/>
      <c r="L1100" s="55"/>
      <c r="M1100" s="229"/>
      <c r="N1100" s="230"/>
      <c r="O1100" s="55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</row>
    <row r="1101" spans="1:28" ht="15.75" customHeight="1">
      <c r="A1101" s="55"/>
      <c r="B1101" s="55"/>
      <c r="C1101" s="55"/>
      <c r="D1101" s="55"/>
      <c r="E1101" s="55"/>
      <c r="F1101" s="55"/>
      <c r="G1101" s="55"/>
      <c r="H1101" s="228"/>
      <c r="I1101" s="55"/>
      <c r="J1101" s="55"/>
      <c r="K1101" s="55"/>
      <c r="L1101" s="55"/>
      <c r="M1101" s="229"/>
      <c r="N1101" s="230"/>
      <c r="O1101" s="55"/>
      <c r="P1101" s="55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</row>
    <row r="1102" spans="1:28" ht="15.75" customHeight="1">
      <c r="A1102" s="55"/>
      <c r="B1102" s="55"/>
      <c r="C1102" s="55"/>
      <c r="D1102" s="55"/>
      <c r="E1102" s="55"/>
      <c r="F1102" s="55"/>
      <c r="G1102" s="55"/>
      <c r="H1102" s="228"/>
      <c r="I1102" s="55"/>
      <c r="J1102" s="55"/>
      <c r="K1102" s="55"/>
      <c r="L1102" s="55"/>
      <c r="M1102" s="229"/>
      <c r="N1102" s="230"/>
      <c r="O1102" s="55"/>
      <c r="P1102" s="55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</row>
    <row r="1103" spans="1:28" ht="15.75" customHeight="1">
      <c r="A1103" s="55"/>
      <c r="B1103" s="55"/>
      <c r="C1103" s="55"/>
      <c r="D1103" s="55"/>
      <c r="E1103" s="55"/>
      <c r="F1103" s="55"/>
      <c r="G1103" s="55"/>
      <c r="H1103" s="228"/>
      <c r="I1103" s="55"/>
      <c r="J1103" s="55"/>
      <c r="K1103" s="55"/>
      <c r="L1103" s="55"/>
      <c r="M1103" s="229"/>
      <c r="N1103" s="230"/>
      <c r="O1103" s="55"/>
      <c r="P1103" s="55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</row>
    <row r="1104" spans="1:28" ht="15.75" customHeight="1">
      <c r="A1104" s="55"/>
      <c r="B1104" s="55"/>
      <c r="C1104" s="55"/>
      <c r="D1104" s="55"/>
      <c r="E1104" s="55"/>
      <c r="F1104" s="55"/>
      <c r="G1104" s="55"/>
      <c r="H1104" s="228"/>
      <c r="I1104" s="55"/>
      <c r="J1104" s="55"/>
      <c r="K1104" s="55"/>
      <c r="L1104" s="55"/>
      <c r="M1104" s="229"/>
      <c r="N1104" s="230"/>
      <c r="O1104" s="55"/>
      <c r="P1104" s="55"/>
      <c r="Q1104" s="55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</row>
    <row r="1105" spans="1:28" ht="15.75" customHeight="1">
      <c r="A1105" s="55"/>
      <c r="B1105" s="55"/>
      <c r="C1105" s="55"/>
      <c r="D1105" s="55"/>
      <c r="E1105" s="55"/>
      <c r="F1105" s="55"/>
      <c r="G1105" s="55"/>
      <c r="H1105" s="228"/>
      <c r="I1105" s="55"/>
      <c r="J1105" s="55"/>
      <c r="K1105" s="55"/>
      <c r="L1105" s="55"/>
      <c r="M1105" s="229"/>
      <c r="N1105" s="230"/>
      <c r="O1105" s="55"/>
      <c r="P1105" s="55"/>
      <c r="Q1105" s="55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</row>
    <row r="1106" spans="1:28" ht="15.75" customHeight="1">
      <c r="A1106" s="55"/>
      <c r="B1106" s="55"/>
      <c r="C1106" s="55"/>
      <c r="D1106" s="55"/>
      <c r="E1106" s="55"/>
      <c r="F1106" s="55"/>
      <c r="G1106" s="55"/>
      <c r="H1106" s="228"/>
      <c r="I1106" s="55"/>
      <c r="J1106" s="55"/>
      <c r="K1106" s="55"/>
      <c r="L1106" s="55"/>
      <c r="M1106" s="229"/>
      <c r="N1106" s="230"/>
      <c r="O1106" s="55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</row>
    <row r="1107" spans="1:28" ht="15.75" customHeight="1">
      <c r="A1107" s="55"/>
      <c r="B1107" s="55"/>
      <c r="C1107" s="55"/>
      <c r="D1107" s="55"/>
      <c r="E1107" s="55"/>
      <c r="F1107" s="55"/>
      <c r="G1107" s="55"/>
      <c r="H1107" s="228"/>
      <c r="I1107" s="55"/>
      <c r="J1107" s="55"/>
      <c r="K1107" s="55"/>
      <c r="L1107" s="55"/>
      <c r="M1107" s="229"/>
      <c r="N1107" s="230"/>
      <c r="O1107" s="55"/>
      <c r="P1107" s="55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</row>
    <row r="1108" spans="1:28" ht="15.75" customHeight="1">
      <c r="A1108" s="55"/>
      <c r="B1108" s="55"/>
      <c r="C1108" s="55"/>
      <c r="D1108" s="55"/>
      <c r="E1108" s="55"/>
      <c r="F1108" s="55"/>
      <c r="G1108" s="55"/>
      <c r="H1108" s="228"/>
      <c r="I1108" s="55"/>
      <c r="J1108" s="55"/>
      <c r="K1108" s="55"/>
      <c r="L1108" s="55"/>
      <c r="M1108" s="229"/>
      <c r="N1108" s="230"/>
      <c r="O1108" s="55"/>
      <c r="P1108" s="55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</row>
    <row r="1109" spans="1:28" ht="15.75" customHeight="1">
      <c r="A1109" s="55"/>
      <c r="B1109" s="55"/>
      <c r="C1109" s="55"/>
      <c r="D1109" s="55"/>
      <c r="E1109" s="55"/>
      <c r="F1109" s="55"/>
      <c r="G1109" s="55"/>
      <c r="H1109" s="228"/>
      <c r="I1109" s="55"/>
      <c r="J1109" s="55"/>
      <c r="K1109" s="55"/>
      <c r="L1109" s="55"/>
      <c r="M1109" s="229"/>
      <c r="N1109" s="230"/>
      <c r="O1109" s="55"/>
      <c r="P1109" s="55"/>
      <c r="Q1109" s="55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</row>
    <row r="1110" spans="1:28" ht="15.75" customHeight="1">
      <c r="A1110" s="55"/>
      <c r="B1110" s="55"/>
      <c r="C1110" s="55"/>
      <c r="D1110" s="55"/>
      <c r="E1110" s="55"/>
      <c r="F1110" s="55"/>
      <c r="G1110" s="55"/>
      <c r="H1110" s="228"/>
      <c r="I1110" s="55"/>
      <c r="J1110" s="55"/>
      <c r="K1110" s="55"/>
      <c r="L1110" s="55"/>
      <c r="M1110" s="229"/>
      <c r="N1110" s="230"/>
      <c r="O1110" s="55"/>
      <c r="P1110" s="55"/>
      <c r="Q1110" s="55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</row>
    <row r="1111" spans="1:28" ht="15.75" customHeight="1">
      <c r="A1111" s="55"/>
      <c r="B1111" s="55"/>
      <c r="C1111" s="55"/>
      <c r="D1111" s="55"/>
      <c r="E1111" s="55"/>
      <c r="F1111" s="55"/>
      <c r="G1111" s="55"/>
      <c r="H1111" s="228"/>
      <c r="I1111" s="55"/>
      <c r="J1111" s="55"/>
      <c r="K1111" s="55"/>
      <c r="L1111" s="55"/>
      <c r="M1111" s="229"/>
      <c r="N1111" s="230"/>
      <c r="O1111" s="55"/>
      <c r="P1111" s="55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</row>
    <row r="1112" spans="1:28" ht="15.75" customHeight="1">
      <c r="A1112" s="55"/>
      <c r="B1112" s="55"/>
      <c r="C1112" s="55"/>
      <c r="D1112" s="55"/>
      <c r="E1112" s="55"/>
      <c r="F1112" s="55"/>
      <c r="G1112" s="55"/>
      <c r="H1112" s="228"/>
      <c r="I1112" s="55"/>
      <c r="J1112" s="55"/>
      <c r="K1112" s="55"/>
      <c r="L1112" s="55"/>
      <c r="M1112" s="229"/>
      <c r="N1112" s="230"/>
      <c r="O1112" s="55"/>
      <c r="P1112" s="55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</row>
    <row r="1113" spans="1:28" ht="15.75" customHeight="1">
      <c r="A1113" s="55"/>
      <c r="B1113" s="55"/>
      <c r="C1113" s="55"/>
      <c r="D1113" s="55"/>
      <c r="E1113" s="55"/>
      <c r="F1113" s="55"/>
      <c r="G1113" s="55"/>
      <c r="H1113" s="228"/>
      <c r="I1113" s="55"/>
      <c r="J1113" s="55"/>
      <c r="K1113" s="55"/>
      <c r="L1113" s="55"/>
      <c r="M1113" s="229"/>
      <c r="N1113" s="230"/>
      <c r="O1113" s="55"/>
      <c r="P1113" s="55"/>
      <c r="Q1113" s="55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</row>
    <row r="1114" spans="1:28" ht="15.75" customHeight="1">
      <c r="A1114" s="55"/>
      <c r="B1114" s="55"/>
      <c r="C1114" s="55"/>
      <c r="D1114" s="55"/>
      <c r="E1114" s="55"/>
      <c r="F1114" s="55"/>
      <c r="G1114" s="55"/>
      <c r="H1114" s="228"/>
      <c r="I1114" s="55"/>
      <c r="J1114" s="55"/>
      <c r="K1114" s="55"/>
      <c r="L1114" s="55"/>
      <c r="M1114" s="229"/>
      <c r="N1114" s="230"/>
      <c r="O1114" s="55"/>
      <c r="P1114" s="55"/>
      <c r="Q1114" s="55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</row>
    <row r="1115" spans="1:28" ht="15.75" customHeight="1">
      <c r="A1115" s="55"/>
      <c r="B1115" s="55"/>
      <c r="C1115" s="55"/>
      <c r="D1115" s="55"/>
      <c r="E1115" s="55"/>
      <c r="F1115" s="55"/>
      <c r="G1115" s="55"/>
      <c r="H1115" s="228"/>
      <c r="I1115" s="55"/>
      <c r="J1115" s="55"/>
      <c r="K1115" s="55"/>
      <c r="L1115" s="55"/>
      <c r="M1115" s="229"/>
      <c r="N1115" s="230"/>
      <c r="O1115" s="55"/>
      <c r="P1115" s="55"/>
      <c r="Q1115" s="55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</row>
    <row r="1116" spans="1:28" ht="15.75" customHeight="1">
      <c r="A1116" s="55"/>
      <c r="B1116" s="55"/>
      <c r="C1116" s="55"/>
      <c r="D1116" s="55"/>
      <c r="E1116" s="55"/>
      <c r="F1116" s="55"/>
      <c r="G1116" s="55"/>
      <c r="H1116" s="228"/>
      <c r="I1116" s="55"/>
      <c r="J1116" s="55"/>
      <c r="K1116" s="55"/>
      <c r="L1116" s="55"/>
      <c r="M1116" s="229"/>
      <c r="N1116" s="230"/>
      <c r="O1116" s="55"/>
      <c r="P1116" s="55"/>
      <c r="Q1116" s="55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</row>
    <row r="1117" spans="1:28" ht="15.75" customHeight="1">
      <c r="A1117" s="55"/>
      <c r="B1117" s="55"/>
      <c r="C1117" s="55"/>
      <c r="D1117" s="55"/>
      <c r="E1117" s="55"/>
      <c r="F1117" s="55"/>
      <c r="G1117" s="55"/>
      <c r="H1117" s="228"/>
      <c r="I1117" s="55"/>
      <c r="J1117" s="55"/>
      <c r="K1117" s="55"/>
      <c r="L1117" s="55"/>
      <c r="M1117" s="229"/>
      <c r="N1117" s="230"/>
      <c r="O1117" s="55"/>
      <c r="P1117" s="55"/>
      <c r="Q1117" s="55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</row>
    <row r="1118" spans="1:28" ht="15.75" customHeight="1">
      <c r="A1118" s="55"/>
      <c r="B1118" s="55"/>
      <c r="C1118" s="55"/>
      <c r="D1118" s="55"/>
      <c r="E1118" s="55"/>
      <c r="F1118" s="55"/>
      <c r="G1118" s="55"/>
      <c r="H1118" s="228"/>
      <c r="I1118" s="55"/>
      <c r="J1118" s="55"/>
      <c r="K1118" s="55"/>
      <c r="L1118" s="55"/>
      <c r="M1118" s="229"/>
      <c r="N1118" s="230"/>
      <c r="O1118" s="55"/>
      <c r="P1118" s="55"/>
      <c r="Q1118" s="55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</row>
    <row r="1119" spans="1:28" ht="15.75" customHeight="1">
      <c r="A1119" s="55"/>
      <c r="B1119" s="55"/>
      <c r="C1119" s="55"/>
      <c r="D1119" s="55"/>
      <c r="E1119" s="55"/>
      <c r="F1119" s="55"/>
      <c r="G1119" s="55"/>
      <c r="H1119" s="228"/>
      <c r="I1119" s="55"/>
      <c r="J1119" s="55"/>
      <c r="K1119" s="55"/>
      <c r="L1119" s="55"/>
      <c r="M1119" s="229"/>
      <c r="N1119" s="230"/>
      <c r="O1119" s="55"/>
      <c r="P1119" s="55"/>
      <c r="Q1119" s="55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</row>
    <row r="1120" spans="1:28" ht="15.75" customHeight="1">
      <c r="A1120" s="55"/>
      <c r="B1120" s="55"/>
      <c r="C1120" s="55"/>
      <c r="D1120" s="55"/>
      <c r="E1120" s="55"/>
      <c r="F1120" s="55"/>
      <c r="G1120" s="55"/>
      <c r="H1120" s="228"/>
      <c r="I1120" s="55"/>
      <c r="J1120" s="55"/>
      <c r="K1120" s="55"/>
      <c r="L1120" s="55"/>
      <c r="M1120" s="229"/>
      <c r="N1120" s="230"/>
      <c r="O1120" s="55"/>
      <c r="P1120" s="55"/>
      <c r="Q1120" s="55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</row>
    <row r="1121" spans="1:28" ht="15.75" customHeight="1">
      <c r="A1121" s="55"/>
      <c r="B1121" s="55"/>
      <c r="C1121" s="55"/>
      <c r="D1121" s="55"/>
      <c r="E1121" s="55"/>
      <c r="F1121" s="55"/>
      <c r="G1121" s="55"/>
      <c r="H1121" s="228"/>
      <c r="I1121" s="55"/>
      <c r="J1121" s="55"/>
      <c r="K1121" s="55"/>
      <c r="L1121" s="55"/>
      <c r="M1121" s="229"/>
      <c r="N1121" s="230"/>
      <c r="O1121" s="55"/>
      <c r="P1121" s="55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</row>
    <row r="1122" spans="1:28" ht="15.75" customHeight="1">
      <c r="A1122" s="55"/>
      <c r="B1122" s="55"/>
      <c r="C1122" s="55"/>
      <c r="D1122" s="55"/>
      <c r="E1122" s="55"/>
      <c r="F1122" s="55"/>
      <c r="G1122" s="55"/>
      <c r="H1122" s="228"/>
      <c r="I1122" s="55"/>
      <c r="J1122" s="55"/>
      <c r="K1122" s="55"/>
      <c r="L1122" s="55"/>
      <c r="M1122" s="229"/>
      <c r="N1122" s="230"/>
      <c r="O1122" s="55"/>
      <c r="P1122" s="55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</row>
    <row r="1123" spans="1:28" ht="15.75" customHeight="1">
      <c r="A1123" s="55"/>
      <c r="B1123" s="55"/>
      <c r="C1123" s="55"/>
      <c r="D1123" s="55"/>
      <c r="E1123" s="55"/>
      <c r="F1123" s="55"/>
      <c r="G1123" s="55"/>
      <c r="H1123" s="228"/>
      <c r="I1123" s="55"/>
      <c r="J1123" s="55"/>
      <c r="K1123" s="55"/>
      <c r="L1123" s="55"/>
      <c r="M1123" s="229"/>
      <c r="N1123" s="230"/>
      <c r="O1123" s="55"/>
      <c r="P1123" s="55"/>
      <c r="Q1123" s="55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</row>
    <row r="1124" spans="1:28" ht="15.75" customHeight="1">
      <c r="A1124" s="55"/>
      <c r="B1124" s="55"/>
      <c r="C1124" s="55"/>
      <c r="D1124" s="55"/>
      <c r="E1124" s="55"/>
      <c r="F1124" s="55"/>
      <c r="G1124" s="55"/>
      <c r="H1124" s="228"/>
      <c r="I1124" s="55"/>
      <c r="J1124" s="55"/>
      <c r="K1124" s="55"/>
      <c r="L1124" s="55"/>
      <c r="M1124" s="229"/>
      <c r="N1124" s="230"/>
      <c r="O1124" s="55"/>
      <c r="P1124" s="55"/>
      <c r="Q1124" s="55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</row>
    <row r="1125" spans="1:28" ht="15.75" customHeight="1">
      <c r="A1125" s="55"/>
      <c r="B1125" s="55"/>
      <c r="C1125" s="55"/>
      <c r="D1125" s="55"/>
      <c r="E1125" s="55"/>
      <c r="F1125" s="55"/>
      <c r="G1125" s="55"/>
      <c r="H1125" s="228"/>
      <c r="I1125" s="55"/>
      <c r="J1125" s="55"/>
      <c r="K1125" s="55"/>
      <c r="L1125" s="55"/>
      <c r="M1125" s="229"/>
      <c r="N1125" s="230"/>
      <c r="O1125" s="55"/>
      <c r="P1125" s="55"/>
      <c r="Q1125" s="55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</row>
    <row r="1126" spans="1:28" ht="15.75" customHeight="1">
      <c r="A1126" s="55"/>
      <c r="B1126" s="55"/>
      <c r="C1126" s="55"/>
      <c r="D1126" s="55"/>
      <c r="E1126" s="55"/>
      <c r="F1126" s="55"/>
      <c r="G1126" s="55"/>
      <c r="H1126" s="228"/>
      <c r="I1126" s="55"/>
      <c r="J1126" s="55"/>
      <c r="K1126" s="55"/>
      <c r="L1126" s="55"/>
      <c r="M1126" s="229"/>
      <c r="N1126" s="230"/>
      <c r="O1126" s="55"/>
      <c r="P1126" s="55"/>
      <c r="Q1126" s="55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</row>
    <row r="1127" spans="1:28" ht="15.75" customHeight="1">
      <c r="A1127" s="55"/>
      <c r="B1127" s="55"/>
      <c r="C1127" s="55"/>
      <c r="D1127" s="55"/>
      <c r="E1127" s="55"/>
      <c r="F1127" s="55"/>
      <c r="G1127" s="55"/>
      <c r="H1127" s="228"/>
      <c r="I1127" s="55"/>
      <c r="J1127" s="55"/>
      <c r="K1127" s="55"/>
      <c r="L1127" s="55"/>
      <c r="M1127" s="229"/>
      <c r="N1127" s="230"/>
      <c r="O1127" s="55"/>
      <c r="P1127" s="55"/>
      <c r="Q1127" s="55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</row>
    <row r="1128" spans="1:28" ht="15.75" customHeight="1">
      <c r="A1128" s="55"/>
      <c r="B1128" s="55"/>
      <c r="C1128" s="55"/>
      <c r="D1128" s="55"/>
      <c r="E1128" s="55"/>
      <c r="F1128" s="55"/>
      <c r="G1128" s="55"/>
      <c r="H1128" s="228"/>
      <c r="I1128" s="55"/>
      <c r="J1128" s="55"/>
      <c r="K1128" s="55"/>
      <c r="L1128" s="55"/>
      <c r="M1128" s="229"/>
      <c r="N1128" s="230"/>
      <c r="O1128" s="55"/>
      <c r="P1128" s="55"/>
      <c r="Q1128" s="55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</row>
    <row r="1129" spans="1:28" ht="15.75" customHeight="1">
      <c r="A1129" s="55"/>
      <c r="B1129" s="55"/>
      <c r="C1129" s="55"/>
      <c r="D1129" s="55"/>
      <c r="E1129" s="55"/>
      <c r="F1129" s="55"/>
      <c r="G1129" s="55"/>
      <c r="H1129" s="228"/>
      <c r="I1129" s="55"/>
      <c r="J1129" s="55"/>
      <c r="K1129" s="55"/>
      <c r="L1129" s="55"/>
      <c r="M1129" s="229"/>
      <c r="N1129" s="230"/>
      <c r="O1129" s="55"/>
      <c r="P1129" s="55"/>
      <c r="Q1129" s="55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</row>
    <row r="1130" spans="1:28" ht="15.75" customHeight="1">
      <c r="A1130" s="55"/>
      <c r="B1130" s="55"/>
      <c r="C1130" s="55"/>
      <c r="D1130" s="55"/>
      <c r="E1130" s="55"/>
      <c r="F1130" s="55"/>
      <c r="G1130" s="55"/>
      <c r="H1130" s="228"/>
      <c r="I1130" s="55"/>
      <c r="J1130" s="55"/>
      <c r="K1130" s="55"/>
      <c r="L1130" s="55"/>
      <c r="M1130" s="229"/>
      <c r="N1130" s="230"/>
      <c r="O1130" s="55"/>
      <c r="P1130" s="55"/>
      <c r="Q1130" s="55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</row>
    <row r="1131" spans="1:28" ht="15.75" customHeight="1">
      <c r="A1131" s="55"/>
      <c r="B1131" s="55"/>
      <c r="C1131" s="55"/>
      <c r="D1131" s="55"/>
      <c r="E1131" s="55"/>
      <c r="F1131" s="55"/>
      <c r="G1131" s="55"/>
      <c r="H1131" s="228"/>
      <c r="I1131" s="55"/>
      <c r="J1131" s="55"/>
      <c r="K1131" s="55"/>
      <c r="L1131" s="55"/>
      <c r="M1131" s="229"/>
      <c r="N1131" s="230"/>
      <c r="O1131" s="55"/>
      <c r="P1131" s="55"/>
      <c r="Q1131" s="55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</row>
    <row r="1132" spans="1:28" ht="15.75" customHeight="1">
      <c r="A1132" s="55"/>
      <c r="B1132" s="55"/>
      <c r="C1132" s="55"/>
      <c r="D1132" s="55"/>
      <c r="E1132" s="55"/>
      <c r="F1132" s="55"/>
      <c r="G1132" s="55"/>
      <c r="H1132" s="228"/>
      <c r="I1132" s="55"/>
      <c r="J1132" s="55"/>
      <c r="K1132" s="55"/>
      <c r="L1132" s="55"/>
      <c r="M1132" s="229"/>
      <c r="N1132" s="230"/>
      <c r="O1132" s="55"/>
      <c r="P1132" s="55"/>
      <c r="Q1132" s="55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</row>
    <row r="1133" spans="1:28" ht="15.75" customHeight="1">
      <c r="A1133" s="55"/>
      <c r="B1133" s="55"/>
      <c r="C1133" s="55"/>
      <c r="D1133" s="55"/>
      <c r="E1133" s="55"/>
      <c r="F1133" s="55"/>
      <c r="G1133" s="55"/>
      <c r="H1133" s="228"/>
      <c r="I1133" s="55"/>
      <c r="J1133" s="55"/>
      <c r="K1133" s="55"/>
      <c r="L1133" s="55"/>
      <c r="M1133" s="229"/>
      <c r="N1133" s="230"/>
      <c r="O1133" s="55"/>
      <c r="P1133" s="55"/>
      <c r="Q1133" s="55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</row>
    <row r="1134" spans="1:28" ht="15.75" customHeight="1">
      <c r="A1134" s="55"/>
      <c r="B1134" s="55"/>
      <c r="C1134" s="55"/>
      <c r="D1134" s="55"/>
      <c r="E1134" s="55"/>
      <c r="F1134" s="55"/>
      <c r="G1134" s="55"/>
      <c r="H1134" s="228"/>
      <c r="I1134" s="55"/>
      <c r="J1134" s="55"/>
      <c r="K1134" s="55"/>
      <c r="L1134" s="55"/>
      <c r="M1134" s="229"/>
      <c r="N1134" s="230"/>
      <c r="O1134" s="55"/>
      <c r="P1134" s="55"/>
      <c r="Q1134" s="55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</row>
    <row r="1135" spans="1:28" ht="15.75" customHeight="1">
      <c r="A1135" s="55"/>
      <c r="B1135" s="55"/>
      <c r="C1135" s="55"/>
      <c r="D1135" s="55"/>
      <c r="E1135" s="55"/>
      <c r="F1135" s="55"/>
      <c r="G1135" s="55"/>
      <c r="H1135" s="228"/>
      <c r="I1135" s="55"/>
      <c r="J1135" s="55"/>
      <c r="K1135" s="55"/>
      <c r="L1135" s="55"/>
      <c r="M1135" s="229"/>
      <c r="N1135" s="230"/>
      <c r="O1135" s="55"/>
      <c r="P1135" s="55"/>
      <c r="Q1135" s="55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</row>
    <row r="1136" spans="1:28" ht="15.75" customHeight="1">
      <c r="A1136" s="55"/>
      <c r="B1136" s="55"/>
      <c r="C1136" s="55"/>
      <c r="D1136" s="55"/>
      <c r="E1136" s="55"/>
      <c r="F1136" s="55"/>
      <c r="G1136" s="55"/>
      <c r="H1136" s="228"/>
      <c r="I1136" s="55"/>
      <c r="J1136" s="55"/>
      <c r="K1136" s="55"/>
      <c r="L1136" s="55"/>
      <c r="M1136" s="229"/>
      <c r="N1136" s="230"/>
      <c r="O1136" s="55"/>
      <c r="P1136" s="55"/>
      <c r="Q1136" s="55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</row>
    <row r="1137" spans="1:28" ht="15.75" customHeight="1">
      <c r="A1137" s="55"/>
      <c r="B1137" s="55"/>
      <c r="C1137" s="55"/>
      <c r="D1137" s="55"/>
      <c r="E1137" s="55"/>
      <c r="F1137" s="55"/>
      <c r="G1137" s="55"/>
      <c r="H1137" s="228"/>
      <c r="I1137" s="55"/>
      <c r="J1137" s="55"/>
      <c r="K1137" s="55"/>
      <c r="L1137" s="55"/>
      <c r="M1137" s="229"/>
      <c r="N1137" s="230"/>
      <c r="O1137" s="55"/>
      <c r="P1137" s="55"/>
      <c r="Q1137" s="55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</row>
    <row r="1138" spans="1:28" ht="15.75" customHeight="1">
      <c r="A1138" s="55"/>
      <c r="B1138" s="55"/>
      <c r="C1138" s="55"/>
      <c r="D1138" s="55"/>
      <c r="E1138" s="55"/>
      <c r="F1138" s="55"/>
      <c r="G1138" s="55"/>
      <c r="H1138" s="228"/>
      <c r="I1138" s="55"/>
      <c r="J1138" s="55"/>
      <c r="K1138" s="55"/>
      <c r="L1138" s="55"/>
      <c r="M1138" s="229"/>
      <c r="N1138" s="230"/>
      <c r="O1138" s="55"/>
      <c r="P1138" s="55"/>
      <c r="Q1138" s="55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</row>
    <row r="1139" spans="1:28" ht="15.75" customHeight="1">
      <c r="A1139" s="55"/>
      <c r="B1139" s="55"/>
      <c r="C1139" s="55"/>
      <c r="D1139" s="55"/>
      <c r="E1139" s="55"/>
      <c r="F1139" s="55"/>
      <c r="G1139" s="55"/>
      <c r="H1139" s="228"/>
      <c r="I1139" s="55"/>
      <c r="J1139" s="55"/>
      <c r="K1139" s="55"/>
      <c r="L1139" s="55"/>
      <c r="M1139" s="229"/>
      <c r="N1139" s="230"/>
      <c r="O1139" s="55"/>
      <c r="P1139" s="55"/>
      <c r="Q1139" s="55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</row>
    <row r="1140" spans="1:28" ht="15.75" customHeight="1">
      <c r="A1140" s="55"/>
      <c r="B1140" s="55"/>
      <c r="C1140" s="55"/>
      <c r="D1140" s="55"/>
      <c r="E1140" s="55"/>
      <c r="F1140" s="55"/>
      <c r="G1140" s="55"/>
      <c r="H1140" s="228"/>
      <c r="I1140" s="55"/>
      <c r="J1140" s="55"/>
      <c r="K1140" s="55"/>
      <c r="L1140" s="55"/>
      <c r="M1140" s="229"/>
      <c r="N1140" s="230"/>
      <c r="O1140" s="55"/>
      <c r="P1140" s="55"/>
      <c r="Q1140" s="55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</row>
    <row r="1141" spans="1:28" ht="15.75" customHeight="1">
      <c r="A1141" s="55"/>
      <c r="B1141" s="55"/>
      <c r="C1141" s="55"/>
      <c r="D1141" s="55"/>
      <c r="E1141" s="55"/>
      <c r="F1141" s="55"/>
      <c r="G1141" s="55"/>
      <c r="H1141" s="228"/>
      <c r="I1141" s="55"/>
      <c r="J1141" s="55"/>
      <c r="K1141" s="55"/>
      <c r="L1141" s="55"/>
      <c r="M1141" s="229"/>
      <c r="N1141" s="230"/>
      <c r="O1141" s="55"/>
      <c r="P1141" s="55"/>
      <c r="Q1141" s="55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</row>
    <row r="1142" spans="1:28" ht="15.75" customHeight="1">
      <c r="A1142" s="55"/>
      <c r="B1142" s="55"/>
      <c r="C1142" s="55"/>
      <c r="D1142" s="55"/>
      <c r="E1142" s="55"/>
      <c r="F1142" s="55"/>
      <c r="G1142" s="55"/>
      <c r="H1142" s="228"/>
      <c r="I1142" s="55"/>
      <c r="J1142" s="55"/>
      <c r="K1142" s="55"/>
      <c r="L1142" s="55"/>
      <c r="M1142" s="229"/>
      <c r="N1142" s="230"/>
      <c r="O1142" s="55"/>
      <c r="P1142" s="55"/>
      <c r="Q1142" s="55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</row>
    <row r="1143" spans="1:28" ht="15.75" customHeight="1">
      <c r="A1143" s="55"/>
      <c r="B1143" s="55"/>
      <c r="C1143" s="55"/>
      <c r="D1143" s="55"/>
      <c r="E1143" s="55"/>
      <c r="F1143" s="55"/>
      <c r="G1143" s="55"/>
      <c r="H1143" s="228"/>
      <c r="I1143" s="55"/>
      <c r="J1143" s="55"/>
      <c r="K1143" s="55"/>
      <c r="L1143" s="55"/>
      <c r="M1143" s="229"/>
      <c r="N1143" s="230"/>
      <c r="O1143" s="55"/>
      <c r="P1143" s="55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</row>
    <row r="1144" spans="1:28" ht="15.75" customHeight="1">
      <c r="A1144" s="55"/>
      <c r="B1144" s="55"/>
      <c r="C1144" s="55"/>
      <c r="D1144" s="55"/>
      <c r="E1144" s="55"/>
      <c r="F1144" s="55"/>
      <c r="G1144" s="55"/>
      <c r="H1144" s="228"/>
      <c r="I1144" s="55"/>
      <c r="J1144" s="55"/>
      <c r="K1144" s="55"/>
      <c r="L1144" s="55"/>
      <c r="M1144" s="229"/>
      <c r="N1144" s="230"/>
      <c r="O1144" s="55"/>
      <c r="P1144" s="55"/>
      <c r="Q1144" s="55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</row>
    <row r="1145" spans="1:28" ht="15.75" customHeight="1">
      <c r="A1145" s="55"/>
      <c r="B1145" s="55"/>
      <c r="C1145" s="55"/>
      <c r="D1145" s="55"/>
      <c r="E1145" s="55"/>
      <c r="F1145" s="55"/>
      <c r="G1145" s="55"/>
      <c r="H1145" s="228"/>
      <c r="I1145" s="55"/>
      <c r="J1145" s="55"/>
      <c r="K1145" s="55"/>
      <c r="L1145" s="55"/>
      <c r="M1145" s="229"/>
      <c r="N1145" s="230"/>
      <c r="O1145" s="55"/>
      <c r="P1145" s="55"/>
      <c r="Q1145" s="55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</row>
    <row r="1146" spans="1:28" ht="15.75" customHeight="1">
      <c r="A1146" s="55"/>
      <c r="B1146" s="55"/>
      <c r="C1146" s="55"/>
      <c r="D1146" s="55"/>
      <c r="E1146" s="55"/>
      <c r="F1146" s="55"/>
      <c r="G1146" s="55"/>
      <c r="H1146" s="228"/>
      <c r="I1146" s="55"/>
      <c r="J1146" s="55"/>
      <c r="K1146" s="55"/>
      <c r="L1146" s="55"/>
      <c r="M1146" s="229"/>
      <c r="N1146" s="230"/>
      <c r="O1146" s="55"/>
      <c r="P1146" s="55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</row>
    <row r="1147" spans="1:28" ht="15.75" customHeight="1">
      <c r="A1147" s="55"/>
      <c r="B1147" s="55"/>
      <c r="C1147" s="55"/>
      <c r="D1147" s="55"/>
      <c r="E1147" s="55"/>
      <c r="F1147" s="55"/>
      <c r="G1147" s="55"/>
      <c r="H1147" s="228"/>
      <c r="I1147" s="55"/>
      <c r="J1147" s="55"/>
      <c r="K1147" s="55"/>
      <c r="L1147" s="55"/>
      <c r="M1147" s="229"/>
      <c r="N1147" s="230"/>
      <c r="O1147" s="55"/>
      <c r="P1147" s="55"/>
      <c r="Q1147" s="55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</row>
    <row r="1148" spans="1:28" ht="15.75" customHeight="1">
      <c r="A1148" s="55"/>
      <c r="B1148" s="55"/>
      <c r="C1148" s="55"/>
      <c r="D1148" s="55"/>
      <c r="E1148" s="55"/>
      <c r="F1148" s="55"/>
      <c r="G1148" s="55"/>
      <c r="H1148" s="228"/>
      <c r="I1148" s="55"/>
      <c r="J1148" s="55"/>
      <c r="K1148" s="55"/>
      <c r="L1148" s="55"/>
      <c r="M1148" s="229"/>
      <c r="N1148" s="230"/>
      <c r="O1148" s="55"/>
      <c r="P1148" s="55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</row>
    <row r="1149" spans="1:28" ht="15.75" customHeight="1">
      <c r="A1149" s="55"/>
      <c r="B1149" s="55"/>
      <c r="C1149" s="55"/>
      <c r="D1149" s="55"/>
      <c r="E1149" s="55"/>
      <c r="F1149" s="55"/>
      <c r="G1149" s="55"/>
      <c r="H1149" s="228"/>
      <c r="I1149" s="55"/>
      <c r="J1149" s="55"/>
      <c r="K1149" s="55"/>
      <c r="L1149" s="55"/>
      <c r="M1149" s="229"/>
      <c r="N1149" s="230"/>
      <c r="O1149" s="55"/>
      <c r="P1149" s="55"/>
      <c r="Q1149" s="55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</row>
    <row r="1150" spans="1:28" ht="15.75" customHeight="1">
      <c r="A1150" s="55"/>
      <c r="B1150" s="55"/>
      <c r="C1150" s="55"/>
      <c r="D1150" s="55"/>
      <c r="E1150" s="55"/>
      <c r="F1150" s="55"/>
      <c r="G1150" s="55"/>
      <c r="H1150" s="228"/>
      <c r="I1150" s="55"/>
      <c r="J1150" s="55"/>
      <c r="K1150" s="55"/>
      <c r="L1150" s="55"/>
      <c r="M1150" s="229"/>
      <c r="N1150" s="230"/>
      <c r="O1150" s="55"/>
      <c r="P1150" s="55"/>
      <c r="Q1150" s="55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</row>
    <row r="1151" spans="1:28" ht="15.75" customHeight="1">
      <c r="A1151" s="55"/>
      <c r="B1151" s="55"/>
      <c r="C1151" s="55"/>
      <c r="D1151" s="55"/>
      <c r="E1151" s="55"/>
      <c r="F1151" s="55"/>
      <c r="G1151" s="55"/>
      <c r="H1151" s="228"/>
      <c r="I1151" s="55"/>
      <c r="J1151" s="55"/>
      <c r="K1151" s="55"/>
      <c r="L1151" s="55"/>
      <c r="M1151" s="229"/>
      <c r="N1151" s="230"/>
      <c r="O1151" s="55"/>
      <c r="P1151" s="55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</row>
    <row r="1152" spans="1:28" ht="15.75" customHeight="1">
      <c r="A1152" s="55"/>
      <c r="B1152" s="55"/>
      <c r="C1152" s="55"/>
      <c r="D1152" s="55"/>
      <c r="E1152" s="55"/>
      <c r="F1152" s="55"/>
      <c r="G1152" s="55"/>
      <c r="H1152" s="228"/>
      <c r="I1152" s="55"/>
      <c r="J1152" s="55"/>
      <c r="K1152" s="55"/>
      <c r="L1152" s="55"/>
      <c r="M1152" s="229"/>
      <c r="N1152" s="230"/>
      <c r="O1152" s="55"/>
      <c r="P1152" s="55"/>
      <c r="Q1152" s="55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</row>
    <row r="1153" spans="1:28" ht="15.75" customHeight="1">
      <c r="A1153" s="55"/>
      <c r="B1153" s="55"/>
      <c r="C1153" s="55"/>
      <c r="D1153" s="55"/>
      <c r="E1153" s="55"/>
      <c r="F1153" s="55"/>
      <c r="G1153" s="55"/>
      <c r="H1153" s="228"/>
      <c r="I1153" s="55"/>
      <c r="J1153" s="55"/>
      <c r="K1153" s="55"/>
      <c r="L1153" s="55"/>
      <c r="M1153" s="229"/>
      <c r="N1153" s="230"/>
      <c r="O1153" s="55"/>
      <c r="P1153" s="55"/>
      <c r="Q1153" s="55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</row>
    <row r="1154" spans="1:28" ht="15.75" customHeight="1">
      <c r="A1154" s="55"/>
      <c r="B1154" s="55"/>
      <c r="C1154" s="55"/>
      <c r="D1154" s="55"/>
      <c r="E1154" s="55"/>
      <c r="F1154" s="55"/>
      <c r="G1154" s="55"/>
      <c r="H1154" s="228"/>
      <c r="I1154" s="55"/>
      <c r="J1154" s="55"/>
      <c r="K1154" s="55"/>
      <c r="L1154" s="55"/>
      <c r="M1154" s="229"/>
      <c r="N1154" s="230"/>
      <c r="O1154" s="55"/>
      <c r="P1154" s="55"/>
      <c r="Q1154" s="55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</row>
    <row r="1155" spans="1:28" ht="15.75" customHeight="1">
      <c r="A1155" s="55"/>
      <c r="B1155" s="55"/>
      <c r="C1155" s="55"/>
      <c r="D1155" s="55"/>
      <c r="E1155" s="55"/>
      <c r="F1155" s="55"/>
      <c r="G1155" s="55"/>
      <c r="H1155" s="228"/>
      <c r="I1155" s="55"/>
      <c r="J1155" s="55"/>
      <c r="K1155" s="55"/>
      <c r="L1155" s="55"/>
      <c r="M1155" s="229"/>
      <c r="N1155" s="230"/>
      <c r="O1155" s="55"/>
      <c r="P1155" s="55"/>
      <c r="Q1155" s="55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</row>
    <row r="1156" spans="1:28" ht="15.75" customHeight="1">
      <c r="A1156" s="55"/>
      <c r="B1156" s="55"/>
      <c r="C1156" s="55"/>
      <c r="D1156" s="55"/>
      <c r="E1156" s="55"/>
      <c r="F1156" s="55"/>
      <c r="G1156" s="55"/>
      <c r="H1156" s="228"/>
      <c r="I1156" s="55"/>
      <c r="J1156" s="55"/>
      <c r="K1156" s="55"/>
      <c r="L1156" s="55"/>
      <c r="M1156" s="229"/>
      <c r="N1156" s="230"/>
      <c r="O1156" s="55"/>
      <c r="P1156" s="55"/>
      <c r="Q1156" s="55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</row>
    <row r="1157" spans="1:28" ht="15.75" customHeight="1">
      <c r="A1157" s="55"/>
      <c r="B1157" s="55"/>
      <c r="C1157" s="55"/>
      <c r="D1157" s="55"/>
      <c r="E1157" s="55"/>
      <c r="F1157" s="55"/>
      <c r="G1157" s="55"/>
      <c r="H1157" s="228"/>
      <c r="I1157" s="55"/>
      <c r="J1157" s="55"/>
      <c r="K1157" s="55"/>
      <c r="L1157" s="55"/>
      <c r="M1157" s="229"/>
      <c r="N1157" s="230"/>
      <c r="O1157" s="55"/>
      <c r="P1157" s="55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</row>
    <row r="1158" spans="1:28" ht="15.75" customHeight="1">
      <c r="A1158" s="55"/>
      <c r="B1158" s="55"/>
      <c r="C1158" s="55"/>
      <c r="D1158" s="55"/>
      <c r="E1158" s="55"/>
      <c r="F1158" s="55"/>
      <c r="G1158" s="55"/>
      <c r="H1158" s="228"/>
      <c r="I1158" s="55"/>
      <c r="J1158" s="55"/>
      <c r="K1158" s="55"/>
      <c r="L1158" s="55"/>
      <c r="M1158" s="229"/>
      <c r="N1158" s="230"/>
      <c r="O1158" s="55"/>
      <c r="P1158" s="55"/>
      <c r="Q1158" s="55"/>
      <c r="R1158" s="55"/>
      <c r="S1158" s="55"/>
      <c r="T1158" s="55"/>
      <c r="U1158" s="55"/>
      <c r="V1158" s="55"/>
      <c r="W1158" s="55"/>
      <c r="X1158" s="55"/>
      <c r="Y1158" s="55"/>
      <c r="Z1158" s="55"/>
      <c r="AA1158" s="55"/>
      <c r="AB1158" s="55"/>
    </row>
    <row r="1159" spans="1:28" ht="15.75" customHeight="1">
      <c r="A1159" s="55"/>
      <c r="B1159" s="55"/>
      <c r="C1159" s="55"/>
      <c r="D1159" s="55"/>
      <c r="E1159" s="55"/>
      <c r="F1159" s="55"/>
      <c r="G1159" s="55"/>
      <c r="H1159" s="228"/>
      <c r="I1159" s="55"/>
      <c r="J1159" s="55"/>
      <c r="K1159" s="55"/>
      <c r="L1159" s="55"/>
      <c r="M1159" s="229"/>
      <c r="N1159" s="230"/>
      <c r="O1159" s="55"/>
      <c r="P1159" s="55"/>
      <c r="Q1159" s="55"/>
      <c r="R1159" s="55"/>
      <c r="S1159" s="55"/>
      <c r="T1159" s="55"/>
      <c r="U1159" s="55"/>
      <c r="V1159" s="55"/>
      <c r="W1159" s="55"/>
      <c r="X1159" s="55"/>
      <c r="Y1159" s="55"/>
      <c r="Z1159" s="55"/>
      <c r="AA1159" s="55"/>
      <c r="AB1159" s="55"/>
    </row>
    <row r="1160" spans="1:28" ht="15.75" customHeight="1">
      <c r="A1160" s="55"/>
      <c r="B1160" s="55"/>
      <c r="C1160" s="55"/>
      <c r="D1160" s="55"/>
      <c r="E1160" s="55"/>
      <c r="F1160" s="55"/>
      <c r="G1160" s="55"/>
      <c r="H1160" s="228"/>
      <c r="I1160" s="55"/>
      <c r="J1160" s="55"/>
      <c r="K1160" s="55"/>
      <c r="L1160" s="55"/>
      <c r="M1160" s="229"/>
      <c r="N1160" s="230"/>
      <c r="O1160" s="55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</row>
    <row r="1161" spans="1:28" ht="15.75" customHeight="1">
      <c r="A1161" s="55"/>
      <c r="B1161" s="55"/>
      <c r="C1161" s="55"/>
      <c r="D1161" s="55"/>
      <c r="E1161" s="55"/>
      <c r="F1161" s="55"/>
      <c r="G1161" s="55"/>
      <c r="H1161" s="228"/>
      <c r="I1161" s="55"/>
      <c r="J1161" s="55"/>
      <c r="K1161" s="55"/>
      <c r="L1161" s="55"/>
      <c r="M1161" s="229"/>
      <c r="N1161" s="230"/>
      <c r="O1161" s="55"/>
      <c r="P1161" s="55"/>
      <c r="Q1161" s="55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</row>
    <row r="1162" spans="1:28" ht="15.75" customHeight="1">
      <c r="A1162" s="55"/>
      <c r="B1162" s="55"/>
      <c r="C1162" s="55"/>
      <c r="D1162" s="55"/>
      <c r="E1162" s="55"/>
      <c r="F1162" s="55"/>
      <c r="G1162" s="55"/>
      <c r="H1162" s="228"/>
      <c r="I1162" s="55"/>
      <c r="J1162" s="55"/>
      <c r="K1162" s="55"/>
      <c r="L1162" s="55"/>
      <c r="M1162" s="229"/>
      <c r="N1162" s="230"/>
      <c r="O1162" s="55"/>
      <c r="P1162" s="55"/>
      <c r="Q1162" s="55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</row>
    <row r="1163" spans="1:28" ht="15.75" customHeight="1">
      <c r="A1163" s="55"/>
      <c r="B1163" s="55"/>
      <c r="C1163" s="55"/>
      <c r="D1163" s="55"/>
      <c r="E1163" s="55"/>
      <c r="F1163" s="55"/>
      <c r="G1163" s="55"/>
      <c r="H1163" s="228"/>
      <c r="I1163" s="55"/>
      <c r="J1163" s="55"/>
      <c r="K1163" s="55"/>
      <c r="L1163" s="55"/>
      <c r="M1163" s="229"/>
      <c r="N1163" s="230"/>
      <c r="O1163" s="55"/>
      <c r="P1163" s="55"/>
      <c r="Q1163" s="55"/>
      <c r="R1163" s="55"/>
      <c r="S1163" s="55"/>
      <c r="T1163" s="55"/>
      <c r="U1163" s="55"/>
      <c r="V1163" s="55"/>
      <c r="W1163" s="55"/>
      <c r="X1163" s="55"/>
      <c r="Y1163" s="55"/>
      <c r="Z1163" s="55"/>
      <c r="AA1163" s="55"/>
      <c r="AB1163" s="55"/>
    </row>
    <row r="1164" spans="1:28" ht="15.75" customHeight="1">
      <c r="A1164" s="55"/>
      <c r="B1164" s="55"/>
      <c r="C1164" s="55"/>
      <c r="D1164" s="55"/>
      <c r="E1164" s="55"/>
      <c r="F1164" s="55"/>
      <c r="G1164" s="55"/>
      <c r="H1164" s="228"/>
      <c r="I1164" s="55"/>
      <c r="J1164" s="55"/>
      <c r="K1164" s="55"/>
      <c r="L1164" s="55"/>
      <c r="M1164" s="229"/>
      <c r="N1164" s="230"/>
      <c r="O1164" s="55"/>
      <c r="P1164" s="55"/>
      <c r="Q1164" s="55"/>
      <c r="R1164" s="55"/>
      <c r="S1164" s="55"/>
      <c r="T1164" s="55"/>
      <c r="U1164" s="55"/>
      <c r="V1164" s="55"/>
      <c r="W1164" s="55"/>
      <c r="X1164" s="55"/>
      <c r="Y1164" s="55"/>
      <c r="Z1164" s="55"/>
      <c r="AA1164" s="55"/>
      <c r="AB1164" s="55"/>
    </row>
    <row r="1165" spans="1:28" ht="15.75" customHeight="1">
      <c r="A1165" s="55"/>
      <c r="B1165" s="55"/>
      <c r="C1165" s="55"/>
      <c r="D1165" s="55"/>
      <c r="E1165" s="55"/>
      <c r="F1165" s="55"/>
      <c r="G1165" s="55"/>
      <c r="H1165" s="228"/>
      <c r="I1165" s="55"/>
      <c r="J1165" s="55"/>
      <c r="K1165" s="55"/>
      <c r="L1165" s="55"/>
      <c r="M1165" s="229"/>
      <c r="N1165" s="230"/>
      <c r="O1165" s="55"/>
      <c r="P1165" s="55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</row>
    <row r="1166" spans="1:28" ht="15.75" customHeight="1">
      <c r="A1166" s="55"/>
      <c r="B1166" s="55"/>
      <c r="C1166" s="55"/>
      <c r="D1166" s="55"/>
      <c r="E1166" s="55"/>
      <c r="F1166" s="55"/>
      <c r="G1166" s="55"/>
      <c r="H1166" s="228"/>
      <c r="I1166" s="55"/>
      <c r="J1166" s="55"/>
      <c r="K1166" s="55"/>
      <c r="L1166" s="55"/>
      <c r="M1166" s="229"/>
      <c r="N1166" s="230"/>
      <c r="O1166" s="55"/>
      <c r="P1166" s="55"/>
      <c r="Q1166" s="55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</row>
    <row r="1167" spans="1:28" ht="15.75" customHeight="1">
      <c r="A1167" s="55"/>
      <c r="B1167" s="55"/>
      <c r="C1167" s="55"/>
      <c r="D1167" s="55"/>
      <c r="E1167" s="55"/>
      <c r="F1167" s="55"/>
      <c r="G1167" s="55"/>
      <c r="H1167" s="228"/>
      <c r="I1167" s="55"/>
      <c r="J1167" s="55"/>
      <c r="K1167" s="55"/>
      <c r="L1167" s="55"/>
      <c r="M1167" s="229"/>
      <c r="N1167" s="230"/>
      <c r="O1167" s="55"/>
      <c r="P1167" s="55"/>
      <c r="Q1167" s="55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</row>
    <row r="1168" spans="1:28" ht="15.75" customHeight="1">
      <c r="A1168" s="55"/>
      <c r="B1168" s="55"/>
      <c r="C1168" s="55"/>
      <c r="D1168" s="55"/>
      <c r="E1168" s="55"/>
      <c r="F1168" s="55"/>
      <c r="G1168" s="55"/>
      <c r="H1168" s="228"/>
      <c r="I1168" s="55"/>
      <c r="J1168" s="55"/>
      <c r="K1168" s="55"/>
      <c r="L1168" s="55"/>
      <c r="M1168" s="229"/>
      <c r="N1168" s="230"/>
      <c r="O1168" s="55"/>
      <c r="P1168" s="55"/>
      <c r="Q1168" s="55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</row>
    <row r="1169" spans="1:28" ht="15.75" customHeight="1">
      <c r="A1169" s="55"/>
      <c r="B1169" s="55"/>
      <c r="C1169" s="55"/>
      <c r="D1169" s="55"/>
      <c r="E1169" s="55"/>
      <c r="F1169" s="55"/>
      <c r="G1169" s="55"/>
      <c r="H1169" s="228"/>
      <c r="I1169" s="55"/>
      <c r="J1169" s="55"/>
      <c r="K1169" s="55"/>
      <c r="L1169" s="55"/>
      <c r="M1169" s="229"/>
      <c r="N1169" s="230"/>
      <c r="O1169" s="55"/>
      <c r="P1169" s="55"/>
      <c r="Q1169" s="55"/>
      <c r="R1169" s="55"/>
      <c r="S1169" s="55"/>
      <c r="T1169" s="55"/>
      <c r="U1169" s="55"/>
      <c r="V1169" s="55"/>
      <c r="W1169" s="55"/>
      <c r="X1169" s="55"/>
      <c r="Y1169" s="55"/>
      <c r="Z1169" s="55"/>
      <c r="AA1169" s="55"/>
      <c r="AB1169" s="55"/>
    </row>
    <row r="1170" spans="1:28" ht="15.75" customHeight="1">
      <c r="A1170" s="55"/>
      <c r="B1170" s="55"/>
      <c r="C1170" s="55"/>
      <c r="D1170" s="55"/>
      <c r="E1170" s="55"/>
      <c r="F1170" s="55"/>
      <c r="G1170" s="55"/>
      <c r="H1170" s="228"/>
      <c r="I1170" s="55"/>
      <c r="J1170" s="55"/>
      <c r="K1170" s="55"/>
      <c r="L1170" s="55"/>
      <c r="M1170" s="229"/>
      <c r="N1170" s="230"/>
      <c r="O1170" s="55"/>
      <c r="P1170" s="55"/>
      <c r="Q1170" s="55"/>
      <c r="R1170" s="55"/>
      <c r="S1170" s="55"/>
      <c r="T1170" s="55"/>
      <c r="U1170" s="55"/>
      <c r="V1170" s="55"/>
      <c r="W1170" s="55"/>
      <c r="X1170" s="55"/>
      <c r="Y1170" s="55"/>
      <c r="Z1170" s="55"/>
      <c r="AA1170" s="55"/>
      <c r="AB1170" s="55"/>
    </row>
    <row r="1171" spans="1:28" ht="15.75" customHeight="1">
      <c r="A1171" s="55"/>
      <c r="B1171" s="55"/>
      <c r="C1171" s="55"/>
      <c r="D1171" s="55"/>
      <c r="E1171" s="55"/>
      <c r="F1171" s="55"/>
      <c r="G1171" s="55"/>
      <c r="H1171" s="228"/>
      <c r="I1171" s="55"/>
      <c r="J1171" s="55"/>
      <c r="K1171" s="55"/>
      <c r="L1171" s="55"/>
      <c r="M1171" s="229"/>
      <c r="N1171" s="230"/>
      <c r="O1171" s="55"/>
      <c r="P1171" s="55"/>
      <c r="Q1171" s="55"/>
      <c r="R1171" s="55"/>
      <c r="S1171" s="55"/>
      <c r="T1171" s="55"/>
      <c r="U1171" s="55"/>
      <c r="V1171" s="55"/>
      <c r="W1171" s="55"/>
      <c r="X1171" s="55"/>
      <c r="Y1171" s="55"/>
      <c r="Z1171" s="55"/>
      <c r="AA1171" s="55"/>
      <c r="AB1171" s="55"/>
    </row>
    <row r="1172" spans="1:28" ht="15.75" customHeight="1">
      <c r="A1172" s="55"/>
      <c r="B1172" s="55"/>
      <c r="C1172" s="55"/>
      <c r="D1172" s="55"/>
      <c r="E1172" s="55"/>
      <c r="F1172" s="55"/>
      <c r="G1172" s="55"/>
      <c r="H1172" s="228"/>
      <c r="I1172" s="55"/>
      <c r="J1172" s="55"/>
      <c r="K1172" s="55"/>
      <c r="L1172" s="55"/>
      <c r="M1172" s="229"/>
      <c r="N1172" s="230"/>
      <c r="O1172" s="55"/>
      <c r="P1172" s="55"/>
      <c r="Q1172" s="55"/>
      <c r="R1172" s="55"/>
      <c r="S1172" s="55"/>
      <c r="T1172" s="55"/>
      <c r="U1172" s="55"/>
      <c r="V1172" s="55"/>
      <c r="W1172" s="55"/>
      <c r="X1172" s="55"/>
      <c r="Y1172" s="55"/>
      <c r="Z1172" s="55"/>
      <c r="AA1172" s="55"/>
      <c r="AB1172" s="55"/>
    </row>
    <row r="1173" spans="1:28" ht="15.75" customHeight="1">
      <c r="A1173" s="55"/>
      <c r="B1173" s="55"/>
      <c r="C1173" s="55"/>
      <c r="D1173" s="55"/>
      <c r="E1173" s="55"/>
      <c r="F1173" s="55"/>
      <c r="G1173" s="55"/>
      <c r="H1173" s="228"/>
      <c r="I1173" s="55"/>
      <c r="J1173" s="55"/>
      <c r="K1173" s="55"/>
      <c r="L1173" s="55"/>
      <c r="M1173" s="229"/>
      <c r="N1173" s="230"/>
      <c r="O1173" s="55"/>
      <c r="P1173" s="55"/>
      <c r="Q1173" s="55"/>
      <c r="R1173" s="55"/>
      <c r="S1173" s="55"/>
      <c r="T1173" s="55"/>
      <c r="U1173" s="55"/>
      <c r="V1173" s="55"/>
      <c r="W1173" s="55"/>
      <c r="X1173" s="55"/>
      <c r="Y1173" s="55"/>
      <c r="Z1173" s="55"/>
      <c r="AA1173" s="55"/>
      <c r="AB1173" s="55"/>
    </row>
    <row r="1174" spans="1:28" ht="15.75" customHeight="1">
      <c r="A1174" s="55"/>
      <c r="B1174" s="55"/>
      <c r="C1174" s="55"/>
      <c r="D1174" s="55"/>
      <c r="E1174" s="55"/>
      <c r="F1174" s="55"/>
      <c r="G1174" s="55"/>
      <c r="H1174" s="228"/>
      <c r="I1174" s="55"/>
      <c r="J1174" s="55"/>
      <c r="K1174" s="55"/>
      <c r="L1174" s="55"/>
      <c r="M1174" s="229"/>
      <c r="N1174" s="230"/>
      <c r="O1174" s="55"/>
      <c r="P1174" s="55"/>
      <c r="Q1174" s="55"/>
      <c r="R1174" s="55"/>
      <c r="S1174" s="55"/>
      <c r="T1174" s="55"/>
      <c r="U1174" s="55"/>
      <c r="V1174" s="55"/>
      <c r="W1174" s="55"/>
      <c r="X1174" s="55"/>
      <c r="Y1174" s="55"/>
      <c r="Z1174" s="55"/>
      <c r="AA1174" s="55"/>
      <c r="AB1174" s="55"/>
    </row>
    <row r="1175" spans="1:28" ht="15.75" customHeight="1">
      <c r="A1175" s="55"/>
      <c r="B1175" s="55"/>
      <c r="C1175" s="55"/>
      <c r="D1175" s="55"/>
      <c r="E1175" s="55"/>
      <c r="F1175" s="55"/>
      <c r="G1175" s="55"/>
      <c r="H1175" s="228"/>
      <c r="I1175" s="55"/>
      <c r="J1175" s="55"/>
      <c r="K1175" s="55"/>
      <c r="L1175" s="55"/>
      <c r="M1175" s="229"/>
      <c r="N1175" s="230"/>
      <c r="O1175" s="55"/>
      <c r="P1175" s="55"/>
      <c r="Q1175" s="55"/>
      <c r="R1175" s="55"/>
      <c r="S1175" s="55"/>
      <c r="T1175" s="55"/>
      <c r="U1175" s="55"/>
      <c r="V1175" s="55"/>
      <c r="W1175" s="55"/>
      <c r="X1175" s="55"/>
      <c r="Y1175" s="55"/>
      <c r="Z1175" s="55"/>
      <c r="AA1175" s="55"/>
      <c r="AB1175" s="55"/>
    </row>
    <row r="1176" spans="1:28" ht="15.75" customHeight="1">
      <c r="A1176" s="55"/>
      <c r="B1176" s="55"/>
      <c r="C1176" s="55"/>
      <c r="D1176" s="55"/>
      <c r="E1176" s="55"/>
      <c r="F1176" s="55"/>
      <c r="G1176" s="55"/>
      <c r="H1176" s="228"/>
      <c r="I1176" s="55"/>
      <c r="J1176" s="55"/>
      <c r="K1176" s="55"/>
      <c r="L1176" s="55"/>
      <c r="M1176" s="229"/>
      <c r="N1176" s="230"/>
      <c r="O1176" s="55"/>
      <c r="P1176" s="55"/>
      <c r="Q1176" s="55"/>
      <c r="R1176" s="55"/>
      <c r="S1176" s="55"/>
      <c r="T1176" s="55"/>
      <c r="U1176" s="55"/>
      <c r="V1176" s="55"/>
      <c r="W1176" s="55"/>
      <c r="X1176" s="55"/>
      <c r="Y1176" s="55"/>
      <c r="Z1176" s="55"/>
      <c r="AA1176" s="55"/>
      <c r="AB1176" s="55"/>
    </row>
    <row r="1177" spans="1:28" ht="15.75" customHeight="1">
      <c r="A1177" s="55"/>
      <c r="B1177" s="55"/>
      <c r="C1177" s="55"/>
      <c r="D1177" s="55"/>
      <c r="E1177" s="55"/>
      <c r="F1177" s="55"/>
      <c r="G1177" s="55"/>
      <c r="H1177" s="228"/>
      <c r="I1177" s="55"/>
      <c r="J1177" s="55"/>
      <c r="K1177" s="55"/>
      <c r="L1177" s="55"/>
      <c r="M1177" s="229"/>
      <c r="N1177" s="230"/>
      <c r="O1177" s="55"/>
      <c r="P1177" s="55"/>
      <c r="Q1177" s="55"/>
      <c r="R1177" s="55"/>
      <c r="S1177" s="55"/>
      <c r="T1177" s="55"/>
      <c r="U1177" s="55"/>
      <c r="V1177" s="55"/>
      <c r="W1177" s="55"/>
      <c r="X1177" s="55"/>
      <c r="Y1177" s="55"/>
      <c r="Z1177" s="55"/>
      <c r="AA1177" s="55"/>
      <c r="AB1177" s="55"/>
    </row>
    <row r="1178" spans="1:28" ht="15.75" customHeight="1">
      <c r="A1178" s="55"/>
      <c r="B1178" s="55"/>
      <c r="C1178" s="55"/>
      <c r="D1178" s="55"/>
      <c r="E1178" s="55"/>
      <c r="F1178" s="55"/>
      <c r="G1178" s="55"/>
      <c r="H1178" s="228"/>
      <c r="I1178" s="55"/>
      <c r="J1178" s="55"/>
      <c r="K1178" s="55"/>
      <c r="L1178" s="55"/>
      <c r="M1178" s="229"/>
      <c r="N1178" s="230"/>
      <c r="O1178" s="55"/>
      <c r="P1178" s="55"/>
      <c r="Q1178" s="55"/>
      <c r="R1178" s="55"/>
      <c r="S1178" s="55"/>
      <c r="T1178" s="55"/>
      <c r="U1178" s="55"/>
      <c r="V1178" s="55"/>
      <c r="W1178" s="55"/>
      <c r="X1178" s="55"/>
      <c r="Y1178" s="55"/>
      <c r="Z1178" s="55"/>
      <c r="AA1178" s="55"/>
      <c r="AB1178" s="55"/>
    </row>
    <row r="1179" spans="1:28" ht="15.75" customHeight="1">
      <c r="A1179" s="55"/>
      <c r="B1179" s="55"/>
      <c r="C1179" s="55"/>
      <c r="D1179" s="55"/>
      <c r="E1179" s="55"/>
      <c r="F1179" s="55"/>
      <c r="G1179" s="55"/>
      <c r="H1179" s="228"/>
      <c r="I1179" s="55"/>
      <c r="J1179" s="55"/>
      <c r="K1179" s="55"/>
      <c r="L1179" s="55"/>
      <c r="M1179" s="229"/>
      <c r="N1179" s="230"/>
      <c r="O1179" s="55"/>
      <c r="P1179" s="55"/>
      <c r="Q1179" s="55"/>
      <c r="R1179" s="55"/>
      <c r="S1179" s="55"/>
      <c r="T1179" s="55"/>
      <c r="U1179" s="55"/>
      <c r="V1179" s="55"/>
      <c r="W1179" s="55"/>
      <c r="X1179" s="55"/>
      <c r="Y1179" s="55"/>
      <c r="Z1179" s="55"/>
      <c r="AA1179" s="55"/>
      <c r="AB1179" s="55"/>
    </row>
    <row r="1180" spans="1:28" ht="15.75" customHeight="1">
      <c r="A1180" s="55"/>
      <c r="B1180" s="55"/>
      <c r="C1180" s="55"/>
      <c r="D1180" s="55"/>
      <c r="E1180" s="55"/>
      <c r="F1180" s="55"/>
      <c r="G1180" s="55"/>
      <c r="H1180" s="228"/>
      <c r="I1180" s="55"/>
      <c r="J1180" s="55"/>
      <c r="K1180" s="55"/>
      <c r="L1180" s="55"/>
      <c r="M1180" s="229"/>
      <c r="N1180" s="230"/>
      <c r="O1180" s="55"/>
      <c r="P1180" s="55"/>
      <c r="Q1180" s="55"/>
      <c r="R1180" s="55"/>
      <c r="S1180" s="55"/>
      <c r="T1180" s="55"/>
      <c r="U1180" s="55"/>
      <c r="V1180" s="55"/>
      <c r="W1180" s="55"/>
      <c r="X1180" s="55"/>
      <c r="Y1180" s="55"/>
      <c r="Z1180" s="55"/>
      <c r="AA1180" s="55"/>
      <c r="AB1180" s="55"/>
    </row>
    <row r="1181" spans="1:28" ht="15.75" customHeight="1">
      <c r="A1181" s="55"/>
      <c r="B1181" s="55"/>
      <c r="C1181" s="55"/>
      <c r="D1181" s="55"/>
      <c r="E1181" s="55"/>
      <c r="F1181" s="55"/>
      <c r="G1181" s="55"/>
      <c r="H1181" s="228"/>
      <c r="I1181" s="55"/>
      <c r="J1181" s="55"/>
      <c r="K1181" s="55"/>
      <c r="L1181" s="55"/>
      <c r="M1181" s="229"/>
      <c r="N1181" s="230"/>
      <c r="O1181" s="55"/>
      <c r="P1181" s="55"/>
      <c r="Q1181" s="55"/>
      <c r="R1181" s="55"/>
      <c r="S1181" s="55"/>
      <c r="T1181" s="55"/>
      <c r="U1181" s="55"/>
      <c r="V1181" s="55"/>
      <c r="W1181" s="55"/>
      <c r="X1181" s="55"/>
      <c r="Y1181" s="55"/>
      <c r="Z1181" s="55"/>
      <c r="AA1181" s="55"/>
      <c r="AB1181" s="55"/>
    </row>
    <row r="1182" spans="1:28" ht="15.75" customHeight="1">
      <c r="A1182" s="55"/>
      <c r="B1182" s="55"/>
      <c r="C1182" s="55"/>
      <c r="D1182" s="55"/>
      <c r="E1182" s="55"/>
      <c r="F1182" s="55"/>
      <c r="G1182" s="55"/>
      <c r="H1182" s="228"/>
      <c r="I1182" s="55"/>
      <c r="J1182" s="55"/>
      <c r="K1182" s="55"/>
      <c r="L1182" s="55"/>
      <c r="M1182" s="229"/>
      <c r="N1182" s="230"/>
      <c r="O1182" s="55"/>
      <c r="P1182" s="55"/>
      <c r="Q1182" s="55"/>
      <c r="R1182" s="55"/>
      <c r="S1182" s="55"/>
      <c r="T1182" s="55"/>
      <c r="U1182" s="55"/>
      <c r="V1182" s="55"/>
      <c r="W1182" s="55"/>
      <c r="X1182" s="55"/>
      <c r="Y1182" s="55"/>
      <c r="Z1182" s="55"/>
      <c r="AA1182" s="55"/>
      <c r="AB1182" s="55"/>
    </row>
    <row r="1183" spans="1:28" ht="15.75" customHeight="1">
      <c r="A1183" s="55"/>
      <c r="B1183" s="55"/>
      <c r="C1183" s="55"/>
      <c r="D1183" s="55"/>
      <c r="E1183" s="55"/>
      <c r="F1183" s="55"/>
      <c r="G1183" s="55"/>
      <c r="H1183" s="228"/>
      <c r="I1183" s="55"/>
      <c r="J1183" s="55"/>
      <c r="K1183" s="55"/>
      <c r="L1183" s="55"/>
      <c r="M1183" s="229"/>
      <c r="N1183" s="230"/>
      <c r="O1183" s="55"/>
      <c r="P1183" s="55"/>
      <c r="Q1183" s="55"/>
      <c r="R1183" s="55"/>
      <c r="S1183" s="55"/>
      <c r="T1183" s="55"/>
      <c r="U1183" s="55"/>
      <c r="V1183" s="55"/>
      <c r="W1183" s="55"/>
      <c r="X1183" s="55"/>
      <c r="Y1183" s="55"/>
      <c r="Z1183" s="55"/>
      <c r="AA1183" s="55"/>
      <c r="AB1183" s="55"/>
    </row>
    <row r="1184" spans="1:28" ht="15.75" customHeight="1">
      <c r="A1184" s="55"/>
      <c r="B1184" s="55"/>
      <c r="C1184" s="55"/>
      <c r="D1184" s="55"/>
      <c r="E1184" s="55"/>
      <c r="F1184" s="55"/>
      <c r="G1184" s="55"/>
      <c r="H1184" s="228"/>
      <c r="I1184" s="55"/>
      <c r="J1184" s="55"/>
      <c r="K1184" s="55"/>
      <c r="L1184" s="55"/>
      <c r="M1184" s="229"/>
      <c r="N1184" s="230"/>
      <c r="O1184" s="55"/>
      <c r="P1184" s="55"/>
      <c r="Q1184" s="55"/>
      <c r="R1184" s="55"/>
      <c r="S1184" s="55"/>
      <c r="T1184" s="55"/>
      <c r="U1184" s="55"/>
      <c r="V1184" s="55"/>
      <c r="W1184" s="55"/>
      <c r="X1184" s="55"/>
      <c r="Y1184" s="55"/>
      <c r="Z1184" s="55"/>
      <c r="AA1184" s="55"/>
      <c r="AB1184" s="55"/>
    </row>
    <row r="1185" spans="1:28" ht="15.75" customHeight="1">
      <c r="A1185" s="55"/>
      <c r="B1185" s="55"/>
      <c r="C1185" s="55"/>
      <c r="D1185" s="55"/>
      <c r="E1185" s="55"/>
      <c r="F1185" s="55"/>
      <c r="G1185" s="55"/>
      <c r="H1185" s="228"/>
      <c r="I1185" s="55"/>
      <c r="J1185" s="55"/>
      <c r="K1185" s="55"/>
      <c r="L1185" s="55"/>
      <c r="M1185" s="229"/>
      <c r="N1185" s="230"/>
      <c r="O1185" s="55"/>
      <c r="P1185" s="55"/>
      <c r="Q1185" s="55"/>
      <c r="R1185" s="55"/>
      <c r="S1185" s="55"/>
      <c r="T1185" s="55"/>
      <c r="U1185" s="55"/>
      <c r="V1185" s="55"/>
      <c r="W1185" s="55"/>
      <c r="X1185" s="55"/>
      <c r="Y1185" s="55"/>
      <c r="Z1185" s="55"/>
      <c r="AA1185" s="55"/>
      <c r="AB1185" s="55"/>
    </row>
    <row r="1186" spans="1:28" ht="15.75" customHeight="1">
      <c r="A1186" s="55"/>
      <c r="B1186" s="55"/>
      <c r="C1186" s="55"/>
      <c r="D1186" s="55"/>
      <c r="E1186" s="55"/>
      <c r="F1186" s="55"/>
      <c r="G1186" s="55"/>
      <c r="H1186" s="228"/>
      <c r="I1186" s="55"/>
      <c r="J1186" s="55"/>
      <c r="K1186" s="55"/>
      <c r="L1186" s="55"/>
      <c r="M1186" s="229"/>
      <c r="N1186" s="230"/>
      <c r="O1186" s="55"/>
      <c r="P1186" s="55"/>
      <c r="Q1186" s="55"/>
      <c r="R1186" s="55"/>
      <c r="S1186" s="55"/>
      <c r="T1186" s="55"/>
      <c r="U1186" s="55"/>
      <c r="V1186" s="55"/>
      <c r="W1186" s="55"/>
      <c r="X1186" s="55"/>
      <c r="Y1186" s="55"/>
      <c r="Z1186" s="55"/>
      <c r="AA1186" s="55"/>
      <c r="AB1186" s="55"/>
    </row>
    <row r="1187" spans="1:28" ht="15.75" customHeight="1">
      <c r="A1187" s="55"/>
      <c r="B1187" s="55"/>
      <c r="C1187" s="55"/>
      <c r="D1187" s="55"/>
      <c r="E1187" s="55"/>
      <c r="F1187" s="55"/>
      <c r="G1187" s="55"/>
      <c r="H1187" s="228"/>
      <c r="I1187" s="55"/>
      <c r="J1187" s="55"/>
      <c r="K1187" s="55"/>
      <c r="L1187" s="55"/>
      <c r="M1187" s="229"/>
      <c r="N1187" s="230"/>
      <c r="O1187" s="55"/>
      <c r="P1187" s="55"/>
      <c r="Q1187" s="55"/>
      <c r="R1187" s="55"/>
      <c r="S1187" s="55"/>
      <c r="T1187" s="55"/>
      <c r="U1187" s="55"/>
      <c r="V1187" s="55"/>
      <c r="W1187" s="55"/>
      <c r="X1187" s="55"/>
      <c r="Y1187" s="55"/>
      <c r="Z1187" s="55"/>
      <c r="AA1187" s="55"/>
      <c r="AB1187" s="55"/>
    </row>
    <row r="1188" spans="1:28" ht="15.75" customHeight="1">
      <c r="A1188" s="55"/>
      <c r="B1188" s="55"/>
      <c r="C1188" s="55"/>
      <c r="D1188" s="55"/>
      <c r="E1188" s="55"/>
      <c r="F1188" s="55"/>
      <c r="G1188" s="55"/>
      <c r="H1188" s="228"/>
      <c r="I1188" s="55"/>
      <c r="J1188" s="55"/>
      <c r="K1188" s="55"/>
      <c r="L1188" s="55"/>
      <c r="M1188" s="229"/>
      <c r="N1188" s="230"/>
      <c r="O1188" s="55"/>
      <c r="P1188" s="55"/>
      <c r="Q1188" s="55"/>
      <c r="R1188" s="55"/>
      <c r="S1188" s="55"/>
      <c r="T1188" s="55"/>
      <c r="U1188" s="55"/>
      <c r="V1188" s="55"/>
      <c r="W1188" s="55"/>
      <c r="X1188" s="55"/>
      <c r="Y1188" s="55"/>
      <c r="Z1188" s="55"/>
      <c r="AA1188" s="55"/>
      <c r="AB1188" s="55"/>
    </row>
    <row r="1189" spans="1:28" ht="15.75" customHeight="1">
      <c r="A1189" s="55"/>
      <c r="B1189" s="55"/>
      <c r="C1189" s="55"/>
      <c r="D1189" s="55"/>
      <c r="E1189" s="55"/>
      <c r="F1189" s="55"/>
      <c r="G1189" s="55"/>
      <c r="H1189" s="228"/>
      <c r="I1189" s="55"/>
      <c r="J1189" s="55"/>
      <c r="K1189" s="55"/>
      <c r="L1189" s="55"/>
      <c r="M1189" s="229"/>
      <c r="N1189" s="230"/>
      <c r="O1189" s="55"/>
      <c r="P1189" s="55"/>
      <c r="Q1189" s="55"/>
      <c r="R1189" s="55"/>
      <c r="S1189" s="55"/>
      <c r="T1189" s="55"/>
      <c r="U1189" s="55"/>
      <c r="V1189" s="55"/>
      <c r="W1189" s="55"/>
      <c r="X1189" s="55"/>
      <c r="Y1189" s="55"/>
      <c r="Z1189" s="55"/>
      <c r="AA1189" s="55"/>
      <c r="AB1189" s="55"/>
    </row>
    <row r="1190" spans="1:28" ht="15.75" customHeight="1">
      <c r="A1190" s="55"/>
      <c r="B1190" s="55"/>
      <c r="C1190" s="55"/>
      <c r="D1190" s="55"/>
      <c r="E1190" s="55"/>
      <c r="F1190" s="55"/>
      <c r="G1190" s="55"/>
      <c r="H1190" s="228"/>
      <c r="I1190" s="55"/>
      <c r="J1190" s="55"/>
      <c r="K1190" s="55"/>
      <c r="L1190" s="55"/>
      <c r="M1190" s="229"/>
      <c r="N1190" s="230"/>
      <c r="O1190" s="55"/>
      <c r="P1190" s="55"/>
      <c r="Q1190" s="55"/>
      <c r="R1190" s="55"/>
      <c r="S1190" s="55"/>
      <c r="T1190" s="55"/>
      <c r="U1190" s="55"/>
      <c r="V1190" s="55"/>
      <c r="W1190" s="55"/>
      <c r="X1190" s="55"/>
      <c r="Y1190" s="55"/>
      <c r="Z1190" s="55"/>
      <c r="AA1190" s="55"/>
      <c r="AB1190" s="55"/>
    </row>
    <row r="1191" spans="1:28" ht="15.75" customHeight="1">
      <c r="A1191" s="55"/>
      <c r="B1191" s="55"/>
      <c r="C1191" s="55"/>
      <c r="D1191" s="55"/>
      <c r="E1191" s="55"/>
      <c r="F1191" s="55"/>
      <c r="G1191" s="55"/>
      <c r="H1191" s="228"/>
      <c r="I1191" s="55"/>
      <c r="J1191" s="55"/>
      <c r="K1191" s="55"/>
      <c r="L1191" s="55"/>
      <c r="M1191" s="229"/>
      <c r="N1191" s="230"/>
      <c r="O1191" s="55"/>
      <c r="P1191" s="55"/>
      <c r="Q1191" s="55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</row>
    <row r="1192" spans="1:28" ht="15.75" customHeight="1">
      <c r="A1192" s="55"/>
      <c r="B1192" s="55"/>
      <c r="C1192" s="55"/>
      <c r="D1192" s="55"/>
      <c r="E1192" s="55"/>
      <c r="F1192" s="55"/>
      <c r="G1192" s="55"/>
      <c r="H1192" s="228"/>
      <c r="I1192" s="55"/>
      <c r="J1192" s="55"/>
      <c r="K1192" s="55"/>
      <c r="L1192" s="55"/>
      <c r="M1192" s="229"/>
      <c r="N1192" s="230"/>
      <c r="O1192" s="55"/>
      <c r="P1192" s="55"/>
      <c r="Q1192" s="55"/>
      <c r="R1192" s="55"/>
      <c r="S1192" s="55"/>
      <c r="T1192" s="55"/>
      <c r="U1192" s="55"/>
      <c r="V1192" s="55"/>
      <c r="W1192" s="55"/>
      <c r="X1192" s="55"/>
      <c r="Y1192" s="55"/>
      <c r="Z1192" s="55"/>
      <c r="AA1192" s="55"/>
      <c r="AB1192" s="55"/>
    </row>
    <row r="1193" spans="1:28" ht="15.75" customHeight="1">
      <c r="A1193" s="55"/>
      <c r="B1193" s="55"/>
      <c r="C1193" s="55"/>
      <c r="D1193" s="55"/>
      <c r="E1193" s="55"/>
      <c r="F1193" s="55"/>
      <c r="G1193" s="55"/>
      <c r="H1193" s="228"/>
      <c r="I1193" s="55"/>
      <c r="J1193" s="55"/>
      <c r="K1193" s="55"/>
      <c r="L1193" s="55"/>
      <c r="M1193" s="229"/>
      <c r="N1193" s="230"/>
      <c r="O1193" s="55"/>
      <c r="P1193" s="55"/>
      <c r="Q1193" s="55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</row>
    <row r="1194" spans="1:28" ht="15.75" customHeight="1">
      <c r="A1194" s="55"/>
      <c r="B1194" s="55"/>
      <c r="C1194" s="55"/>
      <c r="D1194" s="55"/>
      <c r="E1194" s="55"/>
      <c r="F1194" s="55"/>
      <c r="G1194" s="55"/>
      <c r="H1194" s="228"/>
      <c r="I1194" s="55"/>
      <c r="J1194" s="55"/>
      <c r="K1194" s="55"/>
      <c r="L1194" s="55"/>
      <c r="M1194" s="229"/>
      <c r="N1194" s="230"/>
      <c r="O1194" s="55"/>
      <c r="P1194" s="55"/>
      <c r="Q1194" s="55"/>
      <c r="R1194" s="55"/>
      <c r="S1194" s="55"/>
      <c r="T1194" s="55"/>
      <c r="U1194" s="55"/>
      <c r="V1194" s="55"/>
      <c r="W1194" s="55"/>
      <c r="X1194" s="55"/>
      <c r="Y1194" s="55"/>
      <c r="Z1194" s="55"/>
      <c r="AA1194" s="55"/>
      <c r="AB1194" s="55"/>
    </row>
    <row r="1195" spans="1:28" ht="15.75" customHeight="1">
      <c r="A1195" s="55"/>
      <c r="B1195" s="55"/>
      <c r="C1195" s="55"/>
      <c r="D1195" s="55"/>
      <c r="E1195" s="55"/>
      <c r="F1195" s="55"/>
      <c r="G1195" s="55"/>
      <c r="H1195" s="228"/>
      <c r="I1195" s="55"/>
      <c r="J1195" s="55"/>
      <c r="K1195" s="55"/>
      <c r="L1195" s="55"/>
      <c r="M1195" s="229"/>
      <c r="N1195" s="230"/>
      <c r="O1195" s="55"/>
      <c r="P1195" s="55"/>
      <c r="Q1195" s="55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</row>
    <row r="1196" spans="1:28" ht="15.75" customHeight="1">
      <c r="A1196" s="55"/>
      <c r="B1196" s="55"/>
      <c r="C1196" s="55"/>
      <c r="D1196" s="55"/>
      <c r="E1196" s="55"/>
      <c r="F1196" s="55"/>
      <c r="G1196" s="55"/>
      <c r="H1196" s="228"/>
      <c r="I1196" s="55"/>
      <c r="J1196" s="55"/>
      <c r="K1196" s="55"/>
      <c r="L1196" s="55"/>
      <c r="M1196" s="229"/>
      <c r="N1196" s="230"/>
      <c r="O1196" s="55"/>
      <c r="P1196" s="55"/>
      <c r="Q1196" s="55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</row>
    <row r="1197" spans="1:28" ht="15.75" customHeight="1">
      <c r="A1197" s="55"/>
      <c r="B1197" s="55"/>
      <c r="C1197" s="55"/>
      <c r="D1197" s="55"/>
      <c r="E1197" s="55"/>
      <c r="F1197" s="55"/>
      <c r="G1197" s="55"/>
      <c r="H1197" s="228"/>
      <c r="I1197" s="55"/>
      <c r="J1197" s="55"/>
      <c r="K1197" s="55"/>
      <c r="L1197" s="55"/>
      <c r="M1197" s="229"/>
      <c r="N1197" s="230"/>
      <c r="O1197" s="55"/>
      <c r="P1197" s="55"/>
      <c r="Q1197" s="55"/>
      <c r="R1197" s="55"/>
      <c r="S1197" s="55"/>
      <c r="T1197" s="55"/>
      <c r="U1197" s="55"/>
      <c r="V1197" s="55"/>
      <c r="W1197" s="55"/>
      <c r="X1197" s="55"/>
      <c r="Y1197" s="55"/>
      <c r="Z1197" s="55"/>
      <c r="AA1197" s="55"/>
      <c r="AB1197" s="55"/>
    </row>
    <row r="1198" spans="1:28" ht="15.75" customHeight="1">
      <c r="A1198" s="55"/>
      <c r="B1198" s="55"/>
      <c r="C1198" s="55"/>
      <c r="D1198" s="55"/>
      <c r="E1198" s="55"/>
      <c r="F1198" s="55"/>
      <c r="G1198" s="55"/>
      <c r="H1198" s="228"/>
      <c r="I1198" s="55"/>
      <c r="J1198" s="55"/>
      <c r="K1198" s="55"/>
      <c r="L1198" s="55"/>
      <c r="M1198" s="229"/>
      <c r="N1198" s="230"/>
      <c r="O1198" s="55"/>
      <c r="P1198" s="55"/>
      <c r="Q1198" s="55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</row>
    <row r="1199" spans="1:28" ht="15.75" customHeight="1">
      <c r="A1199" s="55"/>
      <c r="B1199" s="55"/>
      <c r="C1199" s="55"/>
      <c r="D1199" s="55"/>
      <c r="E1199" s="55"/>
      <c r="F1199" s="55"/>
      <c r="G1199" s="55"/>
      <c r="H1199" s="228"/>
      <c r="I1199" s="55"/>
      <c r="J1199" s="55"/>
      <c r="K1199" s="55"/>
      <c r="L1199" s="55"/>
      <c r="M1199" s="229"/>
      <c r="N1199" s="230"/>
      <c r="O1199" s="55"/>
      <c r="P1199" s="55"/>
      <c r="Q1199" s="55"/>
      <c r="R1199" s="55"/>
      <c r="S1199" s="55"/>
      <c r="T1199" s="55"/>
      <c r="U1199" s="55"/>
      <c r="V1199" s="55"/>
      <c r="W1199" s="55"/>
      <c r="X1199" s="55"/>
      <c r="Y1199" s="55"/>
      <c r="Z1199" s="55"/>
      <c r="AA1199" s="55"/>
      <c r="AB1199" s="55"/>
    </row>
    <row r="1200" spans="1:28" ht="15.75" customHeight="1">
      <c r="A1200" s="55"/>
      <c r="B1200" s="55"/>
      <c r="C1200" s="55"/>
      <c r="D1200" s="55"/>
      <c r="E1200" s="55"/>
      <c r="F1200" s="55"/>
      <c r="G1200" s="55"/>
      <c r="H1200" s="228"/>
      <c r="I1200" s="55"/>
      <c r="J1200" s="55"/>
      <c r="K1200" s="55"/>
      <c r="L1200" s="55"/>
      <c r="M1200" s="229"/>
      <c r="N1200" s="230"/>
      <c r="O1200" s="55"/>
      <c r="P1200" s="55"/>
      <c r="Q1200" s="55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</row>
    <row r="1201" spans="1:28" ht="15.75" customHeight="1">
      <c r="A1201" s="55"/>
      <c r="B1201" s="55"/>
      <c r="C1201" s="55"/>
      <c r="D1201" s="55"/>
      <c r="E1201" s="55"/>
      <c r="F1201" s="55"/>
      <c r="G1201" s="55"/>
      <c r="H1201" s="228"/>
      <c r="I1201" s="55"/>
      <c r="J1201" s="55"/>
      <c r="K1201" s="55"/>
      <c r="L1201" s="55"/>
      <c r="M1201" s="229"/>
      <c r="N1201" s="230"/>
      <c r="O1201" s="55"/>
      <c r="P1201" s="55"/>
      <c r="Q1201" s="55"/>
      <c r="R1201" s="55"/>
      <c r="S1201" s="55"/>
      <c r="T1201" s="55"/>
      <c r="U1201" s="55"/>
      <c r="V1201" s="55"/>
      <c r="W1201" s="55"/>
      <c r="X1201" s="55"/>
      <c r="Y1201" s="55"/>
      <c r="Z1201" s="55"/>
      <c r="AA1201" s="55"/>
      <c r="AB1201" s="55"/>
    </row>
    <row r="1202" spans="1:28" ht="15.75" customHeight="1">
      <c r="A1202" s="55"/>
      <c r="B1202" s="55"/>
      <c r="C1202" s="55"/>
      <c r="D1202" s="55"/>
      <c r="E1202" s="55"/>
      <c r="F1202" s="55"/>
      <c r="G1202" s="55"/>
      <c r="H1202" s="228"/>
      <c r="I1202" s="55"/>
      <c r="J1202" s="55"/>
      <c r="K1202" s="55"/>
      <c r="L1202" s="55"/>
      <c r="M1202" s="229"/>
      <c r="N1202" s="230"/>
      <c r="O1202" s="55"/>
      <c r="P1202" s="55"/>
      <c r="Q1202" s="55"/>
      <c r="R1202" s="55"/>
      <c r="S1202" s="55"/>
      <c r="T1202" s="55"/>
      <c r="U1202" s="55"/>
      <c r="V1202" s="55"/>
      <c r="W1202" s="55"/>
      <c r="X1202" s="55"/>
      <c r="Y1202" s="55"/>
      <c r="Z1202" s="55"/>
      <c r="AA1202" s="55"/>
      <c r="AB1202" s="55"/>
    </row>
    <row r="1203" spans="1:28" ht="15.75" customHeight="1">
      <c r="A1203" s="55"/>
      <c r="B1203" s="55"/>
      <c r="C1203" s="55"/>
      <c r="D1203" s="55"/>
      <c r="E1203" s="55"/>
      <c r="F1203" s="55"/>
      <c r="G1203" s="55"/>
      <c r="H1203" s="228"/>
      <c r="I1203" s="55"/>
      <c r="J1203" s="55"/>
      <c r="K1203" s="55"/>
      <c r="L1203" s="55"/>
      <c r="M1203" s="229"/>
      <c r="N1203" s="230"/>
      <c r="O1203" s="55"/>
      <c r="P1203" s="55"/>
      <c r="Q1203" s="55"/>
      <c r="R1203" s="55"/>
      <c r="S1203" s="55"/>
      <c r="T1203" s="55"/>
      <c r="U1203" s="55"/>
      <c r="V1203" s="55"/>
      <c r="W1203" s="55"/>
      <c r="X1203" s="55"/>
      <c r="Y1203" s="55"/>
      <c r="Z1203" s="55"/>
      <c r="AA1203" s="55"/>
      <c r="AB1203" s="55"/>
    </row>
    <row r="1204" spans="1:28" ht="15.75" customHeight="1">
      <c r="A1204" s="55"/>
      <c r="B1204" s="55"/>
      <c r="C1204" s="55"/>
      <c r="D1204" s="55"/>
      <c r="E1204" s="55"/>
      <c r="F1204" s="55"/>
      <c r="G1204" s="55"/>
      <c r="H1204" s="228"/>
      <c r="I1204" s="55"/>
      <c r="J1204" s="55"/>
      <c r="K1204" s="55"/>
      <c r="L1204" s="55"/>
      <c r="M1204" s="229"/>
      <c r="N1204" s="230"/>
      <c r="O1204" s="55"/>
      <c r="P1204" s="55"/>
      <c r="Q1204" s="55"/>
      <c r="R1204" s="55"/>
      <c r="S1204" s="55"/>
      <c r="T1204" s="55"/>
      <c r="U1204" s="55"/>
      <c r="V1204" s="55"/>
      <c r="W1204" s="55"/>
      <c r="X1204" s="55"/>
      <c r="Y1204" s="55"/>
      <c r="Z1204" s="55"/>
      <c r="AA1204" s="55"/>
      <c r="AB1204" s="55"/>
    </row>
    <row r="1205" spans="1:28" ht="15.75" customHeight="1">
      <c r="A1205" s="55"/>
      <c r="B1205" s="55"/>
      <c r="C1205" s="55"/>
      <c r="D1205" s="55"/>
      <c r="E1205" s="55"/>
      <c r="F1205" s="55"/>
      <c r="G1205" s="55"/>
      <c r="H1205" s="228"/>
      <c r="I1205" s="55"/>
      <c r="J1205" s="55"/>
      <c r="K1205" s="55"/>
      <c r="L1205" s="55"/>
      <c r="M1205" s="229"/>
      <c r="N1205" s="230"/>
      <c r="O1205" s="55"/>
      <c r="P1205" s="55"/>
      <c r="Q1205" s="55"/>
      <c r="R1205" s="55"/>
      <c r="S1205" s="55"/>
      <c r="T1205" s="55"/>
      <c r="U1205" s="55"/>
      <c r="V1205" s="55"/>
      <c r="W1205" s="55"/>
      <c r="X1205" s="55"/>
      <c r="Y1205" s="55"/>
      <c r="Z1205" s="55"/>
      <c r="AA1205" s="55"/>
      <c r="AB1205" s="55"/>
    </row>
    <row r="1206" spans="1:28" ht="15.75" customHeight="1">
      <c r="A1206" s="55"/>
      <c r="B1206" s="55"/>
      <c r="C1206" s="55"/>
      <c r="D1206" s="55"/>
      <c r="E1206" s="55"/>
      <c r="F1206" s="55"/>
      <c r="G1206" s="55"/>
      <c r="H1206" s="228"/>
      <c r="I1206" s="55"/>
      <c r="J1206" s="55"/>
      <c r="K1206" s="55"/>
      <c r="L1206" s="55"/>
      <c r="M1206" s="229"/>
      <c r="N1206" s="230"/>
      <c r="O1206" s="55"/>
      <c r="P1206" s="55"/>
      <c r="Q1206" s="55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</row>
    <row r="1207" spans="1:28" ht="15.75" customHeight="1">
      <c r="A1207" s="55"/>
      <c r="B1207" s="55"/>
      <c r="C1207" s="55"/>
      <c r="D1207" s="55"/>
      <c r="E1207" s="55"/>
      <c r="F1207" s="55"/>
      <c r="G1207" s="55"/>
      <c r="H1207" s="228"/>
      <c r="I1207" s="55"/>
      <c r="J1207" s="55"/>
      <c r="K1207" s="55"/>
      <c r="L1207" s="55"/>
      <c r="M1207" s="229"/>
      <c r="N1207" s="230"/>
      <c r="O1207" s="55"/>
      <c r="P1207" s="55"/>
      <c r="Q1207" s="55"/>
      <c r="R1207" s="55"/>
      <c r="S1207" s="55"/>
      <c r="T1207" s="55"/>
      <c r="U1207" s="55"/>
      <c r="V1207" s="55"/>
      <c r="W1207" s="55"/>
      <c r="X1207" s="55"/>
      <c r="Y1207" s="55"/>
      <c r="Z1207" s="55"/>
      <c r="AA1207" s="55"/>
      <c r="AB1207" s="55"/>
    </row>
    <row r="1208" spans="1:28" ht="15.75" customHeight="1">
      <c r="A1208" s="55"/>
      <c r="B1208" s="55"/>
      <c r="C1208" s="55"/>
      <c r="D1208" s="55"/>
      <c r="E1208" s="55"/>
      <c r="F1208" s="55"/>
      <c r="G1208" s="55"/>
      <c r="H1208" s="228"/>
      <c r="I1208" s="55"/>
      <c r="J1208" s="55"/>
      <c r="K1208" s="55"/>
      <c r="L1208" s="55"/>
      <c r="M1208" s="229"/>
      <c r="N1208" s="230"/>
      <c r="O1208" s="55"/>
      <c r="P1208" s="55"/>
      <c r="Q1208" s="55"/>
      <c r="R1208" s="55"/>
      <c r="S1208" s="55"/>
      <c r="T1208" s="55"/>
      <c r="U1208" s="55"/>
      <c r="V1208" s="55"/>
      <c r="W1208" s="55"/>
      <c r="X1208" s="55"/>
      <c r="Y1208" s="55"/>
      <c r="Z1208" s="55"/>
      <c r="AA1208" s="55"/>
      <c r="AB1208" s="55"/>
    </row>
    <row r="1209" spans="1:28" ht="15.75" customHeight="1">
      <c r="A1209" s="55"/>
      <c r="B1209" s="55"/>
      <c r="C1209" s="55"/>
      <c r="D1209" s="55"/>
      <c r="E1209" s="55"/>
      <c r="F1209" s="55"/>
      <c r="G1209" s="55"/>
      <c r="H1209" s="228"/>
      <c r="I1209" s="55"/>
      <c r="J1209" s="55"/>
      <c r="K1209" s="55"/>
      <c r="L1209" s="55"/>
      <c r="M1209" s="229"/>
      <c r="N1209" s="230"/>
      <c r="O1209" s="55"/>
      <c r="P1209" s="55"/>
      <c r="Q1209" s="55"/>
      <c r="R1209" s="55"/>
      <c r="S1209" s="55"/>
      <c r="T1209" s="55"/>
      <c r="U1209" s="55"/>
      <c r="V1209" s="55"/>
      <c r="W1209" s="55"/>
      <c r="X1209" s="55"/>
      <c r="Y1209" s="55"/>
      <c r="Z1209" s="55"/>
      <c r="AA1209" s="55"/>
      <c r="AB1209" s="55"/>
    </row>
    <row r="1210" spans="1:28" ht="15.75" customHeight="1">
      <c r="A1210" s="55"/>
      <c r="B1210" s="55"/>
      <c r="C1210" s="55"/>
      <c r="D1210" s="55"/>
      <c r="E1210" s="55"/>
      <c r="F1210" s="55"/>
      <c r="G1210" s="55"/>
      <c r="H1210" s="228"/>
      <c r="I1210" s="55"/>
      <c r="J1210" s="55"/>
      <c r="K1210" s="55"/>
      <c r="L1210" s="55"/>
      <c r="M1210" s="229"/>
      <c r="N1210" s="230"/>
      <c r="O1210" s="55"/>
      <c r="P1210" s="55"/>
      <c r="Q1210" s="55"/>
      <c r="R1210" s="55"/>
      <c r="S1210" s="55"/>
      <c r="T1210" s="55"/>
      <c r="U1210" s="55"/>
      <c r="V1210" s="55"/>
      <c r="W1210" s="55"/>
      <c r="X1210" s="55"/>
      <c r="Y1210" s="55"/>
      <c r="Z1210" s="55"/>
      <c r="AA1210" s="55"/>
      <c r="AB1210" s="55"/>
    </row>
    <row r="1211" spans="1:28" ht="15.75" customHeight="1">
      <c r="A1211" s="55"/>
      <c r="B1211" s="55"/>
      <c r="C1211" s="55"/>
      <c r="D1211" s="55"/>
      <c r="E1211" s="55"/>
      <c r="F1211" s="55"/>
      <c r="G1211" s="55"/>
      <c r="H1211" s="228"/>
      <c r="I1211" s="55"/>
      <c r="J1211" s="55"/>
      <c r="K1211" s="55"/>
      <c r="L1211" s="55"/>
      <c r="M1211" s="229"/>
      <c r="N1211" s="230"/>
      <c r="O1211" s="55"/>
      <c r="P1211" s="55"/>
      <c r="Q1211" s="55"/>
      <c r="R1211" s="55"/>
      <c r="S1211" s="55"/>
      <c r="T1211" s="55"/>
      <c r="U1211" s="55"/>
      <c r="V1211" s="55"/>
      <c r="W1211" s="55"/>
      <c r="X1211" s="55"/>
      <c r="Y1211" s="55"/>
      <c r="Z1211" s="55"/>
      <c r="AA1211" s="55"/>
      <c r="AB1211" s="55"/>
    </row>
    <row r="1212" spans="1:28" ht="15.75" customHeight="1">
      <c r="A1212" s="55"/>
      <c r="B1212" s="55"/>
      <c r="C1212" s="55"/>
      <c r="D1212" s="55"/>
      <c r="E1212" s="55"/>
      <c r="F1212" s="55"/>
      <c r="G1212" s="55"/>
      <c r="H1212" s="228"/>
      <c r="I1212" s="55"/>
      <c r="J1212" s="55"/>
      <c r="K1212" s="55"/>
      <c r="L1212" s="55"/>
      <c r="M1212" s="229"/>
      <c r="N1212" s="230"/>
      <c r="O1212" s="55"/>
      <c r="P1212" s="55"/>
      <c r="Q1212" s="55"/>
      <c r="R1212" s="55"/>
      <c r="S1212" s="55"/>
      <c r="T1212" s="55"/>
      <c r="U1212" s="55"/>
      <c r="V1212" s="55"/>
      <c r="W1212" s="55"/>
      <c r="X1212" s="55"/>
      <c r="Y1212" s="55"/>
      <c r="Z1212" s="55"/>
      <c r="AA1212" s="55"/>
      <c r="AB1212" s="55"/>
    </row>
    <row r="1213" spans="1:28" ht="15.75" customHeight="1">
      <c r="A1213" s="55"/>
      <c r="B1213" s="55"/>
      <c r="C1213" s="55"/>
      <c r="D1213" s="55"/>
      <c r="E1213" s="55"/>
      <c r="F1213" s="55"/>
      <c r="G1213" s="55"/>
      <c r="H1213" s="228"/>
      <c r="I1213" s="55"/>
      <c r="J1213" s="55"/>
      <c r="K1213" s="55"/>
      <c r="L1213" s="55"/>
      <c r="M1213" s="229"/>
      <c r="N1213" s="230"/>
      <c r="O1213" s="55"/>
      <c r="P1213" s="55"/>
      <c r="Q1213" s="55"/>
      <c r="R1213" s="55"/>
      <c r="S1213" s="55"/>
      <c r="T1213" s="55"/>
      <c r="U1213" s="55"/>
      <c r="V1213" s="55"/>
      <c r="W1213" s="55"/>
      <c r="X1213" s="55"/>
      <c r="Y1213" s="55"/>
      <c r="Z1213" s="55"/>
      <c r="AA1213" s="55"/>
      <c r="AB1213" s="55"/>
    </row>
    <row r="1214" spans="1:28" ht="15.75" customHeight="1">
      <c r="A1214" s="55"/>
      <c r="B1214" s="55"/>
      <c r="C1214" s="55"/>
      <c r="D1214" s="55"/>
      <c r="E1214" s="55"/>
      <c r="F1214" s="55"/>
      <c r="G1214" s="55"/>
      <c r="H1214" s="228"/>
      <c r="I1214" s="55"/>
      <c r="J1214" s="55"/>
      <c r="K1214" s="55"/>
      <c r="L1214" s="55"/>
      <c r="M1214" s="229"/>
      <c r="N1214" s="230"/>
      <c r="O1214" s="55"/>
      <c r="P1214" s="55"/>
      <c r="Q1214" s="55"/>
      <c r="R1214" s="55"/>
      <c r="S1214" s="55"/>
      <c r="T1214" s="55"/>
      <c r="U1214" s="55"/>
      <c r="V1214" s="55"/>
      <c r="W1214" s="55"/>
      <c r="X1214" s="55"/>
      <c r="Y1214" s="55"/>
      <c r="Z1214" s="55"/>
      <c r="AA1214" s="55"/>
      <c r="AB1214" s="55"/>
    </row>
    <row r="1215" spans="1:28" ht="15.75" customHeight="1">
      <c r="A1215" s="55"/>
      <c r="B1215" s="55"/>
      <c r="C1215" s="55"/>
      <c r="D1215" s="55"/>
      <c r="E1215" s="55"/>
      <c r="F1215" s="55"/>
      <c r="G1215" s="55"/>
      <c r="H1215" s="228"/>
      <c r="I1215" s="55"/>
      <c r="J1215" s="55"/>
      <c r="K1215" s="55"/>
      <c r="L1215" s="55"/>
      <c r="M1215" s="229"/>
      <c r="N1215" s="230"/>
      <c r="O1215" s="55"/>
      <c r="P1215" s="55"/>
      <c r="Q1215" s="55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</row>
    <row r="1216" spans="1:28" ht="15.75" customHeight="1">
      <c r="A1216" s="55"/>
      <c r="B1216" s="55"/>
      <c r="C1216" s="55"/>
      <c r="D1216" s="55"/>
      <c r="E1216" s="55"/>
      <c r="F1216" s="55"/>
      <c r="G1216" s="55"/>
      <c r="H1216" s="228"/>
      <c r="I1216" s="55"/>
      <c r="J1216" s="55"/>
      <c r="K1216" s="55"/>
      <c r="L1216" s="55"/>
      <c r="M1216" s="229"/>
      <c r="N1216" s="230"/>
      <c r="O1216" s="55"/>
      <c r="P1216" s="55"/>
      <c r="Q1216" s="55"/>
      <c r="R1216" s="55"/>
      <c r="S1216" s="55"/>
      <c r="T1216" s="55"/>
      <c r="U1216" s="55"/>
      <c r="V1216" s="55"/>
      <c r="W1216" s="55"/>
      <c r="X1216" s="55"/>
      <c r="Y1216" s="55"/>
      <c r="Z1216" s="55"/>
      <c r="AA1216" s="55"/>
      <c r="AB1216" s="55"/>
    </row>
    <row r="1217" spans="1:28" ht="15.75" customHeight="1">
      <c r="A1217" s="55"/>
      <c r="B1217" s="55"/>
      <c r="C1217" s="55"/>
      <c r="D1217" s="55"/>
      <c r="E1217" s="55"/>
      <c r="F1217" s="55"/>
      <c r="G1217" s="55"/>
      <c r="H1217" s="228"/>
      <c r="I1217" s="55"/>
      <c r="J1217" s="55"/>
      <c r="K1217" s="55"/>
      <c r="L1217" s="55"/>
      <c r="M1217" s="229"/>
      <c r="N1217" s="230"/>
      <c r="O1217" s="55"/>
      <c r="P1217" s="55"/>
      <c r="Q1217" s="55"/>
      <c r="R1217" s="55"/>
      <c r="S1217" s="55"/>
      <c r="T1217" s="55"/>
      <c r="U1217" s="55"/>
      <c r="V1217" s="55"/>
      <c r="W1217" s="55"/>
      <c r="X1217" s="55"/>
      <c r="Y1217" s="55"/>
      <c r="Z1217" s="55"/>
      <c r="AA1217" s="55"/>
      <c r="AB1217" s="55"/>
    </row>
    <row r="1218" spans="1:28" ht="15.75" customHeight="1">
      <c r="A1218" s="55"/>
      <c r="B1218" s="55"/>
      <c r="C1218" s="55"/>
      <c r="D1218" s="55"/>
      <c r="E1218" s="55"/>
      <c r="F1218" s="55"/>
      <c r="G1218" s="55"/>
      <c r="H1218" s="228"/>
      <c r="I1218" s="55"/>
      <c r="J1218" s="55"/>
      <c r="K1218" s="55"/>
      <c r="L1218" s="55"/>
      <c r="M1218" s="229"/>
      <c r="N1218" s="230"/>
      <c r="O1218" s="55"/>
      <c r="P1218" s="55"/>
      <c r="Q1218" s="55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</row>
    <row r="1219" spans="1:28" ht="15.75" customHeight="1">
      <c r="A1219" s="55"/>
      <c r="B1219" s="55"/>
      <c r="C1219" s="55"/>
      <c r="D1219" s="55"/>
      <c r="E1219" s="55"/>
      <c r="F1219" s="55"/>
      <c r="G1219" s="55"/>
      <c r="H1219" s="228"/>
      <c r="I1219" s="55"/>
      <c r="J1219" s="55"/>
      <c r="K1219" s="55"/>
      <c r="L1219" s="55"/>
      <c r="M1219" s="229"/>
      <c r="N1219" s="230"/>
      <c r="O1219" s="55"/>
      <c r="P1219" s="55"/>
      <c r="Q1219" s="55"/>
      <c r="R1219" s="55"/>
      <c r="S1219" s="55"/>
      <c r="T1219" s="55"/>
      <c r="U1219" s="55"/>
      <c r="V1219" s="55"/>
      <c r="W1219" s="55"/>
      <c r="X1219" s="55"/>
      <c r="Y1219" s="55"/>
      <c r="Z1219" s="55"/>
      <c r="AA1219" s="55"/>
      <c r="AB1219" s="55"/>
    </row>
    <row r="1220" spans="1:28" ht="15.75" customHeight="1">
      <c r="A1220" s="55"/>
      <c r="B1220" s="55"/>
      <c r="C1220" s="55"/>
      <c r="D1220" s="55"/>
      <c r="E1220" s="55"/>
      <c r="F1220" s="55"/>
      <c r="G1220" s="55"/>
      <c r="H1220" s="228"/>
      <c r="I1220" s="55"/>
      <c r="J1220" s="55"/>
      <c r="K1220" s="55"/>
      <c r="L1220" s="55"/>
      <c r="M1220" s="229"/>
      <c r="N1220" s="230"/>
      <c r="O1220" s="55"/>
      <c r="P1220" s="55"/>
      <c r="Q1220" s="55"/>
      <c r="R1220" s="55"/>
      <c r="S1220" s="55"/>
      <c r="T1220" s="55"/>
      <c r="U1220" s="55"/>
      <c r="V1220" s="55"/>
      <c r="W1220" s="55"/>
      <c r="X1220" s="55"/>
      <c r="Y1220" s="55"/>
      <c r="Z1220" s="55"/>
      <c r="AA1220" s="55"/>
      <c r="AB1220" s="55"/>
    </row>
    <row r="1221" spans="1:28" ht="15.75" customHeight="1">
      <c r="A1221" s="55"/>
      <c r="B1221" s="55"/>
      <c r="C1221" s="55"/>
      <c r="D1221" s="55"/>
      <c r="E1221" s="55"/>
      <c r="F1221" s="55"/>
      <c r="G1221" s="55"/>
      <c r="H1221" s="228"/>
      <c r="I1221" s="55"/>
      <c r="J1221" s="55"/>
      <c r="K1221" s="55"/>
      <c r="L1221" s="55"/>
      <c r="M1221" s="229"/>
      <c r="N1221" s="230"/>
      <c r="O1221" s="55"/>
      <c r="P1221" s="55"/>
      <c r="Q1221" s="55"/>
      <c r="R1221" s="55"/>
      <c r="S1221" s="55"/>
      <c r="T1221" s="55"/>
      <c r="U1221" s="55"/>
      <c r="V1221" s="55"/>
      <c r="W1221" s="55"/>
      <c r="X1221" s="55"/>
      <c r="Y1221" s="55"/>
      <c r="Z1221" s="55"/>
      <c r="AA1221" s="55"/>
      <c r="AB1221" s="55"/>
    </row>
    <row r="1222" spans="1:28" ht="15.75" customHeight="1">
      <c r="A1222" s="55"/>
      <c r="B1222" s="55"/>
      <c r="C1222" s="55"/>
      <c r="D1222" s="55"/>
      <c r="E1222" s="55"/>
      <c r="F1222" s="55"/>
      <c r="G1222" s="55"/>
      <c r="H1222" s="228"/>
      <c r="I1222" s="55"/>
      <c r="J1222" s="55"/>
      <c r="K1222" s="55"/>
      <c r="L1222" s="55"/>
      <c r="M1222" s="229"/>
      <c r="N1222" s="230"/>
      <c r="O1222" s="55"/>
      <c r="P1222" s="55"/>
      <c r="Q1222" s="55"/>
      <c r="R1222" s="55"/>
      <c r="S1222" s="55"/>
      <c r="T1222" s="55"/>
      <c r="U1222" s="55"/>
      <c r="V1222" s="55"/>
      <c r="W1222" s="55"/>
      <c r="X1222" s="55"/>
      <c r="Y1222" s="55"/>
      <c r="Z1222" s="55"/>
      <c r="AA1222" s="55"/>
      <c r="AB1222" s="55"/>
    </row>
    <row r="1223" spans="1:28" ht="15.75" customHeight="1">
      <c r="A1223" s="55"/>
      <c r="B1223" s="55"/>
      <c r="C1223" s="55"/>
      <c r="D1223" s="55"/>
      <c r="E1223" s="55"/>
      <c r="F1223" s="55"/>
      <c r="G1223" s="55"/>
      <c r="H1223" s="228"/>
      <c r="I1223" s="55"/>
      <c r="J1223" s="55"/>
      <c r="K1223" s="55"/>
      <c r="L1223" s="55"/>
      <c r="M1223" s="229"/>
      <c r="N1223" s="230"/>
      <c r="O1223" s="55"/>
      <c r="P1223" s="55"/>
      <c r="Q1223" s="55"/>
      <c r="R1223" s="55"/>
      <c r="S1223" s="55"/>
      <c r="T1223" s="55"/>
      <c r="U1223" s="55"/>
      <c r="V1223" s="55"/>
      <c r="W1223" s="55"/>
      <c r="X1223" s="55"/>
      <c r="Y1223" s="55"/>
      <c r="Z1223" s="55"/>
      <c r="AA1223" s="55"/>
      <c r="AB1223" s="55"/>
    </row>
    <row r="1224" spans="1:28" ht="15.75" customHeight="1">
      <c r="A1224" s="55"/>
      <c r="B1224" s="55"/>
      <c r="C1224" s="55"/>
      <c r="D1224" s="55"/>
      <c r="E1224" s="55"/>
      <c r="F1224" s="55"/>
      <c r="G1224" s="55"/>
      <c r="H1224" s="228"/>
      <c r="I1224" s="55"/>
      <c r="J1224" s="55"/>
      <c r="K1224" s="55"/>
      <c r="L1224" s="55"/>
      <c r="M1224" s="229"/>
      <c r="N1224" s="230"/>
      <c r="O1224" s="55"/>
      <c r="P1224" s="55"/>
      <c r="Q1224" s="55"/>
      <c r="R1224" s="55"/>
      <c r="S1224" s="55"/>
      <c r="T1224" s="55"/>
      <c r="U1224" s="55"/>
      <c r="V1224" s="55"/>
      <c r="W1224" s="55"/>
      <c r="X1224" s="55"/>
      <c r="Y1224" s="55"/>
      <c r="Z1224" s="55"/>
      <c r="AA1224" s="55"/>
      <c r="AB1224" s="55"/>
    </row>
    <row r="1225" spans="1:28" ht="15.75" customHeight="1">
      <c r="A1225" s="55"/>
      <c r="B1225" s="55"/>
      <c r="C1225" s="55"/>
      <c r="D1225" s="55"/>
      <c r="E1225" s="55"/>
      <c r="F1225" s="55"/>
      <c r="G1225" s="55"/>
      <c r="H1225" s="228"/>
      <c r="I1225" s="55"/>
      <c r="J1225" s="55"/>
      <c r="K1225" s="55"/>
      <c r="L1225" s="55"/>
      <c r="M1225" s="229"/>
      <c r="N1225" s="230"/>
      <c r="O1225" s="55"/>
      <c r="P1225" s="55"/>
      <c r="Q1225" s="55"/>
      <c r="R1225" s="55"/>
      <c r="S1225" s="55"/>
      <c r="T1225" s="55"/>
      <c r="U1225" s="55"/>
      <c r="V1225" s="55"/>
      <c r="W1225" s="55"/>
      <c r="X1225" s="55"/>
      <c r="Y1225" s="55"/>
      <c r="Z1225" s="55"/>
      <c r="AA1225" s="55"/>
      <c r="AB1225" s="55"/>
    </row>
    <row r="1226" spans="1:28" ht="15.75" customHeight="1">
      <c r="A1226" s="55"/>
      <c r="B1226" s="55"/>
      <c r="C1226" s="55"/>
      <c r="D1226" s="55"/>
      <c r="E1226" s="55"/>
      <c r="F1226" s="55"/>
      <c r="G1226" s="55"/>
      <c r="H1226" s="228"/>
      <c r="I1226" s="55"/>
      <c r="J1226" s="55"/>
      <c r="K1226" s="55"/>
      <c r="L1226" s="55"/>
      <c r="M1226" s="229"/>
      <c r="N1226" s="230"/>
      <c r="O1226" s="55"/>
      <c r="P1226" s="55"/>
      <c r="Q1226" s="55"/>
      <c r="R1226" s="55"/>
      <c r="S1226" s="55"/>
      <c r="T1226" s="55"/>
      <c r="U1226" s="55"/>
      <c r="V1226" s="55"/>
      <c r="W1226" s="55"/>
      <c r="X1226" s="55"/>
      <c r="Y1226" s="55"/>
      <c r="Z1226" s="55"/>
      <c r="AA1226" s="55"/>
      <c r="AB1226" s="55"/>
    </row>
    <row r="1227" spans="1:28" ht="15.75" customHeight="1">
      <c r="A1227" s="55"/>
      <c r="B1227" s="55"/>
      <c r="C1227" s="55"/>
      <c r="D1227" s="55"/>
      <c r="E1227" s="55"/>
      <c r="F1227" s="55"/>
      <c r="G1227" s="55"/>
      <c r="H1227" s="228"/>
      <c r="I1227" s="55"/>
      <c r="J1227" s="55"/>
      <c r="K1227" s="55"/>
      <c r="L1227" s="55"/>
      <c r="M1227" s="229"/>
      <c r="N1227" s="230"/>
      <c r="O1227" s="55"/>
      <c r="P1227" s="55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</row>
    <row r="1228" spans="1:28" ht="15.75" customHeight="1">
      <c r="A1228" s="55"/>
      <c r="B1228" s="55"/>
      <c r="C1228" s="55"/>
      <c r="D1228" s="55"/>
      <c r="E1228" s="55"/>
      <c r="F1228" s="55"/>
      <c r="G1228" s="55"/>
      <c r="H1228" s="228"/>
      <c r="I1228" s="55"/>
      <c r="J1228" s="55"/>
      <c r="K1228" s="55"/>
      <c r="L1228" s="55"/>
      <c r="M1228" s="229"/>
      <c r="N1228" s="230"/>
      <c r="O1228" s="55"/>
      <c r="P1228" s="55"/>
      <c r="Q1228" s="55"/>
      <c r="R1228" s="55"/>
      <c r="S1228" s="55"/>
      <c r="T1228" s="55"/>
      <c r="U1228" s="55"/>
      <c r="V1228" s="55"/>
      <c r="W1228" s="55"/>
      <c r="X1228" s="55"/>
      <c r="Y1228" s="55"/>
      <c r="Z1228" s="55"/>
      <c r="AA1228" s="55"/>
      <c r="AB1228" s="55"/>
    </row>
    <row r="1229" spans="1:28" ht="15.75" customHeight="1">
      <c r="A1229" s="55"/>
      <c r="B1229" s="55"/>
      <c r="C1229" s="55"/>
      <c r="D1229" s="55"/>
      <c r="E1229" s="55"/>
      <c r="F1229" s="55"/>
      <c r="G1229" s="55"/>
      <c r="H1229" s="228"/>
      <c r="I1229" s="55"/>
      <c r="J1229" s="55"/>
      <c r="K1229" s="55"/>
      <c r="L1229" s="55"/>
      <c r="M1229" s="229"/>
      <c r="N1229" s="230"/>
      <c r="O1229" s="55"/>
      <c r="P1229" s="55"/>
      <c r="Q1229" s="55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</row>
    <row r="1230" spans="1:28" ht="15.75" customHeight="1">
      <c r="A1230" s="55"/>
      <c r="B1230" s="55"/>
      <c r="C1230" s="55"/>
      <c r="D1230" s="55"/>
      <c r="E1230" s="55"/>
      <c r="F1230" s="55"/>
      <c r="G1230" s="55"/>
      <c r="H1230" s="228"/>
      <c r="I1230" s="55"/>
      <c r="J1230" s="55"/>
      <c r="K1230" s="55"/>
      <c r="L1230" s="55"/>
      <c r="M1230" s="229"/>
      <c r="N1230" s="230"/>
      <c r="O1230" s="55"/>
      <c r="P1230" s="55"/>
      <c r="Q1230" s="55"/>
      <c r="R1230" s="55"/>
      <c r="S1230" s="55"/>
      <c r="T1230" s="55"/>
      <c r="U1230" s="55"/>
      <c r="V1230" s="55"/>
      <c r="W1230" s="55"/>
      <c r="X1230" s="55"/>
      <c r="Y1230" s="55"/>
      <c r="Z1230" s="55"/>
      <c r="AA1230" s="55"/>
      <c r="AB1230" s="55"/>
    </row>
    <row r="1231" spans="1:28" ht="15.75" customHeight="1">
      <c r="A1231" s="55"/>
      <c r="B1231" s="55"/>
      <c r="C1231" s="55"/>
      <c r="D1231" s="55"/>
      <c r="E1231" s="55"/>
      <c r="F1231" s="55"/>
      <c r="G1231" s="55"/>
      <c r="H1231" s="228"/>
      <c r="I1231" s="55"/>
      <c r="J1231" s="55"/>
      <c r="K1231" s="55"/>
      <c r="L1231" s="55"/>
      <c r="M1231" s="229"/>
      <c r="N1231" s="230"/>
      <c r="O1231" s="55"/>
      <c r="P1231" s="55"/>
      <c r="Q1231" s="55"/>
      <c r="R1231" s="55"/>
      <c r="S1231" s="55"/>
      <c r="T1231" s="55"/>
      <c r="U1231" s="55"/>
      <c r="V1231" s="55"/>
      <c r="W1231" s="55"/>
      <c r="X1231" s="55"/>
      <c r="Y1231" s="55"/>
      <c r="Z1231" s="55"/>
      <c r="AA1231" s="55"/>
      <c r="AB1231" s="55"/>
    </row>
    <row r="1232" spans="1:28" ht="15.75" customHeight="1">
      <c r="A1232" s="55"/>
      <c r="B1232" s="55"/>
      <c r="C1232" s="55"/>
      <c r="D1232" s="55"/>
      <c r="E1232" s="55"/>
      <c r="F1232" s="55"/>
      <c r="G1232" s="55"/>
      <c r="H1232" s="228"/>
      <c r="I1232" s="55"/>
      <c r="J1232" s="55"/>
      <c r="K1232" s="55"/>
      <c r="L1232" s="55"/>
      <c r="M1232" s="229"/>
      <c r="N1232" s="230"/>
      <c r="O1232" s="55"/>
      <c r="P1232" s="55"/>
      <c r="Q1232" s="55"/>
      <c r="R1232" s="55"/>
      <c r="S1232" s="55"/>
      <c r="T1232" s="55"/>
      <c r="U1232" s="55"/>
      <c r="V1232" s="55"/>
      <c r="W1232" s="55"/>
      <c r="X1232" s="55"/>
      <c r="Y1232" s="55"/>
      <c r="Z1232" s="55"/>
      <c r="AA1232" s="55"/>
      <c r="AB1232" s="55"/>
    </row>
    <row r="1233" spans="1:28" ht="15.75" customHeight="1">
      <c r="A1233" s="55"/>
      <c r="B1233" s="55"/>
      <c r="C1233" s="55"/>
      <c r="D1233" s="55"/>
      <c r="E1233" s="55"/>
      <c r="F1233" s="55"/>
      <c r="G1233" s="55"/>
      <c r="H1233" s="228"/>
      <c r="I1233" s="55"/>
      <c r="J1233" s="55"/>
      <c r="K1233" s="55"/>
      <c r="L1233" s="55"/>
      <c r="M1233" s="229"/>
      <c r="N1233" s="230"/>
      <c r="O1233" s="55"/>
      <c r="P1233" s="55"/>
      <c r="Q1233" s="55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</row>
    <row r="1234" spans="1:28" ht="15.75" customHeight="1">
      <c r="A1234" s="55"/>
      <c r="B1234" s="55"/>
      <c r="C1234" s="55"/>
      <c r="D1234" s="55"/>
      <c r="E1234" s="55"/>
      <c r="F1234" s="55"/>
      <c r="G1234" s="55"/>
      <c r="H1234" s="228"/>
      <c r="I1234" s="55"/>
      <c r="J1234" s="55"/>
      <c r="K1234" s="55"/>
      <c r="L1234" s="55"/>
      <c r="M1234" s="229"/>
      <c r="N1234" s="230"/>
      <c r="O1234" s="55"/>
      <c r="P1234" s="55"/>
      <c r="Q1234" s="55"/>
      <c r="R1234" s="55"/>
      <c r="S1234" s="55"/>
      <c r="T1234" s="55"/>
      <c r="U1234" s="55"/>
      <c r="V1234" s="55"/>
      <c r="W1234" s="55"/>
      <c r="X1234" s="55"/>
      <c r="Y1234" s="55"/>
      <c r="Z1234" s="55"/>
      <c r="AA1234" s="55"/>
      <c r="AB1234" s="55"/>
    </row>
    <row r="1235" spans="1:28" ht="15.75" customHeight="1">
      <c r="A1235" s="55"/>
      <c r="B1235" s="55"/>
      <c r="C1235" s="55"/>
      <c r="D1235" s="55"/>
      <c r="E1235" s="55"/>
      <c r="F1235" s="55"/>
      <c r="G1235" s="55"/>
      <c r="H1235" s="228"/>
      <c r="I1235" s="55"/>
      <c r="J1235" s="55"/>
      <c r="K1235" s="55"/>
      <c r="L1235" s="55"/>
      <c r="M1235" s="229"/>
      <c r="N1235" s="230"/>
      <c r="O1235" s="55"/>
      <c r="P1235" s="55"/>
      <c r="Q1235" s="55"/>
      <c r="R1235" s="55"/>
      <c r="S1235" s="55"/>
      <c r="T1235" s="55"/>
      <c r="U1235" s="55"/>
      <c r="V1235" s="55"/>
      <c r="W1235" s="55"/>
      <c r="X1235" s="55"/>
      <c r="Y1235" s="55"/>
      <c r="Z1235" s="55"/>
      <c r="AA1235" s="55"/>
      <c r="AB1235" s="55"/>
    </row>
    <row r="1236" spans="1:28" ht="15.75" customHeight="1">
      <c r="A1236" s="55"/>
      <c r="B1236" s="55"/>
      <c r="C1236" s="55"/>
      <c r="D1236" s="55"/>
      <c r="E1236" s="55"/>
      <c r="F1236" s="55"/>
      <c r="G1236" s="55"/>
      <c r="H1236" s="228"/>
      <c r="I1236" s="55"/>
      <c r="J1236" s="55"/>
      <c r="K1236" s="55"/>
      <c r="L1236" s="55"/>
      <c r="M1236" s="229"/>
      <c r="N1236" s="230"/>
      <c r="O1236" s="55"/>
      <c r="P1236" s="55"/>
      <c r="Q1236" s="55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</row>
    <row r="1237" spans="1:28" ht="15.75" customHeight="1">
      <c r="A1237" s="55"/>
      <c r="B1237" s="55"/>
      <c r="C1237" s="55"/>
      <c r="D1237" s="55"/>
      <c r="E1237" s="55"/>
      <c r="F1237" s="55"/>
      <c r="G1237" s="55"/>
      <c r="H1237" s="228"/>
      <c r="I1237" s="55"/>
      <c r="J1237" s="55"/>
      <c r="K1237" s="55"/>
      <c r="L1237" s="55"/>
      <c r="M1237" s="229"/>
      <c r="N1237" s="230"/>
      <c r="O1237" s="55"/>
      <c r="P1237" s="55"/>
      <c r="Q1237" s="55"/>
      <c r="R1237" s="55"/>
      <c r="S1237" s="55"/>
      <c r="T1237" s="55"/>
      <c r="U1237" s="55"/>
      <c r="V1237" s="55"/>
      <c r="W1237" s="55"/>
      <c r="X1237" s="55"/>
      <c r="Y1237" s="55"/>
      <c r="Z1237" s="55"/>
      <c r="AA1237" s="55"/>
      <c r="AB1237" s="55"/>
    </row>
    <row r="1238" spans="1:28" ht="15.75" customHeight="1">
      <c r="A1238" s="55"/>
      <c r="B1238" s="55"/>
      <c r="C1238" s="55"/>
      <c r="D1238" s="55"/>
      <c r="E1238" s="55"/>
      <c r="F1238" s="55"/>
      <c r="G1238" s="55"/>
      <c r="H1238" s="228"/>
      <c r="I1238" s="55"/>
      <c r="J1238" s="55"/>
      <c r="K1238" s="55"/>
      <c r="L1238" s="55"/>
      <c r="M1238" s="229"/>
      <c r="N1238" s="230"/>
      <c r="O1238" s="55"/>
      <c r="P1238" s="55"/>
      <c r="Q1238" s="55"/>
      <c r="R1238" s="55"/>
      <c r="S1238" s="55"/>
      <c r="T1238" s="55"/>
      <c r="U1238" s="55"/>
      <c r="V1238" s="55"/>
      <c r="W1238" s="55"/>
      <c r="X1238" s="55"/>
      <c r="Y1238" s="55"/>
      <c r="Z1238" s="55"/>
      <c r="AA1238" s="55"/>
      <c r="AB1238" s="55"/>
    </row>
    <row r="1239" spans="1:28" ht="15.75" customHeight="1">
      <c r="A1239" s="55"/>
      <c r="B1239" s="55"/>
      <c r="C1239" s="55"/>
      <c r="D1239" s="55"/>
      <c r="E1239" s="55"/>
      <c r="F1239" s="55"/>
      <c r="G1239" s="55"/>
      <c r="H1239" s="228"/>
      <c r="I1239" s="55"/>
      <c r="J1239" s="55"/>
      <c r="K1239" s="55"/>
      <c r="L1239" s="55"/>
      <c r="M1239" s="229"/>
      <c r="N1239" s="230"/>
      <c r="O1239" s="55"/>
      <c r="P1239" s="55"/>
      <c r="Q1239" s="55"/>
      <c r="R1239" s="55"/>
      <c r="S1239" s="55"/>
      <c r="T1239" s="55"/>
      <c r="U1239" s="55"/>
      <c r="V1239" s="55"/>
      <c r="W1239" s="55"/>
      <c r="X1239" s="55"/>
      <c r="Y1239" s="55"/>
      <c r="Z1239" s="55"/>
      <c r="AA1239" s="55"/>
      <c r="AB1239" s="55"/>
    </row>
    <row r="1240" spans="1:28" ht="15.75" customHeight="1">
      <c r="A1240" s="55"/>
      <c r="B1240" s="55"/>
      <c r="C1240" s="55"/>
      <c r="D1240" s="55"/>
      <c r="E1240" s="55"/>
      <c r="F1240" s="55"/>
      <c r="G1240" s="55"/>
      <c r="H1240" s="228"/>
      <c r="I1240" s="55"/>
      <c r="J1240" s="55"/>
      <c r="K1240" s="55"/>
      <c r="L1240" s="55"/>
      <c r="M1240" s="229"/>
      <c r="N1240" s="230"/>
      <c r="O1240" s="55"/>
      <c r="P1240" s="55"/>
      <c r="Q1240" s="55"/>
      <c r="R1240" s="55"/>
      <c r="S1240" s="55"/>
      <c r="T1240" s="55"/>
      <c r="U1240" s="55"/>
      <c r="V1240" s="55"/>
      <c r="W1240" s="55"/>
      <c r="X1240" s="55"/>
      <c r="Y1240" s="55"/>
      <c r="Z1240" s="55"/>
      <c r="AA1240" s="55"/>
      <c r="AB1240" s="55"/>
    </row>
    <row r="1241" spans="1:28" ht="15.75" customHeight="1">
      <c r="A1241" s="55"/>
      <c r="B1241" s="55"/>
      <c r="C1241" s="55"/>
      <c r="D1241" s="55"/>
      <c r="E1241" s="55"/>
      <c r="F1241" s="55"/>
      <c r="G1241" s="55"/>
      <c r="H1241" s="228"/>
      <c r="I1241" s="55"/>
      <c r="J1241" s="55"/>
      <c r="K1241" s="55"/>
      <c r="L1241" s="55"/>
      <c r="M1241" s="229"/>
      <c r="N1241" s="230"/>
      <c r="O1241" s="55"/>
      <c r="P1241" s="55"/>
      <c r="Q1241" s="55"/>
      <c r="R1241" s="55"/>
      <c r="S1241" s="55"/>
      <c r="T1241" s="55"/>
      <c r="U1241" s="55"/>
      <c r="V1241" s="55"/>
      <c r="W1241" s="55"/>
      <c r="X1241" s="55"/>
      <c r="Y1241" s="55"/>
      <c r="Z1241" s="55"/>
      <c r="AA1241" s="55"/>
      <c r="AB1241" s="55"/>
    </row>
    <row r="1242" spans="1:28" ht="15.75" customHeight="1">
      <c r="A1242" s="55"/>
      <c r="B1242" s="55"/>
      <c r="C1242" s="55"/>
      <c r="D1242" s="55"/>
      <c r="E1242" s="55"/>
      <c r="F1242" s="55"/>
      <c r="G1242" s="55"/>
      <c r="H1242" s="228"/>
      <c r="I1242" s="55"/>
      <c r="J1242" s="55"/>
      <c r="K1242" s="55"/>
      <c r="L1242" s="55"/>
      <c r="M1242" s="229"/>
      <c r="N1242" s="230"/>
      <c r="O1242" s="55"/>
      <c r="P1242" s="55"/>
      <c r="Q1242" s="55"/>
      <c r="R1242" s="55"/>
      <c r="S1242" s="55"/>
      <c r="T1242" s="55"/>
      <c r="U1242" s="55"/>
      <c r="V1242" s="55"/>
      <c r="W1242" s="55"/>
      <c r="X1242" s="55"/>
      <c r="Y1242" s="55"/>
      <c r="Z1242" s="55"/>
      <c r="AA1242" s="55"/>
      <c r="AB1242" s="55"/>
    </row>
    <row r="1243" spans="1:28" ht="15.75" customHeight="1">
      <c r="A1243" s="55"/>
      <c r="B1243" s="55"/>
      <c r="C1243" s="55"/>
      <c r="D1243" s="55"/>
      <c r="E1243" s="55"/>
      <c r="F1243" s="55"/>
      <c r="G1243" s="55"/>
      <c r="H1243" s="228"/>
      <c r="I1243" s="55"/>
      <c r="J1243" s="55"/>
      <c r="K1243" s="55"/>
      <c r="L1243" s="55"/>
      <c r="M1243" s="229"/>
      <c r="N1243" s="230"/>
      <c r="O1243" s="55"/>
      <c r="P1243" s="55"/>
      <c r="Q1243" s="55"/>
      <c r="R1243" s="55"/>
      <c r="S1243" s="55"/>
      <c r="T1243" s="55"/>
      <c r="U1243" s="55"/>
      <c r="V1243" s="55"/>
      <c r="W1243" s="55"/>
      <c r="X1243" s="55"/>
      <c r="Y1243" s="55"/>
      <c r="Z1243" s="55"/>
      <c r="AA1243" s="55"/>
      <c r="AB1243" s="55"/>
    </row>
    <row r="1244" spans="1:28" ht="15.75" customHeight="1">
      <c r="A1244" s="55"/>
      <c r="B1244" s="55"/>
      <c r="C1244" s="55"/>
      <c r="D1244" s="55"/>
      <c r="E1244" s="55"/>
      <c r="F1244" s="55"/>
      <c r="G1244" s="55"/>
      <c r="H1244" s="228"/>
      <c r="I1244" s="55"/>
      <c r="J1244" s="55"/>
      <c r="K1244" s="55"/>
      <c r="L1244" s="55"/>
      <c r="M1244" s="229"/>
      <c r="N1244" s="230"/>
      <c r="O1244" s="55"/>
      <c r="P1244" s="55"/>
      <c r="Q1244" s="55"/>
      <c r="R1244" s="55"/>
      <c r="S1244" s="55"/>
      <c r="T1244" s="55"/>
      <c r="U1244" s="55"/>
      <c r="V1244" s="55"/>
      <c r="W1244" s="55"/>
      <c r="X1244" s="55"/>
      <c r="Y1244" s="55"/>
      <c r="Z1244" s="55"/>
      <c r="AA1244" s="55"/>
      <c r="AB1244" s="55"/>
    </row>
    <row r="1245" spans="1:28" ht="15.75" customHeight="1">
      <c r="A1245" s="55"/>
      <c r="B1245" s="55"/>
      <c r="C1245" s="55"/>
      <c r="D1245" s="55"/>
      <c r="E1245" s="55"/>
      <c r="F1245" s="55"/>
      <c r="G1245" s="55"/>
      <c r="H1245" s="228"/>
      <c r="I1245" s="55"/>
      <c r="J1245" s="55"/>
      <c r="K1245" s="55"/>
      <c r="L1245" s="55"/>
      <c r="M1245" s="229"/>
      <c r="N1245" s="230"/>
      <c r="O1245" s="55"/>
      <c r="P1245" s="55"/>
      <c r="Q1245" s="55"/>
      <c r="R1245" s="55"/>
      <c r="S1245" s="55"/>
      <c r="T1245" s="55"/>
      <c r="U1245" s="55"/>
      <c r="V1245" s="55"/>
      <c r="W1245" s="55"/>
      <c r="X1245" s="55"/>
      <c r="Y1245" s="55"/>
      <c r="Z1245" s="55"/>
      <c r="AA1245" s="55"/>
      <c r="AB1245" s="55"/>
    </row>
    <row r="1246" spans="1:28" ht="15.75" customHeight="1">
      <c r="A1246" s="55"/>
      <c r="B1246" s="55"/>
      <c r="C1246" s="55"/>
      <c r="D1246" s="55"/>
      <c r="E1246" s="55"/>
      <c r="F1246" s="55"/>
      <c r="G1246" s="55"/>
      <c r="H1246" s="228"/>
      <c r="I1246" s="55"/>
      <c r="J1246" s="55"/>
      <c r="K1246" s="55"/>
      <c r="L1246" s="55"/>
      <c r="M1246" s="229"/>
      <c r="N1246" s="230"/>
      <c r="O1246" s="55"/>
      <c r="P1246" s="55"/>
      <c r="Q1246" s="55"/>
      <c r="R1246" s="55"/>
      <c r="S1246" s="55"/>
      <c r="T1246" s="55"/>
      <c r="U1246" s="55"/>
      <c r="V1246" s="55"/>
      <c r="W1246" s="55"/>
      <c r="X1246" s="55"/>
      <c r="Y1246" s="55"/>
      <c r="Z1246" s="55"/>
      <c r="AA1246" s="55"/>
      <c r="AB1246" s="55"/>
    </row>
    <row r="1247" spans="1:28" ht="15.75" customHeight="1">
      <c r="A1247" s="55"/>
      <c r="B1247" s="55"/>
      <c r="C1247" s="55"/>
      <c r="D1247" s="55"/>
      <c r="E1247" s="55"/>
      <c r="F1247" s="55"/>
      <c r="G1247" s="55"/>
      <c r="H1247" s="228"/>
      <c r="I1247" s="55"/>
      <c r="J1247" s="55"/>
      <c r="K1247" s="55"/>
      <c r="L1247" s="55"/>
      <c r="M1247" s="229"/>
      <c r="N1247" s="230"/>
      <c r="O1247" s="55"/>
      <c r="P1247" s="55"/>
      <c r="Q1247" s="55"/>
      <c r="R1247" s="55"/>
      <c r="S1247" s="55"/>
      <c r="T1247" s="55"/>
      <c r="U1247" s="55"/>
      <c r="V1247" s="55"/>
      <c r="W1247" s="55"/>
      <c r="X1247" s="55"/>
      <c r="Y1247" s="55"/>
      <c r="Z1247" s="55"/>
      <c r="AA1247" s="55"/>
      <c r="AB1247" s="55"/>
    </row>
    <row r="1248" spans="1:28" ht="15.75" customHeight="1">
      <c r="A1248" s="55"/>
      <c r="B1248" s="55"/>
      <c r="C1248" s="55"/>
      <c r="D1248" s="55"/>
      <c r="E1248" s="55"/>
      <c r="F1248" s="55"/>
      <c r="G1248" s="55"/>
      <c r="H1248" s="228"/>
      <c r="I1248" s="55"/>
      <c r="J1248" s="55"/>
      <c r="K1248" s="55"/>
      <c r="L1248" s="55"/>
      <c r="M1248" s="229"/>
      <c r="N1248" s="230"/>
      <c r="O1248" s="55"/>
      <c r="P1248" s="55"/>
      <c r="Q1248" s="55"/>
      <c r="R1248" s="55"/>
      <c r="S1248" s="55"/>
      <c r="T1248" s="55"/>
      <c r="U1248" s="55"/>
      <c r="V1248" s="55"/>
      <c r="W1248" s="55"/>
      <c r="X1248" s="55"/>
      <c r="Y1248" s="55"/>
      <c r="Z1248" s="55"/>
      <c r="AA1248" s="55"/>
      <c r="AB1248" s="55"/>
    </row>
    <row r="1249" spans="1:28" ht="15.75" customHeight="1">
      <c r="A1249" s="55"/>
      <c r="B1249" s="55"/>
      <c r="C1249" s="55"/>
      <c r="D1249" s="55"/>
      <c r="E1249" s="55"/>
      <c r="F1249" s="55"/>
      <c r="G1249" s="55"/>
      <c r="H1249" s="228"/>
      <c r="I1249" s="55"/>
      <c r="J1249" s="55"/>
      <c r="K1249" s="55"/>
      <c r="L1249" s="55"/>
      <c r="M1249" s="229"/>
      <c r="N1249" s="230"/>
      <c r="O1249" s="55"/>
      <c r="P1249" s="55"/>
      <c r="Q1249" s="55"/>
      <c r="R1249" s="55"/>
      <c r="S1249" s="55"/>
      <c r="T1249" s="55"/>
      <c r="U1249" s="55"/>
      <c r="V1249" s="55"/>
      <c r="W1249" s="55"/>
      <c r="X1249" s="55"/>
      <c r="Y1249" s="55"/>
      <c r="Z1249" s="55"/>
      <c r="AA1249" s="55"/>
      <c r="AB1249" s="55"/>
    </row>
    <row r="1250" spans="1:28" ht="15.75" customHeight="1">
      <c r="A1250" s="55"/>
      <c r="B1250" s="55"/>
      <c r="C1250" s="55"/>
      <c r="D1250" s="55"/>
      <c r="E1250" s="55"/>
      <c r="F1250" s="55"/>
      <c r="G1250" s="55"/>
      <c r="H1250" s="228"/>
      <c r="I1250" s="55"/>
      <c r="J1250" s="55"/>
      <c r="K1250" s="55"/>
      <c r="L1250" s="55"/>
      <c r="M1250" s="229"/>
      <c r="N1250" s="230"/>
      <c r="O1250" s="55"/>
      <c r="P1250" s="55"/>
      <c r="Q1250" s="55"/>
      <c r="R1250" s="55"/>
      <c r="S1250" s="55"/>
      <c r="T1250" s="55"/>
      <c r="U1250" s="55"/>
      <c r="V1250" s="55"/>
      <c r="W1250" s="55"/>
      <c r="X1250" s="55"/>
      <c r="Y1250" s="55"/>
      <c r="Z1250" s="55"/>
      <c r="AA1250" s="55"/>
      <c r="AB1250" s="55"/>
    </row>
    <row r="1251" spans="1:28" ht="15.75" customHeight="1">
      <c r="A1251" s="55"/>
      <c r="B1251" s="55"/>
      <c r="C1251" s="55"/>
      <c r="D1251" s="55"/>
      <c r="E1251" s="55"/>
      <c r="F1251" s="55"/>
      <c r="G1251" s="55"/>
      <c r="H1251" s="228"/>
      <c r="I1251" s="55"/>
      <c r="J1251" s="55"/>
      <c r="K1251" s="55"/>
      <c r="L1251" s="55"/>
      <c r="M1251" s="229"/>
      <c r="N1251" s="230"/>
      <c r="O1251" s="55"/>
      <c r="P1251" s="55"/>
      <c r="Q1251" s="55"/>
      <c r="R1251" s="55"/>
      <c r="S1251" s="55"/>
      <c r="T1251" s="55"/>
      <c r="U1251" s="55"/>
      <c r="V1251" s="55"/>
      <c r="W1251" s="55"/>
      <c r="X1251" s="55"/>
      <c r="Y1251" s="55"/>
      <c r="Z1251" s="55"/>
      <c r="AA1251" s="55"/>
      <c r="AB1251" s="55"/>
    </row>
    <row r="1252" spans="1:28" ht="15.75" customHeight="1">
      <c r="A1252" s="55"/>
      <c r="B1252" s="55"/>
      <c r="C1252" s="55"/>
      <c r="D1252" s="55"/>
      <c r="E1252" s="55"/>
      <c r="F1252" s="55"/>
      <c r="G1252" s="55"/>
      <c r="H1252" s="228"/>
      <c r="I1252" s="55"/>
      <c r="J1252" s="55"/>
      <c r="K1252" s="55"/>
      <c r="L1252" s="55"/>
      <c r="M1252" s="229"/>
      <c r="N1252" s="230"/>
      <c r="O1252" s="55"/>
      <c r="P1252" s="55"/>
      <c r="Q1252" s="55"/>
      <c r="R1252" s="55"/>
      <c r="S1252" s="55"/>
      <c r="T1252" s="55"/>
      <c r="U1252" s="55"/>
      <c r="V1252" s="55"/>
      <c r="W1252" s="55"/>
      <c r="X1252" s="55"/>
      <c r="Y1252" s="55"/>
      <c r="Z1252" s="55"/>
      <c r="AA1252" s="55"/>
      <c r="AB1252" s="55"/>
    </row>
    <row r="1253" spans="1:28" ht="15.75" customHeight="1">
      <c r="A1253" s="55"/>
      <c r="B1253" s="55"/>
      <c r="C1253" s="55"/>
      <c r="D1253" s="55"/>
      <c r="E1253" s="55"/>
      <c r="F1253" s="55"/>
      <c r="G1253" s="55"/>
      <c r="H1253" s="228"/>
      <c r="I1253" s="55"/>
      <c r="J1253" s="55"/>
      <c r="K1253" s="55"/>
      <c r="L1253" s="55"/>
      <c r="M1253" s="229"/>
      <c r="N1253" s="230"/>
      <c r="O1253" s="55"/>
      <c r="P1253" s="55"/>
      <c r="Q1253" s="55"/>
      <c r="R1253" s="55"/>
      <c r="S1253" s="55"/>
      <c r="T1253" s="55"/>
      <c r="U1253" s="55"/>
      <c r="V1253" s="55"/>
      <c r="W1253" s="55"/>
      <c r="X1253" s="55"/>
      <c r="Y1253" s="55"/>
      <c r="Z1253" s="55"/>
      <c r="AA1253" s="55"/>
      <c r="AB1253" s="55"/>
    </row>
    <row r="1254" spans="1:28" ht="15.75" customHeight="1">
      <c r="A1254" s="55"/>
      <c r="B1254" s="55"/>
      <c r="C1254" s="55"/>
      <c r="D1254" s="55"/>
      <c r="E1254" s="55"/>
      <c r="F1254" s="55"/>
      <c r="G1254" s="55"/>
      <c r="H1254" s="228"/>
      <c r="I1254" s="55"/>
      <c r="J1254" s="55"/>
      <c r="K1254" s="55"/>
      <c r="L1254" s="55"/>
      <c r="M1254" s="229"/>
      <c r="N1254" s="230"/>
      <c r="O1254" s="55"/>
      <c r="P1254" s="55"/>
      <c r="Q1254" s="55"/>
      <c r="R1254" s="55"/>
      <c r="S1254" s="55"/>
      <c r="T1254" s="55"/>
      <c r="U1254" s="55"/>
      <c r="V1254" s="55"/>
      <c r="W1254" s="55"/>
      <c r="X1254" s="55"/>
      <c r="Y1254" s="55"/>
      <c r="Z1254" s="55"/>
      <c r="AA1254" s="55"/>
      <c r="AB1254" s="55"/>
    </row>
    <row r="1255" spans="1:28" ht="15.75" customHeight="1">
      <c r="A1255" s="55"/>
      <c r="B1255" s="55"/>
      <c r="C1255" s="55"/>
      <c r="D1255" s="55"/>
      <c r="E1255" s="55"/>
      <c r="F1255" s="55"/>
      <c r="G1255" s="55"/>
      <c r="H1255" s="228"/>
      <c r="I1255" s="55"/>
      <c r="J1255" s="55"/>
      <c r="K1255" s="55"/>
      <c r="L1255" s="55"/>
      <c r="M1255" s="229"/>
      <c r="N1255" s="230"/>
      <c r="O1255" s="55"/>
      <c r="P1255" s="55"/>
      <c r="Q1255" s="55"/>
      <c r="R1255" s="55"/>
      <c r="S1255" s="55"/>
      <c r="T1255" s="55"/>
      <c r="U1255" s="55"/>
      <c r="V1255" s="55"/>
      <c r="W1255" s="55"/>
      <c r="X1255" s="55"/>
      <c r="Y1255" s="55"/>
      <c r="Z1255" s="55"/>
      <c r="AA1255" s="55"/>
      <c r="AB1255" s="55"/>
    </row>
    <row r="1256" spans="1:28" ht="15.75" customHeight="1">
      <c r="A1256" s="55"/>
      <c r="B1256" s="55"/>
      <c r="C1256" s="55"/>
      <c r="D1256" s="55"/>
      <c r="E1256" s="55"/>
      <c r="F1256" s="55"/>
      <c r="G1256" s="55"/>
      <c r="H1256" s="228"/>
      <c r="I1256" s="55"/>
      <c r="J1256" s="55"/>
      <c r="K1256" s="55"/>
      <c r="L1256" s="55"/>
      <c r="M1256" s="229"/>
      <c r="N1256" s="230"/>
      <c r="O1256" s="55"/>
      <c r="P1256" s="55"/>
      <c r="Q1256" s="55"/>
      <c r="R1256" s="55"/>
      <c r="S1256" s="55"/>
      <c r="T1256" s="55"/>
      <c r="U1256" s="55"/>
      <c r="V1256" s="55"/>
      <c r="W1256" s="55"/>
      <c r="X1256" s="55"/>
      <c r="Y1256" s="55"/>
      <c r="Z1256" s="55"/>
      <c r="AA1256" s="55"/>
      <c r="AB1256" s="55"/>
    </row>
    <row r="1257" spans="1:28" ht="15.75" customHeight="1">
      <c r="A1257" s="55"/>
      <c r="B1257" s="55"/>
      <c r="C1257" s="55"/>
      <c r="D1257" s="55"/>
      <c r="E1257" s="55"/>
      <c r="F1257" s="55"/>
      <c r="G1257" s="55"/>
      <c r="H1257" s="228"/>
      <c r="I1257" s="55"/>
      <c r="J1257" s="55"/>
      <c r="K1257" s="55"/>
      <c r="L1257" s="55"/>
      <c r="M1257" s="229"/>
      <c r="N1257" s="230"/>
      <c r="O1257" s="55"/>
      <c r="P1257" s="55"/>
      <c r="Q1257" s="55"/>
      <c r="R1257" s="55"/>
      <c r="S1257" s="55"/>
      <c r="T1257" s="55"/>
      <c r="U1257" s="55"/>
      <c r="V1257" s="55"/>
      <c r="W1257" s="55"/>
      <c r="X1257" s="55"/>
      <c r="Y1257" s="55"/>
      <c r="Z1257" s="55"/>
      <c r="AA1257" s="55"/>
      <c r="AB1257" s="55"/>
    </row>
    <row r="1258" spans="1:28" ht="15.75" customHeight="1">
      <c r="A1258" s="55"/>
      <c r="B1258" s="55"/>
      <c r="C1258" s="55"/>
      <c r="D1258" s="55"/>
      <c r="E1258" s="55"/>
      <c r="F1258" s="55"/>
      <c r="G1258" s="55"/>
      <c r="H1258" s="228"/>
      <c r="I1258" s="55"/>
      <c r="J1258" s="55"/>
      <c r="K1258" s="55"/>
      <c r="L1258" s="55"/>
      <c r="M1258" s="229"/>
      <c r="N1258" s="230"/>
      <c r="O1258" s="55"/>
      <c r="P1258" s="55"/>
      <c r="Q1258" s="55"/>
      <c r="R1258" s="55"/>
      <c r="S1258" s="55"/>
      <c r="T1258" s="55"/>
      <c r="U1258" s="55"/>
      <c r="V1258" s="55"/>
      <c r="W1258" s="55"/>
      <c r="X1258" s="55"/>
      <c r="Y1258" s="55"/>
      <c r="Z1258" s="55"/>
      <c r="AA1258" s="55"/>
      <c r="AB1258" s="55"/>
    </row>
    <row r="1259" spans="1:28" ht="15.75" customHeight="1">
      <c r="A1259" s="55"/>
      <c r="B1259" s="55"/>
      <c r="C1259" s="55"/>
      <c r="D1259" s="55"/>
      <c r="E1259" s="55"/>
      <c r="F1259" s="55"/>
      <c r="G1259" s="55"/>
      <c r="H1259" s="228"/>
      <c r="I1259" s="55"/>
      <c r="J1259" s="55"/>
      <c r="K1259" s="55"/>
      <c r="L1259" s="55"/>
      <c r="M1259" s="229"/>
      <c r="N1259" s="230"/>
      <c r="O1259" s="55"/>
      <c r="P1259" s="55"/>
      <c r="Q1259" s="55"/>
      <c r="R1259" s="55"/>
      <c r="S1259" s="55"/>
      <c r="T1259" s="55"/>
      <c r="U1259" s="55"/>
      <c r="V1259" s="55"/>
      <c r="W1259" s="55"/>
      <c r="X1259" s="55"/>
      <c r="Y1259" s="55"/>
      <c r="Z1259" s="55"/>
      <c r="AA1259" s="55"/>
      <c r="AB1259" s="55"/>
    </row>
    <row r="1260" spans="1:28" ht="15.75" customHeight="1">
      <c r="A1260" s="55"/>
      <c r="B1260" s="55"/>
      <c r="C1260" s="55"/>
      <c r="D1260" s="55"/>
      <c r="E1260" s="55"/>
      <c r="F1260" s="55"/>
      <c r="G1260" s="55"/>
      <c r="H1260" s="228"/>
      <c r="I1260" s="55"/>
      <c r="J1260" s="55"/>
      <c r="K1260" s="55"/>
      <c r="L1260" s="55"/>
      <c r="M1260" s="229"/>
      <c r="N1260" s="230"/>
      <c r="O1260" s="55"/>
      <c r="P1260" s="55"/>
      <c r="Q1260" s="55"/>
      <c r="R1260" s="55"/>
      <c r="S1260" s="55"/>
      <c r="T1260" s="55"/>
      <c r="U1260" s="55"/>
      <c r="V1260" s="55"/>
      <c r="W1260" s="55"/>
      <c r="X1260" s="55"/>
      <c r="Y1260" s="55"/>
      <c r="Z1260" s="55"/>
      <c r="AA1260" s="55"/>
      <c r="AB1260" s="55"/>
    </row>
    <row r="1261" spans="1:28" ht="15.75" customHeight="1">
      <c r="A1261" s="55"/>
      <c r="B1261" s="55"/>
      <c r="C1261" s="55"/>
      <c r="D1261" s="55"/>
      <c r="E1261" s="55"/>
      <c r="F1261" s="55"/>
      <c r="G1261" s="55"/>
      <c r="H1261" s="228"/>
      <c r="I1261" s="55"/>
      <c r="J1261" s="55"/>
      <c r="K1261" s="55"/>
      <c r="L1261" s="55"/>
      <c r="M1261" s="229"/>
      <c r="N1261" s="230"/>
      <c r="O1261" s="55"/>
      <c r="P1261" s="55"/>
      <c r="Q1261" s="55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</row>
    <row r="1262" spans="1:28" ht="15.75" customHeight="1">
      <c r="A1262" s="55"/>
      <c r="B1262" s="55"/>
      <c r="C1262" s="55"/>
      <c r="D1262" s="55"/>
      <c r="E1262" s="55"/>
      <c r="F1262" s="55"/>
      <c r="G1262" s="55"/>
      <c r="H1262" s="228"/>
      <c r="I1262" s="55"/>
      <c r="J1262" s="55"/>
      <c r="K1262" s="55"/>
      <c r="L1262" s="55"/>
      <c r="M1262" s="229"/>
      <c r="N1262" s="230"/>
      <c r="O1262" s="55"/>
      <c r="P1262" s="55"/>
      <c r="Q1262" s="55"/>
      <c r="R1262" s="55"/>
      <c r="S1262" s="55"/>
      <c r="T1262" s="55"/>
      <c r="U1262" s="55"/>
      <c r="V1262" s="55"/>
      <c r="W1262" s="55"/>
      <c r="X1262" s="55"/>
      <c r="Y1262" s="55"/>
      <c r="Z1262" s="55"/>
      <c r="AA1262" s="55"/>
      <c r="AB1262" s="55"/>
    </row>
    <row r="1263" spans="1:28" ht="15.75" customHeight="1">
      <c r="A1263" s="55"/>
      <c r="B1263" s="55"/>
      <c r="C1263" s="55"/>
      <c r="D1263" s="55"/>
      <c r="E1263" s="55"/>
      <c r="F1263" s="55"/>
      <c r="G1263" s="55"/>
      <c r="H1263" s="228"/>
      <c r="I1263" s="55"/>
      <c r="J1263" s="55"/>
      <c r="K1263" s="55"/>
      <c r="L1263" s="55"/>
      <c r="M1263" s="229"/>
      <c r="N1263" s="230"/>
      <c r="O1263" s="55"/>
      <c r="P1263" s="55"/>
      <c r="Q1263" s="55"/>
      <c r="R1263" s="55"/>
      <c r="S1263" s="55"/>
      <c r="T1263" s="55"/>
      <c r="U1263" s="55"/>
      <c r="V1263" s="55"/>
      <c r="W1263" s="55"/>
      <c r="X1263" s="55"/>
      <c r="Y1263" s="55"/>
      <c r="Z1263" s="55"/>
      <c r="AA1263" s="55"/>
      <c r="AB1263" s="55"/>
    </row>
    <row r="1264" spans="1:28" ht="15.75" customHeight="1">
      <c r="A1264" s="55"/>
      <c r="B1264" s="55"/>
      <c r="C1264" s="55"/>
      <c r="D1264" s="55"/>
      <c r="E1264" s="55"/>
      <c r="F1264" s="55"/>
      <c r="G1264" s="55"/>
      <c r="H1264" s="228"/>
      <c r="I1264" s="55"/>
      <c r="J1264" s="55"/>
      <c r="K1264" s="55"/>
      <c r="L1264" s="55"/>
      <c r="M1264" s="229"/>
      <c r="N1264" s="230"/>
      <c r="O1264" s="55"/>
      <c r="P1264" s="55"/>
      <c r="Q1264" s="55"/>
      <c r="R1264" s="55"/>
      <c r="S1264" s="55"/>
      <c r="T1264" s="55"/>
      <c r="U1264" s="55"/>
      <c r="V1264" s="55"/>
      <c r="W1264" s="55"/>
      <c r="X1264" s="55"/>
      <c r="Y1264" s="55"/>
      <c r="Z1264" s="55"/>
      <c r="AA1264" s="55"/>
      <c r="AB1264" s="55"/>
    </row>
    <row r="1265" spans="1:28" ht="15.75" customHeight="1">
      <c r="A1265" s="55"/>
      <c r="B1265" s="55"/>
      <c r="C1265" s="55"/>
      <c r="D1265" s="55"/>
      <c r="E1265" s="55"/>
      <c r="F1265" s="55"/>
      <c r="G1265" s="55"/>
      <c r="H1265" s="228"/>
      <c r="I1265" s="55"/>
      <c r="J1265" s="55"/>
      <c r="K1265" s="55"/>
      <c r="L1265" s="55"/>
      <c r="M1265" s="229"/>
      <c r="N1265" s="230"/>
      <c r="O1265" s="55"/>
      <c r="P1265" s="55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</row>
    <row r="1266" spans="1:28" ht="15.75" customHeight="1">
      <c r="A1266" s="55"/>
      <c r="B1266" s="55"/>
      <c r="C1266" s="55"/>
      <c r="D1266" s="55"/>
      <c r="E1266" s="55"/>
      <c r="F1266" s="55"/>
      <c r="G1266" s="55"/>
      <c r="H1266" s="228"/>
      <c r="I1266" s="55"/>
      <c r="J1266" s="55"/>
      <c r="K1266" s="55"/>
      <c r="L1266" s="55"/>
      <c r="M1266" s="229"/>
      <c r="N1266" s="230"/>
      <c r="O1266" s="55"/>
      <c r="P1266" s="55"/>
      <c r="Q1266" s="55"/>
      <c r="R1266" s="55"/>
      <c r="S1266" s="55"/>
      <c r="T1266" s="55"/>
      <c r="U1266" s="55"/>
      <c r="V1266" s="55"/>
      <c r="W1266" s="55"/>
      <c r="X1266" s="55"/>
      <c r="Y1266" s="55"/>
      <c r="Z1266" s="55"/>
      <c r="AA1266" s="55"/>
      <c r="AB1266" s="55"/>
    </row>
    <row r="1267" spans="1:28" ht="15.75" customHeight="1">
      <c r="A1267" s="55"/>
      <c r="B1267" s="55"/>
      <c r="C1267" s="55"/>
      <c r="D1267" s="55"/>
      <c r="E1267" s="55"/>
      <c r="F1267" s="55"/>
      <c r="G1267" s="55"/>
      <c r="H1267" s="228"/>
      <c r="I1267" s="55"/>
      <c r="J1267" s="55"/>
      <c r="K1267" s="55"/>
      <c r="L1267" s="55"/>
      <c r="M1267" s="229"/>
      <c r="N1267" s="230"/>
      <c r="O1267" s="55"/>
      <c r="P1267" s="55"/>
      <c r="Q1267" s="55"/>
      <c r="R1267" s="55"/>
      <c r="S1267" s="55"/>
      <c r="T1267" s="55"/>
      <c r="U1267" s="55"/>
      <c r="V1267" s="55"/>
      <c r="W1267" s="55"/>
      <c r="X1267" s="55"/>
      <c r="Y1267" s="55"/>
      <c r="Z1267" s="55"/>
      <c r="AA1267" s="55"/>
      <c r="AB1267" s="55"/>
    </row>
    <row r="1268" spans="1:28" ht="15.75" customHeight="1">
      <c r="A1268" s="55"/>
      <c r="B1268" s="55"/>
      <c r="C1268" s="55"/>
      <c r="D1268" s="55"/>
      <c r="E1268" s="55"/>
      <c r="F1268" s="55"/>
      <c r="G1268" s="55"/>
      <c r="H1268" s="228"/>
      <c r="I1268" s="55"/>
      <c r="J1268" s="55"/>
      <c r="K1268" s="55"/>
      <c r="L1268" s="55"/>
      <c r="M1268" s="229"/>
      <c r="N1268" s="230"/>
      <c r="O1268" s="55"/>
      <c r="P1268" s="55"/>
      <c r="Q1268" s="55"/>
      <c r="R1268" s="55"/>
      <c r="S1268" s="55"/>
      <c r="T1268" s="55"/>
      <c r="U1268" s="55"/>
      <c r="V1268" s="55"/>
      <c r="W1268" s="55"/>
      <c r="X1268" s="55"/>
      <c r="Y1268" s="55"/>
      <c r="Z1268" s="55"/>
      <c r="AA1268" s="55"/>
      <c r="AB1268" s="55"/>
    </row>
    <row r="1269" spans="1:28" ht="15.75" customHeight="1">
      <c r="A1269" s="55"/>
      <c r="B1269" s="55"/>
      <c r="C1269" s="55"/>
      <c r="D1269" s="55"/>
      <c r="E1269" s="55"/>
      <c r="F1269" s="55"/>
      <c r="G1269" s="55"/>
      <c r="H1269" s="228"/>
      <c r="I1269" s="55"/>
      <c r="J1269" s="55"/>
      <c r="K1269" s="55"/>
      <c r="L1269" s="55"/>
      <c r="M1269" s="229"/>
      <c r="N1269" s="230"/>
      <c r="O1269" s="55"/>
      <c r="P1269" s="55"/>
      <c r="Q1269" s="55"/>
      <c r="R1269" s="55"/>
      <c r="S1269" s="55"/>
      <c r="T1269" s="55"/>
      <c r="U1269" s="55"/>
      <c r="V1269" s="55"/>
      <c r="W1269" s="55"/>
      <c r="X1269" s="55"/>
      <c r="Y1269" s="55"/>
      <c r="Z1269" s="55"/>
      <c r="AA1269" s="55"/>
      <c r="AB1269" s="55"/>
    </row>
    <row r="1270" spans="1:28" ht="15.75" customHeight="1">
      <c r="A1270" s="55"/>
      <c r="B1270" s="55"/>
      <c r="C1270" s="55"/>
      <c r="D1270" s="55"/>
      <c r="E1270" s="55"/>
      <c r="F1270" s="55"/>
      <c r="G1270" s="55"/>
      <c r="H1270" s="228"/>
      <c r="I1270" s="55"/>
      <c r="J1270" s="55"/>
      <c r="K1270" s="55"/>
      <c r="L1270" s="55"/>
      <c r="M1270" s="229"/>
      <c r="N1270" s="230"/>
      <c r="O1270" s="55"/>
      <c r="P1270" s="55"/>
      <c r="Q1270" s="55"/>
      <c r="R1270" s="55"/>
      <c r="S1270" s="55"/>
      <c r="T1270" s="55"/>
      <c r="U1270" s="55"/>
      <c r="V1270" s="55"/>
      <c r="W1270" s="55"/>
      <c r="X1270" s="55"/>
      <c r="Y1270" s="55"/>
      <c r="Z1270" s="55"/>
      <c r="AA1270" s="55"/>
      <c r="AB1270" s="55"/>
    </row>
    <row r="1271" spans="1:28" ht="15.75" customHeight="1">
      <c r="A1271" s="55"/>
      <c r="B1271" s="55"/>
      <c r="C1271" s="55"/>
      <c r="D1271" s="55"/>
      <c r="E1271" s="55"/>
      <c r="F1271" s="55"/>
      <c r="G1271" s="55"/>
      <c r="H1271" s="228"/>
      <c r="I1271" s="55"/>
      <c r="J1271" s="55"/>
      <c r="K1271" s="55"/>
      <c r="L1271" s="55"/>
      <c r="M1271" s="229"/>
      <c r="N1271" s="230"/>
      <c r="O1271" s="55"/>
      <c r="P1271" s="55"/>
      <c r="Q1271" s="55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</row>
    <row r="1272" spans="1:28" ht="15.75" customHeight="1">
      <c r="A1272" s="55"/>
      <c r="B1272" s="55"/>
      <c r="C1272" s="55"/>
      <c r="D1272" s="55"/>
      <c r="E1272" s="55"/>
      <c r="F1272" s="55"/>
      <c r="G1272" s="55"/>
      <c r="H1272" s="228"/>
      <c r="I1272" s="55"/>
      <c r="J1272" s="55"/>
      <c r="K1272" s="55"/>
      <c r="L1272" s="55"/>
      <c r="M1272" s="229"/>
      <c r="N1272" s="230"/>
      <c r="O1272" s="55"/>
      <c r="P1272" s="55"/>
      <c r="Q1272" s="55"/>
      <c r="R1272" s="55"/>
      <c r="S1272" s="55"/>
      <c r="T1272" s="55"/>
      <c r="U1272" s="55"/>
      <c r="V1272" s="55"/>
      <c r="W1272" s="55"/>
      <c r="X1272" s="55"/>
      <c r="Y1272" s="55"/>
      <c r="Z1272" s="55"/>
      <c r="AA1272" s="55"/>
      <c r="AB1272" s="55"/>
    </row>
    <row r="1273" spans="1:28" ht="15.75" customHeight="1">
      <c r="A1273" s="55"/>
      <c r="B1273" s="55"/>
      <c r="C1273" s="55"/>
      <c r="D1273" s="55"/>
      <c r="E1273" s="55"/>
      <c r="F1273" s="55"/>
      <c r="G1273" s="55"/>
      <c r="H1273" s="228"/>
      <c r="I1273" s="55"/>
      <c r="J1273" s="55"/>
      <c r="K1273" s="55"/>
      <c r="L1273" s="55"/>
      <c r="M1273" s="229"/>
      <c r="N1273" s="230"/>
      <c r="O1273" s="55"/>
      <c r="P1273" s="55"/>
      <c r="Q1273" s="55"/>
      <c r="R1273" s="55"/>
      <c r="S1273" s="55"/>
      <c r="T1273" s="55"/>
      <c r="U1273" s="55"/>
      <c r="V1273" s="55"/>
      <c r="W1273" s="55"/>
      <c r="X1273" s="55"/>
      <c r="Y1273" s="55"/>
      <c r="Z1273" s="55"/>
      <c r="AA1273" s="55"/>
      <c r="AB1273" s="55"/>
    </row>
    <row r="1274" spans="1:28" ht="15.75" customHeight="1">
      <c r="A1274" s="55"/>
      <c r="B1274" s="55"/>
      <c r="C1274" s="55"/>
      <c r="D1274" s="55"/>
      <c r="E1274" s="55"/>
      <c r="F1274" s="55"/>
      <c r="G1274" s="55"/>
      <c r="H1274" s="228"/>
      <c r="I1274" s="55"/>
      <c r="J1274" s="55"/>
      <c r="K1274" s="55"/>
      <c r="L1274" s="55"/>
      <c r="M1274" s="229"/>
      <c r="N1274" s="230"/>
      <c r="O1274" s="55"/>
      <c r="P1274" s="55"/>
      <c r="Q1274" s="55"/>
      <c r="R1274" s="55"/>
      <c r="S1274" s="55"/>
      <c r="T1274" s="55"/>
      <c r="U1274" s="55"/>
      <c r="V1274" s="55"/>
      <c r="W1274" s="55"/>
      <c r="X1274" s="55"/>
      <c r="Y1274" s="55"/>
      <c r="Z1274" s="55"/>
      <c r="AA1274" s="55"/>
      <c r="AB1274" s="55"/>
    </row>
    <row r="1275" spans="1:28" ht="15.75" customHeight="1">
      <c r="A1275" s="55"/>
      <c r="B1275" s="55"/>
      <c r="C1275" s="55"/>
      <c r="D1275" s="55"/>
      <c r="E1275" s="55"/>
      <c r="F1275" s="55"/>
      <c r="G1275" s="55"/>
      <c r="H1275" s="228"/>
      <c r="I1275" s="55"/>
      <c r="J1275" s="55"/>
      <c r="K1275" s="55"/>
      <c r="L1275" s="55"/>
      <c r="M1275" s="229"/>
      <c r="N1275" s="230"/>
      <c r="O1275" s="55"/>
      <c r="P1275" s="55"/>
      <c r="Q1275" s="55"/>
      <c r="R1275" s="55"/>
      <c r="S1275" s="55"/>
      <c r="T1275" s="55"/>
      <c r="U1275" s="55"/>
      <c r="V1275" s="55"/>
      <c r="W1275" s="55"/>
      <c r="X1275" s="55"/>
      <c r="Y1275" s="55"/>
      <c r="Z1275" s="55"/>
      <c r="AA1275" s="55"/>
      <c r="AB1275" s="55"/>
    </row>
    <row r="1276" spans="1:28" ht="15.75" customHeight="1">
      <c r="A1276" s="55"/>
      <c r="B1276" s="55"/>
      <c r="C1276" s="55"/>
      <c r="D1276" s="55"/>
      <c r="E1276" s="55"/>
      <c r="F1276" s="55"/>
      <c r="G1276" s="55"/>
      <c r="H1276" s="228"/>
      <c r="I1276" s="55"/>
      <c r="J1276" s="55"/>
      <c r="K1276" s="55"/>
      <c r="L1276" s="55"/>
      <c r="M1276" s="229"/>
      <c r="N1276" s="230"/>
      <c r="O1276" s="55"/>
      <c r="P1276" s="55"/>
      <c r="Q1276" s="55"/>
      <c r="R1276" s="55"/>
      <c r="S1276" s="55"/>
      <c r="T1276" s="55"/>
      <c r="U1276" s="55"/>
      <c r="V1276" s="55"/>
      <c r="W1276" s="55"/>
      <c r="X1276" s="55"/>
      <c r="Y1276" s="55"/>
      <c r="Z1276" s="55"/>
      <c r="AA1276" s="55"/>
      <c r="AB1276" s="55"/>
    </row>
    <row r="1277" spans="1:28" ht="15.75" customHeight="1">
      <c r="A1277" s="55"/>
      <c r="B1277" s="55"/>
      <c r="C1277" s="55"/>
      <c r="D1277" s="55"/>
      <c r="E1277" s="55"/>
      <c r="F1277" s="55"/>
      <c r="G1277" s="55"/>
      <c r="H1277" s="228"/>
      <c r="I1277" s="55"/>
      <c r="J1277" s="55"/>
      <c r="K1277" s="55"/>
      <c r="L1277" s="55"/>
      <c r="M1277" s="229"/>
      <c r="N1277" s="230"/>
      <c r="O1277" s="55"/>
      <c r="P1277" s="55"/>
      <c r="Q1277" s="55"/>
      <c r="R1277" s="55"/>
      <c r="S1277" s="55"/>
      <c r="T1277" s="55"/>
      <c r="U1277" s="55"/>
      <c r="V1277" s="55"/>
      <c r="W1277" s="55"/>
      <c r="X1277" s="55"/>
      <c r="Y1277" s="55"/>
      <c r="Z1277" s="55"/>
      <c r="AA1277" s="55"/>
      <c r="AB1277" s="55"/>
    </row>
    <row r="1278" spans="1:28" ht="15.75" customHeight="1">
      <c r="A1278" s="55"/>
      <c r="B1278" s="55"/>
      <c r="C1278" s="55"/>
      <c r="D1278" s="55"/>
      <c r="E1278" s="55"/>
      <c r="F1278" s="55"/>
      <c r="G1278" s="55"/>
      <c r="H1278" s="228"/>
      <c r="I1278" s="55"/>
      <c r="J1278" s="55"/>
      <c r="K1278" s="55"/>
      <c r="L1278" s="55"/>
      <c r="M1278" s="229"/>
      <c r="N1278" s="230"/>
      <c r="O1278" s="55"/>
      <c r="P1278" s="55"/>
      <c r="Q1278" s="55"/>
      <c r="R1278" s="55"/>
      <c r="S1278" s="55"/>
      <c r="T1278" s="55"/>
      <c r="U1278" s="55"/>
      <c r="V1278" s="55"/>
      <c r="W1278" s="55"/>
      <c r="X1278" s="55"/>
      <c r="Y1278" s="55"/>
      <c r="Z1278" s="55"/>
      <c r="AA1278" s="55"/>
      <c r="AB1278" s="55"/>
    </row>
    <row r="1279" spans="1:28" ht="15.75" customHeight="1">
      <c r="A1279" s="55"/>
      <c r="B1279" s="55"/>
      <c r="C1279" s="55"/>
      <c r="D1279" s="55"/>
      <c r="E1279" s="55"/>
      <c r="F1279" s="55"/>
      <c r="G1279" s="55"/>
      <c r="H1279" s="228"/>
      <c r="I1279" s="55"/>
      <c r="J1279" s="55"/>
      <c r="K1279" s="55"/>
      <c r="L1279" s="55"/>
      <c r="M1279" s="229"/>
      <c r="N1279" s="230"/>
      <c r="O1279" s="55"/>
      <c r="P1279" s="55"/>
      <c r="Q1279" s="55"/>
      <c r="R1279" s="55"/>
      <c r="S1279" s="55"/>
      <c r="T1279" s="55"/>
      <c r="U1279" s="55"/>
      <c r="V1279" s="55"/>
      <c r="W1279" s="55"/>
      <c r="X1279" s="55"/>
      <c r="Y1279" s="55"/>
      <c r="Z1279" s="55"/>
      <c r="AA1279" s="55"/>
      <c r="AB1279" s="55"/>
    </row>
    <row r="1280" spans="1:28" ht="15.75" customHeight="1">
      <c r="A1280" s="55"/>
      <c r="B1280" s="55"/>
      <c r="C1280" s="55"/>
      <c r="D1280" s="55"/>
      <c r="E1280" s="55"/>
      <c r="F1280" s="55"/>
      <c r="G1280" s="55"/>
      <c r="H1280" s="228"/>
      <c r="I1280" s="55"/>
      <c r="J1280" s="55"/>
      <c r="K1280" s="55"/>
      <c r="L1280" s="55"/>
      <c r="M1280" s="229"/>
      <c r="N1280" s="230"/>
      <c r="O1280" s="55"/>
      <c r="P1280" s="55"/>
      <c r="Q1280" s="55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</row>
    <row r="1281" spans="1:28" ht="15.75" customHeight="1">
      <c r="A1281" s="55"/>
      <c r="B1281" s="55"/>
      <c r="C1281" s="55"/>
      <c r="D1281" s="55"/>
      <c r="E1281" s="55"/>
      <c r="F1281" s="55"/>
      <c r="G1281" s="55"/>
      <c r="H1281" s="228"/>
      <c r="I1281" s="55"/>
      <c r="J1281" s="55"/>
      <c r="K1281" s="55"/>
      <c r="L1281" s="55"/>
      <c r="M1281" s="229"/>
      <c r="N1281" s="230"/>
      <c r="O1281" s="55"/>
      <c r="P1281" s="55"/>
      <c r="Q1281" s="55"/>
      <c r="R1281" s="55"/>
      <c r="S1281" s="55"/>
      <c r="T1281" s="55"/>
      <c r="U1281" s="55"/>
      <c r="V1281" s="55"/>
      <c r="W1281" s="55"/>
      <c r="X1281" s="55"/>
      <c r="Y1281" s="55"/>
      <c r="Z1281" s="55"/>
      <c r="AA1281" s="55"/>
      <c r="AB1281" s="55"/>
    </row>
    <row r="1282" spans="1:28" ht="15.75" customHeight="1">
      <c r="A1282" s="55"/>
      <c r="B1282" s="55"/>
      <c r="C1282" s="55"/>
      <c r="D1282" s="55"/>
      <c r="E1282" s="55"/>
      <c r="F1282" s="55"/>
      <c r="G1282" s="55"/>
      <c r="H1282" s="228"/>
      <c r="I1282" s="55"/>
      <c r="J1282" s="55"/>
      <c r="K1282" s="55"/>
      <c r="L1282" s="55"/>
      <c r="M1282" s="229"/>
      <c r="N1282" s="230"/>
      <c r="O1282" s="55"/>
      <c r="P1282" s="55"/>
      <c r="Q1282" s="55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</row>
    <row r="1283" spans="1:28" ht="15.75" customHeight="1">
      <c r="A1283" s="55"/>
      <c r="B1283" s="55"/>
      <c r="C1283" s="55"/>
      <c r="D1283" s="55"/>
      <c r="E1283" s="55"/>
      <c r="F1283" s="55"/>
      <c r="G1283" s="55"/>
      <c r="H1283" s="228"/>
      <c r="I1283" s="55"/>
      <c r="J1283" s="55"/>
      <c r="K1283" s="55"/>
      <c r="L1283" s="55"/>
      <c r="M1283" s="229"/>
      <c r="N1283" s="230"/>
      <c r="O1283" s="55"/>
      <c r="P1283" s="55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</row>
    <row r="1284" spans="1:28" ht="15.75" customHeight="1">
      <c r="A1284" s="55"/>
      <c r="B1284" s="55"/>
      <c r="C1284" s="55"/>
      <c r="D1284" s="55"/>
      <c r="E1284" s="55"/>
      <c r="F1284" s="55"/>
      <c r="G1284" s="55"/>
      <c r="H1284" s="228"/>
      <c r="I1284" s="55"/>
      <c r="J1284" s="55"/>
      <c r="K1284" s="55"/>
      <c r="L1284" s="55"/>
      <c r="M1284" s="229"/>
      <c r="N1284" s="230"/>
      <c r="O1284" s="55"/>
      <c r="P1284" s="55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</row>
    <row r="1285" spans="1:28" ht="15.75" customHeight="1">
      <c r="A1285" s="55"/>
      <c r="B1285" s="55"/>
      <c r="C1285" s="55"/>
      <c r="D1285" s="55"/>
      <c r="E1285" s="55"/>
      <c r="F1285" s="55"/>
      <c r="G1285" s="55"/>
      <c r="H1285" s="228"/>
      <c r="I1285" s="55"/>
      <c r="J1285" s="55"/>
      <c r="K1285" s="55"/>
      <c r="L1285" s="55"/>
      <c r="M1285" s="229"/>
      <c r="N1285" s="230"/>
      <c r="O1285" s="55"/>
      <c r="P1285" s="55"/>
      <c r="Q1285" s="55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</row>
    <row r="1286" spans="1:28" ht="15.75" customHeight="1">
      <c r="A1286" s="55"/>
      <c r="B1286" s="55"/>
      <c r="C1286" s="55"/>
      <c r="D1286" s="55"/>
      <c r="E1286" s="55"/>
      <c r="F1286" s="55"/>
      <c r="G1286" s="55"/>
      <c r="H1286" s="228"/>
      <c r="I1286" s="55"/>
      <c r="J1286" s="55"/>
      <c r="K1286" s="55"/>
      <c r="L1286" s="55"/>
      <c r="M1286" s="229"/>
      <c r="N1286" s="230"/>
      <c r="O1286" s="55"/>
      <c r="P1286" s="55"/>
      <c r="Q1286" s="55"/>
      <c r="R1286" s="55"/>
      <c r="S1286" s="55"/>
      <c r="T1286" s="55"/>
      <c r="U1286" s="55"/>
      <c r="V1286" s="55"/>
      <c r="W1286" s="55"/>
      <c r="X1286" s="55"/>
      <c r="Y1286" s="55"/>
      <c r="Z1286" s="55"/>
      <c r="AA1286" s="55"/>
      <c r="AB1286" s="55"/>
    </row>
    <row r="1287" spans="1:28" ht="15.75" customHeight="1">
      <c r="A1287" s="55"/>
      <c r="B1287" s="55"/>
      <c r="C1287" s="55"/>
      <c r="D1287" s="55"/>
      <c r="E1287" s="55"/>
      <c r="F1287" s="55"/>
      <c r="G1287" s="55"/>
      <c r="H1287" s="228"/>
      <c r="I1287" s="55"/>
      <c r="J1287" s="55"/>
      <c r="K1287" s="55"/>
      <c r="L1287" s="55"/>
      <c r="M1287" s="229"/>
      <c r="N1287" s="230"/>
      <c r="O1287" s="55"/>
      <c r="P1287" s="55"/>
      <c r="Q1287" s="55"/>
      <c r="R1287" s="55"/>
      <c r="S1287" s="55"/>
      <c r="T1287" s="55"/>
      <c r="U1287" s="55"/>
      <c r="V1287" s="55"/>
      <c r="W1287" s="55"/>
      <c r="X1287" s="55"/>
      <c r="Y1287" s="55"/>
      <c r="Z1287" s="55"/>
      <c r="AA1287" s="55"/>
      <c r="AB1287" s="55"/>
    </row>
    <row r="1288" spans="1:28" ht="15.75" customHeight="1">
      <c r="A1288" s="55"/>
      <c r="B1288" s="55"/>
      <c r="C1288" s="55"/>
      <c r="D1288" s="55"/>
      <c r="E1288" s="55"/>
      <c r="F1288" s="55"/>
      <c r="G1288" s="55"/>
      <c r="H1288" s="228"/>
      <c r="I1288" s="55"/>
      <c r="J1288" s="55"/>
      <c r="K1288" s="55"/>
      <c r="L1288" s="55"/>
      <c r="M1288" s="229"/>
      <c r="N1288" s="230"/>
      <c r="O1288" s="55"/>
      <c r="P1288" s="55"/>
      <c r="Q1288" s="55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</row>
  </sheetData>
  <mergeCells count="31">
    <mergeCell ref="E9:J9"/>
    <mergeCell ref="D454:E454"/>
    <mergeCell ref="D455:E455"/>
    <mergeCell ref="D276:E276"/>
    <mergeCell ref="D320:E320"/>
    <mergeCell ref="D321:E321"/>
    <mergeCell ref="D375:E375"/>
    <mergeCell ref="D376:E376"/>
    <mergeCell ref="D288:E288"/>
    <mergeCell ref="D289:E289"/>
    <mergeCell ref="D182:E182"/>
    <mergeCell ref="D64:E64"/>
    <mergeCell ref="D65:E65"/>
    <mergeCell ref="D90:E90"/>
    <mergeCell ref="D91:E91"/>
    <mergeCell ref="D98:E98"/>
    <mergeCell ref="D99:E99"/>
    <mergeCell ref="D108:E108"/>
    <mergeCell ref="D109:E109"/>
    <mergeCell ref="D181:E181"/>
    <mergeCell ref="D221:E221"/>
    <mergeCell ref="D222:E222"/>
    <mergeCell ref="D275:E275"/>
    <mergeCell ref="D202:E202"/>
    <mergeCell ref="D203:E203"/>
    <mergeCell ref="D465:E465"/>
    <mergeCell ref="D466:E466"/>
    <mergeCell ref="C468:F468"/>
    <mergeCell ref="C484:J484"/>
    <mergeCell ref="D241:E241"/>
    <mergeCell ref="D242:E242"/>
  </mergeCells>
  <hyperlinks>
    <hyperlink ref="G7" r:id="rId1" xr:uid="{00000000-0004-0000-0200-000000000000}"/>
  </hyperlinks>
  <pageMargins left="0.25" right="0.25" top="0.75" bottom="0.75" header="0.3" footer="0.3"/>
  <pageSetup paperSize="9" scale="37" fitToHeight="0" orientation="portrait" r:id="rId2"/>
  <headerFooter>
    <oddFooter>&amp;RPage &amp;P of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K967"/>
  <sheetViews>
    <sheetView workbookViewId="0"/>
  </sheetViews>
  <sheetFormatPr defaultColWidth="12.59765625" defaultRowHeight="15" customHeight="1"/>
  <cols>
    <col min="1" max="1" width="3.09765625" customWidth="1"/>
    <col min="2" max="2" width="22.69921875" customWidth="1"/>
    <col min="3" max="3" width="79.5" customWidth="1"/>
    <col min="9" max="9" width="1.19921875" customWidth="1"/>
  </cols>
  <sheetData>
    <row r="1" spans="1:11" ht="13.8">
      <c r="A1" s="231"/>
      <c r="B1" s="231" t="s">
        <v>184</v>
      </c>
      <c r="C1" s="232"/>
      <c r="D1" s="233"/>
      <c r="E1" s="234"/>
      <c r="F1" s="235"/>
      <c r="G1" s="235"/>
      <c r="H1" s="235"/>
      <c r="I1" s="235"/>
      <c r="J1" s="235"/>
      <c r="K1" s="236"/>
    </row>
    <row r="2" spans="1:11" ht="13.8">
      <c r="A2" s="237"/>
      <c r="B2" s="237"/>
      <c r="C2" s="237"/>
      <c r="D2" s="233"/>
      <c r="E2" s="234"/>
      <c r="F2" s="235"/>
      <c r="G2" s="235"/>
      <c r="H2" s="235"/>
      <c r="I2" s="235"/>
      <c r="J2" s="235"/>
      <c r="K2" s="236"/>
    </row>
    <row r="3" spans="1:11" ht="13.8">
      <c r="A3" s="238"/>
      <c r="B3" s="238" t="s">
        <v>185</v>
      </c>
      <c r="C3" s="237"/>
      <c r="D3" s="233"/>
      <c r="E3" s="234"/>
      <c r="F3" s="235"/>
      <c r="G3" s="235"/>
      <c r="H3" s="235"/>
      <c r="I3" s="235"/>
      <c r="J3" s="235"/>
      <c r="K3" s="236"/>
    </row>
    <row r="4" spans="1:11" ht="13.8">
      <c r="A4" s="237"/>
      <c r="B4" s="237"/>
      <c r="C4" s="237"/>
      <c r="D4" s="233"/>
      <c r="E4" s="234"/>
      <c r="F4" s="235"/>
      <c r="G4" s="235"/>
      <c r="H4" s="235"/>
      <c r="I4" s="235"/>
      <c r="J4" s="235"/>
      <c r="K4" s="236"/>
    </row>
    <row r="5" spans="1:11" ht="27.75" customHeight="1">
      <c r="A5" s="239"/>
      <c r="B5" s="542" t="s">
        <v>186</v>
      </c>
      <c r="C5" s="542" t="s">
        <v>187</v>
      </c>
      <c r="D5" s="240" t="s">
        <v>188</v>
      </c>
      <c r="E5" s="543" t="s">
        <v>189</v>
      </c>
      <c r="F5" s="532"/>
      <c r="G5" s="542" t="s">
        <v>91</v>
      </c>
      <c r="H5" s="542"/>
      <c r="I5" s="235"/>
      <c r="J5" s="539" t="s">
        <v>190</v>
      </c>
      <c r="K5" s="541" t="s">
        <v>78</v>
      </c>
    </row>
    <row r="6" spans="1:11" ht="13.8">
      <c r="A6" s="239"/>
      <c r="B6" s="540"/>
      <c r="C6" s="540"/>
      <c r="D6" s="240" t="s">
        <v>191</v>
      </c>
      <c r="E6" s="240"/>
      <c r="F6" s="241"/>
      <c r="G6" s="540"/>
      <c r="H6" s="540"/>
      <c r="I6" s="235"/>
      <c r="J6" s="540"/>
      <c r="K6" s="540"/>
    </row>
    <row r="7" spans="1:11" ht="14.4">
      <c r="A7" s="242"/>
      <c r="B7" s="243">
        <v>19795</v>
      </c>
      <c r="C7" s="244" t="s">
        <v>192</v>
      </c>
      <c r="D7" s="245">
        <v>98.7</v>
      </c>
      <c r="E7" s="246">
        <f t="shared" ref="E7:E17" si="0">D7*$F$6</f>
        <v>0</v>
      </c>
      <c r="F7" s="247"/>
      <c r="G7" s="246">
        <f t="shared" ref="G7:G17" si="1">E7</f>
        <v>0</v>
      </c>
      <c r="H7" s="248" t="s">
        <v>193</v>
      </c>
      <c r="I7" s="249"/>
      <c r="J7" s="248">
        <v>1.08</v>
      </c>
      <c r="K7" s="250">
        <f t="shared" ref="K7:K17" si="2">ROUNDUP(J7*D7,0)</f>
        <v>107</v>
      </c>
    </row>
    <row r="8" spans="1:11" ht="14.4">
      <c r="A8" s="242"/>
      <c r="B8" s="243">
        <v>20230</v>
      </c>
      <c r="C8" s="244" t="s">
        <v>194</v>
      </c>
      <c r="D8" s="245">
        <v>1697.4</v>
      </c>
      <c r="E8" s="246">
        <f t="shared" si="0"/>
        <v>0</v>
      </c>
      <c r="F8" s="247"/>
      <c r="G8" s="246">
        <f t="shared" si="1"/>
        <v>0</v>
      </c>
      <c r="H8" s="243" t="s">
        <v>101</v>
      </c>
      <c r="I8" s="235"/>
      <c r="J8" s="243">
        <v>0.14000000000000001</v>
      </c>
      <c r="K8" s="250">
        <f t="shared" si="2"/>
        <v>238</v>
      </c>
    </row>
    <row r="9" spans="1:11" ht="14.4">
      <c r="A9" s="242"/>
      <c r="B9" s="243">
        <v>20267</v>
      </c>
      <c r="C9" s="244" t="s">
        <v>195</v>
      </c>
      <c r="D9" s="245">
        <v>335.1</v>
      </c>
      <c r="E9" s="246">
        <f t="shared" si="0"/>
        <v>0</v>
      </c>
      <c r="F9" s="247"/>
      <c r="G9" s="246">
        <f t="shared" si="1"/>
        <v>0</v>
      </c>
      <c r="H9" s="243" t="s">
        <v>101</v>
      </c>
      <c r="I9" s="235"/>
      <c r="J9" s="243">
        <v>0.14000000000000001</v>
      </c>
      <c r="K9" s="250">
        <f t="shared" si="2"/>
        <v>47</v>
      </c>
    </row>
    <row r="10" spans="1:11" ht="14.4">
      <c r="A10" s="242"/>
      <c r="B10" s="243">
        <v>24559</v>
      </c>
      <c r="C10" s="244" t="s">
        <v>196</v>
      </c>
      <c r="D10" s="245">
        <v>156.9</v>
      </c>
      <c r="E10" s="246">
        <f t="shared" si="0"/>
        <v>0</v>
      </c>
      <c r="F10" s="247"/>
      <c r="G10" s="246">
        <f t="shared" si="1"/>
        <v>0</v>
      </c>
      <c r="H10" s="243" t="s">
        <v>101</v>
      </c>
      <c r="I10" s="235"/>
      <c r="J10" s="243">
        <v>0.14000000000000001</v>
      </c>
      <c r="K10" s="250">
        <f t="shared" si="2"/>
        <v>22</v>
      </c>
    </row>
    <row r="11" spans="1:11" ht="14.4">
      <c r="A11" s="242"/>
      <c r="B11" s="243" t="s">
        <v>197</v>
      </c>
      <c r="C11" s="244" t="s">
        <v>198</v>
      </c>
      <c r="D11" s="245">
        <v>42.9</v>
      </c>
      <c r="E11" s="246">
        <f t="shared" si="0"/>
        <v>0</v>
      </c>
      <c r="F11" s="247"/>
      <c r="G11" s="246">
        <f t="shared" si="1"/>
        <v>0</v>
      </c>
      <c r="H11" s="243" t="s">
        <v>199</v>
      </c>
      <c r="I11" s="235"/>
      <c r="J11" s="243">
        <v>0.3</v>
      </c>
      <c r="K11" s="250">
        <f t="shared" si="2"/>
        <v>13</v>
      </c>
    </row>
    <row r="12" spans="1:11" ht="14.4">
      <c r="A12" s="242"/>
      <c r="B12" s="243">
        <v>11403</v>
      </c>
      <c r="C12" s="244" t="s">
        <v>200</v>
      </c>
      <c r="D12" s="245">
        <v>189.3</v>
      </c>
      <c r="E12" s="246">
        <f t="shared" si="0"/>
        <v>0</v>
      </c>
      <c r="F12" s="247"/>
      <c r="G12" s="246">
        <f t="shared" si="1"/>
        <v>0</v>
      </c>
      <c r="H12" s="243" t="s">
        <v>199</v>
      </c>
      <c r="I12" s="235"/>
      <c r="J12" s="243">
        <v>0.12</v>
      </c>
      <c r="K12" s="250">
        <f t="shared" si="2"/>
        <v>23</v>
      </c>
    </row>
    <row r="13" spans="1:11" ht="14.4">
      <c r="A13" s="242"/>
      <c r="B13" s="243">
        <v>19795</v>
      </c>
      <c r="C13" s="244" t="s">
        <v>201</v>
      </c>
      <c r="D13" s="245">
        <v>243.6</v>
      </c>
      <c r="E13" s="246">
        <f t="shared" si="0"/>
        <v>0</v>
      </c>
      <c r="F13" s="247"/>
      <c r="G13" s="246">
        <f t="shared" si="1"/>
        <v>0</v>
      </c>
      <c r="H13" s="243" t="s">
        <v>199</v>
      </c>
      <c r="I13" s="235"/>
      <c r="J13" s="243">
        <v>0.3</v>
      </c>
      <c r="K13" s="250">
        <f t="shared" si="2"/>
        <v>74</v>
      </c>
    </row>
    <row r="14" spans="1:11" ht="14.4">
      <c r="A14" s="242"/>
      <c r="B14" s="243" t="s">
        <v>202</v>
      </c>
      <c r="C14" s="244" t="s">
        <v>203</v>
      </c>
      <c r="D14" s="245">
        <v>58.4</v>
      </c>
      <c r="E14" s="246">
        <f t="shared" si="0"/>
        <v>0</v>
      </c>
      <c r="F14" s="247"/>
      <c r="G14" s="246">
        <f t="shared" si="1"/>
        <v>0</v>
      </c>
      <c r="H14" s="243" t="s">
        <v>199</v>
      </c>
      <c r="I14" s="235"/>
      <c r="J14" s="243">
        <v>0.1</v>
      </c>
      <c r="K14" s="250">
        <f t="shared" si="2"/>
        <v>6</v>
      </c>
    </row>
    <row r="15" spans="1:11" ht="14.4">
      <c r="A15" s="242"/>
      <c r="B15" s="243" t="s">
        <v>204</v>
      </c>
      <c r="C15" s="244" t="s">
        <v>205</v>
      </c>
      <c r="D15" s="245">
        <v>4.09</v>
      </c>
      <c r="E15" s="246">
        <f t="shared" si="0"/>
        <v>0</v>
      </c>
      <c r="F15" s="247"/>
      <c r="G15" s="246">
        <f t="shared" si="1"/>
        <v>0</v>
      </c>
      <c r="H15" s="243" t="s">
        <v>199</v>
      </c>
      <c r="I15" s="235"/>
      <c r="J15" s="243">
        <v>0.05</v>
      </c>
      <c r="K15" s="250">
        <f t="shared" si="2"/>
        <v>1</v>
      </c>
    </row>
    <row r="16" spans="1:11" ht="14.4">
      <c r="A16" s="242"/>
      <c r="B16" s="243"/>
      <c r="C16" s="244" t="s">
        <v>206</v>
      </c>
      <c r="D16" s="245">
        <v>16.3</v>
      </c>
      <c r="E16" s="246">
        <f t="shared" si="0"/>
        <v>0</v>
      </c>
      <c r="F16" s="247"/>
      <c r="G16" s="246">
        <f t="shared" si="1"/>
        <v>0</v>
      </c>
      <c r="H16" s="243" t="s">
        <v>199</v>
      </c>
      <c r="I16" s="235"/>
      <c r="J16" s="243">
        <v>0.06</v>
      </c>
      <c r="K16" s="250">
        <f t="shared" si="2"/>
        <v>1</v>
      </c>
    </row>
    <row r="17" spans="1:11" ht="14.4">
      <c r="A17" s="242"/>
      <c r="B17" s="243"/>
      <c r="C17" s="244" t="s">
        <v>207</v>
      </c>
      <c r="D17" s="245">
        <v>16.100000000000001</v>
      </c>
      <c r="E17" s="246">
        <f t="shared" si="0"/>
        <v>0</v>
      </c>
      <c r="F17" s="247"/>
      <c r="G17" s="246">
        <f t="shared" si="1"/>
        <v>0</v>
      </c>
      <c r="H17" s="243" t="s">
        <v>199</v>
      </c>
      <c r="I17" s="235"/>
      <c r="J17" s="243">
        <v>0.05</v>
      </c>
      <c r="K17" s="250">
        <f t="shared" si="2"/>
        <v>1</v>
      </c>
    </row>
    <row r="18" spans="1:11" ht="14.4">
      <c r="A18" s="251"/>
      <c r="B18" s="252"/>
      <c r="C18" s="252"/>
      <c r="D18" s="252"/>
      <c r="E18" s="252"/>
      <c r="F18" s="252"/>
      <c r="G18" s="252"/>
      <c r="H18" s="252"/>
      <c r="I18" s="235"/>
      <c r="J18" s="252"/>
      <c r="K18" s="253"/>
    </row>
    <row r="19" spans="1:11" ht="13.8">
      <c r="A19" s="254"/>
      <c r="B19" s="235"/>
      <c r="C19" s="235"/>
      <c r="D19" s="234"/>
      <c r="E19" s="234"/>
      <c r="F19" s="235"/>
      <c r="G19" s="235"/>
      <c r="H19" s="235"/>
      <c r="I19" s="235"/>
      <c r="J19" s="235"/>
      <c r="K19" s="236"/>
    </row>
    <row r="20" spans="1:11" ht="13.8">
      <c r="A20" s="254"/>
      <c r="B20" s="235"/>
      <c r="C20" s="235"/>
      <c r="D20" s="234"/>
      <c r="E20" s="234"/>
      <c r="F20" s="235"/>
      <c r="G20" s="235"/>
      <c r="H20" s="235"/>
      <c r="I20" s="235"/>
      <c r="J20" s="235"/>
      <c r="K20" s="236"/>
    </row>
    <row r="21" spans="1:11" ht="21">
      <c r="A21" s="254"/>
      <c r="B21" s="255" t="s">
        <v>208</v>
      </c>
      <c r="C21" s="256"/>
      <c r="D21" s="257"/>
      <c r="E21" s="234"/>
      <c r="F21" s="235"/>
      <c r="G21" s="235"/>
      <c r="H21" s="235"/>
      <c r="I21" s="235"/>
      <c r="J21" s="235"/>
      <c r="K21" s="236"/>
    </row>
    <row r="22" spans="1:11" ht="14.4">
      <c r="A22" s="254"/>
      <c r="B22" s="258" t="s">
        <v>28</v>
      </c>
      <c r="C22" s="23"/>
      <c r="D22" s="105"/>
      <c r="E22" s="234"/>
      <c r="F22" s="235"/>
      <c r="G22" s="235"/>
      <c r="H22" s="235"/>
      <c r="I22" s="235"/>
      <c r="J22" s="235"/>
      <c r="K22" s="236"/>
    </row>
    <row r="23" spans="1:11" ht="14.4">
      <c r="A23" s="254"/>
      <c r="B23" s="259" t="s">
        <v>29</v>
      </c>
      <c r="C23" s="23"/>
      <c r="D23" s="105"/>
      <c r="E23" s="234"/>
      <c r="F23" s="235"/>
      <c r="G23" s="235"/>
      <c r="H23" s="235"/>
      <c r="I23" s="235"/>
      <c r="J23" s="235"/>
      <c r="K23" s="236"/>
    </row>
    <row r="24" spans="1:11" ht="14.4">
      <c r="A24" s="254"/>
      <c r="B24" s="259" t="s">
        <v>30</v>
      </c>
      <c r="C24" s="23"/>
      <c r="D24" s="105"/>
      <c r="E24" s="234"/>
      <c r="F24" s="235"/>
      <c r="G24" s="235"/>
      <c r="H24" s="235"/>
      <c r="I24" s="235"/>
      <c r="J24" s="235"/>
      <c r="K24" s="236"/>
    </row>
    <row r="25" spans="1:11" ht="14.4">
      <c r="A25" s="254"/>
      <c r="B25" s="259" t="s">
        <v>31</v>
      </c>
      <c r="C25" s="23"/>
      <c r="D25" s="105"/>
      <c r="E25" s="234"/>
      <c r="F25" s="235"/>
      <c r="G25" s="235"/>
      <c r="H25" s="235"/>
      <c r="I25" s="235"/>
      <c r="J25" s="235"/>
      <c r="K25" s="236"/>
    </row>
    <row r="26" spans="1:11" ht="14.4">
      <c r="A26" s="254"/>
      <c r="B26" s="259" t="s">
        <v>32</v>
      </c>
      <c r="C26" s="23"/>
      <c r="D26" s="105"/>
      <c r="E26" s="234"/>
      <c r="F26" s="235"/>
      <c r="G26" s="235"/>
      <c r="H26" s="235"/>
      <c r="I26" s="235"/>
      <c r="J26" s="235"/>
      <c r="K26" s="236"/>
    </row>
    <row r="27" spans="1:11" ht="14.4">
      <c r="A27" s="254"/>
      <c r="B27" s="259" t="s">
        <v>33</v>
      </c>
      <c r="C27" s="23"/>
      <c r="D27" s="105"/>
      <c r="E27" s="234"/>
      <c r="F27" s="235"/>
      <c r="G27" s="235"/>
      <c r="H27" s="235"/>
      <c r="I27" s="235"/>
      <c r="J27" s="235"/>
      <c r="K27" s="236"/>
    </row>
    <row r="28" spans="1:11" ht="14.4">
      <c r="A28" s="254"/>
      <c r="B28" s="260"/>
      <c r="C28" s="261"/>
      <c r="D28" s="262"/>
      <c r="E28" s="234"/>
      <c r="F28" s="235"/>
      <c r="G28" s="235"/>
      <c r="H28" s="235"/>
      <c r="I28" s="235"/>
      <c r="J28" s="235"/>
      <c r="K28" s="236"/>
    </row>
    <row r="29" spans="1:11" ht="13.8">
      <c r="A29" s="254"/>
      <c r="B29" s="235"/>
      <c r="C29" s="235"/>
      <c r="D29" s="234"/>
      <c r="E29" s="234"/>
      <c r="F29" s="235"/>
      <c r="G29" s="235"/>
      <c r="H29" s="235"/>
      <c r="I29" s="235"/>
      <c r="J29" s="235"/>
      <c r="K29" s="236"/>
    </row>
    <row r="30" spans="1:11" ht="13.8">
      <c r="A30" s="254"/>
      <c r="B30" s="235"/>
      <c r="C30" s="235"/>
      <c r="D30" s="234"/>
      <c r="E30" s="234"/>
      <c r="F30" s="235"/>
      <c r="G30" s="235"/>
      <c r="H30" s="235"/>
      <c r="I30" s="235"/>
      <c r="J30" s="235"/>
      <c r="K30" s="236"/>
    </row>
    <row r="31" spans="1:11" ht="13.8">
      <c r="A31" s="254"/>
      <c r="B31" s="235"/>
      <c r="C31" s="235"/>
      <c r="D31" s="234"/>
      <c r="E31" s="234"/>
      <c r="F31" s="235"/>
      <c r="G31" s="235"/>
      <c r="H31" s="235"/>
      <c r="I31" s="235"/>
      <c r="J31" s="235"/>
      <c r="K31" s="236"/>
    </row>
    <row r="32" spans="1:11" ht="13.8">
      <c r="A32" s="254"/>
      <c r="B32" s="235"/>
      <c r="C32" s="235"/>
      <c r="D32" s="234"/>
      <c r="E32" s="234"/>
      <c r="F32" s="235"/>
      <c r="G32" s="235"/>
      <c r="H32" s="235"/>
      <c r="I32" s="235"/>
      <c r="J32" s="235"/>
      <c r="K32" s="236"/>
    </row>
    <row r="33" spans="1:11" ht="13.8">
      <c r="A33" s="254"/>
      <c r="B33" s="235"/>
      <c r="C33" s="235"/>
      <c r="D33" s="234"/>
      <c r="E33" s="234"/>
      <c r="F33" s="235"/>
      <c r="G33" s="235"/>
      <c r="H33" s="235"/>
      <c r="I33" s="235"/>
      <c r="J33" s="235"/>
      <c r="K33" s="236"/>
    </row>
    <row r="34" spans="1:11" ht="13.8">
      <c r="A34" s="254"/>
      <c r="B34" s="235"/>
      <c r="C34" s="235"/>
      <c r="D34" s="234"/>
      <c r="E34" s="234"/>
      <c r="F34" s="235"/>
      <c r="G34" s="235"/>
      <c r="H34" s="235"/>
      <c r="I34" s="235"/>
      <c r="J34" s="235"/>
      <c r="K34" s="236"/>
    </row>
    <row r="35" spans="1:11" ht="13.8">
      <c r="A35" s="254"/>
      <c r="B35" s="235"/>
      <c r="C35" s="235"/>
      <c r="D35" s="234"/>
      <c r="E35" s="234"/>
      <c r="F35" s="235"/>
      <c r="G35" s="235"/>
      <c r="H35" s="235"/>
      <c r="I35" s="235"/>
      <c r="J35" s="235"/>
      <c r="K35" s="236"/>
    </row>
    <row r="36" spans="1:11" ht="13.8">
      <c r="A36" s="254"/>
      <c r="B36" s="235"/>
      <c r="C36" s="235"/>
      <c r="D36" s="234"/>
      <c r="E36" s="234"/>
      <c r="F36" s="235"/>
      <c r="G36" s="235"/>
      <c r="H36" s="235"/>
      <c r="I36" s="235"/>
      <c r="J36" s="235"/>
      <c r="K36" s="236"/>
    </row>
    <row r="37" spans="1:11" ht="13.8">
      <c r="A37" s="254"/>
      <c r="B37" s="235"/>
      <c r="C37" s="235"/>
      <c r="D37" s="234"/>
      <c r="E37" s="234"/>
      <c r="F37" s="235"/>
      <c r="G37" s="235"/>
      <c r="H37" s="235"/>
      <c r="I37" s="235"/>
      <c r="J37" s="235"/>
      <c r="K37" s="236"/>
    </row>
    <row r="38" spans="1:11" ht="13.8">
      <c r="A38" s="254"/>
      <c r="B38" s="235"/>
      <c r="C38" s="235"/>
      <c r="D38" s="234"/>
      <c r="E38" s="234"/>
      <c r="F38" s="235"/>
      <c r="G38" s="235"/>
      <c r="H38" s="235"/>
      <c r="I38" s="235"/>
      <c r="J38" s="235"/>
      <c r="K38" s="236"/>
    </row>
    <row r="39" spans="1:11" ht="13.8">
      <c r="A39" s="254"/>
      <c r="B39" s="235"/>
      <c r="C39" s="235"/>
      <c r="D39" s="234"/>
      <c r="E39" s="234"/>
      <c r="F39" s="235"/>
      <c r="G39" s="235"/>
      <c r="H39" s="235"/>
      <c r="I39" s="235"/>
      <c r="J39" s="235"/>
      <c r="K39" s="236"/>
    </row>
    <row r="40" spans="1:11" ht="13.8">
      <c r="A40" s="254"/>
      <c r="B40" s="235"/>
      <c r="C40" s="235"/>
      <c r="D40" s="234"/>
      <c r="E40" s="234"/>
      <c r="F40" s="235"/>
      <c r="G40" s="235"/>
      <c r="H40" s="235"/>
      <c r="I40" s="235"/>
      <c r="J40" s="235"/>
      <c r="K40" s="236"/>
    </row>
    <row r="41" spans="1:11" ht="13.8">
      <c r="A41" s="254"/>
      <c r="B41" s="235"/>
      <c r="C41" s="235"/>
      <c r="D41" s="234"/>
      <c r="E41" s="234"/>
      <c r="F41" s="235"/>
      <c r="G41" s="235"/>
      <c r="H41" s="235"/>
      <c r="I41" s="235"/>
      <c r="J41" s="235"/>
      <c r="K41" s="236"/>
    </row>
    <row r="42" spans="1:11" ht="13.8">
      <c r="A42" s="254"/>
      <c r="B42" s="235"/>
      <c r="C42" s="235"/>
      <c r="D42" s="234"/>
      <c r="E42" s="234"/>
      <c r="F42" s="235"/>
      <c r="G42" s="235"/>
      <c r="H42" s="235"/>
      <c r="I42" s="235"/>
      <c r="J42" s="235"/>
      <c r="K42" s="236"/>
    </row>
    <row r="43" spans="1:11" ht="13.8">
      <c r="A43" s="254"/>
      <c r="B43" s="235"/>
      <c r="C43" s="235"/>
      <c r="D43" s="234"/>
      <c r="E43" s="234"/>
      <c r="F43" s="235"/>
      <c r="G43" s="235"/>
      <c r="H43" s="235"/>
      <c r="I43" s="235"/>
      <c r="J43" s="235"/>
      <c r="K43" s="236"/>
    </row>
    <row r="44" spans="1:11" ht="13.8">
      <c r="A44" s="254"/>
      <c r="B44" s="235"/>
      <c r="C44" s="235"/>
      <c r="D44" s="234"/>
      <c r="E44" s="234"/>
      <c r="F44" s="235"/>
      <c r="G44" s="235"/>
      <c r="H44" s="235"/>
      <c r="I44" s="235"/>
      <c r="J44" s="235"/>
      <c r="K44" s="236"/>
    </row>
    <row r="45" spans="1:11" ht="13.8">
      <c r="A45" s="254"/>
      <c r="B45" s="235"/>
      <c r="C45" s="235"/>
      <c r="D45" s="234"/>
      <c r="E45" s="234"/>
      <c r="F45" s="235"/>
      <c r="G45" s="235"/>
      <c r="H45" s="235"/>
      <c r="I45" s="235"/>
      <c r="J45" s="235"/>
      <c r="K45" s="236"/>
    </row>
    <row r="46" spans="1:11" ht="13.8">
      <c r="A46" s="254"/>
      <c r="B46" s="235"/>
      <c r="C46" s="235"/>
      <c r="D46" s="234"/>
      <c r="E46" s="234"/>
      <c r="F46" s="235"/>
      <c r="G46" s="235"/>
      <c r="H46" s="235"/>
      <c r="I46" s="235"/>
      <c r="J46" s="235"/>
      <c r="K46" s="236"/>
    </row>
    <row r="47" spans="1:11" ht="13.8">
      <c r="A47" s="254"/>
      <c r="B47" s="235"/>
      <c r="C47" s="235"/>
      <c r="D47" s="234"/>
      <c r="E47" s="234"/>
      <c r="F47" s="235"/>
      <c r="G47" s="235"/>
      <c r="H47" s="235"/>
      <c r="I47" s="235"/>
      <c r="J47" s="235"/>
      <c r="K47" s="236"/>
    </row>
    <row r="48" spans="1:11" ht="13.8">
      <c r="A48" s="254"/>
      <c r="B48" s="235"/>
      <c r="C48" s="235"/>
      <c r="D48" s="234"/>
      <c r="E48" s="234"/>
      <c r="F48" s="235"/>
      <c r="G48" s="235"/>
      <c r="H48" s="235"/>
      <c r="I48" s="235"/>
      <c r="J48" s="235"/>
      <c r="K48" s="236"/>
    </row>
    <row r="49" spans="1:11" ht="13.8">
      <c r="A49" s="254"/>
      <c r="B49" s="235"/>
      <c r="C49" s="235"/>
      <c r="D49" s="234"/>
      <c r="E49" s="234"/>
      <c r="F49" s="235"/>
      <c r="G49" s="235"/>
      <c r="H49" s="235"/>
      <c r="I49" s="235"/>
      <c r="J49" s="235"/>
      <c r="K49" s="236"/>
    </row>
    <row r="50" spans="1:11" ht="13.8">
      <c r="A50" s="254"/>
      <c r="B50" s="235"/>
      <c r="C50" s="235"/>
      <c r="D50" s="234"/>
      <c r="E50" s="234"/>
      <c r="F50" s="235"/>
      <c r="G50" s="235"/>
      <c r="H50" s="235"/>
      <c r="I50" s="235"/>
      <c r="J50" s="235"/>
      <c r="K50" s="236"/>
    </row>
    <row r="51" spans="1:11" ht="13.8">
      <c r="A51" s="254"/>
      <c r="B51" s="235"/>
      <c r="C51" s="235"/>
      <c r="D51" s="234"/>
      <c r="E51" s="234"/>
      <c r="F51" s="235"/>
      <c r="G51" s="235"/>
      <c r="H51" s="235"/>
      <c r="I51" s="235"/>
      <c r="J51" s="235"/>
      <c r="K51" s="236"/>
    </row>
    <row r="52" spans="1:11" ht="13.8">
      <c r="A52" s="254"/>
      <c r="B52" s="235"/>
      <c r="C52" s="235"/>
      <c r="D52" s="234"/>
      <c r="E52" s="234"/>
      <c r="F52" s="235"/>
      <c r="G52" s="235"/>
      <c r="H52" s="235"/>
      <c r="I52" s="235"/>
      <c r="J52" s="235"/>
      <c r="K52" s="236"/>
    </row>
    <row r="53" spans="1:11" ht="13.8">
      <c r="A53" s="254"/>
      <c r="B53" s="235"/>
      <c r="C53" s="235"/>
      <c r="D53" s="234"/>
      <c r="E53" s="234"/>
      <c r="F53" s="235"/>
      <c r="G53" s="235"/>
      <c r="H53" s="235"/>
      <c r="I53" s="235"/>
      <c r="J53" s="235"/>
      <c r="K53" s="236"/>
    </row>
    <row r="54" spans="1:11" ht="13.8">
      <c r="A54" s="254"/>
      <c r="B54" s="235"/>
      <c r="C54" s="235"/>
      <c r="D54" s="234"/>
      <c r="E54" s="234"/>
      <c r="F54" s="235"/>
      <c r="G54" s="235"/>
      <c r="H54" s="235"/>
      <c r="I54" s="235"/>
      <c r="J54" s="235"/>
      <c r="K54" s="236"/>
    </row>
    <row r="55" spans="1:11" ht="13.8">
      <c r="A55" s="235"/>
      <c r="B55" s="235"/>
      <c r="C55" s="235"/>
      <c r="D55" s="234"/>
      <c r="E55" s="234"/>
      <c r="F55" s="235"/>
      <c r="G55" s="235"/>
      <c r="H55" s="235"/>
      <c r="I55" s="235"/>
      <c r="J55" s="235"/>
      <c r="K55" s="236"/>
    </row>
    <row r="56" spans="1:11" ht="13.8">
      <c r="A56" s="235"/>
      <c r="B56" s="235"/>
      <c r="C56" s="235"/>
      <c r="D56" s="234"/>
      <c r="E56" s="234"/>
      <c r="F56" s="235"/>
      <c r="G56" s="235"/>
      <c r="H56" s="235"/>
      <c r="I56" s="235"/>
      <c r="J56" s="235"/>
      <c r="K56" s="236"/>
    </row>
    <row r="57" spans="1:11" ht="13.8">
      <c r="A57" s="235"/>
      <c r="B57" s="235"/>
      <c r="C57" s="235"/>
      <c r="D57" s="234"/>
      <c r="E57" s="234"/>
      <c r="F57" s="235"/>
      <c r="G57" s="235"/>
      <c r="H57" s="235"/>
      <c r="I57" s="235"/>
      <c r="J57" s="235"/>
      <c r="K57" s="236"/>
    </row>
    <row r="58" spans="1:11" ht="13.8">
      <c r="A58" s="235"/>
      <c r="B58" s="235"/>
      <c r="C58" s="235"/>
      <c r="D58" s="234"/>
      <c r="E58" s="234"/>
      <c r="F58" s="235"/>
      <c r="G58" s="235"/>
      <c r="H58" s="235"/>
      <c r="I58" s="235"/>
      <c r="J58" s="235"/>
      <c r="K58" s="236"/>
    </row>
    <row r="59" spans="1:11" ht="13.8">
      <c r="A59" s="235"/>
      <c r="B59" s="235"/>
      <c r="C59" s="235"/>
      <c r="D59" s="234"/>
      <c r="E59" s="234"/>
      <c r="F59" s="235"/>
      <c r="G59" s="235"/>
      <c r="H59" s="235"/>
      <c r="I59" s="235"/>
      <c r="J59" s="235"/>
      <c r="K59" s="236"/>
    </row>
    <row r="60" spans="1:11" ht="13.8">
      <c r="A60" s="235"/>
      <c r="B60" s="235"/>
      <c r="C60" s="235"/>
      <c r="D60" s="234"/>
      <c r="E60" s="234"/>
      <c r="F60" s="235"/>
      <c r="G60" s="235"/>
      <c r="H60" s="235"/>
      <c r="I60" s="235"/>
      <c r="J60" s="235"/>
      <c r="K60" s="236"/>
    </row>
    <row r="61" spans="1:11" ht="13.8">
      <c r="A61" s="235"/>
      <c r="B61" s="235"/>
      <c r="C61" s="235"/>
      <c r="D61" s="234"/>
      <c r="E61" s="234"/>
      <c r="F61" s="235"/>
      <c r="G61" s="235"/>
      <c r="H61" s="235"/>
      <c r="I61" s="235"/>
      <c r="J61" s="235"/>
      <c r="K61" s="236"/>
    </row>
    <row r="62" spans="1:11" ht="13.8">
      <c r="A62" s="235"/>
      <c r="B62" s="235"/>
      <c r="C62" s="235"/>
      <c r="D62" s="234"/>
      <c r="E62" s="234"/>
      <c r="F62" s="235"/>
      <c r="G62" s="235"/>
      <c r="H62" s="235"/>
      <c r="I62" s="235"/>
      <c r="J62" s="235"/>
      <c r="K62" s="236"/>
    </row>
    <row r="63" spans="1:11" ht="13.8">
      <c r="A63" s="235"/>
      <c r="B63" s="235"/>
      <c r="C63" s="235"/>
      <c r="D63" s="234"/>
      <c r="E63" s="234"/>
      <c r="F63" s="235"/>
      <c r="G63" s="235"/>
      <c r="H63" s="235"/>
      <c r="I63" s="235"/>
      <c r="J63" s="235"/>
      <c r="K63" s="236"/>
    </row>
    <row r="64" spans="1:11" ht="13.8">
      <c r="A64" s="235"/>
      <c r="B64" s="235"/>
      <c r="C64" s="235"/>
      <c r="D64" s="234"/>
      <c r="E64" s="234"/>
      <c r="F64" s="235"/>
      <c r="G64" s="235"/>
      <c r="H64" s="235"/>
      <c r="I64" s="235"/>
      <c r="J64" s="235"/>
      <c r="K64" s="236"/>
    </row>
    <row r="65" spans="1:11" ht="13.8">
      <c r="A65" s="235"/>
      <c r="B65" s="235"/>
      <c r="C65" s="235"/>
      <c r="D65" s="234"/>
      <c r="E65" s="234"/>
      <c r="F65" s="235"/>
      <c r="G65" s="235"/>
      <c r="H65" s="235"/>
      <c r="I65" s="235"/>
      <c r="J65" s="235"/>
      <c r="K65" s="236"/>
    </row>
    <row r="66" spans="1:11" ht="13.8">
      <c r="A66" s="235"/>
      <c r="B66" s="235"/>
      <c r="C66" s="235"/>
      <c r="D66" s="234"/>
      <c r="E66" s="234"/>
      <c r="F66" s="235"/>
      <c r="G66" s="235"/>
      <c r="H66" s="235"/>
      <c r="I66" s="235"/>
      <c r="J66" s="235"/>
      <c r="K66" s="236"/>
    </row>
    <row r="67" spans="1:11" ht="13.8">
      <c r="A67" s="235"/>
      <c r="B67" s="235"/>
      <c r="C67" s="235"/>
      <c r="D67" s="234"/>
      <c r="E67" s="234"/>
      <c r="F67" s="235"/>
      <c r="G67" s="235"/>
      <c r="H67" s="235"/>
      <c r="I67" s="235"/>
      <c r="J67" s="235"/>
      <c r="K67" s="236"/>
    </row>
    <row r="68" spans="1:11" ht="13.8">
      <c r="A68" s="235"/>
      <c r="B68" s="235"/>
      <c r="C68" s="235"/>
      <c r="D68" s="234"/>
      <c r="E68" s="234"/>
      <c r="F68" s="235"/>
      <c r="G68" s="235"/>
      <c r="H68" s="235"/>
      <c r="I68" s="235"/>
      <c r="J68" s="235"/>
      <c r="K68" s="236"/>
    </row>
    <row r="69" spans="1:11" ht="13.8">
      <c r="A69" s="235"/>
      <c r="B69" s="235"/>
      <c r="C69" s="235"/>
      <c r="D69" s="234"/>
      <c r="E69" s="234"/>
      <c r="F69" s="235"/>
      <c r="G69" s="235"/>
      <c r="H69" s="235"/>
      <c r="I69" s="235"/>
      <c r="J69" s="235"/>
      <c r="K69" s="236"/>
    </row>
    <row r="70" spans="1:11" ht="13.8">
      <c r="A70" s="235"/>
      <c r="B70" s="235"/>
      <c r="C70" s="235"/>
      <c r="D70" s="234"/>
      <c r="E70" s="234"/>
      <c r="F70" s="235"/>
      <c r="G70" s="235"/>
      <c r="H70" s="235"/>
      <c r="I70" s="235"/>
      <c r="J70" s="235"/>
      <c r="K70" s="236"/>
    </row>
    <row r="71" spans="1:11" ht="13.8">
      <c r="A71" s="235"/>
      <c r="B71" s="235"/>
      <c r="C71" s="235"/>
      <c r="D71" s="234"/>
      <c r="E71" s="234"/>
      <c r="F71" s="235"/>
      <c r="G71" s="235"/>
      <c r="H71" s="235"/>
      <c r="I71" s="235"/>
      <c r="J71" s="235"/>
      <c r="K71" s="236"/>
    </row>
    <row r="72" spans="1:11" ht="13.8">
      <c r="A72" s="235"/>
      <c r="B72" s="235"/>
      <c r="C72" s="235"/>
      <c r="D72" s="234"/>
      <c r="E72" s="234"/>
      <c r="F72" s="235"/>
      <c r="G72" s="235"/>
      <c r="H72" s="235"/>
      <c r="I72" s="235"/>
      <c r="J72" s="235"/>
      <c r="K72" s="236"/>
    </row>
    <row r="73" spans="1:11" ht="13.8">
      <c r="A73" s="235"/>
      <c r="B73" s="235"/>
      <c r="C73" s="235"/>
      <c r="D73" s="234"/>
      <c r="E73" s="234"/>
      <c r="F73" s="235"/>
      <c r="G73" s="235"/>
      <c r="H73" s="235"/>
      <c r="I73" s="235"/>
      <c r="J73" s="235"/>
      <c r="K73" s="236"/>
    </row>
    <row r="74" spans="1:11" ht="13.8">
      <c r="A74" s="235"/>
      <c r="B74" s="235"/>
      <c r="C74" s="235"/>
      <c r="D74" s="234"/>
      <c r="E74" s="234"/>
      <c r="F74" s="235"/>
      <c r="G74" s="235"/>
      <c r="H74" s="235"/>
      <c r="I74" s="235"/>
      <c r="J74" s="235"/>
      <c r="K74" s="236"/>
    </row>
    <row r="75" spans="1:11" ht="13.8">
      <c r="A75" s="235"/>
      <c r="B75" s="235"/>
      <c r="C75" s="235"/>
      <c r="D75" s="234"/>
      <c r="E75" s="234"/>
      <c r="F75" s="235"/>
      <c r="G75" s="235"/>
      <c r="H75" s="235"/>
      <c r="I75" s="235"/>
      <c r="J75" s="235"/>
      <c r="K75" s="236"/>
    </row>
    <row r="76" spans="1:11" ht="13.8">
      <c r="A76" s="235"/>
      <c r="B76" s="235"/>
      <c r="C76" s="235"/>
      <c r="D76" s="234"/>
      <c r="E76" s="234"/>
      <c r="F76" s="235"/>
      <c r="G76" s="235"/>
      <c r="H76" s="235"/>
      <c r="I76" s="235"/>
      <c r="J76" s="235"/>
      <c r="K76" s="236"/>
    </row>
    <row r="77" spans="1:11" ht="13.8">
      <c r="A77" s="235"/>
      <c r="B77" s="235"/>
      <c r="C77" s="235"/>
      <c r="D77" s="234"/>
      <c r="E77" s="234"/>
      <c r="F77" s="235"/>
      <c r="G77" s="235"/>
      <c r="H77" s="235"/>
      <c r="I77" s="235"/>
      <c r="J77" s="235"/>
      <c r="K77" s="236"/>
    </row>
    <row r="78" spans="1:11" ht="13.8">
      <c r="A78" s="235"/>
      <c r="B78" s="235"/>
      <c r="C78" s="235"/>
      <c r="D78" s="234"/>
      <c r="E78" s="234"/>
      <c r="F78" s="235"/>
      <c r="G78" s="235"/>
      <c r="H78" s="235"/>
      <c r="I78" s="235"/>
      <c r="J78" s="235"/>
      <c r="K78" s="236"/>
    </row>
    <row r="79" spans="1:11" ht="13.8">
      <c r="A79" s="235"/>
      <c r="B79" s="235"/>
      <c r="C79" s="235"/>
      <c r="D79" s="234"/>
      <c r="E79" s="234"/>
      <c r="F79" s="235"/>
      <c r="G79" s="235"/>
      <c r="H79" s="235"/>
      <c r="I79" s="235"/>
      <c r="J79" s="235"/>
      <c r="K79" s="236"/>
    </row>
    <row r="80" spans="1:11" ht="13.8">
      <c r="A80" s="235"/>
      <c r="B80" s="235"/>
      <c r="C80" s="235"/>
      <c r="D80" s="234"/>
      <c r="E80" s="234"/>
      <c r="F80" s="235"/>
      <c r="G80" s="235"/>
      <c r="H80" s="235"/>
      <c r="I80" s="235"/>
      <c r="J80" s="235"/>
      <c r="K80" s="236"/>
    </row>
    <row r="81" spans="1:11" ht="13.8">
      <c r="A81" s="235"/>
      <c r="B81" s="235"/>
      <c r="C81" s="235"/>
      <c r="D81" s="234"/>
      <c r="E81" s="234"/>
      <c r="F81" s="235"/>
      <c r="G81" s="235"/>
      <c r="H81" s="235"/>
      <c r="I81" s="235"/>
      <c r="J81" s="235"/>
      <c r="K81" s="236"/>
    </row>
    <row r="82" spans="1:11" ht="13.8">
      <c r="A82" s="235"/>
      <c r="B82" s="235"/>
      <c r="C82" s="235"/>
      <c r="D82" s="234"/>
      <c r="E82" s="234"/>
      <c r="F82" s="235"/>
      <c r="G82" s="235"/>
      <c r="H82" s="235"/>
      <c r="I82" s="235"/>
      <c r="J82" s="235"/>
      <c r="K82" s="236"/>
    </row>
    <row r="83" spans="1:11" ht="13.8">
      <c r="A83" s="235"/>
      <c r="B83" s="235"/>
      <c r="C83" s="235"/>
      <c r="D83" s="234"/>
      <c r="E83" s="234"/>
      <c r="F83" s="235"/>
      <c r="G83" s="235"/>
      <c r="H83" s="235"/>
      <c r="I83" s="235"/>
      <c r="J83" s="235"/>
      <c r="K83" s="236"/>
    </row>
    <row r="84" spans="1:11" ht="13.8">
      <c r="A84" s="235"/>
      <c r="B84" s="235"/>
      <c r="C84" s="235"/>
      <c r="D84" s="234"/>
      <c r="E84" s="234"/>
      <c r="F84" s="235"/>
      <c r="G84" s="235"/>
      <c r="H84" s="235"/>
      <c r="I84" s="235"/>
      <c r="J84" s="235"/>
      <c r="K84" s="236"/>
    </row>
    <row r="85" spans="1:11" ht="13.8">
      <c r="A85" s="235"/>
      <c r="B85" s="235"/>
      <c r="C85" s="235"/>
      <c r="D85" s="234"/>
      <c r="E85" s="234"/>
      <c r="F85" s="235"/>
      <c r="G85" s="235"/>
      <c r="H85" s="235"/>
      <c r="I85" s="235"/>
      <c r="J85" s="235"/>
      <c r="K85" s="236"/>
    </row>
    <row r="86" spans="1:11" ht="13.8">
      <c r="A86" s="235"/>
      <c r="B86" s="235"/>
      <c r="C86" s="235"/>
      <c r="D86" s="234"/>
      <c r="E86" s="234"/>
      <c r="F86" s="235"/>
      <c r="G86" s="235"/>
      <c r="H86" s="235"/>
      <c r="I86" s="235"/>
      <c r="J86" s="235"/>
      <c r="K86" s="236"/>
    </row>
    <row r="87" spans="1:11" ht="13.8">
      <c r="A87" s="235"/>
      <c r="B87" s="235"/>
      <c r="C87" s="235"/>
      <c r="D87" s="234"/>
      <c r="E87" s="234"/>
      <c r="F87" s="235"/>
      <c r="G87" s="235"/>
      <c r="H87" s="235"/>
      <c r="I87" s="235"/>
      <c r="J87" s="235"/>
      <c r="K87" s="236"/>
    </row>
    <row r="88" spans="1:11" ht="13.8">
      <c r="A88" s="235"/>
      <c r="B88" s="235"/>
      <c r="C88" s="235"/>
      <c r="D88" s="234"/>
      <c r="E88" s="234"/>
      <c r="F88" s="235"/>
      <c r="G88" s="235"/>
      <c r="H88" s="235"/>
      <c r="I88" s="235"/>
      <c r="J88" s="235"/>
      <c r="K88" s="236"/>
    </row>
    <row r="89" spans="1:11" ht="13.8">
      <c r="A89" s="235"/>
      <c r="B89" s="235"/>
      <c r="C89" s="235"/>
      <c r="D89" s="234"/>
      <c r="E89" s="234"/>
      <c r="F89" s="235"/>
      <c r="G89" s="235"/>
      <c r="H89" s="235"/>
      <c r="I89" s="235"/>
      <c r="J89" s="235"/>
      <c r="K89" s="236"/>
    </row>
    <row r="90" spans="1:11" ht="13.8">
      <c r="A90" s="235"/>
      <c r="B90" s="235"/>
      <c r="C90" s="235"/>
      <c r="D90" s="234"/>
      <c r="E90" s="234"/>
      <c r="F90" s="235"/>
      <c r="G90" s="235"/>
      <c r="H90" s="235"/>
      <c r="I90" s="235"/>
      <c r="J90" s="235"/>
      <c r="K90" s="236"/>
    </row>
    <row r="91" spans="1:11" ht="13.8">
      <c r="A91" s="235"/>
      <c r="B91" s="235"/>
      <c r="C91" s="235"/>
      <c r="D91" s="234"/>
      <c r="E91" s="234"/>
      <c r="F91" s="235"/>
      <c r="G91" s="235"/>
      <c r="H91" s="235"/>
      <c r="I91" s="235"/>
      <c r="J91" s="235"/>
      <c r="K91" s="236"/>
    </row>
    <row r="92" spans="1:11" ht="13.8">
      <c r="A92" s="235"/>
      <c r="B92" s="235"/>
      <c r="C92" s="235"/>
      <c r="D92" s="234"/>
      <c r="E92" s="234"/>
      <c r="F92" s="235"/>
      <c r="G92" s="235"/>
      <c r="H92" s="235"/>
      <c r="I92" s="235"/>
      <c r="J92" s="235"/>
      <c r="K92" s="236"/>
    </row>
    <row r="93" spans="1:11" ht="13.8">
      <c r="A93" s="235"/>
      <c r="B93" s="235"/>
      <c r="C93" s="235"/>
      <c r="D93" s="234"/>
      <c r="E93" s="234"/>
      <c r="F93" s="235"/>
      <c r="G93" s="235"/>
      <c r="H93" s="235"/>
      <c r="I93" s="235"/>
      <c r="J93" s="235"/>
      <c r="K93" s="236"/>
    </row>
    <row r="94" spans="1:11" ht="13.8">
      <c r="A94" s="235"/>
      <c r="B94" s="235"/>
      <c r="C94" s="235"/>
      <c r="D94" s="234"/>
      <c r="E94" s="234"/>
      <c r="F94" s="235"/>
      <c r="G94" s="235"/>
      <c r="H94" s="235"/>
      <c r="I94" s="235"/>
      <c r="J94" s="235"/>
      <c r="K94" s="236"/>
    </row>
    <row r="95" spans="1:11" ht="13.8">
      <c r="A95" s="235"/>
      <c r="B95" s="235"/>
      <c r="C95" s="235"/>
      <c r="D95" s="234"/>
      <c r="E95" s="234"/>
      <c r="F95" s="235"/>
      <c r="G95" s="235"/>
      <c r="H95" s="235"/>
      <c r="I95" s="235"/>
      <c r="J95" s="235"/>
      <c r="K95" s="236"/>
    </row>
    <row r="96" spans="1:11" ht="13.8">
      <c r="A96" s="235"/>
      <c r="B96" s="235"/>
      <c r="C96" s="235"/>
      <c r="D96" s="234"/>
      <c r="E96" s="234"/>
      <c r="F96" s="235"/>
      <c r="G96" s="235"/>
      <c r="H96" s="235"/>
      <c r="I96" s="235"/>
      <c r="J96" s="235"/>
      <c r="K96" s="236"/>
    </row>
    <row r="97" spans="1:11" ht="13.8">
      <c r="A97" s="235"/>
      <c r="B97" s="235"/>
      <c r="C97" s="235"/>
      <c r="D97" s="234"/>
      <c r="E97" s="234"/>
      <c r="F97" s="235"/>
      <c r="G97" s="235"/>
      <c r="H97" s="235"/>
      <c r="I97" s="235"/>
      <c r="J97" s="235"/>
      <c r="K97" s="236"/>
    </row>
    <row r="98" spans="1:11" ht="13.8">
      <c r="A98" s="235"/>
      <c r="B98" s="235"/>
      <c r="C98" s="235"/>
      <c r="D98" s="234"/>
      <c r="E98" s="234"/>
      <c r="F98" s="235"/>
      <c r="G98" s="235"/>
      <c r="H98" s="235"/>
      <c r="I98" s="235"/>
      <c r="J98" s="235"/>
      <c r="K98" s="236"/>
    </row>
    <row r="99" spans="1:11" ht="13.8">
      <c r="A99" s="235"/>
      <c r="B99" s="235"/>
      <c r="C99" s="235"/>
      <c r="D99" s="234"/>
      <c r="E99" s="234"/>
      <c r="F99" s="235"/>
      <c r="G99" s="235"/>
      <c r="H99" s="235"/>
      <c r="I99" s="235"/>
      <c r="J99" s="235"/>
      <c r="K99" s="236"/>
    </row>
    <row r="100" spans="1:11" ht="13.8">
      <c r="A100" s="235"/>
      <c r="B100" s="235"/>
      <c r="C100" s="235"/>
      <c r="D100" s="234"/>
      <c r="E100" s="234"/>
      <c r="F100" s="235"/>
      <c r="G100" s="235"/>
      <c r="H100" s="235"/>
      <c r="I100" s="235"/>
      <c r="J100" s="235"/>
      <c r="K100" s="236"/>
    </row>
    <row r="101" spans="1:11" ht="13.8">
      <c r="A101" s="235"/>
      <c r="B101" s="235"/>
      <c r="C101" s="235"/>
      <c r="D101" s="234"/>
      <c r="E101" s="234"/>
      <c r="F101" s="235"/>
      <c r="G101" s="235"/>
      <c r="H101" s="235"/>
      <c r="I101" s="235"/>
      <c r="J101" s="235"/>
      <c r="K101" s="236"/>
    </row>
    <row r="102" spans="1:11" ht="13.8">
      <c r="A102" s="235"/>
      <c r="B102" s="235"/>
      <c r="C102" s="235"/>
      <c r="D102" s="234"/>
      <c r="E102" s="234"/>
      <c r="F102" s="235"/>
      <c r="G102" s="235"/>
      <c r="H102" s="235"/>
      <c r="I102" s="235"/>
      <c r="J102" s="235"/>
      <c r="K102" s="236"/>
    </row>
    <row r="103" spans="1:11" ht="13.8">
      <c r="A103" s="235"/>
      <c r="B103" s="235"/>
      <c r="C103" s="235"/>
      <c r="D103" s="234"/>
      <c r="E103" s="234"/>
      <c r="F103" s="235"/>
      <c r="G103" s="235"/>
      <c r="H103" s="235"/>
      <c r="I103" s="235"/>
      <c r="J103" s="235"/>
      <c r="K103" s="236"/>
    </row>
    <row r="104" spans="1:11" ht="13.8">
      <c r="A104" s="235"/>
      <c r="B104" s="235"/>
      <c r="C104" s="235"/>
      <c r="D104" s="234"/>
      <c r="E104" s="234"/>
      <c r="F104" s="235"/>
      <c r="G104" s="235"/>
      <c r="H104" s="235"/>
      <c r="I104" s="235"/>
      <c r="J104" s="235"/>
      <c r="K104" s="236"/>
    </row>
    <row r="105" spans="1:11" ht="13.8">
      <c r="A105" s="235"/>
      <c r="B105" s="235"/>
      <c r="C105" s="235"/>
      <c r="D105" s="234"/>
      <c r="E105" s="234"/>
      <c r="F105" s="235"/>
      <c r="G105" s="235"/>
      <c r="H105" s="235"/>
      <c r="I105" s="235"/>
      <c r="J105" s="235"/>
      <c r="K105" s="236"/>
    </row>
    <row r="106" spans="1:11" ht="13.8">
      <c r="A106" s="235"/>
      <c r="B106" s="235"/>
      <c r="C106" s="235"/>
      <c r="D106" s="234"/>
      <c r="E106" s="234"/>
      <c r="F106" s="235"/>
      <c r="G106" s="235"/>
      <c r="H106" s="235"/>
      <c r="I106" s="235"/>
      <c r="J106" s="235"/>
      <c r="K106" s="236"/>
    </row>
    <row r="107" spans="1:11" ht="13.8">
      <c r="A107" s="235"/>
      <c r="B107" s="235"/>
      <c r="C107" s="235"/>
      <c r="D107" s="234"/>
      <c r="E107" s="234"/>
      <c r="F107" s="235"/>
      <c r="G107" s="235"/>
      <c r="H107" s="235"/>
      <c r="I107" s="235"/>
      <c r="J107" s="235"/>
      <c r="K107" s="236"/>
    </row>
    <row r="108" spans="1:11" ht="13.8">
      <c r="A108" s="235"/>
      <c r="B108" s="235"/>
      <c r="C108" s="235"/>
      <c r="D108" s="234"/>
      <c r="E108" s="234"/>
      <c r="F108" s="235"/>
      <c r="G108" s="235"/>
      <c r="H108" s="235"/>
      <c r="I108" s="235"/>
      <c r="J108" s="235"/>
      <c r="K108" s="236"/>
    </row>
    <row r="109" spans="1:11" ht="13.8">
      <c r="A109" s="235"/>
      <c r="B109" s="235"/>
      <c r="C109" s="235"/>
      <c r="D109" s="234"/>
      <c r="E109" s="234"/>
      <c r="F109" s="235"/>
      <c r="G109" s="235"/>
      <c r="H109" s="235"/>
      <c r="I109" s="235"/>
      <c r="J109" s="235"/>
      <c r="K109" s="236"/>
    </row>
    <row r="110" spans="1:11" ht="13.8">
      <c r="A110" s="235"/>
      <c r="B110" s="235"/>
      <c r="C110" s="235"/>
      <c r="D110" s="234"/>
      <c r="E110" s="234"/>
      <c r="F110" s="235"/>
      <c r="G110" s="235"/>
      <c r="H110" s="235"/>
      <c r="I110" s="235"/>
      <c r="J110" s="235"/>
      <c r="K110" s="236"/>
    </row>
    <row r="111" spans="1:11" ht="13.8">
      <c r="A111" s="235"/>
      <c r="B111" s="235"/>
      <c r="C111" s="235"/>
      <c r="D111" s="234"/>
      <c r="E111" s="234"/>
      <c r="F111" s="235"/>
      <c r="G111" s="235"/>
      <c r="H111" s="235"/>
      <c r="I111" s="235"/>
      <c r="J111" s="235"/>
      <c r="K111" s="236"/>
    </row>
    <row r="112" spans="1:11" ht="13.8">
      <c r="A112" s="235"/>
      <c r="B112" s="235"/>
      <c r="C112" s="235"/>
      <c r="D112" s="234"/>
      <c r="E112" s="234"/>
      <c r="F112" s="235"/>
      <c r="G112" s="235"/>
      <c r="H112" s="235"/>
      <c r="I112" s="235"/>
      <c r="J112" s="235"/>
      <c r="K112" s="236"/>
    </row>
    <row r="113" spans="1:11" ht="13.8">
      <c r="A113" s="235"/>
      <c r="B113" s="235"/>
      <c r="C113" s="235"/>
      <c r="D113" s="234"/>
      <c r="E113" s="234"/>
      <c r="F113" s="235"/>
      <c r="G113" s="235"/>
      <c r="H113" s="235"/>
      <c r="I113" s="235"/>
      <c r="J113" s="235"/>
      <c r="K113" s="236"/>
    </row>
    <row r="114" spans="1:11" ht="13.8">
      <c r="A114" s="235"/>
      <c r="B114" s="235"/>
      <c r="C114" s="235"/>
      <c r="D114" s="234"/>
      <c r="E114" s="234"/>
      <c r="F114" s="235"/>
      <c r="G114" s="235"/>
      <c r="H114" s="235"/>
      <c r="I114" s="235"/>
      <c r="J114" s="235"/>
      <c r="K114" s="236"/>
    </row>
    <row r="115" spans="1:11" ht="13.8">
      <c r="A115" s="235"/>
      <c r="B115" s="235"/>
      <c r="C115" s="235"/>
      <c r="D115" s="234"/>
      <c r="E115" s="234"/>
      <c r="F115" s="235"/>
      <c r="G115" s="235"/>
      <c r="H115" s="235"/>
      <c r="I115" s="235"/>
      <c r="J115" s="235"/>
      <c r="K115" s="236"/>
    </row>
    <row r="116" spans="1:11" ht="13.8">
      <c r="A116" s="235"/>
      <c r="B116" s="235"/>
      <c r="C116" s="235"/>
      <c r="D116" s="234"/>
      <c r="E116" s="234"/>
      <c r="F116" s="235"/>
      <c r="G116" s="235"/>
      <c r="H116" s="235"/>
      <c r="I116" s="235"/>
      <c r="J116" s="235"/>
      <c r="K116" s="236"/>
    </row>
    <row r="117" spans="1:11" ht="13.8">
      <c r="A117" s="235"/>
      <c r="B117" s="235"/>
      <c r="C117" s="235"/>
      <c r="D117" s="234"/>
      <c r="E117" s="234"/>
      <c r="F117" s="235"/>
      <c r="G117" s="235"/>
      <c r="H117" s="235"/>
      <c r="I117" s="235"/>
      <c r="J117" s="235"/>
      <c r="K117" s="236"/>
    </row>
    <row r="118" spans="1:11" ht="13.8">
      <c r="A118" s="235"/>
      <c r="B118" s="235"/>
      <c r="C118" s="235"/>
      <c r="D118" s="234"/>
      <c r="E118" s="234"/>
      <c r="F118" s="235"/>
      <c r="G118" s="235"/>
      <c r="H118" s="235"/>
      <c r="I118" s="235"/>
      <c r="J118" s="235"/>
      <c r="K118" s="236"/>
    </row>
    <row r="119" spans="1:11" ht="13.8">
      <c r="A119" s="235"/>
      <c r="B119" s="235"/>
      <c r="C119" s="235"/>
      <c r="D119" s="234"/>
      <c r="E119" s="234"/>
      <c r="F119" s="235"/>
      <c r="G119" s="235"/>
      <c r="H119" s="235"/>
      <c r="I119" s="235"/>
      <c r="J119" s="235"/>
      <c r="K119" s="236"/>
    </row>
    <row r="120" spans="1:11" ht="13.8">
      <c r="A120" s="235"/>
      <c r="B120" s="235"/>
      <c r="C120" s="235"/>
      <c r="D120" s="234"/>
      <c r="E120" s="234"/>
      <c r="F120" s="235"/>
      <c r="G120" s="235"/>
      <c r="H120" s="235"/>
      <c r="I120" s="235"/>
      <c r="J120" s="235"/>
      <c r="K120" s="236"/>
    </row>
    <row r="121" spans="1:11" ht="13.8">
      <c r="A121" s="235"/>
      <c r="B121" s="235"/>
      <c r="C121" s="235"/>
      <c r="D121" s="234"/>
      <c r="E121" s="234"/>
      <c r="F121" s="235"/>
      <c r="G121" s="235"/>
      <c r="H121" s="235"/>
      <c r="I121" s="235"/>
      <c r="J121" s="235"/>
      <c r="K121" s="236"/>
    </row>
    <row r="122" spans="1:11" ht="13.8">
      <c r="A122" s="235"/>
      <c r="B122" s="235"/>
      <c r="C122" s="235"/>
      <c r="D122" s="234"/>
      <c r="E122" s="234"/>
      <c r="F122" s="235"/>
      <c r="G122" s="235"/>
      <c r="H122" s="235"/>
      <c r="I122" s="235"/>
      <c r="J122" s="235"/>
      <c r="K122" s="236"/>
    </row>
    <row r="123" spans="1:11" ht="13.8">
      <c r="A123" s="235"/>
      <c r="B123" s="235"/>
      <c r="C123" s="235"/>
      <c r="D123" s="234"/>
      <c r="E123" s="234"/>
      <c r="F123" s="235"/>
      <c r="G123" s="235"/>
      <c r="H123" s="235"/>
      <c r="I123" s="235"/>
      <c r="J123" s="235"/>
      <c r="K123" s="236"/>
    </row>
    <row r="124" spans="1:11" ht="13.8">
      <c r="A124" s="235"/>
      <c r="B124" s="235"/>
      <c r="C124" s="235"/>
      <c r="D124" s="234"/>
      <c r="E124" s="234"/>
      <c r="F124" s="235"/>
      <c r="G124" s="235"/>
      <c r="H124" s="235"/>
      <c r="I124" s="235"/>
      <c r="J124" s="235"/>
      <c r="K124" s="236"/>
    </row>
    <row r="125" spans="1:11" ht="13.8">
      <c r="A125" s="235"/>
      <c r="B125" s="235"/>
      <c r="C125" s="235"/>
      <c r="D125" s="234"/>
      <c r="E125" s="234"/>
      <c r="F125" s="235"/>
      <c r="G125" s="235"/>
      <c r="H125" s="235"/>
      <c r="I125" s="235"/>
      <c r="J125" s="235"/>
      <c r="K125" s="236"/>
    </row>
    <row r="126" spans="1:11" ht="13.8">
      <c r="A126" s="235"/>
      <c r="B126" s="235"/>
      <c r="C126" s="235"/>
      <c r="D126" s="234"/>
      <c r="E126" s="234"/>
      <c r="F126" s="235"/>
      <c r="G126" s="235"/>
      <c r="H126" s="235"/>
      <c r="I126" s="235"/>
      <c r="J126" s="235"/>
      <c r="K126" s="236"/>
    </row>
    <row r="127" spans="1:11" ht="13.8">
      <c r="A127" s="235"/>
      <c r="B127" s="235"/>
      <c r="C127" s="235"/>
      <c r="D127" s="234"/>
      <c r="E127" s="234"/>
      <c r="F127" s="235"/>
      <c r="G127" s="235"/>
      <c r="H127" s="235"/>
      <c r="I127" s="235"/>
      <c r="J127" s="235"/>
      <c r="K127" s="236"/>
    </row>
    <row r="128" spans="1:11" ht="13.8">
      <c r="A128" s="235"/>
      <c r="B128" s="235"/>
      <c r="C128" s="235"/>
      <c r="D128" s="234"/>
      <c r="E128" s="234"/>
      <c r="F128" s="235"/>
      <c r="G128" s="235"/>
      <c r="H128" s="235"/>
      <c r="I128" s="235"/>
      <c r="J128" s="235"/>
      <c r="K128" s="236"/>
    </row>
    <row r="129" spans="1:11" ht="13.8">
      <c r="A129" s="235"/>
      <c r="B129" s="235"/>
      <c r="C129" s="235"/>
      <c r="D129" s="234"/>
      <c r="E129" s="234"/>
      <c r="F129" s="235"/>
      <c r="G129" s="235"/>
      <c r="H129" s="235"/>
      <c r="I129" s="235"/>
      <c r="J129" s="235"/>
      <c r="K129" s="236"/>
    </row>
    <row r="130" spans="1:11" ht="13.8">
      <c r="A130" s="235"/>
      <c r="B130" s="235"/>
      <c r="C130" s="235"/>
      <c r="D130" s="234"/>
      <c r="E130" s="234"/>
      <c r="F130" s="235"/>
      <c r="G130" s="235"/>
      <c r="H130" s="235"/>
      <c r="I130" s="235"/>
      <c r="J130" s="235"/>
      <c r="K130" s="236"/>
    </row>
    <row r="131" spans="1:11" ht="13.8">
      <c r="A131" s="235"/>
      <c r="B131" s="235"/>
      <c r="C131" s="235"/>
      <c r="D131" s="234"/>
      <c r="E131" s="234"/>
      <c r="F131" s="235"/>
      <c r="G131" s="235"/>
      <c r="H131" s="235"/>
      <c r="I131" s="235"/>
      <c r="J131" s="235"/>
      <c r="K131" s="236"/>
    </row>
    <row r="132" spans="1:11" ht="13.8">
      <c r="A132" s="235"/>
      <c r="B132" s="235"/>
      <c r="C132" s="235"/>
      <c r="D132" s="234"/>
      <c r="E132" s="234"/>
      <c r="F132" s="235"/>
      <c r="G132" s="235"/>
      <c r="H132" s="235"/>
      <c r="I132" s="235"/>
      <c r="J132" s="235"/>
      <c r="K132" s="236"/>
    </row>
    <row r="133" spans="1:11" ht="13.8">
      <c r="A133" s="235"/>
      <c r="B133" s="235"/>
      <c r="C133" s="235"/>
      <c r="D133" s="234"/>
      <c r="E133" s="234"/>
      <c r="F133" s="235"/>
      <c r="G133" s="235"/>
      <c r="H133" s="235"/>
      <c r="I133" s="235"/>
      <c r="J133" s="235"/>
      <c r="K133" s="236"/>
    </row>
    <row r="134" spans="1:11" ht="13.8">
      <c r="A134" s="235"/>
      <c r="B134" s="235"/>
      <c r="C134" s="235"/>
      <c r="D134" s="234"/>
      <c r="E134" s="234"/>
      <c r="F134" s="235"/>
      <c r="G134" s="235"/>
      <c r="H134" s="235"/>
      <c r="I134" s="235"/>
      <c r="J134" s="235"/>
      <c r="K134" s="236"/>
    </row>
    <row r="135" spans="1:11" ht="13.8">
      <c r="A135" s="235"/>
      <c r="B135" s="235"/>
      <c r="C135" s="235"/>
      <c r="D135" s="234"/>
      <c r="E135" s="234"/>
      <c r="F135" s="235"/>
      <c r="G135" s="235"/>
      <c r="H135" s="235"/>
      <c r="I135" s="235"/>
      <c r="J135" s="235"/>
      <c r="K135" s="236"/>
    </row>
    <row r="136" spans="1:11" ht="13.8">
      <c r="A136" s="235"/>
      <c r="B136" s="235"/>
      <c r="C136" s="235"/>
      <c r="D136" s="234"/>
      <c r="E136" s="234"/>
      <c r="F136" s="235"/>
      <c r="G136" s="235"/>
      <c r="H136" s="235"/>
      <c r="I136" s="235"/>
      <c r="J136" s="235"/>
      <c r="K136" s="236"/>
    </row>
    <row r="137" spans="1:11" ht="13.8">
      <c r="A137" s="235"/>
      <c r="B137" s="235"/>
      <c r="C137" s="235"/>
      <c r="D137" s="234"/>
      <c r="E137" s="234"/>
      <c r="F137" s="235"/>
      <c r="G137" s="235"/>
      <c r="H137" s="235"/>
      <c r="I137" s="235"/>
      <c r="J137" s="235"/>
      <c r="K137" s="236"/>
    </row>
    <row r="138" spans="1:11" ht="13.8">
      <c r="A138" s="235"/>
      <c r="B138" s="235"/>
      <c r="C138" s="235"/>
      <c r="D138" s="234"/>
      <c r="E138" s="234"/>
      <c r="F138" s="235"/>
      <c r="G138" s="235"/>
      <c r="H138" s="235"/>
      <c r="I138" s="235"/>
      <c r="J138" s="235"/>
      <c r="K138" s="236"/>
    </row>
    <row r="139" spans="1:11" ht="13.8">
      <c r="A139" s="235"/>
      <c r="B139" s="235"/>
      <c r="C139" s="235"/>
      <c r="D139" s="234"/>
      <c r="E139" s="234"/>
      <c r="F139" s="235"/>
      <c r="G139" s="235"/>
      <c r="H139" s="235"/>
      <c r="I139" s="235"/>
      <c r="J139" s="235"/>
      <c r="K139" s="236"/>
    </row>
    <row r="140" spans="1:11" ht="13.8">
      <c r="A140" s="235"/>
      <c r="B140" s="235"/>
      <c r="C140" s="235"/>
      <c r="D140" s="234"/>
      <c r="E140" s="234"/>
      <c r="F140" s="235"/>
      <c r="G140" s="235"/>
      <c r="H140" s="235"/>
      <c r="I140" s="235"/>
      <c r="J140" s="235"/>
      <c r="K140" s="236"/>
    </row>
    <row r="141" spans="1:11" ht="13.8">
      <c r="A141" s="235"/>
      <c r="B141" s="235"/>
      <c r="C141" s="235"/>
      <c r="D141" s="234"/>
      <c r="E141" s="234"/>
      <c r="F141" s="235"/>
      <c r="G141" s="235"/>
      <c r="H141" s="235"/>
      <c r="I141" s="235"/>
      <c r="J141" s="235"/>
      <c r="K141" s="236"/>
    </row>
    <row r="142" spans="1:11" ht="13.8">
      <c r="A142" s="235"/>
      <c r="B142" s="235"/>
      <c r="C142" s="235"/>
      <c r="D142" s="234"/>
      <c r="E142" s="234"/>
      <c r="F142" s="235"/>
      <c r="G142" s="235"/>
      <c r="H142" s="235"/>
      <c r="I142" s="235"/>
      <c r="J142" s="235"/>
      <c r="K142" s="236"/>
    </row>
    <row r="143" spans="1:11" ht="13.8">
      <c r="A143" s="235"/>
      <c r="B143" s="235"/>
      <c r="C143" s="235"/>
      <c r="D143" s="234"/>
      <c r="E143" s="234"/>
      <c r="F143" s="235"/>
      <c r="G143" s="235"/>
      <c r="H143" s="235"/>
      <c r="I143" s="235"/>
      <c r="J143" s="235"/>
      <c r="K143" s="236"/>
    </row>
    <row r="144" spans="1:11" ht="13.8">
      <c r="A144" s="235"/>
      <c r="B144" s="235"/>
      <c r="C144" s="235"/>
      <c r="D144" s="234"/>
      <c r="E144" s="234"/>
      <c r="F144" s="235"/>
      <c r="G144" s="235"/>
      <c r="H144" s="235"/>
      <c r="I144" s="235"/>
      <c r="J144" s="235"/>
      <c r="K144" s="236"/>
    </row>
    <row r="145" spans="1:11" ht="13.8">
      <c r="A145" s="235"/>
      <c r="B145" s="235"/>
      <c r="C145" s="235"/>
      <c r="D145" s="234"/>
      <c r="E145" s="234"/>
      <c r="F145" s="235"/>
      <c r="G145" s="235"/>
      <c r="H145" s="235"/>
      <c r="I145" s="235"/>
      <c r="J145" s="235"/>
      <c r="K145" s="236"/>
    </row>
    <row r="146" spans="1:11" ht="13.8">
      <c r="A146" s="235"/>
      <c r="B146" s="235"/>
      <c r="C146" s="235"/>
      <c r="D146" s="234"/>
      <c r="E146" s="234"/>
      <c r="F146" s="235"/>
      <c r="G146" s="235"/>
      <c r="H146" s="235"/>
      <c r="I146" s="235"/>
      <c r="J146" s="235"/>
      <c r="K146" s="236"/>
    </row>
    <row r="147" spans="1:11" ht="13.8">
      <c r="A147" s="235"/>
      <c r="B147" s="235"/>
      <c r="C147" s="235"/>
      <c r="D147" s="234"/>
      <c r="E147" s="234"/>
      <c r="F147" s="235"/>
      <c r="G147" s="235"/>
      <c r="H147" s="235"/>
      <c r="I147" s="235"/>
      <c r="J147" s="235"/>
      <c r="K147" s="236"/>
    </row>
    <row r="148" spans="1:11" ht="13.8">
      <c r="A148" s="235"/>
      <c r="B148" s="235"/>
      <c r="C148" s="235"/>
      <c r="D148" s="234"/>
      <c r="E148" s="234"/>
      <c r="F148" s="235"/>
      <c r="G148" s="235"/>
      <c r="H148" s="235"/>
      <c r="I148" s="235"/>
      <c r="J148" s="235"/>
      <c r="K148" s="236"/>
    </row>
    <row r="149" spans="1:11" ht="13.8">
      <c r="A149" s="235"/>
      <c r="B149" s="235"/>
      <c r="C149" s="235"/>
      <c r="D149" s="234"/>
      <c r="E149" s="234"/>
      <c r="F149" s="235"/>
      <c r="G149" s="235"/>
      <c r="H149" s="235"/>
      <c r="I149" s="235"/>
      <c r="J149" s="235"/>
      <c r="K149" s="236"/>
    </row>
    <row r="150" spans="1:11" ht="13.8">
      <c r="A150" s="235"/>
      <c r="B150" s="235"/>
      <c r="C150" s="235"/>
      <c r="D150" s="234"/>
      <c r="E150" s="234"/>
      <c r="F150" s="235"/>
      <c r="G150" s="235"/>
      <c r="H150" s="235"/>
      <c r="I150" s="235"/>
      <c r="J150" s="235"/>
      <c r="K150" s="236"/>
    </row>
    <row r="151" spans="1:11" ht="13.8">
      <c r="A151" s="235"/>
      <c r="B151" s="235"/>
      <c r="C151" s="235"/>
      <c r="D151" s="234"/>
      <c r="E151" s="234"/>
      <c r="F151" s="235"/>
      <c r="G151" s="235"/>
      <c r="H151" s="235"/>
      <c r="I151" s="235"/>
      <c r="J151" s="235"/>
      <c r="K151" s="236"/>
    </row>
    <row r="152" spans="1:11" ht="13.8">
      <c r="A152" s="235"/>
      <c r="B152" s="235"/>
      <c r="C152" s="235"/>
      <c r="D152" s="234"/>
      <c r="E152" s="234"/>
      <c r="F152" s="235"/>
      <c r="G152" s="235"/>
      <c r="H152" s="235"/>
      <c r="I152" s="235"/>
      <c r="J152" s="235"/>
      <c r="K152" s="236"/>
    </row>
    <row r="153" spans="1:11" ht="13.8">
      <c r="A153" s="235"/>
      <c r="B153" s="235"/>
      <c r="C153" s="235"/>
      <c r="D153" s="234"/>
      <c r="E153" s="234"/>
      <c r="F153" s="235"/>
      <c r="G153" s="235"/>
      <c r="H153" s="235"/>
      <c r="I153" s="235"/>
      <c r="J153" s="235"/>
      <c r="K153" s="236"/>
    </row>
    <row r="154" spans="1:11" ht="13.8">
      <c r="A154" s="235"/>
      <c r="B154" s="235"/>
      <c r="C154" s="235"/>
      <c r="D154" s="234"/>
      <c r="E154" s="234"/>
      <c r="F154" s="235"/>
      <c r="G154" s="235"/>
      <c r="H154" s="235"/>
      <c r="I154" s="235"/>
      <c r="J154" s="235"/>
      <c r="K154" s="236"/>
    </row>
    <row r="155" spans="1:11" ht="13.8">
      <c r="A155" s="235"/>
      <c r="B155" s="235"/>
      <c r="C155" s="235"/>
      <c r="D155" s="234"/>
      <c r="E155" s="234"/>
      <c r="F155" s="235"/>
      <c r="G155" s="235"/>
      <c r="H155" s="235"/>
      <c r="I155" s="235"/>
      <c r="J155" s="235"/>
      <c r="K155" s="236"/>
    </row>
    <row r="156" spans="1:11" ht="13.8">
      <c r="A156" s="235"/>
      <c r="B156" s="235"/>
      <c r="C156" s="235"/>
      <c r="D156" s="234"/>
      <c r="E156" s="234"/>
      <c r="F156" s="235"/>
      <c r="G156" s="235"/>
      <c r="H156" s="235"/>
      <c r="I156" s="235"/>
      <c r="J156" s="235"/>
      <c r="K156" s="236"/>
    </row>
    <row r="157" spans="1:11" ht="13.8">
      <c r="A157" s="235"/>
      <c r="B157" s="235"/>
      <c r="C157" s="235"/>
      <c r="D157" s="234"/>
      <c r="E157" s="234"/>
      <c r="F157" s="235"/>
      <c r="G157" s="235"/>
      <c r="H157" s="235"/>
      <c r="I157" s="235"/>
      <c r="J157" s="235"/>
      <c r="K157" s="236"/>
    </row>
    <row r="158" spans="1:11" ht="13.8">
      <c r="A158" s="235"/>
      <c r="B158" s="235"/>
      <c r="C158" s="235"/>
      <c r="D158" s="234"/>
      <c r="E158" s="234"/>
      <c r="F158" s="235"/>
      <c r="G158" s="235"/>
      <c r="H158" s="235"/>
      <c r="I158" s="235"/>
      <c r="J158" s="235"/>
      <c r="K158" s="236"/>
    </row>
    <row r="159" spans="1:11" ht="13.8">
      <c r="A159" s="235"/>
      <c r="B159" s="235"/>
      <c r="C159" s="235"/>
      <c r="D159" s="234"/>
      <c r="E159" s="234"/>
      <c r="F159" s="235"/>
      <c r="G159" s="235"/>
      <c r="H159" s="235"/>
      <c r="I159" s="235"/>
      <c r="J159" s="235"/>
      <c r="K159" s="236"/>
    </row>
    <row r="160" spans="1:11" ht="13.8">
      <c r="A160" s="235"/>
      <c r="B160" s="235"/>
      <c r="C160" s="235"/>
      <c r="D160" s="234"/>
      <c r="E160" s="234"/>
      <c r="F160" s="235"/>
      <c r="G160" s="235"/>
      <c r="H160" s="235"/>
      <c r="I160" s="235"/>
      <c r="J160" s="235"/>
      <c r="K160" s="236"/>
    </row>
    <row r="161" spans="1:11" ht="13.8">
      <c r="A161" s="235"/>
      <c r="B161" s="235"/>
      <c r="C161" s="235"/>
      <c r="D161" s="234"/>
      <c r="E161" s="234"/>
      <c r="F161" s="235"/>
      <c r="G161" s="235"/>
      <c r="H161" s="235"/>
      <c r="I161" s="235"/>
      <c r="J161" s="235"/>
      <c r="K161" s="236"/>
    </row>
    <row r="162" spans="1:11" ht="13.8">
      <c r="A162" s="235"/>
      <c r="B162" s="235"/>
      <c r="C162" s="235"/>
      <c r="D162" s="234"/>
      <c r="E162" s="234"/>
      <c r="F162" s="235"/>
      <c r="G162" s="235"/>
      <c r="H162" s="235"/>
      <c r="I162" s="235"/>
      <c r="J162" s="235"/>
      <c r="K162" s="236"/>
    </row>
    <row r="163" spans="1:11" ht="13.8">
      <c r="A163" s="235"/>
      <c r="B163" s="235"/>
      <c r="C163" s="235"/>
      <c r="D163" s="234"/>
      <c r="E163" s="234"/>
      <c r="F163" s="235"/>
      <c r="G163" s="235"/>
      <c r="H163" s="235"/>
      <c r="I163" s="235"/>
      <c r="J163" s="235"/>
      <c r="K163" s="236"/>
    </row>
    <row r="164" spans="1:11" ht="13.8">
      <c r="A164" s="235"/>
      <c r="B164" s="235"/>
      <c r="C164" s="235"/>
      <c r="D164" s="234"/>
      <c r="E164" s="234"/>
      <c r="F164" s="235"/>
      <c r="G164" s="235"/>
      <c r="H164" s="235"/>
      <c r="I164" s="235"/>
      <c r="J164" s="235"/>
      <c r="K164" s="236"/>
    </row>
    <row r="165" spans="1:11" ht="13.8">
      <c r="A165" s="235"/>
      <c r="B165" s="235"/>
      <c r="C165" s="235"/>
      <c r="D165" s="234"/>
      <c r="E165" s="234"/>
      <c r="F165" s="235"/>
      <c r="G165" s="235"/>
      <c r="H165" s="235"/>
      <c r="I165" s="235"/>
      <c r="J165" s="235"/>
      <c r="K165" s="236"/>
    </row>
    <row r="166" spans="1:11" ht="13.8">
      <c r="A166" s="235"/>
      <c r="B166" s="235"/>
      <c r="C166" s="235"/>
      <c r="D166" s="234"/>
      <c r="E166" s="234"/>
      <c r="F166" s="235"/>
      <c r="G166" s="235"/>
      <c r="H166" s="235"/>
      <c r="I166" s="235"/>
      <c r="J166" s="235"/>
      <c r="K166" s="236"/>
    </row>
    <row r="167" spans="1:11" ht="13.8">
      <c r="A167" s="235"/>
      <c r="B167" s="235"/>
      <c r="C167" s="235"/>
      <c r="D167" s="234"/>
      <c r="E167" s="234"/>
      <c r="F167" s="235"/>
      <c r="G167" s="235"/>
      <c r="H167" s="235"/>
      <c r="I167" s="235"/>
      <c r="J167" s="235"/>
      <c r="K167" s="236"/>
    </row>
    <row r="168" spans="1:11" ht="13.8">
      <c r="A168" s="235"/>
      <c r="B168" s="235"/>
      <c r="C168" s="235"/>
      <c r="D168" s="234"/>
      <c r="E168" s="234"/>
      <c r="F168" s="235"/>
      <c r="G168" s="235"/>
      <c r="H168" s="235"/>
      <c r="I168" s="235"/>
      <c r="J168" s="235"/>
      <c r="K168" s="236"/>
    </row>
    <row r="169" spans="1:11" ht="13.8">
      <c r="A169" s="235"/>
      <c r="B169" s="235"/>
      <c r="C169" s="235"/>
      <c r="D169" s="234"/>
      <c r="E169" s="234"/>
      <c r="F169" s="235"/>
      <c r="G169" s="235"/>
      <c r="H169" s="235"/>
      <c r="I169" s="235"/>
      <c r="J169" s="235"/>
      <c r="K169" s="236"/>
    </row>
    <row r="170" spans="1:11" ht="13.8">
      <c r="A170" s="235"/>
      <c r="B170" s="235"/>
      <c r="C170" s="235"/>
      <c r="D170" s="234"/>
      <c r="E170" s="234"/>
      <c r="F170" s="235"/>
      <c r="G170" s="235"/>
      <c r="H170" s="235"/>
      <c r="I170" s="235"/>
      <c r="J170" s="235"/>
      <c r="K170" s="236"/>
    </row>
    <row r="171" spans="1:11" ht="13.8">
      <c r="A171" s="235"/>
      <c r="B171" s="235"/>
      <c r="C171" s="235"/>
      <c r="D171" s="234"/>
      <c r="E171" s="234"/>
      <c r="F171" s="235"/>
      <c r="G171" s="235"/>
      <c r="H171" s="235"/>
      <c r="I171" s="235"/>
      <c r="J171" s="235"/>
      <c r="K171" s="236"/>
    </row>
    <row r="172" spans="1:11" ht="13.8">
      <c r="A172" s="235"/>
      <c r="B172" s="235"/>
      <c r="C172" s="235"/>
      <c r="D172" s="234"/>
      <c r="E172" s="234"/>
      <c r="F172" s="235"/>
      <c r="G172" s="235"/>
      <c r="H172" s="235"/>
      <c r="I172" s="235"/>
      <c r="J172" s="235"/>
      <c r="K172" s="236"/>
    </row>
    <row r="173" spans="1:11" ht="13.8">
      <c r="A173" s="235"/>
      <c r="B173" s="235"/>
      <c r="C173" s="235"/>
      <c r="D173" s="234"/>
      <c r="E173" s="234"/>
      <c r="F173" s="235"/>
      <c r="G173" s="235"/>
      <c r="H173" s="235"/>
      <c r="I173" s="235"/>
      <c r="J173" s="235"/>
      <c r="K173" s="236"/>
    </row>
    <row r="174" spans="1:11" ht="13.8">
      <c r="A174" s="235"/>
      <c r="B174" s="235"/>
      <c r="C174" s="235"/>
      <c r="D174" s="234"/>
      <c r="E174" s="234"/>
      <c r="F174" s="235"/>
      <c r="G174" s="235"/>
      <c r="H174" s="235"/>
      <c r="I174" s="235"/>
      <c r="J174" s="235"/>
      <c r="K174" s="236"/>
    </row>
    <row r="175" spans="1:11" ht="13.8">
      <c r="A175" s="235"/>
      <c r="B175" s="235"/>
      <c r="C175" s="235"/>
      <c r="D175" s="234"/>
      <c r="E175" s="234"/>
      <c r="F175" s="235"/>
      <c r="G175" s="235"/>
      <c r="H175" s="235"/>
      <c r="I175" s="235"/>
      <c r="J175" s="235"/>
      <c r="K175" s="236"/>
    </row>
    <row r="176" spans="1:11" ht="13.8">
      <c r="A176" s="235"/>
      <c r="B176" s="235"/>
      <c r="C176" s="235"/>
      <c r="D176" s="234"/>
      <c r="E176" s="234"/>
      <c r="F176" s="235"/>
      <c r="G176" s="235"/>
      <c r="H176" s="235"/>
      <c r="I176" s="235"/>
      <c r="J176" s="235"/>
      <c r="K176" s="236"/>
    </row>
    <row r="177" spans="1:11" ht="13.8">
      <c r="A177" s="235"/>
      <c r="B177" s="235"/>
      <c r="C177" s="235"/>
      <c r="D177" s="234"/>
      <c r="E177" s="234"/>
      <c r="F177" s="235"/>
      <c r="G177" s="235"/>
      <c r="H177" s="235"/>
      <c r="I177" s="235"/>
      <c r="J177" s="235"/>
      <c r="K177" s="236"/>
    </row>
    <row r="178" spans="1:11" ht="13.8">
      <c r="A178" s="235"/>
      <c r="B178" s="235"/>
      <c r="C178" s="235"/>
      <c r="D178" s="234"/>
      <c r="E178" s="234"/>
      <c r="F178" s="235"/>
      <c r="G178" s="235"/>
      <c r="H178" s="235"/>
      <c r="I178" s="235"/>
      <c r="J178" s="235"/>
      <c r="K178" s="236"/>
    </row>
    <row r="179" spans="1:11" ht="13.8">
      <c r="A179" s="235"/>
      <c r="B179" s="235"/>
      <c r="C179" s="235"/>
      <c r="D179" s="234"/>
      <c r="E179" s="234"/>
      <c r="F179" s="235"/>
      <c r="G179" s="235"/>
      <c r="H179" s="235"/>
      <c r="I179" s="235"/>
      <c r="J179" s="235"/>
      <c r="K179" s="236"/>
    </row>
    <row r="180" spans="1:11" ht="13.8">
      <c r="A180" s="235"/>
      <c r="B180" s="235"/>
      <c r="C180" s="235"/>
      <c r="D180" s="234"/>
      <c r="E180" s="234"/>
      <c r="F180" s="235"/>
      <c r="G180" s="235"/>
      <c r="H180" s="235"/>
      <c r="I180" s="235"/>
      <c r="J180" s="235"/>
      <c r="K180" s="236"/>
    </row>
    <row r="181" spans="1:11" ht="13.8">
      <c r="A181" s="235"/>
      <c r="B181" s="235"/>
      <c r="C181" s="235"/>
      <c r="D181" s="234"/>
      <c r="E181" s="234"/>
      <c r="F181" s="235"/>
      <c r="G181" s="235"/>
      <c r="H181" s="235"/>
      <c r="I181" s="235"/>
      <c r="J181" s="235"/>
      <c r="K181" s="236"/>
    </row>
    <row r="182" spans="1:11" ht="13.8">
      <c r="A182" s="235"/>
      <c r="B182" s="235"/>
      <c r="C182" s="235"/>
      <c r="D182" s="234"/>
      <c r="E182" s="234"/>
      <c r="F182" s="235"/>
      <c r="G182" s="235"/>
      <c r="H182" s="235"/>
      <c r="I182" s="235"/>
      <c r="J182" s="235"/>
      <c r="K182" s="236"/>
    </row>
    <row r="183" spans="1:11" ht="13.8">
      <c r="A183" s="235"/>
      <c r="B183" s="235"/>
      <c r="C183" s="235"/>
      <c r="D183" s="234"/>
      <c r="E183" s="234"/>
      <c r="F183" s="235"/>
      <c r="G183" s="235"/>
      <c r="H183" s="235"/>
      <c r="I183" s="235"/>
      <c r="J183" s="235"/>
      <c r="K183" s="236"/>
    </row>
    <row r="184" spans="1:11" ht="13.8">
      <c r="A184" s="235"/>
      <c r="B184" s="235"/>
      <c r="C184" s="235"/>
      <c r="D184" s="234"/>
      <c r="E184" s="234"/>
      <c r="F184" s="235"/>
      <c r="G184" s="235"/>
      <c r="H184" s="235"/>
      <c r="I184" s="235"/>
      <c r="J184" s="235"/>
      <c r="K184" s="236"/>
    </row>
    <row r="185" spans="1:11" ht="13.8">
      <c r="A185" s="235"/>
      <c r="B185" s="235"/>
      <c r="C185" s="235"/>
      <c r="D185" s="234"/>
      <c r="E185" s="234"/>
      <c r="F185" s="235"/>
      <c r="G185" s="235"/>
      <c r="H185" s="235"/>
      <c r="I185" s="235"/>
      <c r="J185" s="235"/>
      <c r="K185" s="236"/>
    </row>
    <row r="186" spans="1:11" ht="13.8">
      <c r="A186" s="235"/>
      <c r="B186" s="235"/>
      <c r="C186" s="235"/>
      <c r="D186" s="234"/>
      <c r="E186" s="234"/>
      <c r="F186" s="235"/>
      <c r="G186" s="235"/>
      <c r="H186" s="235"/>
      <c r="I186" s="235"/>
      <c r="J186" s="235"/>
      <c r="K186" s="236"/>
    </row>
    <row r="187" spans="1:11" ht="13.8">
      <c r="A187" s="235"/>
      <c r="B187" s="235"/>
      <c r="C187" s="235"/>
      <c r="D187" s="234"/>
      <c r="E187" s="234"/>
      <c r="F187" s="235"/>
      <c r="G187" s="235"/>
      <c r="H187" s="235"/>
      <c r="I187" s="235"/>
      <c r="J187" s="235"/>
      <c r="K187" s="236"/>
    </row>
    <row r="188" spans="1:11" ht="13.8">
      <c r="A188" s="235"/>
      <c r="B188" s="235"/>
      <c r="C188" s="235"/>
      <c r="D188" s="234"/>
      <c r="E188" s="234"/>
      <c r="F188" s="235"/>
      <c r="G188" s="235"/>
      <c r="H188" s="235"/>
      <c r="I188" s="235"/>
      <c r="J188" s="235"/>
      <c r="K188" s="236"/>
    </row>
    <row r="189" spans="1:11" ht="13.8">
      <c r="A189" s="235"/>
      <c r="B189" s="235"/>
      <c r="C189" s="235"/>
      <c r="D189" s="234"/>
      <c r="E189" s="234"/>
      <c r="F189" s="235"/>
      <c r="G189" s="235"/>
      <c r="H189" s="235"/>
      <c r="I189" s="235"/>
      <c r="J189" s="235"/>
      <c r="K189" s="236"/>
    </row>
    <row r="190" spans="1:11" ht="13.8">
      <c r="A190" s="235"/>
      <c r="B190" s="235"/>
      <c r="C190" s="235"/>
      <c r="D190" s="234"/>
      <c r="E190" s="234"/>
      <c r="F190" s="235"/>
      <c r="G190" s="235"/>
      <c r="H190" s="235"/>
      <c r="I190" s="235"/>
      <c r="J190" s="235"/>
      <c r="K190" s="236"/>
    </row>
    <row r="191" spans="1:11" ht="13.8">
      <c r="A191" s="235"/>
      <c r="B191" s="235"/>
      <c r="C191" s="235"/>
      <c r="D191" s="234"/>
      <c r="E191" s="234"/>
      <c r="F191" s="235"/>
      <c r="G191" s="235"/>
      <c r="H191" s="235"/>
      <c r="I191" s="235"/>
      <c r="J191" s="235"/>
      <c r="K191" s="236"/>
    </row>
    <row r="192" spans="1:11" ht="13.8">
      <c r="A192" s="235"/>
      <c r="B192" s="235"/>
      <c r="C192" s="235"/>
      <c r="D192" s="234"/>
      <c r="E192" s="234"/>
      <c r="F192" s="235"/>
      <c r="G192" s="235"/>
      <c r="H192" s="235"/>
      <c r="I192" s="235"/>
      <c r="J192" s="235"/>
      <c r="K192" s="236"/>
    </row>
    <row r="193" spans="1:11" ht="13.8">
      <c r="A193" s="235"/>
      <c r="B193" s="235"/>
      <c r="C193" s="235"/>
      <c r="D193" s="234"/>
      <c r="E193" s="234"/>
      <c r="F193" s="235"/>
      <c r="G193" s="235"/>
      <c r="H193" s="235"/>
      <c r="I193" s="235"/>
      <c r="J193" s="235"/>
      <c r="K193" s="236"/>
    </row>
    <row r="194" spans="1:11" ht="13.8">
      <c r="A194" s="235"/>
      <c r="B194" s="235"/>
      <c r="C194" s="235"/>
      <c r="D194" s="234"/>
      <c r="E194" s="234"/>
      <c r="F194" s="235"/>
      <c r="G194" s="235"/>
      <c r="H194" s="235"/>
      <c r="I194" s="235"/>
      <c r="J194" s="235"/>
      <c r="K194" s="236"/>
    </row>
    <row r="195" spans="1:11" ht="13.8">
      <c r="A195" s="235"/>
      <c r="B195" s="235"/>
      <c r="C195" s="235"/>
      <c r="D195" s="234"/>
      <c r="E195" s="234"/>
      <c r="F195" s="235"/>
      <c r="G195" s="235"/>
      <c r="H195" s="235"/>
      <c r="I195" s="235"/>
      <c r="J195" s="235"/>
      <c r="K195" s="236"/>
    </row>
    <row r="196" spans="1:11" ht="13.8">
      <c r="A196" s="235"/>
      <c r="B196" s="235"/>
      <c r="C196" s="235"/>
      <c r="D196" s="234"/>
      <c r="E196" s="234"/>
      <c r="F196" s="235"/>
      <c r="G196" s="235"/>
      <c r="H196" s="235"/>
      <c r="I196" s="235"/>
      <c r="J196" s="235"/>
      <c r="K196" s="236"/>
    </row>
    <row r="197" spans="1:11" ht="13.8">
      <c r="A197" s="235"/>
      <c r="B197" s="235"/>
      <c r="C197" s="235"/>
      <c r="D197" s="234"/>
      <c r="E197" s="234"/>
      <c r="F197" s="235"/>
      <c r="G197" s="235"/>
      <c r="H197" s="235"/>
      <c r="I197" s="235"/>
      <c r="J197" s="235"/>
      <c r="K197" s="236"/>
    </row>
    <row r="198" spans="1:11" ht="13.8">
      <c r="A198" s="235"/>
      <c r="B198" s="235"/>
      <c r="C198" s="235"/>
      <c r="D198" s="234"/>
      <c r="E198" s="234"/>
      <c r="F198" s="235"/>
      <c r="G198" s="235"/>
      <c r="H198" s="235"/>
      <c r="I198" s="235"/>
      <c r="J198" s="235"/>
      <c r="K198" s="236"/>
    </row>
    <row r="199" spans="1:11" ht="13.8">
      <c r="A199" s="235"/>
      <c r="B199" s="235"/>
      <c r="C199" s="235"/>
      <c r="D199" s="234"/>
      <c r="E199" s="234"/>
      <c r="F199" s="235"/>
      <c r="G199" s="235"/>
      <c r="H199" s="235"/>
      <c r="I199" s="235"/>
      <c r="J199" s="235"/>
      <c r="K199" s="236"/>
    </row>
    <row r="200" spans="1:11" ht="13.8">
      <c r="A200" s="235"/>
      <c r="B200" s="235"/>
      <c r="C200" s="235"/>
      <c r="D200" s="234"/>
      <c r="E200" s="234"/>
      <c r="F200" s="235"/>
      <c r="G200" s="235"/>
      <c r="H200" s="235"/>
      <c r="I200" s="235"/>
      <c r="J200" s="235"/>
      <c r="K200" s="236"/>
    </row>
    <row r="201" spans="1:11" ht="13.8">
      <c r="A201" s="235"/>
      <c r="B201" s="235"/>
      <c r="C201" s="235"/>
      <c r="D201" s="234"/>
      <c r="E201" s="234"/>
      <c r="F201" s="235"/>
      <c r="G201" s="235"/>
      <c r="H201" s="235"/>
      <c r="I201" s="235"/>
      <c r="J201" s="235"/>
      <c r="K201" s="236"/>
    </row>
    <row r="202" spans="1:11" ht="13.8">
      <c r="A202" s="235"/>
      <c r="B202" s="235"/>
      <c r="C202" s="235"/>
      <c r="D202" s="234"/>
      <c r="E202" s="234"/>
      <c r="F202" s="235"/>
      <c r="G202" s="235"/>
      <c r="H202" s="235"/>
      <c r="I202" s="235"/>
      <c r="J202" s="235"/>
      <c r="K202" s="236"/>
    </row>
    <row r="203" spans="1:11" ht="13.8">
      <c r="A203" s="235"/>
      <c r="B203" s="235"/>
      <c r="C203" s="235"/>
      <c r="D203" s="234"/>
      <c r="E203" s="234"/>
      <c r="F203" s="235"/>
      <c r="G203" s="235"/>
      <c r="H203" s="235"/>
      <c r="I203" s="235"/>
      <c r="J203" s="235"/>
      <c r="K203" s="236"/>
    </row>
    <row r="204" spans="1:11" ht="13.8">
      <c r="A204" s="235"/>
      <c r="B204" s="235"/>
      <c r="C204" s="235"/>
      <c r="D204" s="234"/>
      <c r="E204" s="234"/>
      <c r="F204" s="235"/>
      <c r="G204" s="235"/>
      <c r="H204" s="235"/>
      <c r="I204" s="235"/>
      <c r="J204" s="235"/>
      <c r="K204" s="236"/>
    </row>
    <row r="205" spans="1:11" ht="13.8">
      <c r="A205" s="235"/>
      <c r="B205" s="235"/>
      <c r="C205" s="235"/>
      <c r="D205" s="234"/>
      <c r="E205" s="234"/>
      <c r="F205" s="235"/>
      <c r="G205" s="235"/>
      <c r="H205" s="235"/>
      <c r="I205" s="235"/>
      <c r="J205" s="235"/>
      <c r="K205" s="236"/>
    </row>
    <row r="206" spans="1:11" ht="13.8">
      <c r="A206" s="235"/>
      <c r="B206" s="235"/>
      <c r="C206" s="235"/>
      <c r="D206" s="234"/>
      <c r="E206" s="234"/>
      <c r="F206" s="235"/>
      <c r="G206" s="235"/>
      <c r="H206" s="235"/>
      <c r="I206" s="235"/>
      <c r="J206" s="235"/>
      <c r="K206" s="236"/>
    </row>
    <row r="207" spans="1:11" ht="13.8">
      <c r="A207" s="235"/>
      <c r="B207" s="235"/>
      <c r="C207" s="235"/>
      <c r="D207" s="234"/>
      <c r="E207" s="234"/>
      <c r="F207" s="235"/>
      <c r="G207" s="235"/>
      <c r="H207" s="235"/>
      <c r="I207" s="235"/>
      <c r="J207" s="235"/>
      <c r="K207" s="236"/>
    </row>
    <row r="208" spans="1:11" ht="13.8">
      <c r="A208" s="235"/>
      <c r="B208" s="235"/>
      <c r="C208" s="235"/>
      <c r="D208" s="234"/>
      <c r="E208" s="234"/>
      <c r="F208" s="235"/>
      <c r="G208" s="235"/>
      <c r="H208" s="235"/>
      <c r="I208" s="235"/>
      <c r="J208" s="235"/>
      <c r="K208" s="236"/>
    </row>
    <row r="209" spans="1:11" ht="13.8">
      <c r="A209" s="235"/>
      <c r="B209" s="235"/>
      <c r="C209" s="235"/>
      <c r="D209" s="234"/>
      <c r="E209" s="234"/>
      <c r="F209" s="235"/>
      <c r="G209" s="235"/>
      <c r="H209" s="235"/>
      <c r="I209" s="235"/>
      <c r="J209" s="235"/>
      <c r="K209" s="236"/>
    </row>
    <row r="210" spans="1:11" ht="13.8">
      <c r="A210" s="235"/>
      <c r="B210" s="235"/>
      <c r="C210" s="235"/>
      <c r="D210" s="234"/>
      <c r="E210" s="234"/>
      <c r="F210" s="235"/>
      <c r="G210" s="235"/>
      <c r="H210" s="235"/>
      <c r="I210" s="235"/>
      <c r="J210" s="235"/>
      <c r="K210" s="236"/>
    </row>
    <row r="211" spans="1:11" ht="13.8">
      <c r="A211" s="235"/>
      <c r="B211" s="235"/>
      <c r="C211" s="235"/>
      <c r="D211" s="234"/>
      <c r="E211" s="234"/>
      <c r="F211" s="235"/>
      <c r="G211" s="235"/>
      <c r="H211" s="235"/>
      <c r="I211" s="235"/>
      <c r="J211" s="235"/>
      <c r="K211" s="236"/>
    </row>
    <row r="212" spans="1:11" ht="13.8">
      <c r="A212" s="235"/>
      <c r="B212" s="235"/>
      <c r="C212" s="235"/>
      <c r="D212" s="234"/>
      <c r="E212" s="234"/>
      <c r="F212" s="235"/>
      <c r="G212" s="235"/>
      <c r="H212" s="235"/>
      <c r="I212" s="235"/>
      <c r="J212" s="235"/>
      <c r="K212" s="236"/>
    </row>
    <row r="213" spans="1:11" ht="13.8">
      <c r="A213" s="235"/>
      <c r="B213" s="235"/>
      <c r="C213" s="235"/>
      <c r="D213" s="234"/>
      <c r="E213" s="234"/>
      <c r="F213" s="235"/>
      <c r="G213" s="235"/>
      <c r="H213" s="235"/>
      <c r="I213" s="235"/>
      <c r="J213" s="235"/>
      <c r="K213" s="236"/>
    </row>
    <row r="214" spans="1:11" ht="13.8">
      <c r="A214" s="235"/>
      <c r="B214" s="235"/>
      <c r="C214" s="235"/>
      <c r="D214" s="234"/>
      <c r="E214" s="234"/>
      <c r="F214" s="235"/>
      <c r="G214" s="235"/>
      <c r="H214" s="235"/>
      <c r="I214" s="235"/>
      <c r="J214" s="235"/>
      <c r="K214" s="236"/>
    </row>
    <row r="215" spans="1:11" ht="13.8">
      <c r="A215" s="235"/>
      <c r="B215" s="235"/>
      <c r="C215" s="235"/>
      <c r="D215" s="234"/>
      <c r="E215" s="234"/>
      <c r="F215" s="235"/>
      <c r="G215" s="235"/>
      <c r="H215" s="235"/>
      <c r="I215" s="235"/>
      <c r="J215" s="235"/>
      <c r="K215" s="236"/>
    </row>
    <row r="216" spans="1:11" ht="13.8">
      <c r="A216" s="235"/>
      <c r="B216" s="235"/>
      <c r="C216" s="235"/>
      <c r="D216" s="234"/>
      <c r="E216" s="234"/>
      <c r="F216" s="235"/>
      <c r="G216" s="235"/>
      <c r="H216" s="235"/>
      <c r="I216" s="235"/>
      <c r="J216" s="235"/>
      <c r="K216" s="236"/>
    </row>
    <row r="217" spans="1:11" ht="13.8">
      <c r="A217" s="235"/>
      <c r="B217" s="235"/>
      <c r="C217" s="235"/>
      <c r="D217" s="234"/>
      <c r="E217" s="234"/>
      <c r="F217" s="235"/>
      <c r="G217" s="235"/>
      <c r="H217" s="235"/>
      <c r="I217" s="235"/>
      <c r="J217" s="235"/>
      <c r="K217" s="236"/>
    </row>
    <row r="218" spans="1:11" ht="13.8">
      <c r="A218" s="235"/>
      <c r="B218" s="235"/>
      <c r="C218" s="235"/>
      <c r="D218" s="234"/>
      <c r="E218" s="234"/>
      <c r="F218" s="235"/>
      <c r="G218" s="235"/>
      <c r="H218" s="235"/>
      <c r="I218" s="235"/>
      <c r="J218" s="235"/>
      <c r="K218" s="236"/>
    </row>
    <row r="219" spans="1:11" ht="13.8">
      <c r="A219" s="235"/>
      <c r="B219" s="235"/>
      <c r="C219" s="235"/>
      <c r="D219" s="234"/>
      <c r="E219" s="234"/>
      <c r="F219" s="235"/>
      <c r="G219" s="235"/>
      <c r="H219" s="235"/>
      <c r="I219" s="235"/>
      <c r="J219" s="235"/>
      <c r="K219" s="236"/>
    </row>
    <row r="220" spans="1:11" ht="13.8">
      <c r="A220" s="235"/>
      <c r="B220" s="235"/>
      <c r="C220" s="235"/>
      <c r="D220" s="234"/>
      <c r="E220" s="234"/>
      <c r="F220" s="235"/>
      <c r="G220" s="235"/>
      <c r="H220" s="235"/>
      <c r="I220" s="235"/>
      <c r="J220" s="235"/>
      <c r="K220" s="236"/>
    </row>
    <row r="221" spans="1:11" ht="13.8">
      <c r="A221" s="235"/>
      <c r="B221" s="235"/>
      <c r="C221" s="235"/>
      <c r="D221" s="234"/>
      <c r="E221" s="234"/>
      <c r="F221" s="235"/>
      <c r="G221" s="235"/>
      <c r="H221" s="235"/>
      <c r="I221" s="235"/>
      <c r="J221" s="235"/>
      <c r="K221" s="236"/>
    </row>
    <row r="222" spans="1:11" ht="13.8">
      <c r="A222" s="235"/>
      <c r="B222" s="235"/>
      <c r="C222" s="235"/>
      <c r="D222" s="234"/>
      <c r="E222" s="234"/>
      <c r="F222" s="235"/>
      <c r="G222" s="235"/>
      <c r="H222" s="235"/>
      <c r="I222" s="235"/>
      <c r="J222" s="235"/>
      <c r="K222" s="236"/>
    </row>
    <row r="223" spans="1:11" ht="13.8">
      <c r="A223" s="235"/>
      <c r="B223" s="235"/>
      <c r="C223" s="235"/>
      <c r="D223" s="234"/>
      <c r="E223" s="234"/>
      <c r="F223" s="235"/>
      <c r="G223" s="235"/>
      <c r="H223" s="235"/>
      <c r="I223" s="235"/>
      <c r="J223" s="235"/>
      <c r="K223" s="236"/>
    </row>
    <row r="224" spans="1:11" ht="13.8">
      <c r="A224" s="235"/>
      <c r="B224" s="235"/>
      <c r="C224" s="235"/>
      <c r="D224" s="234"/>
      <c r="E224" s="234"/>
      <c r="F224" s="235"/>
      <c r="G224" s="235"/>
      <c r="H224" s="235"/>
      <c r="I224" s="235"/>
      <c r="J224" s="235"/>
      <c r="K224" s="236"/>
    </row>
    <row r="225" spans="1:11" ht="13.8">
      <c r="A225" s="235"/>
      <c r="B225" s="235"/>
      <c r="C225" s="235"/>
      <c r="D225" s="234"/>
      <c r="E225" s="234"/>
      <c r="F225" s="235"/>
      <c r="G225" s="235"/>
      <c r="H225" s="235"/>
      <c r="I225" s="235"/>
      <c r="J225" s="235"/>
      <c r="K225" s="236"/>
    </row>
    <row r="226" spans="1:11" ht="13.8">
      <c r="A226" s="235"/>
      <c r="B226" s="235"/>
      <c r="C226" s="235"/>
      <c r="D226" s="234"/>
      <c r="E226" s="234"/>
      <c r="F226" s="235"/>
      <c r="G226" s="235"/>
      <c r="H226" s="235"/>
      <c r="I226" s="235"/>
      <c r="J226" s="235"/>
      <c r="K226" s="236"/>
    </row>
    <row r="227" spans="1:11" ht="13.8">
      <c r="A227" s="235"/>
      <c r="B227" s="235"/>
      <c r="C227" s="235"/>
      <c r="D227" s="234"/>
      <c r="E227" s="234"/>
      <c r="F227" s="235"/>
      <c r="G227" s="235"/>
      <c r="H227" s="235"/>
      <c r="I227" s="235"/>
      <c r="J227" s="235"/>
      <c r="K227" s="236"/>
    </row>
    <row r="228" spans="1:11" ht="13.8">
      <c r="A228" s="235"/>
      <c r="B228" s="235"/>
      <c r="C228" s="235"/>
      <c r="D228" s="234"/>
      <c r="E228" s="234"/>
      <c r="F228" s="235"/>
      <c r="G228" s="235"/>
      <c r="H228" s="235"/>
      <c r="I228" s="235"/>
      <c r="J228" s="235"/>
      <c r="K228" s="236"/>
    </row>
    <row r="229" spans="1:11" ht="13.8">
      <c r="A229" s="235"/>
      <c r="B229" s="235"/>
      <c r="C229" s="235"/>
      <c r="D229" s="234"/>
      <c r="E229" s="234"/>
      <c r="F229" s="235"/>
      <c r="G229" s="235"/>
      <c r="H229" s="235"/>
      <c r="I229" s="235"/>
      <c r="J229" s="235"/>
      <c r="K229" s="236"/>
    </row>
    <row r="230" spans="1:11" ht="13.8">
      <c r="A230" s="235"/>
      <c r="B230" s="235"/>
      <c r="C230" s="235"/>
      <c r="D230" s="234"/>
      <c r="E230" s="234"/>
      <c r="F230" s="235"/>
      <c r="G230" s="235"/>
      <c r="H230" s="235"/>
      <c r="I230" s="235"/>
      <c r="J230" s="235"/>
      <c r="K230" s="236"/>
    </row>
    <row r="231" spans="1:11" ht="13.8">
      <c r="A231" s="235"/>
      <c r="B231" s="235"/>
      <c r="C231" s="235"/>
      <c r="D231" s="234"/>
      <c r="E231" s="234"/>
      <c r="F231" s="235"/>
      <c r="G231" s="235"/>
      <c r="H231" s="235"/>
      <c r="I231" s="235"/>
      <c r="J231" s="235"/>
      <c r="K231" s="236"/>
    </row>
    <row r="232" spans="1:11" ht="13.8">
      <c r="A232" s="235"/>
      <c r="B232" s="235"/>
      <c r="C232" s="235"/>
      <c r="D232" s="234"/>
      <c r="E232" s="234"/>
      <c r="F232" s="235"/>
      <c r="G232" s="235"/>
      <c r="H232" s="235"/>
      <c r="I232" s="235"/>
      <c r="J232" s="235"/>
      <c r="K232" s="236"/>
    </row>
    <row r="233" spans="1:11" ht="13.8">
      <c r="A233" s="235"/>
      <c r="B233" s="235"/>
      <c r="C233" s="235"/>
      <c r="D233" s="234"/>
      <c r="E233" s="234"/>
      <c r="F233" s="235"/>
      <c r="G233" s="235"/>
      <c r="H233" s="235"/>
      <c r="I233" s="235"/>
      <c r="J233" s="235"/>
      <c r="K233" s="236"/>
    </row>
    <row r="234" spans="1:11" ht="13.8">
      <c r="A234" s="235"/>
      <c r="B234" s="235"/>
      <c r="C234" s="235"/>
      <c r="D234" s="234"/>
      <c r="E234" s="234"/>
      <c r="F234" s="235"/>
      <c r="G234" s="235"/>
      <c r="H234" s="235"/>
      <c r="I234" s="235"/>
      <c r="J234" s="235"/>
      <c r="K234" s="236"/>
    </row>
    <row r="235" spans="1:11" ht="13.8">
      <c r="A235" s="235"/>
      <c r="B235" s="235"/>
      <c r="C235" s="235"/>
      <c r="D235" s="234"/>
      <c r="E235" s="234"/>
      <c r="F235" s="235"/>
      <c r="G235" s="235"/>
      <c r="H235" s="235"/>
      <c r="I235" s="235"/>
      <c r="J235" s="235"/>
      <c r="K235" s="236"/>
    </row>
    <row r="236" spans="1:11" ht="13.8">
      <c r="A236" s="235"/>
      <c r="B236" s="235"/>
      <c r="C236" s="235"/>
      <c r="D236" s="234"/>
      <c r="E236" s="234"/>
      <c r="F236" s="235"/>
      <c r="G236" s="235"/>
      <c r="H236" s="235"/>
      <c r="I236" s="235"/>
      <c r="J236" s="235"/>
      <c r="K236" s="236"/>
    </row>
    <row r="237" spans="1:11" ht="13.8">
      <c r="A237" s="235"/>
      <c r="B237" s="235"/>
      <c r="C237" s="235"/>
      <c r="D237" s="234"/>
      <c r="E237" s="234"/>
      <c r="F237" s="235"/>
      <c r="G237" s="235"/>
      <c r="H237" s="235"/>
      <c r="I237" s="235"/>
      <c r="J237" s="235"/>
      <c r="K237" s="236"/>
    </row>
    <row r="238" spans="1:11" ht="13.8">
      <c r="A238" s="235"/>
      <c r="B238" s="235"/>
      <c r="C238" s="235"/>
      <c r="D238" s="234"/>
      <c r="E238" s="234"/>
      <c r="F238" s="235"/>
      <c r="G238" s="235"/>
      <c r="H238" s="235"/>
      <c r="I238" s="235"/>
      <c r="J238" s="235"/>
      <c r="K238" s="236"/>
    </row>
    <row r="239" spans="1:11" ht="13.8">
      <c r="A239" s="235"/>
      <c r="B239" s="235"/>
      <c r="C239" s="235"/>
      <c r="D239" s="234"/>
      <c r="E239" s="234"/>
      <c r="F239" s="235"/>
      <c r="G239" s="235"/>
      <c r="H239" s="235"/>
      <c r="I239" s="235"/>
      <c r="J239" s="235"/>
      <c r="K239" s="236"/>
    </row>
    <row r="240" spans="1:11" ht="13.8">
      <c r="A240" s="235"/>
      <c r="B240" s="235"/>
      <c r="C240" s="235"/>
      <c r="D240" s="234"/>
      <c r="E240" s="234"/>
      <c r="F240" s="235"/>
      <c r="G240" s="235"/>
      <c r="H240" s="235"/>
      <c r="I240" s="235"/>
      <c r="J240" s="235"/>
      <c r="K240" s="236"/>
    </row>
    <row r="241" spans="1:11" ht="13.8">
      <c r="A241" s="235"/>
      <c r="B241" s="235"/>
      <c r="C241" s="235"/>
      <c r="D241" s="234"/>
      <c r="E241" s="234"/>
      <c r="F241" s="235"/>
      <c r="G241" s="235"/>
      <c r="H241" s="235"/>
      <c r="I241" s="235"/>
      <c r="J241" s="235"/>
      <c r="K241" s="236"/>
    </row>
    <row r="242" spans="1:11" ht="13.8">
      <c r="A242" s="235"/>
      <c r="B242" s="235"/>
      <c r="C242" s="235"/>
      <c r="D242" s="234"/>
      <c r="E242" s="234"/>
      <c r="F242" s="235"/>
      <c r="G242" s="235"/>
      <c r="H242" s="235"/>
      <c r="I242" s="235"/>
      <c r="J242" s="235"/>
      <c r="K242" s="236"/>
    </row>
    <row r="243" spans="1:11" ht="13.8">
      <c r="A243" s="235"/>
      <c r="B243" s="235"/>
      <c r="C243" s="235"/>
      <c r="D243" s="234"/>
      <c r="E243" s="234"/>
      <c r="F243" s="235"/>
      <c r="G243" s="235"/>
      <c r="H243" s="235"/>
      <c r="I243" s="235"/>
      <c r="J243" s="235"/>
      <c r="K243" s="236"/>
    </row>
    <row r="244" spans="1:11" ht="13.8">
      <c r="A244" s="235"/>
      <c r="B244" s="235"/>
      <c r="C244" s="235"/>
      <c r="D244" s="234"/>
      <c r="E244" s="234"/>
      <c r="F244" s="235"/>
      <c r="G244" s="235"/>
      <c r="H244" s="235"/>
      <c r="I244" s="235"/>
      <c r="J244" s="235"/>
      <c r="K244" s="236"/>
    </row>
    <row r="245" spans="1:11" ht="13.8">
      <c r="A245" s="235"/>
      <c r="B245" s="235"/>
      <c r="C245" s="235"/>
      <c r="D245" s="234"/>
      <c r="E245" s="234"/>
      <c r="F245" s="235"/>
      <c r="G245" s="235"/>
      <c r="H245" s="235"/>
      <c r="I245" s="235"/>
      <c r="J245" s="235"/>
      <c r="K245" s="236"/>
    </row>
    <row r="246" spans="1:11" ht="13.8">
      <c r="A246" s="235"/>
      <c r="B246" s="235"/>
      <c r="C246" s="235"/>
      <c r="D246" s="234"/>
      <c r="E246" s="234"/>
      <c r="F246" s="235"/>
      <c r="G246" s="235"/>
      <c r="H246" s="235"/>
      <c r="I246" s="235"/>
      <c r="J246" s="235"/>
      <c r="K246" s="236"/>
    </row>
    <row r="247" spans="1:11" ht="13.8">
      <c r="A247" s="235"/>
      <c r="B247" s="235"/>
      <c r="C247" s="235"/>
      <c r="D247" s="234"/>
      <c r="E247" s="234"/>
      <c r="F247" s="235"/>
      <c r="G247" s="235"/>
      <c r="H247" s="235"/>
      <c r="I247" s="235"/>
      <c r="J247" s="235"/>
      <c r="K247" s="236"/>
    </row>
    <row r="248" spans="1:11" ht="13.8">
      <c r="A248" s="235"/>
      <c r="B248" s="235"/>
      <c r="C248" s="235"/>
      <c r="D248" s="234"/>
      <c r="E248" s="234"/>
      <c r="F248" s="235"/>
      <c r="G248" s="235"/>
      <c r="H248" s="235"/>
      <c r="I248" s="235"/>
      <c r="J248" s="235"/>
      <c r="K248" s="236"/>
    </row>
    <row r="249" spans="1:11" ht="13.8">
      <c r="A249" s="235"/>
      <c r="B249" s="235"/>
      <c r="C249" s="235"/>
      <c r="D249" s="234"/>
      <c r="E249" s="234"/>
      <c r="F249" s="235"/>
      <c r="G249" s="235"/>
      <c r="H249" s="235"/>
      <c r="I249" s="235"/>
      <c r="J249" s="235"/>
      <c r="K249" s="236"/>
    </row>
    <row r="250" spans="1:11" ht="13.8">
      <c r="A250" s="235"/>
      <c r="B250" s="235"/>
      <c r="C250" s="235"/>
      <c r="D250" s="234"/>
      <c r="E250" s="234"/>
      <c r="F250" s="235"/>
      <c r="G250" s="235"/>
      <c r="H250" s="235"/>
      <c r="I250" s="235"/>
      <c r="J250" s="235"/>
      <c r="K250" s="236"/>
    </row>
    <row r="251" spans="1:11" ht="13.8">
      <c r="A251" s="235"/>
      <c r="B251" s="235"/>
      <c r="C251" s="235"/>
      <c r="D251" s="234"/>
      <c r="E251" s="234"/>
      <c r="F251" s="235"/>
      <c r="G251" s="235"/>
      <c r="H251" s="235"/>
      <c r="I251" s="235"/>
      <c r="J251" s="235"/>
      <c r="K251" s="236"/>
    </row>
    <row r="252" spans="1:11" ht="13.8">
      <c r="A252" s="235"/>
      <c r="B252" s="235"/>
      <c r="C252" s="235"/>
      <c r="D252" s="234"/>
      <c r="E252" s="234"/>
      <c r="F252" s="235"/>
      <c r="G252" s="235"/>
      <c r="H252" s="235"/>
      <c r="I252" s="235"/>
      <c r="J252" s="235"/>
      <c r="K252" s="236"/>
    </row>
    <row r="253" spans="1:11" ht="13.8">
      <c r="A253" s="235"/>
      <c r="B253" s="235"/>
      <c r="C253" s="235"/>
      <c r="D253" s="234"/>
      <c r="E253" s="234"/>
      <c r="F253" s="235"/>
      <c r="G253" s="235"/>
      <c r="H253" s="235"/>
      <c r="I253" s="235"/>
      <c r="J253" s="235"/>
      <c r="K253" s="236"/>
    </row>
    <row r="254" spans="1:11" ht="13.8">
      <c r="A254" s="235"/>
      <c r="B254" s="235"/>
      <c r="C254" s="235"/>
      <c r="D254" s="234"/>
      <c r="E254" s="234"/>
      <c r="F254" s="235"/>
      <c r="G254" s="235"/>
      <c r="H254" s="235"/>
      <c r="I254" s="235"/>
      <c r="J254" s="235"/>
      <c r="K254" s="236"/>
    </row>
    <row r="255" spans="1:11" ht="13.8">
      <c r="A255" s="235"/>
      <c r="B255" s="235"/>
      <c r="C255" s="235"/>
      <c r="D255" s="234"/>
      <c r="E255" s="234"/>
      <c r="F255" s="235"/>
      <c r="G255" s="235"/>
      <c r="H255" s="235"/>
      <c r="I255" s="235"/>
      <c r="J255" s="235"/>
      <c r="K255" s="236"/>
    </row>
    <row r="256" spans="1:11" ht="13.8">
      <c r="A256" s="235"/>
      <c r="B256" s="235"/>
      <c r="C256" s="235"/>
      <c r="D256" s="234"/>
      <c r="E256" s="234"/>
      <c r="F256" s="235"/>
      <c r="G256" s="235"/>
      <c r="H256" s="235"/>
      <c r="I256" s="235"/>
      <c r="J256" s="235"/>
      <c r="K256" s="236"/>
    </row>
    <row r="257" spans="1:11" ht="13.8">
      <c r="A257" s="235"/>
      <c r="B257" s="235"/>
      <c r="C257" s="235"/>
      <c r="D257" s="234"/>
      <c r="E257" s="234"/>
      <c r="F257" s="235"/>
      <c r="G257" s="235"/>
      <c r="H257" s="235"/>
      <c r="I257" s="235"/>
      <c r="J257" s="235"/>
      <c r="K257" s="236"/>
    </row>
    <row r="258" spans="1:11" ht="13.8">
      <c r="A258" s="235"/>
      <c r="B258" s="235"/>
      <c r="C258" s="235"/>
      <c r="D258" s="234"/>
      <c r="E258" s="234"/>
      <c r="F258" s="235"/>
      <c r="G258" s="235"/>
      <c r="H258" s="235"/>
      <c r="I258" s="235"/>
      <c r="J258" s="235"/>
      <c r="K258" s="236"/>
    </row>
    <row r="259" spans="1:11" ht="13.8">
      <c r="A259" s="235"/>
      <c r="B259" s="235"/>
      <c r="C259" s="235"/>
      <c r="D259" s="234"/>
      <c r="E259" s="234"/>
      <c r="F259" s="235"/>
      <c r="G259" s="235"/>
      <c r="H259" s="235"/>
      <c r="I259" s="235"/>
      <c r="J259" s="235"/>
      <c r="K259" s="236"/>
    </row>
    <row r="260" spans="1:11" ht="13.8">
      <c r="A260" s="235"/>
      <c r="B260" s="235"/>
      <c r="C260" s="235"/>
      <c r="D260" s="234"/>
      <c r="E260" s="234"/>
      <c r="F260" s="235"/>
      <c r="G260" s="235"/>
      <c r="H260" s="235"/>
      <c r="I260" s="235"/>
      <c r="J260" s="235"/>
      <c r="K260" s="236"/>
    </row>
    <row r="261" spans="1:11" ht="13.8">
      <c r="A261" s="235"/>
      <c r="B261" s="235"/>
      <c r="C261" s="235"/>
      <c r="D261" s="234"/>
      <c r="E261" s="234"/>
      <c r="F261" s="235"/>
      <c r="G261" s="235"/>
      <c r="H261" s="235"/>
      <c r="I261" s="235"/>
      <c r="J261" s="235"/>
      <c r="K261" s="236"/>
    </row>
    <row r="262" spans="1:11" ht="13.8">
      <c r="A262" s="235"/>
      <c r="B262" s="235"/>
      <c r="C262" s="235"/>
      <c r="D262" s="234"/>
      <c r="E262" s="234"/>
      <c r="F262" s="235"/>
      <c r="G262" s="235"/>
      <c r="H262" s="235"/>
      <c r="I262" s="235"/>
      <c r="J262" s="235"/>
      <c r="K262" s="236"/>
    </row>
    <row r="263" spans="1:11" ht="13.8">
      <c r="A263" s="235"/>
      <c r="B263" s="235"/>
      <c r="C263" s="235"/>
      <c r="D263" s="234"/>
      <c r="E263" s="234"/>
      <c r="F263" s="235"/>
      <c r="G263" s="235"/>
      <c r="H263" s="235"/>
      <c r="I263" s="235"/>
      <c r="J263" s="235"/>
      <c r="K263" s="236"/>
    </row>
    <row r="264" spans="1:11" ht="13.8">
      <c r="A264" s="235"/>
      <c r="B264" s="235"/>
      <c r="C264" s="235"/>
      <c r="D264" s="234"/>
      <c r="E264" s="234"/>
      <c r="F264" s="235"/>
      <c r="G264" s="235"/>
      <c r="H264" s="235"/>
      <c r="I264" s="235"/>
      <c r="J264" s="235"/>
      <c r="K264" s="236"/>
    </row>
    <row r="265" spans="1:11" ht="13.8">
      <c r="A265" s="235"/>
      <c r="B265" s="235"/>
      <c r="C265" s="235"/>
      <c r="D265" s="234"/>
      <c r="E265" s="234"/>
      <c r="F265" s="235"/>
      <c r="G265" s="235"/>
      <c r="H265" s="235"/>
      <c r="I265" s="235"/>
      <c r="J265" s="235"/>
      <c r="K265" s="236"/>
    </row>
    <row r="266" spans="1:11" ht="13.8">
      <c r="A266" s="235"/>
      <c r="B266" s="235"/>
      <c r="C266" s="235"/>
      <c r="D266" s="234"/>
      <c r="E266" s="234"/>
      <c r="F266" s="235"/>
      <c r="G266" s="235"/>
      <c r="H266" s="235"/>
      <c r="I266" s="235"/>
      <c r="J266" s="235"/>
      <c r="K266" s="236"/>
    </row>
    <row r="267" spans="1:11" ht="13.8">
      <c r="A267" s="235"/>
      <c r="B267" s="235"/>
      <c r="C267" s="235"/>
      <c r="D267" s="234"/>
      <c r="E267" s="234"/>
      <c r="F267" s="235"/>
      <c r="G267" s="235"/>
      <c r="H267" s="235"/>
      <c r="I267" s="235"/>
      <c r="J267" s="235"/>
      <c r="K267" s="236"/>
    </row>
    <row r="268" spans="1:11" ht="13.8">
      <c r="A268" s="235"/>
      <c r="B268" s="235"/>
      <c r="C268" s="235"/>
      <c r="D268" s="234"/>
      <c r="E268" s="234"/>
      <c r="F268" s="235"/>
      <c r="G268" s="235"/>
      <c r="H268" s="235"/>
      <c r="I268" s="235"/>
      <c r="J268" s="235"/>
      <c r="K268" s="236"/>
    </row>
    <row r="269" spans="1:11" ht="13.8">
      <c r="A269" s="235"/>
      <c r="B269" s="235"/>
      <c r="C269" s="235"/>
      <c r="D269" s="234"/>
      <c r="E269" s="234"/>
      <c r="F269" s="235"/>
      <c r="G269" s="235"/>
      <c r="H269" s="235"/>
      <c r="I269" s="235"/>
      <c r="J269" s="235"/>
      <c r="K269" s="236"/>
    </row>
    <row r="270" spans="1:11" ht="13.8">
      <c r="A270" s="235"/>
      <c r="B270" s="235"/>
      <c r="C270" s="235"/>
      <c r="D270" s="234"/>
      <c r="E270" s="234"/>
      <c r="F270" s="235"/>
      <c r="G270" s="235"/>
      <c r="H270" s="235"/>
      <c r="I270" s="235"/>
      <c r="J270" s="235"/>
      <c r="K270" s="236"/>
    </row>
    <row r="271" spans="1:11" ht="13.8">
      <c r="A271" s="235"/>
      <c r="B271" s="235"/>
      <c r="C271" s="235"/>
      <c r="D271" s="234"/>
      <c r="E271" s="234"/>
      <c r="F271" s="235"/>
      <c r="G271" s="235"/>
      <c r="H271" s="235"/>
      <c r="I271" s="235"/>
      <c r="J271" s="235"/>
      <c r="K271" s="236"/>
    </row>
    <row r="272" spans="1:11" ht="13.8">
      <c r="A272" s="235"/>
      <c r="B272" s="235"/>
      <c r="C272" s="235"/>
      <c r="D272" s="234"/>
      <c r="E272" s="234"/>
      <c r="F272" s="235"/>
      <c r="G272" s="235"/>
      <c r="H272" s="235"/>
      <c r="I272" s="235"/>
      <c r="J272" s="235"/>
      <c r="K272" s="236"/>
    </row>
    <row r="273" spans="1:11" ht="13.8">
      <c r="A273" s="235"/>
      <c r="B273" s="235"/>
      <c r="C273" s="235"/>
      <c r="D273" s="234"/>
      <c r="E273" s="234"/>
      <c r="F273" s="235"/>
      <c r="G273" s="235"/>
      <c r="H273" s="235"/>
      <c r="I273" s="235"/>
      <c r="J273" s="235"/>
      <c r="K273" s="236"/>
    </row>
    <row r="274" spans="1:11" ht="13.8">
      <c r="A274" s="235"/>
      <c r="B274" s="235"/>
      <c r="C274" s="235"/>
      <c r="D274" s="234"/>
      <c r="E274" s="234"/>
      <c r="F274" s="235"/>
      <c r="G274" s="235"/>
      <c r="H274" s="235"/>
      <c r="I274" s="235"/>
      <c r="J274" s="235"/>
      <c r="K274" s="236"/>
    </row>
    <row r="275" spans="1:11" ht="13.8">
      <c r="A275" s="235"/>
      <c r="B275" s="235"/>
      <c r="C275" s="235"/>
      <c r="D275" s="234"/>
      <c r="E275" s="234"/>
      <c r="F275" s="235"/>
      <c r="G275" s="235"/>
      <c r="H275" s="235"/>
      <c r="I275" s="235"/>
      <c r="J275" s="235"/>
      <c r="K275" s="236"/>
    </row>
    <row r="276" spans="1:11" ht="13.8">
      <c r="A276" s="235"/>
      <c r="B276" s="235"/>
      <c r="C276" s="235"/>
      <c r="D276" s="234"/>
      <c r="E276" s="234"/>
      <c r="F276" s="235"/>
      <c r="G276" s="235"/>
      <c r="H276" s="235"/>
      <c r="I276" s="235"/>
      <c r="J276" s="235"/>
      <c r="K276" s="236"/>
    </row>
    <row r="277" spans="1:11" ht="13.8">
      <c r="A277" s="235"/>
      <c r="B277" s="235"/>
      <c r="C277" s="235"/>
      <c r="D277" s="234"/>
      <c r="E277" s="234"/>
      <c r="F277" s="235"/>
      <c r="G277" s="235"/>
      <c r="H277" s="235"/>
      <c r="I277" s="235"/>
      <c r="J277" s="235"/>
      <c r="K277" s="236"/>
    </row>
    <row r="278" spans="1:11" ht="13.8">
      <c r="A278" s="235"/>
      <c r="B278" s="235"/>
      <c r="C278" s="235"/>
      <c r="D278" s="234"/>
      <c r="E278" s="234"/>
      <c r="F278" s="235"/>
      <c r="G278" s="235"/>
      <c r="H278" s="235"/>
      <c r="I278" s="235"/>
      <c r="J278" s="235"/>
      <c r="K278" s="236"/>
    </row>
    <row r="279" spans="1:11" ht="13.8">
      <c r="A279" s="235"/>
      <c r="B279" s="235"/>
      <c r="C279" s="235"/>
      <c r="D279" s="234"/>
      <c r="E279" s="234"/>
      <c r="F279" s="235"/>
      <c r="G279" s="235"/>
      <c r="H279" s="235"/>
      <c r="I279" s="235"/>
      <c r="J279" s="235"/>
      <c r="K279" s="236"/>
    </row>
    <row r="280" spans="1:11" ht="13.8">
      <c r="A280" s="235"/>
      <c r="B280" s="235"/>
      <c r="C280" s="235"/>
      <c r="D280" s="234"/>
      <c r="E280" s="234"/>
      <c r="F280" s="235"/>
      <c r="G280" s="235"/>
      <c r="H280" s="235"/>
      <c r="I280" s="235"/>
      <c r="J280" s="235"/>
      <c r="K280" s="236"/>
    </row>
    <row r="281" spans="1:11" ht="13.8">
      <c r="A281" s="235"/>
      <c r="B281" s="235"/>
      <c r="C281" s="235"/>
      <c r="D281" s="234"/>
      <c r="E281" s="234"/>
      <c r="F281" s="235"/>
      <c r="G281" s="235"/>
      <c r="H281" s="235"/>
      <c r="I281" s="235"/>
      <c r="J281" s="235"/>
      <c r="K281" s="236"/>
    </row>
    <row r="282" spans="1:11" ht="13.8">
      <c r="A282" s="235"/>
      <c r="B282" s="235"/>
      <c r="C282" s="235"/>
      <c r="D282" s="234"/>
      <c r="E282" s="234"/>
      <c r="F282" s="235"/>
      <c r="G282" s="235"/>
      <c r="H282" s="235"/>
      <c r="I282" s="235"/>
      <c r="J282" s="235"/>
      <c r="K282" s="236"/>
    </row>
    <row r="283" spans="1:11" ht="13.8">
      <c r="A283" s="235"/>
      <c r="B283" s="235"/>
      <c r="C283" s="235"/>
      <c r="D283" s="234"/>
      <c r="E283" s="234"/>
      <c r="F283" s="235"/>
      <c r="G283" s="235"/>
      <c r="H283" s="235"/>
      <c r="I283" s="235"/>
      <c r="J283" s="235"/>
      <c r="K283" s="236"/>
    </row>
    <row r="284" spans="1:11" ht="13.8">
      <c r="A284" s="235"/>
      <c r="B284" s="235"/>
      <c r="C284" s="235"/>
      <c r="D284" s="234"/>
      <c r="E284" s="234"/>
      <c r="F284" s="235"/>
      <c r="G284" s="235"/>
      <c r="H284" s="235"/>
      <c r="I284" s="235"/>
      <c r="J284" s="235"/>
      <c r="K284" s="236"/>
    </row>
    <row r="285" spans="1:11" ht="13.8">
      <c r="A285" s="235"/>
      <c r="B285" s="235"/>
      <c r="C285" s="235"/>
      <c r="D285" s="234"/>
      <c r="E285" s="234"/>
      <c r="F285" s="235"/>
      <c r="G285" s="235"/>
      <c r="H285" s="235"/>
      <c r="I285" s="235"/>
      <c r="J285" s="235"/>
      <c r="K285" s="236"/>
    </row>
    <row r="286" spans="1:11" ht="13.8">
      <c r="A286" s="235"/>
      <c r="B286" s="235"/>
      <c r="C286" s="235"/>
      <c r="D286" s="234"/>
      <c r="E286" s="234"/>
      <c r="F286" s="235"/>
      <c r="G286" s="235"/>
      <c r="H286" s="235"/>
      <c r="I286" s="235"/>
      <c r="J286" s="235"/>
      <c r="K286" s="236"/>
    </row>
    <row r="287" spans="1:11" ht="13.8">
      <c r="A287" s="235"/>
      <c r="B287" s="235"/>
      <c r="C287" s="235"/>
      <c r="D287" s="234"/>
      <c r="E287" s="234"/>
      <c r="F287" s="235"/>
      <c r="G287" s="235"/>
      <c r="H287" s="235"/>
      <c r="I287" s="235"/>
      <c r="J287" s="235"/>
      <c r="K287" s="236"/>
    </row>
    <row r="288" spans="1:11" ht="13.8">
      <c r="A288" s="235"/>
      <c r="B288" s="235"/>
      <c r="C288" s="235"/>
      <c r="D288" s="234"/>
      <c r="E288" s="234"/>
      <c r="F288" s="235"/>
      <c r="G288" s="235"/>
      <c r="H288" s="235"/>
      <c r="I288" s="235"/>
      <c r="J288" s="235"/>
      <c r="K288" s="236"/>
    </row>
    <row r="289" spans="1:11" ht="13.8">
      <c r="A289" s="235"/>
      <c r="B289" s="235"/>
      <c r="C289" s="235"/>
      <c r="D289" s="234"/>
      <c r="E289" s="234"/>
      <c r="F289" s="235"/>
      <c r="G289" s="235"/>
      <c r="H289" s="235"/>
      <c r="I289" s="235"/>
      <c r="J289" s="235"/>
      <c r="K289" s="236"/>
    </row>
    <row r="290" spans="1:11" ht="13.8">
      <c r="A290" s="235"/>
      <c r="B290" s="235"/>
      <c r="C290" s="235"/>
      <c r="D290" s="234"/>
      <c r="E290" s="234"/>
      <c r="F290" s="235"/>
      <c r="G290" s="235"/>
      <c r="H290" s="235"/>
      <c r="I290" s="235"/>
      <c r="J290" s="235"/>
      <c r="K290" s="236"/>
    </row>
    <row r="291" spans="1:11" ht="13.8">
      <c r="A291" s="235"/>
      <c r="B291" s="235"/>
      <c r="C291" s="235"/>
      <c r="D291" s="234"/>
      <c r="E291" s="234"/>
      <c r="F291" s="235"/>
      <c r="G291" s="235"/>
      <c r="H291" s="235"/>
      <c r="I291" s="235"/>
      <c r="J291" s="235"/>
      <c r="K291" s="236"/>
    </row>
    <row r="292" spans="1:11" ht="13.8">
      <c r="A292" s="235"/>
      <c r="B292" s="235"/>
      <c r="C292" s="235"/>
      <c r="D292" s="234"/>
      <c r="E292" s="234"/>
      <c r="F292" s="235"/>
      <c r="G292" s="235"/>
      <c r="H292" s="235"/>
      <c r="I292" s="235"/>
      <c r="J292" s="235"/>
      <c r="K292" s="236"/>
    </row>
    <row r="293" spans="1:11" ht="13.8">
      <c r="A293" s="235"/>
      <c r="B293" s="235"/>
      <c r="C293" s="235"/>
      <c r="D293" s="234"/>
      <c r="E293" s="234"/>
      <c r="F293" s="235"/>
      <c r="G293" s="235"/>
      <c r="H293" s="235"/>
      <c r="I293" s="235"/>
      <c r="J293" s="235"/>
      <c r="K293" s="236"/>
    </row>
    <row r="294" spans="1:11" ht="13.8">
      <c r="A294" s="235"/>
      <c r="B294" s="235"/>
      <c r="C294" s="235"/>
      <c r="D294" s="234"/>
      <c r="E294" s="234"/>
      <c r="F294" s="235"/>
      <c r="G294" s="235"/>
      <c r="H294" s="235"/>
      <c r="I294" s="235"/>
      <c r="J294" s="235"/>
      <c r="K294" s="236"/>
    </row>
    <row r="295" spans="1:11" ht="13.8">
      <c r="A295" s="235"/>
      <c r="B295" s="235"/>
      <c r="C295" s="235"/>
      <c r="D295" s="234"/>
      <c r="E295" s="234"/>
      <c r="F295" s="235"/>
      <c r="G295" s="235"/>
      <c r="H295" s="235"/>
      <c r="I295" s="235"/>
      <c r="J295" s="235"/>
      <c r="K295" s="236"/>
    </row>
    <row r="296" spans="1:11" ht="13.8">
      <c r="A296" s="235"/>
      <c r="B296" s="235"/>
      <c r="C296" s="235"/>
      <c r="D296" s="234"/>
      <c r="E296" s="234"/>
      <c r="F296" s="235"/>
      <c r="G296" s="235"/>
      <c r="H296" s="235"/>
      <c r="I296" s="235"/>
      <c r="J296" s="235"/>
      <c r="K296" s="236"/>
    </row>
    <row r="297" spans="1:11" ht="13.8">
      <c r="A297" s="235"/>
      <c r="B297" s="235"/>
      <c r="C297" s="235"/>
      <c r="D297" s="234"/>
      <c r="E297" s="234"/>
      <c r="F297" s="235"/>
      <c r="G297" s="235"/>
      <c r="H297" s="235"/>
      <c r="I297" s="235"/>
      <c r="J297" s="235"/>
      <c r="K297" s="236"/>
    </row>
    <row r="298" spans="1:11" ht="13.8">
      <c r="A298" s="235"/>
      <c r="B298" s="235"/>
      <c r="C298" s="235"/>
      <c r="D298" s="234"/>
      <c r="E298" s="234"/>
      <c r="F298" s="235"/>
      <c r="G298" s="235"/>
      <c r="H298" s="235"/>
      <c r="I298" s="235"/>
      <c r="J298" s="235"/>
      <c r="K298" s="236"/>
    </row>
    <row r="299" spans="1:11" ht="13.8">
      <c r="A299" s="235"/>
      <c r="B299" s="235"/>
      <c r="C299" s="235"/>
      <c r="D299" s="234"/>
      <c r="E299" s="234"/>
      <c r="F299" s="235"/>
      <c r="G299" s="235"/>
      <c r="H299" s="235"/>
      <c r="I299" s="235"/>
      <c r="J299" s="235"/>
      <c r="K299" s="236"/>
    </row>
    <row r="300" spans="1:11" ht="13.8">
      <c r="A300" s="235"/>
      <c r="B300" s="235"/>
      <c r="C300" s="235"/>
      <c r="D300" s="234"/>
      <c r="E300" s="234"/>
      <c r="F300" s="235"/>
      <c r="G300" s="235"/>
      <c r="H300" s="235"/>
      <c r="I300" s="235"/>
      <c r="J300" s="235"/>
      <c r="K300" s="236"/>
    </row>
    <row r="301" spans="1:11" ht="13.8">
      <c r="A301" s="235"/>
      <c r="B301" s="235"/>
      <c r="C301" s="235"/>
      <c r="D301" s="234"/>
      <c r="E301" s="234"/>
      <c r="F301" s="235"/>
      <c r="G301" s="235"/>
      <c r="H301" s="235"/>
      <c r="I301" s="235"/>
      <c r="J301" s="235"/>
      <c r="K301" s="236"/>
    </row>
    <row r="302" spans="1:11" ht="13.8">
      <c r="A302" s="235"/>
      <c r="B302" s="235"/>
      <c r="C302" s="235"/>
      <c r="D302" s="234"/>
      <c r="E302" s="234"/>
      <c r="F302" s="235"/>
      <c r="G302" s="235"/>
      <c r="H302" s="235"/>
      <c r="I302" s="235"/>
      <c r="J302" s="235"/>
      <c r="K302" s="236"/>
    </row>
    <row r="303" spans="1:11" ht="13.8">
      <c r="A303" s="235"/>
      <c r="B303" s="235"/>
      <c r="C303" s="235"/>
      <c r="D303" s="234"/>
      <c r="E303" s="234"/>
      <c r="F303" s="235"/>
      <c r="G303" s="235"/>
      <c r="H303" s="235"/>
      <c r="I303" s="235"/>
      <c r="J303" s="235"/>
      <c r="K303" s="236"/>
    </row>
    <row r="304" spans="1:11" ht="13.8">
      <c r="A304" s="235"/>
      <c r="B304" s="235"/>
      <c r="C304" s="235"/>
      <c r="D304" s="234"/>
      <c r="E304" s="234"/>
      <c r="F304" s="235"/>
      <c r="G304" s="235"/>
      <c r="H304" s="235"/>
      <c r="I304" s="235"/>
      <c r="J304" s="235"/>
      <c r="K304" s="236"/>
    </row>
    <row r="305" spans="1:11" ht="13.8">
      <c r="A305" s="235"/>
      <c r="B305" s="235"/>
      <c r="C305" s="235"/>
      <c r="D305" s="234"/>
      <c r="E305" s="234"/>
      <c r="F305" s="235"/>
      <c r="G305" s="235"/>
      <c r="H305" s="235"/>
      <c r="I305" s="235"/>
      <c r="J305" s="235"/>
      <c r="K305" s="236"/>
    </row>
    <row r="306" spans="1:11" ht="13.8">
      <c r="A306" s="235"/>
      <c r="B306" s="235"/>
      <c r="C306" s="235"/>
      <c r="D306" s="234"/>
      <c r="E306" s="234"/>
      <c r="F306" s="235"/>
      <c r="G306" s="235"/>
      <c r="H306" s="235"/>
      <c r="I306" s="235"/>
      <c r="J306" s="235"/>
      <c r="K306" s="236"/>
    </row>
    <row r="307" spans="1:11" ht="13.8">
      <c r="A307" s="235"/>
      <c r="B307" s="235"/>
      <c r="C307" s="235"/>
      <c r="D307" s="234"/>
      <c r="E307" s="234"/>
      <c r="F307" s="235"/>
      <c r="G307" s="235"/>
      <c r="H307" s="235"/>
      <c r="I307" s="235"/>
      <c r="J307" s="235"/>
      <c r="K307" s="236"/>
    </row>
    <row r="308" spans="1:11" ht="13.8">
      <c r="A308" s="235"/>
      <c r="B308" s="235"/>
      <c r="C308" s="235"/>
      <c r="D308" s="234"/>
      <c r="E308" s="234"/>
      <c r="F308" s="235"/>
      <c r="G308" s="235"/>
      <c r="H308" s="235"/>
      <c r="I308" s="235"/>
      <c r="J308" s="235"/>
      <c r="K308" s="236"/>
    </row>
    <row r="309" spans="1:11" ht="13.8">
      <c r="A309" s="235"/>
      <c r="B309" s="235"/>
      <c r="C309" s="235"/>
      <c r="D309" s="234"/>
      <c r="E309" s="234"/>
      <c r="F309" s="235"/>
      <c r="G309" s="235"/>
      <c r="H309" s="235"/>
      <c r="I309" s="235"/>
      <c r="J309" s="235"/>
      <c r="K309" s="236"/>
    </row>
    <row r="310" spans="1:11" ht="13.8">
      <c r="A310" s="235"/>
      <c r="B310" s="235"/>
      <c r="C310" s="235"/>
      <c r="D310" s="234"/>
      <c r="E310" s="234"/>
      <c r="F310" s="235"/>
      <c r="G310" s="235"/>
      <c r="H310" s="235"/>
      <c r="I310" s="235"/>
      <c r="J310" s="235"/>
      <c r="K310" s="236"/>
    </row>
    <row r="311" spans="1:11" ht="13.8">
      <c r="A311" s="235"/>
      <c r="B311" s="235"/>
      <c r="C311" s="235"/>
      <c r="D311" s="234"/>
      <c r="E311" s="234"/>
      <c r="F311" s="235"/>
      <c r="G311" s="235"/>
      <c r="H311" s="235"/>
      <c r="I311" s="235"/>
      <c r="J311" s="235"/>
      <c r="K311" s="236"/>
    </row>
    <row r="312" spans="1:11" ht="13.8">
      <c r="A312" s="235"/>
      <c r="B312" s="235"/>
      <c r="C312" s="235"/>
      <c r="D312" s="234"/>
      <c r="E312" s="234"/>
      <c r="F312" s="235"/>
      <c r="G312" s="235"/>
      <c r="H312" s="235"/>
      <c r="I312" s="235"/>
      <c r="J312" s="235"/>
      <c r="K312" s="236"/>
    </row>
    <row r="313" spans="1:11" ht="13.8">
      <c r="A313" s="235"/>
      <c r="B313" s="235"/>
      <c r="C313" s="235"/>
      <c r="D313" s="234"/>
      <c r="E313" s="234"/>
      <c r="F313" s="235"/>
      <c r="G313" s="235"/>
      <c r="H313" s="235"/>
      <c r="I313" s="235"/>
      <c r="J313" s="235"/>
      <c r="K313" s="236"/>
    </row>
    <row r="314" spans="1:11" ht="13.8">
      <c r="A314" s="235"/>
      <c r="B314" s="235"/>
      <c r="C314" s="235"/>
      <c r="D314" s="234"/>
      <c r="E314" s="234"/>
      <c r="F314" s="235"/>
      <c r="G314" s="235"/>
      <c r="H314" s="235"/>
      <c r="I314" s="235"/>
      <c r="J314" s="235"/>
      <c r="K314" s="236"/>
    </row>
    <row r="315" spans="1:11" ht="13.8">
      <c r="A315" s="235"/>
      <c r="B315" s="235"/>
      <c r="C315" s="235"/>
      <c r="D315" s="234"/>
      <c r="E315" s="234"/>
      <c r="F315" s="235"/>
      <c r="G315" s="235"/>
      <c r="H315" s="235"/>
      <c r="I315" s="235"/>
      <c r="J315" s="235"/>
      <c r="K315" s="236"/>
    </row>
    <row r="316" spans="1:11" ht="13.8">
      <c r="A316" s="235"/>
      <c r="B316" s="235"/>
      <c r="C316" s="235"/>
      <c r="D316" s="234"/>
      <c r="E316" s="234"/>
      <c r="F316" s="235"/>
      <c r="G316" s="235"/>
      <c r="H316" s="235"/>
      <c r="I316" s="235"/>
      <c r="J316" s="235"/>
      <c r="K316" s="236"/>
    </row>
    <row r="317" spans="1:11" ht="13.8">
      <c r="A317" s="235"/>
      <c r="B317" s="235"/>
      <c r="C317" s="235"/>
      <c r="D317" s="234"/>
      <c r="E317" s="234"/>
      <c r="F317" s="235"/>
      <c r="G317" s="235"/>
      <c r="H317" s="235"/>
      <c r="I317" s="235"/>
      <c r="J317" s="235"/>
      <c r="K317" s="236"/>
    </row>
    <row r="318" spans="1:11" ht="13.8">
      <c r="A318" s="235"/>
      <c r="B318" s="235"/>
      <c r="C318" s="235"/>
      <c r="D318" s="234"/>
      <c r="E318" s="234"/>
      <c r="F318" s="235"/>
      <c r="G318" s="235"/>
      <c r="H318" s="235"/>
      <c r="I318" s="235"/>
      <c r="J318" s="235"/>
      <c r="K318" s="236"/>
    </row>
    <row r="319" spans="1:11" ht="13.8">
      <c r="A319" s="235"/>
      <c r="B319" s="235"/>
      <c r="C319" s="235"/>
      <c r="D319" s="234"/>
      <c r="E319" s="234"/>
      <c r="F319" s="235"/>
      <c r="G319" s="235"/>
      <c r="H319" s="235"/>
      <c r="I319" s="235"/>
      <c r="J319" s="235"/>
      <c r="K319" s="236"/>
    </row>
    <row r="320" spans="1:11" ht="13.8">
      <c r="A320" s="235"/>
      <c r="B320" s="235"/>
      <c r="C320" s="235"/>
      <c r="D320" s="234"/>
      <c r="E320" s="234"/>
      <c r="F320" s="235"/>
      <c r="G320" s="235"/>
      <c r="H320" s="235"/>
      <c r="I320" s="235"/>
      <c r="J320" s="235"/>
      <c r="K320" s="236"/>
    </row>
    <row r="321" spans="1:11" ht="13.8">
      <c r="A321" s="235"/>
      <c r="B321" s="235"/>
      <c r="C321" s="235"/>
      <c r="D321" s="234"/>
      <c r="E321" s="234"/>
      <c r="F321" s="235"/>
      <c r="G321" s="235"/>
      <c r="H321" s="235"/>
      <c r="I321" s="235"/>
      <c r="J321" s="235"/>
      <c r="K321" s="236"/>
    </row>
    <row r="322" spans="1:11" ht="13.8">
      <c r="A322" s="235"/>
      <c r="B322" s="235"/>
      <c r="C322" s="235"/>
      <c r="D322" s="234"/>
      <c r="E322" s="234"/>
      <c r="F322" s="235"/>
      <c r="G322" s="235"/>
      <c r="H322" s="235"/>
      <c r="I322" s="235"/>
      <c r="J322" s="235"/>
      <c r="K322" s="236"/>
    </row>
    <row r="323" spans="1:11" ht="13.8">
      <c r="A323" s="235"/>
      <c r="B323" s="235"/>
      <c r="C323" s="235"/>
      <c r="D323" s="234"/>
      <c r="E323" s="234"/>
      <c r="F323" s="235"/>
      <c r="G323" s="235"/>
      <c r="H323" s="235"/>
      <c r="I323" s="235"/>
      <c r="J323" s="235"/>
      <c r="K323" s="236"/>
    </row>
    <row r="324" spans="1:11" ht="13.8">
      <c r="A324" s="235"/>
      <c r="B324" s="235"/>
      <c r="C324" s="235"/>
      <c r="D324" s="234"/>
      <c r="E324" s="234"/>
      <c r="F324" s="235"/>
      <c r="G324" s="235"/>
      <c r="H324" s="235"/>
      <c r="I324" s="235"/>
      <c r="J324" s="235"/>
      <c r="K324" s="236"/>
    </row>
    <row r="325" spans="1:11" ht="13.8">
      <c r="A325" s="235"/>
      <c r="B325" s="235"/>
      <c r="C325" s="235"/>
      <c r="D325" s="234"/>
      <c r="E325" s="234"/>
      <c r="F325" s="235"/>
      <c r="G325" s="235"/>
      <c r="H325" s="235"/>
      <c r="I325" s="235"/>
      <c r="J325" s="235"/>
      <c r="K325" s="236"/>
    </row>
    <row r="326" spans="1:11" ht="13.8">
      <c r="A326" s="235"/>
      <c r="B326" s="235"/>
      <c r="C326" s="235"/>
      <c r="D326" s="234"/>
      <c r="E326" s="234"/>
      <c r="F326" s="235"/>
      <c r="G326" s="235"/>
      <c r="H326" s="235"/>
      <c r="I326" s="235"/>
      <c r="J326" s="235"/>
      <c r="K326" s="236"/>
    </row>
    <row r="327" spans="1:11" ht="13.8">
      <c r="A327" s="235"/>
      <c r="B327" s="235"/>
      <c r="C327" s="235"/>
      <c r="D327" s="234"/>
      <c r="E327" s="234"/>
      <c r="F327" s="235"/>
      <c r="G327" s="235"/>
      <c r="H327" s="235"/>
      <c r="I327" s="235"/>
      <c r="J327" s="235"/>
      <c r="K327" s="236"/>
    </row>
    <row r="328" spans="1:11" ht="13.8">
      <c r="A328" s="235"/>
      <c r="B328" s="235"/>
      <c r="C328" s="235"/>
      <c r="D328" s="234"/>
      <c r="E328" s="234"/>
      <c r="F328" s="235"/>
      <c r="G328" s="235"/>
      <c r="H328" s="235"/>
      <c r="I328" s="235"/>
      <c r="J328" s="235"/>
      <c r="K328" s="236"/>
    </row>
    <row r="329" spans="1:11" ht="13.8">
      <c r="A329" s="235"/>
      <c r="B329" s="235"/>
      <c r="C329" s="235"/>
      <c r="D329" s="234"/>
      <c r="E329" s="234"/>
      <c r="F329" s="235"/>
      <c r="G329" s="235"/>
      <c r="H329" s="235"/>
      <c r="I329" s="235"/>
      <c r="J329" s="235"/>
      <c r="K329" s="236"/>
    </row>
    <row r="330" spans="1:11" ht="13.8">
      <c r="A330" s="235"/>
      <c r="B330" s="235"/>
      <c r="C330" s="235"/>
      <c r="D330" s="234"/>
      <c r="E330" s="234"/>
      <c r="F330" s="235"/>
      <c r="G330" s="235"/>
      <c r="H330" s="235"/>
      <c r="I330" s="235"/>
      <c r="J330" s="235"/>
      <c r="K330" s="236"/>
    </row>
    <row r="331" spans="1:11" ht="13.8">
      <c r="A331" s="235"/>
      <c r="B331" s="235"/>
      <c r="C331" s="235"/>
      <c r="D331" s="234"/>
      <c r="E331" s="234"/>
      <c r="F331" s="235"/>
      <c r="G331" s="235"/>
      <c r="H331" s="235"/>
      <c r="I331" s="235"/>
      <c r="J331" s="235"/>
      <c r="K331" s="236"/>
    </row>
    <row r="332" spans="1:11" ht="13.8">
      <c r="A332" s="235"/>
      <c r="B332" s="235"/>
      <c r="C332" s="235"/>
      <c r="D332" s="234"/>
      <c r="E332" s="234"/>
      <c r="F332" s="235"/>
      <c r="G332" s="235"/>
      <c r="H332" s="235"/>
      <c r="I332" s="235"/>
      <c r="J332" s="235"/>
      <c r="K332" s="236"/>
    </row>
    <row r="333" spans="1:11" ht="13.8">
      <c r="A333" s="235"/>
      <c r="B333" s="235"/>
      <c r="C333" s="235"/>
      <c r="D333" s="234"/>
      <c r="E333" s="234"/>
      <c r="F333" s="235"/>
      <c r="G333" s="235"/>
      <c r="H333" s="235"/>
      <c r="I333" s="235"/>
      <c r="J333" s="235"/>
      <c r="K333" s="236"/>
    </row>
    <row r="334" spans="1:11" ht="13.8">
      <c r="A334" s="235"/>
      <c r="B334" s="235"/>
      <c r="C334" s="235"/>
      <c r="D334" s="234"/>
      <c r="E334" s="234"/>
      <c r="F334" s="235"/>
      <c r="G334" s="235"/>
      <c r="H334" s="235"/>
      <c r="I334" s="235"/>
      <c r="J334" s="235"/>
      <c r="K334" s="236"/>
    </row>
    <row r="335" spans="1:11" ht="13.8">
      <c r="A335" s="235"/>
      <c r="B335" s="235"/>
      <c r="C335" s="235"/>
      <c r="D335" s="234"/>
      <c r="E335" s="234"/>
      <c r="F335" s="235"/>
      <c r="G335" s="235"/>
      <c r="H335" s="235"/>
      <c r="I335" s="235"/>
      <c r="J335" s="235"/>
      <c r="K335" s="236"/>
    </row>
    <row r="336" spans="1:11" ht="13.8">
      <c r="A336" s="235"/>
      <c r="B336" s="235"/>
      <c r="C336" s="235"/>
      <c r="D336" s="234"/>
      <c r="E336" s="234"/>
      <c r="F336" s="235"/>
      <c r="G336" s="235"/>
      <c r="H336" s="235"/>
      <c r="I336" s="235"/>
      <c r="J336" s="235"/>
      <c r="K336" s="236"/>
    </row>
    <row r="337" spans="1:11" ht="13.8">
      <c r="A337" s="235"/>
      <c r="B337" s="235"/>
      <c r="C337" s="235"/>
      <c r="D337" s="234"/>
      <c r="E337" s="234"/>
      <c r="F337" s="235"/>
      <c r="G337" s="235"/>
      <c r="H337" s="235"/>
      <c r="I337" s="235"/>
      <c r="J337" s="235"/>
      <c r="K337" s="236"/>
    </row>
    <row r="338" spans="1:11" ht="13.8">
      <c r="A338" s="235"/>
      <c r="B338" s="235"/>
      <c r="C338" s="235"/>
      <c r="D338" s="234"/>
      <c r="E338" s="234"/>
      <c r="F338" s="235"/>
      <c r="G338" s="235"/>
      <c r="H338" s="235"/>
      <c r="I338" s="235"/>
      <c r="J338" s="235"/>
      <c r="K338" s="236"/>
    </row>
    <row r="339" spans="1:11" ht="13.8">
      <c r="A339" s="235"/>
      <c r="B339" s="235"/>
      <c r="C339" s="235"/>
      <c r="D339" s="234"/>
      <c r="E339" s="234"/>
      <c r="F339" s="235"/>
      <c r="G339" s="235"/>
      <c r="H339" s="235"/>
      <c r="I339" s="235"/>
      <c r="J339" s="235"/>
      <c r="K339" s="236"/>
    </row>
    <row r="340" spans="1:11" ht="13.8">
      <c r="A340" s="235"/>
      <c r="B340" s="235"/>
      <c r="C340" s="235"/>
      <c r="D340" s="234"/>
      <c r="E340" s="234"/>
      <c r="F340" s="235"/>
      <c r="G340" s="235"/>
      <c r="H340" s="235"/>
      <c r="I340" s="235"/>
      <c r="J340" s="235"/>
      <c r="K340" s="236"/>
    </row>
    <row r="341" spans="1:11" ht="13.8">
      <c r="A341" s="235"/>
      <c r="B341" s="235"/>
      <c r="C341" s="235"/>
      <c r="D341" s="234"/>
      <c r="E341" s="234"/>
      <c r="F341" s="235"/>
      <c r="G341" s="235"/>
      <c r="H341" s="235"/>
      <c r="I341" s="235"/>
      <c r="J341" s="235"/>
      <c r="K341" s="236"/>
    </row>
    <row r="342" spans="1:11" ht="13.8">
      <c r="A342" s="235"/>
      <c r="B342" s="235"/>
      <c r="C342" s="235"/>
      <c r="D342" s="234"/>
      <c r="E342" s="234"/>
      <c r="F342" s="235"/>
      <c r="G342" s="235"/>
      <c r="H342" s="235"/>
      <c r="I342" s="235"/>
      <c r="J342" s="235"/>
      <c r="K342" s="236"/>
    </row>
    <row r="343" spans="1:11" ht="13.8">
      <c r="A343" s="235"/>
      <c r="B343" s="235"/>
      <c r="C343" s="235"/>
      <c r="D343" s="234"/>
      <c r="E343" s="234"/>
      <c r="F343" s="235"/>
      <c r="G343" s="235"/>
      <c r="H343" s="235"/>
      <c r="I343" s="235"/>
      <c r="J343" s="235"/>
      <c r="K343" s="236"/>
    </row>
    <row r="344" spans="1:11" ht="13.8">
      <c r="A344" s="235"/>
      <c r="B344" s="235"/>
      <c r="C344" s="235"/>
      <c r="D344" s="234"/>
      <c r="E344" s="234"/>
      <c r="F344" s="235"/>
      <c r="G344" s="235"/>
      <c r="H344" s="235"/>
      <c r="I344" s="235"/>
      <c r="J344" s="235"/>
      <c r="K344" s="236"/>
    </row>
    <row r="345" spans="1:11" ht="13.8">
      <c r="A345" s="235"/>
      <c r="B345" s="235"/>
      <c r="C345" s="235"/>
      <c r="D345" s="234"/>
      <c r="E345" s="234"/>
      <c r="F345" s="235"/>
      <c r="G345" s="235"/>
      <c r="H345" s="235"/>
      <c r="I345" s="235"/>
      <c r="J345" s="235"/>
      <c r="K345" s="236"/>
    </row>
    <row r="346" spans="1:11" ht="13.8">
      <c r="A346" s="235"/>
      <c r="B346" s="235"/>
      <c r="C346" s="235"/>
      <c r="D346" s="234"/>
      <c r="E346" s="234"/>
      <c r="F346" s="235"/>
      <c r="G346" s="235"/>
      <c r="H346" s="235"/>
      <c r="I346" s="235"/>
      <c r="J346" s="235"/>
      <c r="K346" s="236"/>
    </row>
    <row r="347" spans="1:11" ht="13.8">
      <c r="A347" s="235"/>
      <c r="B347" s="235"/>
      <c r="C347" s="235"/>
      <c r="D347" s="234"/>
      <c r="E347" s="234"/>
      <c r="F347" s="235"/>
      <c r="G347" s="235"/>
      <c r="H347" s="235"/>
      <c r="I347" s="235"/>
      <c r="J347" s="235"/>
      <c r="K347" s="236"/>
    </row>
    <row r="348" spans="1:11" ht="13.8">
      <c r="A348" s="235"/>
      <c r="B348" s="235"/>
      <c r="C348" s="235"/>
      <c r="D348" s="234"/>
      <c r="E348" s="234"/>
      <c r="F348" s="235"/>
      <c r="G348" s="235"/>
      <c r="H348" s="235"/>
      <c r="I348" s="235"/>
      <c r="J348" s="235"/>
      <c r="K348" s="236"/>
    </row>
    <row r="349" spans="1:11" ht="13.8">
      <c r="A349" s="235"/>
      <c r="B349" s="235"/>
      <c r="C349" s="235"/>
      <c r="D349" s="234"/>
      <c r="E349" s="234"/>
      <c r="F349" s="235"/>
      <c r="G349" s="235"/>
      <c r="H349" s="235"/>
      <c r="I349" s="235"/>
      <c r="J349" s="235"/>
      <c r="K349" s="236"/>
    </row>
    <row r="350" spans="1:11" ht="13.8">
      <c r="A350" s="235"/>
      <c r="B350" s="235"/>
      <c r="C350" s="235"/>
      <c r="D350" s="234"/>
      <c r="E350" s="234"/>
      <c r="F350" s="235"/>
      <c r="G350" s="235"/>
      <c r="H350" s="235"/>
      <c r="I350" s="235"/>
      <c r="J350" s="235"/>
      <c r="K350" s="236"/>
    </row>
    <row r="351" spans="1:11" ht="13.8">
      <c r="A351" s="235"/>
      <c r="B351" s="235"/>
      <c r="C351" s="235"/>
      <c r="D351" s="234"/>
      <c r="E351" s="234"/>
      <c r="F351" s="235"/>
      <c r="G351" s="235"/>
      <c r="H351" s="235"/>
      <c r="I351" s="235"/>
      <c r="J351" s="235"/>
      <c r="K351" s="236"/>
    </row>
    <row r="352" spans="1:11" ht="13.8">
      <c r="A352" s="235"/>
      <c r="B352" s="235"/>
      <c r="C352" s="235"/>
      <c r="D352" s="234"/>
      <c r="E352" s="234"/>
      <c r="F352" s="235"/>
      <c r="G352" s="235"/>
      <c r="H352" s="235"/>
      <c r="I352" s="235"/>
      <c r="J352" s="235"/>
      <c r="K352" s="236"/>
    </row>
    <row r="353" spans="1:11" ht="13.8">
      <c r="A353" s="235"/>
      <c r="B353" s="235"/>
      <c r="C353" s="235"/>
      <c r="D353" s="234"/>
      <c r="E353" s="234"/>
      <c r="F353" s="235"/>
      <c r="G353" s="235"/>
      <c r="H353" s="235"/>
      <c r="I353" s="235"/>
      <c r="J353" s="235"/>
      <c r="K353" s="236"/>
    </row>
    <row r="354" spans="1:11" ht="13.8">
      <c r="A354" s="235"/>
      <c r="B354" s="235"/>
      <c r="C354" s="235"/>
      <c r="D354" s="234"/>
      <c r="E354" s="234"/>
      <c r="F354" s="235"/>
      <c r="G354" s="235"/>
      <c r="H354" s="235"/>
      <c r="I354" s="235"/>
      <c r="J354" s="235"/>
      <c r="K354" s="236"/>
    </row>
    <row r="355" spans="1:11" ht="13.8">
      <c r="A355" s="235"/>
      <c r="B355" s="235"/>
      <c r="C355" s="235"/>
      <c r="D355" s="234"/>
      <c r="E355" s="234"/>
      <c r="F355" s="235"/>
      <c r="G355" s="235"/>
      <c r="H355" s="235"/>
      <c r="I355" s="235"/>
      <c r="J355" s="235"/>
      <c r="K355" s="236"/>
    </row>
    <row r="356" spans="1:11" ht="13.8">
      <c r="A356" s="235"/>
      <c r="B356" s="235"/>
      <c r="C356" s="235"/>
      <c r="D356" s="234"/>
      <c r="E356" s="234"/>
      <c r="F356" s="235"/>
      <c r="G356" s="235"/>
      <c r="H356" s="235"/>
      <c r="I356" s="235"/>
      <c r="J356" s="235"/>
      <c r="K356" s="236"/>
    </row>
    <row r="357" spans="1:11" ht="13.8">
      <c r="A357" s="235"/>
      <c r="B357" s="235"/>
      <c r="C357" s="235"/>
      <c r="D357" s="234"/>
      <c r="E357" s="234"/>
      <c r="F357" s="235"/>
      <c r="G357" s="235"/>
      <c r="H357" s="235"/>
      <c r="I357" s="235"/>
      <c r="J357" s="235"/>
      <c r="K357" s="236"/>
    </row>
    <row r="358" spans="1:11" ht="13.8">
      <c r="A358" s="235"/>
      <c r="B358" s="235"/>
      <c r="C358" s="235"/>
      <c r="D358" s="234"/>
      <c r="E358" s="234"/>
      <c r="F358" s="235"/>
      <c r="G358" s="235"/>
      <c r="H358" s="235"/>
      <c r="I358" s="235"/>
      <c r="J358" s="235"/>
      <c r="K358" s="236"/>
    </row>
    <row r="359" spans="1:11" ht="13.8">
      <c r="A359" s="235"/>
      <c r="B359" s="235"/>
      <c r="C359" s="235"/>
      <c r="D359" s="234"/>
      <c r="E359" s="234"/>
      <c r="F359" s="235"/>
      <c r="G359" s="235"/>
      <c r="H359" s="235"/>
      <c r="I359" s="235"/>
      <c r="J359" s="235"/>
      <c r="K359" s="236"/>
    </row>
    <row r="360" spans="1:11" ht="13.8">
      <c r="A360" s="235"/>
      <c r="B360" s="235"/>
      <c r="C360" s="235"/>
      <c r="D360" s="234"/>
      <c r="E360" s="234"/>
      <c r="F360" s="235"/>
      <c r="G360" s="235"/>
      <c r="H360" s="235"/>
      <c r="I360" s="235"/>
      <c r="J360" s="235"/>
      <c r="K360" s="236"/>
    </row>
    <row r="361" spans="1:11" ht="13.8">
      <c r="A361" s="235"/>
      <c r="B361" s="235"/>
      <c r="C361" s="235"/>
      <c r="D361" s="234"/>
      <c r="E361" s="234"/>
      <c r="F361" s="235"/>
      <c r="G361" s="235"/>
      <c r="H361" s="235"/>
      <c r="I361" s="235"/>
      <c r="J361" s="235"/>
      <c r="K361" s="236"/>
    </row>
    <row r="362" spans="1:11" ht="13.8">
      <c r="A362" s="235"/>
      <c r="B362" s="235"/>
      <c r="C362" s="235"/>
      <c r="D362" s="234"/>
      <c r="E362" s="234"/>
      <c r="F362" s="235"/>
      <c r="G362" s="235"/>
      <c r="H362" s="235"/>
      <c r="I362" s="235"/>
      <c r="J362" s="235"/>
      <c r="K362" s="236"/>
    </row>
    <row r="363" spans="1:11" ht="13.8">
      <c r="A363" s="235"/>
      <c r="B363" s="235"/>
      <c r="C363" s="235"/>
      <c r="D363" s="234"/>
      <c r="E363" s="234"/>
      <c r="F363" s="235"/>
      <c r="G363" s="235"/>
      <c r="H363" s="235"/>
      <c r="I363" s="235"/>
      <c r="J363" s="235"/>
      <c r="K363" s="236"/>
    </row>
    <row r="364" spans="1:11" ht="13.8">
      <c r="A364" s="235"/>
      <c r="B364" s="235"/>
      <c r="C364" s="235"/>
      <c r="D364" s="234"/>
      <c r="E364" s="234"/>
      <c r="F364" s="235"/>
      <c r="G364" s="235"/>
      <c r="H364" s="235"/>
      <c r="I364" s="235"/>
      <c r="J364" s="235"/>
      <c r="K364" s="236"/>
    </row>
    <row r="365" spans="1:11" ht="13.8">
      <c r="A365" s="235"/>
      <c r="B365" s="235"/>
      <c r="C365" s="235"/>
      <c r="D365" s="234"/>
      <c r="E365" s="234"/>
      <c r="F365" s="235"/>
      <c r="G365" s="235"/>
      <c r="H365" s="235"/>
      <c r="I365" s="235"/>
      <c r="J365" s="235"/>
      <c r="K365" s="236"/>
    </row>
    <row r="366" spans="1:11" ht="13.8">
      <c r="A366" s="235"/>
      <c r="B366" s="235"/>
      <c r="C366" s="235"/>
      <c r="D366" s="234"/>
      <c r="E366" s="234"/>
      <c r="F366" s="235"/>
      <c r="G366" s="235"/>
      <c r="H366" s="235"/>
      <c r="I366" s="235"/>
      <c r="J366" s="235"/>
      <c r="K366" s="236"/>
    </row>
    <row r="367" spans="1:11" ht="13.8">
      <c r="A367" s="235"/>
      <c r="B367" s="235"/>
      <c r="C367" s="235"/>
      <c r="D367" s="234"/>
      <c r="E367" s="234"/>
      <c r="F367" s="235"/>
      <c r="G367" s="235"/>
      <c r="H367" s="235"/>
      <c r="I367" s="235"/>
      <c r="J367" s="235"/>
      <c r="K367" s="236"/>
    </row>
    <row r="368" spans="1:11" ht="13.8">
      <c r="A368" s="235"/>
      <c r="B368" s="235"/>
      <c r="C368" s="235"/>
      <c r="D368" s="234"/>
      <c r="E368" s="234"/>
      <c r="F368" s="235"/>
      <c r="G368" s="235"/>
      <c r="H368" s="235"/>
      <c r="I368" s="235"/>
      <c r="J368" s="235"/>
      <c r="K368" s="236"/>
    </row>
    <row r="369" spans="1:11" ht="13.8">
      <c r="A369" s="235"/>
      <c r="B369" s="235"/>
      <c r="C369" s="235"/>
      <c r="D369" s="234"/>
      <c r="E369" s="234"/>
      <c r="F369" s="235"/>
      <c r="G369" s="235"/>
      <c r="H369" s="235"/>
      <c r="I369" s="235"/>
      <c r="J369" s="235"/>
      <c r="K369" s="236"/>
    </row>
    <row r="370" spans="1:11" ht="13.8">
      <c r="A370" s="235"/>
      <c r="B370" s="235"/>
      <c r="C370" s="235"/>
      <c r="D370" s="234"/>
      <c r="E370" s="234"/>
      <c r="F370" s="235"/>
      <c r="G370" s="235"/>
      <c r="H370" s="235"/>
      <c r="I370" s="235"/>
      <c r="J370" s="235"/>
      <c r="K370" s="236"/>
    </row>
    <row r="371" spans="1:11" ht="13.8">
      <c r="A371" s="235"/>
      <c r="B371" s="235"/>
      <c r="C371" s="235"/>
      <c r="D371" s="234"/>
      <c r="E371" s="234"/>
      <c r="F371" s="235"/>
      <c r="G371" s="235"/>
      <c r="H371" s="235"/>
      <c r="I371" s="235"/>
      <c r="J371" s="235"/>
      <c r="K371" s="236"/>
    </row>
    <row r="372" spans="1:11" ht="13.8">
      <c r="A372" s="235"/>
      <c r="B372" s="235"/>
      <c r="C372" s="235"/>
      <c r="D372" s="234"/>
      <c r="E372" s="234"/>
      <c r="F372" s="235"/>
      <c r="G372" s="235"/>
      <c r="H372" s="235"/>
      <c r="I372" s="235"/>
      <c r="J372" s="235"/>
      <c r="K372" s="236"/>
    </row>
    <row r="373" spans="1:11" ht="13.8">
      <c r="A373" s="235"/>
      <c r="B373" s="235"/>
      <c r="C373" s="235"/>
      <c r="D373" s="234"/>
      <c r="E373" s="234"/>
      <c r="F373" s="235"/>
      <c r="G373" s="235"/>
      <c r="H373" s="235"/>
      <c r="I373" s="235"/>
      <c r="J373" s="235"/>
      <c r="K373" s="236"/>
    </row>
    <row r="374" spans="1:11" ht="13.8">
      <c r="A374" s="235"/>
      <c r="B374" s="235"/>
      <c r="C374" s="235"/>
      <c r="D374" s="234"/>
      <c r="E374" s="234"/>
      <c r="F374" s="235"/>
      <c r="G374" s="235"/>
      <c r="H374" s="235"/>
      <c r="I374" s="235"/>
      <c r="J374" s="235"/>
      <c r="K374" s="236"/>
    </row>
    <row r="375" spans="1:11" ht="13.8">
      <c r="A375" s="235"/>
      <c r="B375" s="235"/>
      <c r="C375" s="235"/>
      <c r="D375" s="234"/>
      <c r="E375" s="234"/>
      <c r="F375" s="235"/>
      <c r="G375" s="235"/>
      <c r="H375" s="235"/>
      <c r="I375" s="235"/>
      <c r="J375" s="235"/>
      <c r="K375" s="236"/>
    </row>
    <row r="376" spans="1:11" ht="13.8">
      <c r="A376" s="235"/>
      <c r="B376" s="235"/>
      <c r="C376" s="235"/>
      <c r="D376" s="234"/>
      <c r="E376" s="234"/>
      <c r="F376" s="235"/>
      <c r="G376" s="235"/>
      <c r="H376" s="235"/>
      <c r="I376" s="235"/>
      <c r="J376" s="235"/>
      <c r="K376" s="236"/>
    </row>
    <row r="377" spans="1:11" ht="13.8">
      <c r="A377" s="235"/>
      <c r="B377" s="235"/>
      <c r="C377" s="235"/>
      <c r="D377" s="234"/>
      <c r="E377" s="234"/>
      <c r="F377" s="235"/>
      <c r="G377" s="235"/>
      <c r="H377" s="235"/>
      <c r="I377" s="235"/>
      <c r="J377" s="235"/>
      <c r="K377" s="236"/>
    </row>
    <row r="378" spans="1:11" ht="13.8">
      <c r="A378" s="235"/>
      <c r="B378" s="235"/>
      <c r="C378" s="235"/>
      <c r="D378" s="234"/>
      <c r="E378" s="234"/>
      <c r="F378" s="235"/>
      <c r="G378" s="235"/>
      <c r="H378" s="235"/>
      <c r="I378" s="235"/>
      <c r="J378" s="235"/>
      <c r="K378" s="236"/>
    </row>
    <row r="379" spans="1:11" ht="13.8">
      <c r="A379" s="235"/>
      <c r="B379" s="235"/>
      <c r="C379" s="235"/>
      <c r="D379" s="234"/>
      <c r="E379" s="234"/>
      <c r="F379" s="235"/>
      <c r="G379" s="235"/>
      <c r="H379" s="235"/>
      <c r="I379" s="235"/>
      <c r="J379" s="235"/>
      <c r="K379" s="236"/>
    </row>
    <row r="380" spans="1:11" ht="13.8">
      <c r="A380" s="235"/>
      <c r="B380" s="235"/>
      <c r="C380" s="235"/>
      <c r="D380" s="234"/>
      <c r="E380" s="234"/>
      <c r="F380" s="235"/>
      <c r="G380" s="235"/>
      <c r="H380" s="235"/>
      <c r="I380" s="235"/>
      <c r="J380" s="235"/>
      <c r="K380" s="236"/>
    </row>
    <row r="381" spans="1:11" ht="13.8">
      <c r="A381" s="235"/>
      <c r="B381" s="235"/>
      <c r="C381" s="235"/>
      <c r="D381" s="234"/>
      <c r="E381" s="234"/>
      <c r="F381" s="235"/>
      <c r="G381" s="235"/>
      <c r="H381" s="235"/>
      <c r="I381" s="235"/>
      <c r="J381" s="235"/>
      <c r="K381" s="236"/>
    </row>
    <row r="382" spans="1:11" ht="13.8">
      <c r="A382" s="235"/>
      <c r="B382" s="235"/>
      <c r="C382" s="235"/>
      <c r="D382" s="234"/>
      <c r="E382" s="234"/>
      <c r="F382" s="235"/>
      <c r="G382" s="235"/>
      <c r="H382" s="235"/>
      <c r="I382" s="235"/>
      <c r="J382" s="235"/>
      <c r="K382" s="236"/>
    </row>
    <row r="383" spans="1:11" ht="13.8">
      <c r="A383" s="235"/>
      <c r="B383" s="235"/>
      <c r="C383" s="235"/>
      <c r="D383" s="234"/>
      <c r="E383" s="234"/>
      <c r="F383" s="235"/>
      <c r="G383" s="235"/>
      <c r="H383" s="235"/>
      <c r="I383" s="235"/>
      <c r="J383" s="235"/>
      <c r="K383" s="236"/>
    </row>
    <row r="384" spans="1:11" ht="13.8">
      <c r="A384" s="235"/>
      <c r="B384" s="235"/>
      <c r="C384" s="235"/>
      <c r="D384" s="234"/>
      <c r="E384" s="234"/>
      <c r="F384" s="235"/>
      <c r="G384" s="235"/>
      <c r="H384" s="235"/>
      <c r="I384" s="235"/>
      <c r="J384" s="235"/>
      <c r="K384" s="236"/>
    </row>
    <row r="385" spans="1:11" ht="13.8">
      <c r="A385" s="235"/>
      <c r="B385" s="235"/>
      <c r="C385" s="235"/>
      <c r="D385" s="234"/>
      <c r="E385" s="234"/>
      <c r="F385" s="235"/>
      <c r="G385" s="235"/>
      <c r="H385" s="235"/>
      <c r="I385" s="235"/>
      <c r="J385" s="235"/>
      <c r="K385" s="236"/>
    </row>
    <row r="386" spans="1:11" ht="13.8">
      <c r="A386" s="235"/>
      <c r="B386" s="235"/>
      <c r="C386" s="235"/>
      <c r="D386" s="234"/>
      <c r="E386" s="234"/>
      <c r="F386" s="235"/>
      <c r="G386" s="235"/>
      <c r="H386" s="235"/>
      <c r="I386" s="235"/>
      <c r="J386" s="235"/>
      <c r="K386" s="236"/>
    </row>
    <row r="387" spans="1:11" ht="13.8">
      <c r="A387" s="235"/>
      <c r="B387" s="235"/>
      <c r="C387" s="235"/>
      <c r="D387" s="234"/>
      <c r="E387" s="234"/>
      <c r="F387" s="235"/>
      <c r="G387" s="235"/>
      <c r="H387" s="235"/>
      <c r="I387" s="235"/>
      <c r="J387" s="235"/>
      <c r="K387" s="236"/>
    </row>
    <row r="388" spans="1:11" ht="13.8">
      <c r="A388" s="235"/>
      <c r="B388" s="235"/>
      <c r="C388" s="235"/>
      <c r="D388" s="234"/>
      <c r="E388" s="234"/>
      <c r="F388" s="235"/>
      <c r="G388" s="235"/>
      <c r="H388" s="235"/>
      <c r="I388" s="235"/>
      <c r="J388" s="235"/>
      <c r="K388" s="236"/>
    </row>
    <row r="389" spans="1:11" ht="13.8">
      <c r="A389" s="235"/>
      <c r="B389" s="235"/>
      <c r="C389" s="235"/>
      <c r="D389" s="234"/>
      <c r="E389" s="234"/>
      <c r="F389" s="235"/>
      <c r="G389" s="235"/>
      <c r="H389" s="235"/>
      <c r="I389" s="235"/>
      <c r="J389" s="235"/>
      <c r="K389" s="236"/>
    </row>
    <row r="390" spans="1:11" ht="13.8">
      <c r="A390" s="235"/>
      <c r="B390" s="235"/>
      <c r="C390" s="235"/>
      <c r="D390" s="234"/>
      <c r="E390" s="234"/>
      <c r="F390" s="235"/>
      <c r="G390" s="235"/>
      <c r="H390" s="235"/>
      <c r="I390" s="235"/>
      <c r="J390" s="235"/>
      <c r="K390" s="236"/>
    </row>
    <row r="391" spans="1:11" ht="13.8">
      <c r="A391" s="235"/>
      <c r="B391" s="235"/>
      <c r="C391" s="235"/>
      <c r="D391" s="234"/>
      <c r="E391" s="234"/>
      <c r="F391" s="235"/>
      <c r="G391" s="235"/>
      <c r="H391" s="235"/>
      <c r="I391" s="235"/>
      <c r="J391" s="235"/>
      <c r="K391" s="236"/>
    </row>
    <row r="392" spans="1:11" ht="13.8">
      <c r="A392" s="235"/>
      <c r="B392" s="235"/>
      <c r="C392" s="235"/>
      <c r="D392" s="234"/>
      <c r="E392" s="234"/>
      <c r="F392" s="235"/>
      <c r="G392" s="235"/>
      <c r="H392" s="235"/>
      <c r="I392" s="235"/>
      <c r="J392" s="235"/>
      <c r="K392" s="236"/>
    </row>
    <row r="393" spans="1:11" ht="13.8">
      <c r="A393" s="235"/>
      <c r="B393" s="235"/>
      <c r="C393" s="235"/>
      <c r="D393" s="234"/>
      <c r="E393" s="234"/>
      <c r="F393" s="235"/>
      <c r="G393" s="235"/>
      <c r="H393" s="235"/>
      <c r="I393" s="235"/>
      <c r="J393" s="235"/>
      <c r="K393" s="236"/>
    </row>
    <row r="394" spans="1:11" ht="13.8">
      <c r="A394" s="235"/>
      <c r="B394" s="235"/>
      <c r="C394" s="235"/>
      <c r="D394" s="234"/>
      <c r="E394" s="234"/>
      <c r="F394" s="235"/>
      <c r="G394" s="235"/>
      <c r="H394" s="235"/>
      <c r="I394" s="235"/>
      <c r="J394" s="235"/>
      <c r="K394" s="236"/>
    </row>
    <row r="395" spans="1:11" ht="13.8">
      <c r="A395" s="235"/>
      <c r="B395" s="235"/>
      <c r="C395" s="235"/>
      <c r="D395" s="234"/>
      <c r="E395" s="234"/>
      <c r="F395" s="235"/>
      <c r="G395" s="235"/>
      <c r="H395" s="235"/>
      <c r="I395" s="235"/>
      <c r="J395" s="235"/>
      <c r="K395" s="236"/>
    </row>
    <row r="396" spans="1:11" ht="13.8">
      <c r="A396" s="235"/>
      <c r="B396" s="235"/>
      <c r="C396" s="235"/>
      <c r="D396" s="234"/>
      <c r="E396" s="234"/>
      <c r="F396" s="235"/>
      <c r="G396" s="235"/>
      <c r="H396" s="235"/>
      <c r="I396" s="235"/>
      <c r="J396" s="235"/>
      <c r="K396" s="236"/>
    </row>
    <row r="397" spans="1:11" ht="13.8">
      <c r="A397" s="235"/>
      <c r="B397" s="235"/>
      <c r="C397" s="235"/>
      <c r="D397" s="234"/>
      <c r="E397" s="234"/>
      <c r="F397" s="235"/>
      <c r="G397" s="235"/>
      <c r="H397" s="235"/>
      <c r="I397" s="235"/>
      <c r="J397" s="235"/>
      <c r="K397" s="236"/>
    </row>
    <row r="398" spans="1:11" ht="13.8">
      <c r="A398" s="235"/>
      <c r="B398" s="235"/>
      <c r="C398" s="235"/>
      <c r="D398" s="234"/>
      <c r="E398" s="234"/>
      <c r="F398" s="235"/>
      <c r="G398" s="235"/>
      <c r="H398" s="235"/>
      <c r="I398" s="235"/>
      <c r="J398" s="235"/>
      <c r="K398" s="236"/>
    </row>
    <row r="399" spans="1:11" ht="13.8">
      <c r="A399" s="235"/>
      <c r="B399" s="235"/>
      <c r="C399" s="235"/>
      <c r="D399" s="234"/>
      <c r="E399" s="234"/>
      <c r="F399" s="235"/>
      <c r="G399" s="235"/>
      <c r="H399" s="235"/>
      <c r="I399" s="235"/>
      <c r="J399" s="235"/>
      <c r="K399" s="236"/>
    </row>
    <row r="400" spans="1:11" ht="13.8">
      <c r="A400" s="235"/>
      <c r="B400" s="235"/>
      <c r="C400" s="235"/>
      <c r="D400" s="234"/>
      <c r="E400" s="234"/>
      <c r="F400" s="235"/>
      <c r="G400" s="235"/>
      <c r="H400" s="235"/>
      <c r="I400" s="235"/>
      <c r="J400" s="235"/>
      <c r="K400" s="236"/>
    </row>
    <row r="401" spans="1:11" ht="13.8">
      <c r="A401" s="235"/>
      <c r="B401" s="235"/>
      <c r="C401" s="235"/>
      <c r="D401" s="234"/>
      <c r="E401" s="234"/>
      <c r="F401" s="235"/>
      <c r="G401" s="235"/>
      <c r="H401" s="235"/>
      <c r="I401" s="235"/>
      <c r="J401" s="235"/>
      <c r="K401" s="236"/>
    </row>
    <row r="402" spans="1:11" ht="13.8">
      <c r="A402" s="235"/>
      <c r="B402" s="235"/>
      <c r="C402" s="235"/>
      <c r="D402" s="234"/>
      <c r="E402" s="234"/>
      <c r="F402" s="235"/>
      <c r="G402" s="235"/>
      <c r="H402" s="235"/>
      <c r="I402" s="235"/>
      <c r="J402" s="235"/>
      <c r="K402" s="236"/>
    </row>
    <row r="403" spans="1:11" ht="13.8">
      <c r="A403" s="235"/>
      <c r="B403" s="235"/>
      <c r="C403" s="235"/>
      <c r="D403" s="234"/>
      <c r="E403" s="234"/>
      <c r="F403" s="235"/>
      <c r="G403" s="235"/>
      <c r="H403" s="235"/>
      <c r="I403" s="235"/>
      <c r="J403" s="235"/>
      <c r="K403" s="236"/>
    </row>
    <row r="404" spans="1:11" ht="13.8">
      <c r="A404" s="235"/>
      <c r="B404" s="235"/>
      <c r="C404" s="235"/>
      <c r="D404" s="234"/>
      <c r="E404" s="234"/>
      <c r="F404" s="235"/>
      <c r="G404" s="235"/>
      <c r="H404" s="235"/>
      <c r="I404" s="235"/>
      <c r="J404" s="235"/>
      <c r="K404" s="236"/>
    </row>
    <row r="405" spans="1:11" ht="13.8">
      <c r="A405" s="235"/>
      <c r="B405" s="235"/>
      <c r="C405" s="235"/>
      <c r="D405" s="234"/>
      <c r="E405" s="234"/>
      <c r="F405" s="235"/>
      <c r="G405" s="235"/>
      <c r="H405" s="235"/>
      <c r="I405" s="235"/>
      <c r="J405" s="235"/>
      <c r="K405" s="236"/>
    </row>
    <row r="406" spans="1:11" ht="13.8">
      <c r="A406" s="235"/>
      <c r="B406" s="235"/>
      <c r="C406" s="235"/>
      <c r="D406" s="234"/>
      <c r="E406" s="234"/>
      <c r="F406" s="235"/>
      <c r="G406" s="235"/>
      <c r="H406" s="235"/>
      <c r="I406" s="235"/>
      <c r="J406" s="235"/>
      <c r="K406" s="236"/>
    </row>
    <row r="407" spans="1:11" ht="13.8">
      <c r="A407" s="235"/>
      <c r="B407" s="235"/>
      <c r="C407" s="235"/>
      <c r="D407" s="234"/>
      <c r="E407" s="234"/>
      <c r="F407" s="235"/>
      <c r="G407" s="235"/>
      <c r="H407" s="235"/>
      <c r="I407" s="235"/>
      <c r="J407" s="235"/>
      <c r="K407" s="236"/>
    </row>
    <row r="408" spans="1:11" ht="13.8">
      <c r="A408" s="235"/>
      <c r="B408" s="235"/>
      <c r="C408" s="235"/>
      <c r="D408" s="234"/>
      <c r="E408" s="234"/>
      <c r="F408" s="235"/>
      <c r="G408" s="235"/>
      <c r="H408" s="235"/>
      <c r="I408" s="235"/>
      <c r="J408" s="235"/>
      <c r="K408" s="236"/>
    </row>
    <row r="409" spans="1:11" ht="13.8">
      <c r="A409" s="235"/>
      <c r="B409" s="235"/>
      <c r="C409" s="235"/>
      <c r="D409" s="234"/>
      <c r="E409" s="234"/>
      <c r="F409" s="235"/>
      <c r="G409" s="235"/>
      <c r="H409" s="235"/>
      <c r="I409" s="235"/>
      <c r="J409" s="235"/>
      <c r="K409" s="236"/>
    </row>
    <row r="410" spans="1:11" ht="13.8">
      <c r="A410" s="235"/>
      <c r="B410" s="235"/>
      <c r="C410" s="235"/>
      <c r="D410" s="234"/>
      <c r="E410" s="234"/>
      <c r="F410" s="235"/>
      <c r="G410" s="235"/>
      <c r="H410" s="235"/>
      <c r="I410" s="235"/>
      <c r="J410" s="235"/>
      <c r="K410" s="236"/>
    </row>
    <row r="411" spans="1:11" ht="13.8">
      <c r="A411" s="235"/>
      <c r="B411" s="235"/>
      <c r="C411" s="235"/>
      <c r="D411" s="234"/>
      <c r="E411" s="234"/>
      <c r="F411" s="235"/>
      <c r="G411" s="235"/>
      <c r="H411" s="235"/>
      <c r="I411" s="235"/>
      <c r="J411" s="235"/>
      <c r="K411" s="236"/>
    </row>
    <row r="412" spans="1:11" ht="13.8">
      <c r="A412" s="235"/>
      <c r="B412" s="235"/>
      <c r="C412" s="235"/>
      <c r="D412" s="234"/>
      <c r="E412" s="234"/>
      <c r="F412" s="235"/>
      <c r="G412" s="235"/>
      <c r="H412" s="235"/>
      <c r="I412" s="235"/>
      <c r="J412" s="235"/>
      <c r="K412" s="236"/>
    </row>
    <row r="413" spans="1:11" ht="13.8">
      <c r="A413" s="235"/>
      <c r="B413" s="235"/>
      <c r="C413" s="235"/>
      <c r="D413" s="234"/>
      <c r="E413" s="234"/>
      <c r="F413" s="235"/>
      <c r="G413" s="235"/>
      <c r="H413" s="235"/>
      <c r="I413" s="235"/>
      <c r="J413" s="235"/>
      <c r="K413" s="236"/>
    </row>
    <row r="414" spans="1:11" ht="13.8">
      <c r="A414" s="235"/>
      <c r="B414" s="235"/>
      <c r="C414" s="235"/>
      <c r="D414" s="234"/>
      <c r="E414" s="234"/>
      <c r="F414" s="235"/>
      <c r="G414" s="235"/>
      <c r="H414" s="235"/>
      <c r="I414" s="235"/>
      <c r="J414" s="235"/>
      <c r="K414" s="236"/>
    </row>
    <row r="415" spans="1:11" ht="13.8">
      <c r="A415" s="235"/>
      <c r="B415" s="235"/>
      <c r="C415" s="235"/>
      <c r="D415" s="234"/>
      <c r="E415" s="234"/>
      <c r="F415" s="235"/>
      <c r="G415" s="235"/>
      <c r="H415" s="235"/>
      <c r="I415" s="235"/>
      <c r="J415" s="235"/>
      <c r="K415" s="236"/>
    </row>
    <row r="416" spans="1:11" ht="13.8">
      <c r="A416" s="235"/>
      <c r="B416" s="235"/>
      <c r="C416" s="235"/>
      <c r="D416" s="234"/>
      <c r="E416" s="234"/>
      <c r="F416" s="235"/>
      <c r="G416" s="235"/>
      <c r="H416" s="235"/>
      <c r="I416" s="235"/>
      <c r="J416" s="235"/>
      <c r="K416" s="236"/>
    </row>
    <row r="417" spans="1:11" ht="13.8">
      <c r="A417" s="235"/>
      <c r="B417" s="235"/>
      <c r="C417" s="235"/>
      <c r="D417" s="234"/>
      <c r="E417" s="234"/>
      <c r="F417" s="235"/>
      <c r="G417" s="235"/>
      <c r="H417" s="235"/>
      <c r="I417" s="235"/>
      <c r="J417" s="235"/>
      <c r="K417" s="236"/>
    </row>
    <row r="418" spans="1:11" ht="13.8">
      <c r="A418" s="235"/>
      <c r="B418" s="235"/>
      <c r="C418" s="235"/>
      <c r="D418" s="234"/>
      <c r="E418" s="234"/>
      <c r="F418" s="235"/>
      <c r="G418" s="235"/>
      <c r="H418" s="235"/>
      <c r="I418" s="235"/>
      <c r="J418" s="235"/>
      <c r="K418" s="236"/>
    </row>
    <row r="419" spans="1:11" ht="13.8">
      <c r="A419" s="235"/>
      <c r="B419" s="235"/>
      <c r="C419" s="235"/>
      <c r="D419" s="234"/>
      <c r="E419" s="234"/>
      <c r="F419" s="235"/>
      <c r="G419" s="235"/>
      <c r="H419" s="235"/>
      <c r="I419" s="235"/>
      <c r="J419" s="235"/>
      <c r="K419" s="236"/>
    </row>
    <row r="420" spans="1:11" ht="13.8">
      <c r="A420" s="235"/>
      <c r="B420" s="235"/>
      <c r="C420" s="235"/>
      <c r="D420" s="234"/>
      <c r="E420" s="234"/>
      <c r="F420" s="235"/>
      <c r="G420" s="235"/>
      <c r="H420" s="235"/>
      <c r="I420" s="235"/>
      <c r="J420" s="235"/>
      <c r="K420" s="236"/>
    </row>
    <row r="421" spans="1:11" ht="13.8">
      <c r="A421" s="235"/>
      <c r="B421" s="235"/>
      <c r="C421" s="235"/>
      <c r="D421" s="234"/>
      <c r="E421" s="234"/>
      <c r="F421" s="235"/>
      <c r="G421" s="235"/>
      <c r="H421" s="235"/>
      <c r="I421" s="235"/>
      <c r="J421" s="235"/>
      <c r="K421" s="236"/>
    </row>
    <row r="422" spans="1:11" ht="13.8">
      <c r="A422" s="235"/>
      <c r="B422" s="235"/>
      <c r="C422" s="235"/>
      <c r="D422" s="234"/>
      <c r="E422" s="234"/>
      <c r="F422" s="235"/>
      <c r="G422" s="235"/>
      <c r="H422" s="235"/>
      <c r="I422" s="235"/>
      <c r="J422" s="235"/>
      <c r="K422" s="236"/>
    </row>
    <row r="423" spans="1:11" ht="13.8">
      <c r="A423" s="235"/>
      <c r="B423" s="235"/>
      <c r="C423" s="235"/>
      <c r="D423" s="234"/>
      <c r="E423" s="234"/>
      <c r="F423" s="235"/>
      <c r="G423" s="235"/>
      <c r="H423" s="235"/>
      <c r="I423" s="235"/>
      <c r="J423" s="235"/>
      <c r="K423" s="236"/>
    </row>
    <row r="424" spans="1:11" ht="13.8">
      <c r="A424" s="235"/>
      <c r="B424" s="235"/>
      <c r="C424" s="235"/>
      <c r="D424" s="234"/>
      <c r="E424" s="234"/>
      <c r="F424" s="235"/>
      <c r="G424" s="235"/>
      <c r="H424" s="235"/>
      <c r="I424" s="235"/>
      <c r="J424" s="235"/>
      <c r="K424" s="236"/>
    </row>
    <row r="425" spans="1:11" ht="13.8">
      <c r="A425" s="235"/>
      <c r="B425" s="235"/>
      <c r="C425" s="235"/>
      <c r="D425" s="234"/>
      <c r="E425" s="234"/>
      <c r="F425" s="235"/>
      <c r="G425" s="235"/>
      <c r="H425" s="235"/>
      <c r="I425" s="235"/>
      <c r="J425" s="235"/>
      <c r="K425" s="236"/>
    </row>
    <row r="426" spans="1:11" ht="13.8">
      <c r="A426" s="235"/>
      <c r="B426" s="235"/>
      <c r="C426" s="235"/>
      <c r="D426" s="234"/>
      <c r="E426" s="234"/>
      <c r="F426" s="235"/>
      <c r="G426" s="235"/>
      <c r="H426" s="235"/>
      <c r="I426" s="235"/>
      <c r="J426" s="235"/>
      <c r="K426" s="236"/>
    </row>
    <row r="427" spans="1:11" ht="13.8">
      <c r="A427" s="235"/>
      <c r="B427" s="235"/>
      <c r="C427" s="235"/>
      <c r="D427" s="234"/>
      <c r="E427" s="234"/>
      <c r="F427" s="235"/>
      <c r="G427" s="235"/>
      <c r="H427" s="235"/>
      <c r="I427" s="235"/>
      <c r="J427" s="235"/>
      <c r="K427" s="236"/>
    </row>
    <row r="428" spans="1:11" ht="13.8">
      <c r="A428" s="235"/>
      <c r="B428" s="235"/>
      <c r="C428" s="235"/>
      <c r="D428" s="234"/>
      <c r="E428" s="234"/>
      <c r="F428" s="235"/>
      <c r="G428" s="235"/>
      <c r="H428" s="235"/>
      <c r="I428" s="235"/>
      <c r="J428" s="235"/>
      <c r="K428" s="236"/>
    </row>
    <row r="429" spans="1:11" ht="13.8">
      <c r="A429" s="235"/>
      <c r="B429" s="235"/>
      <c r="C429" s="235"/>
      <c r="D429" s="234"/>
      <c r="E429" s="234"/>
      <c r="F429" s="235"/>
      <c r="G429" s="235"/>
      <c r="H429" s="235"/>
      <c r="I429" s="235"/>
      <c r="J429" s="235"/>
      <c r="K429" s="236"/>
    </row>
    <row r="430" spans="1:11" ht="13.8">
      <c r="A430" s="235"/>
      <c r="B430" s="235"/>
      <c r="C430" s="235"/>
      <c r="D430" s="234"/>
      <c r="E430" s="234"/>
      <c r="F430" s="235"/>
      <c r="G430" s="235"/>
      <c r="H430" s="235"/>
      <c r="I430" s="235"/>
      <c r="J430" s="235"/>
      <c r="K430" s="236"/>
    </row>
    <row r="431" spans="1:11" ht="13.8">
      <c r="A431" s="235"/>
      <c r="B431" s="235"/>
      <c r="C431" s="235"/>
      <c r="D431" s="234"/>
      <c r="E431" s="234"/>
      <c r="F431" s="235"/>
      <c r="G431" s="235"/>
      <c r="H431" s="235"/>
      <c r="I431" s="235"/>
      <c r="J431" s="235"/>
      <c r="K431" s="236"/>
    </row>
    <row r="432" spans="1:11" ht="13.8">
      <c r="A432" s="235"/>
      <c r="B432" s="235"/>
      <c r="C432" s="235"/>
      <c r="D432" s="234"/>
      <c r="E432" s="234"/>
      <c r="F432" s="235"/>
      <c r="G432" s="235"/>
      <c r="H432" s="235"/>
      <c r="I432" s="235"/>
      <c r="J432" s="235"/>
      <c r="K432" s="236"/>
    </row>
    <row r="433" spans="1:11" ht="13.8">
      <c r="A433" s="235"/>
      <c r="B433" s="235"/>
      <c r="C433" s="235"/>
      <c r="D433" s="234"/>
      <c r="E433" s="234"/>
      <c r="F433" s="235"/>
      <c r="G433" s="235"/>
      <c r="H433" s="235"/>
      <c r="I433" s="235"/>
      <c r="J433" s="235"/>
      <c r="K433" s="236"/>
    </row>
    <row r="434" spans="1:11" ht="13.8">
      <c r="A434" s="235"/>
      <c r="B434" s="235"/>
      <c r="C434" s="235"/>
      <c r="D434" s="234"/>
      <c r="E434" s="234"/>
      <c r="F434" s="235"/>
      <c r="G434" s="235"/>
      <c r="H434" s="235"/>
      <c r="I434" s="235"/>
      <c r="J434" s="235"/>
      <c r="K434" s="236"/>
    </row>
    <row r="435" spans="1:11" ht="13.8">
      <c r="A435" s="235"/>
      <c r="B435" s="235"/>
      <c r="C435" s="235"/>
      <c r="D435" s="234"/>
      <c r="E435" s="234"/>
      <c r="F435" s="235"/>
      <c r="G435" s="235"/>
      <c r="H435" s="235"/>
      <c r="I435" s="235"/>
      <c r="J435" s="235"/>
      <c r="K435" s="236"/>
    </row>
    <row r="436" spans="1:11" ht="13.8">
      <c r="A436" s="235"/>
      <c r="B436" s="235"/>
      <c r="C436" s="235"/>
      <c r="D436" s="234"/>
      <c r="E436" s="234"/>
      <c r="F436" s="235"/>
      <c r="G436" s="235"/>
      <c r="H436" s="235"/>
      <c r="I436" s="235"/>
      <c r="J436" s="235"/>
      <c r="K436" s="236"/>
    </row>
    <row r="437" spans="1:11" ht="13.8">
      <c r="A437" s="235"/>
      <c r="B437" s="235"/>
      <c r="C437" s="235"/>
      <c r="D437" s="234"/>
      <c r="E437" s="234"/>
      <c r="F437" s="235"/>
      <c r="G437" s="235"/>
      <c r="H437" s="235"/>
      <c r="I437" s="235"/>
      <c r="J437" s="235"/>
      <c r="K437" s="236"/>
    </row>
    <row r="438" spans="1:11" ht="13.8">
      <c r="A438" s="235"/>
      <c r="B438" s="235"/>
      <c r="C438" s="235"/>
      <c r="D438" s="234"/>
      <c r="E438" s="234"/>
      <c r="F438" s="235"/>
      <c r="G438" s="235"/>
      <c r="H438" s="235"/>
      <c r="I438" s="235"/>
      <c r="J438" s="235"/>
      <c r="K438" s="236"/>
    </row>
    <row r="439" spans="1:11" ht="13.8">
      <c r="A439" s="235"/>
      <c r="B439" s="235"/>
      <c r="C439" s="235"/>
      <c r="D439" s="234"/>
      <c r="E439" s="234"/>
      <c r="F439" s="235"/>
      <c r="G439" s="235"/>
      <c r="H439" s="235"/>
      <c r="I439" s="235"/>
      <c r="J439" s="235"/>
      <c r="K439" s="236"/>
    </row>
    <row r="440" spans="1:11" ht="13.8">
      <c r="A440" s="235"/>
      <c r="B440" s="235"/>
      <c r="C440" s="235"/>
      <c r="D440" s="234"/>
      <c r="E440" s="234"/>
      <c r="F440" s="235"/>
      <c r="G440" s="235"/>
      <c r="H440" s="235"/>
      <c r="I440" s="235"/>
      <c r="J440" s="235"/>
      <c r="K440" s="236"/>
    </row>
    <row r="441" spans="1:11" ht="13.8">
      <c r="A441" s="235"/>
      <c r="B441" s="235"/>
      <c r="C441" s="235"/>
      <c r="D441" s="234"/>
      <c r="E441" s="234"/>
      <c r="F441" s="235"/>
      <c r="G441" s="235"/>
      <c r="H441" s="235"/>
      <c r="I441" s="235"/>
      <c r="J441" s="235"/>
      <c r="K441" s="236"/>
    </row>
    <row r="442" spans="1:11" ht="13.8">
      <c r="A442" s="235"/>
      <c r="B442" s="235"/>
      <c r="C442" s="235"/>
      <c r="D442" s="234"/>
      <c r="E442" s="234"/>
      <c r="F442" s="235"/>
      <c r="G442" s="235"/>
      <c r="H442" s="235"/>
      <c r="I442" s="235"/>
      <c r="J442" s="235"/>
      <c r="K442" s="236"/>
    </row>
    <row r="443" spans="1:11" ht="13.8">
      <c r="A443" s="235"/>
      <c r="B443" s="235"/>
      <c r="C443" s="235"/>
      <c r="D443" s="234"/>
      <c r="E443" s="234"/>
      <c r="F443" s="235"/>
      <c r="G443" s="235"/>
      <c r="H443" s="235"/>
      <c r="I443" s="235"/>
      <c r="J443" s="235"/>
      <c r="K443" s="236"/>
    </row>
    <row r="444" spans="1:11" ht="13.8">
      <c r="A444" s="235"/>
      <c r="B444" s="235"/>
      <c r="C444" s="235"/>
      <c r="D444" s="234"/>
      <c r="E444" s="234"/>
      <c r="F444" s="235"/>
      <c r="G444" s="235"/>
      <c r="H444" s="235"/>
      <c r="I444" s="235"/>
      <c r="J444" s="235"/>
      <c r="K444" s="236"/>
    </row>
    <row r="445" spans="1:11" ht="13.8">
      <c r="A445" s="235"/>
      <c r="B445" s="235"/>
      <c r="C445" s="235"/>
      <c r="D445" s="234"/>
      <c r="E445" s="234"/>
      <c r="F445" s="235"/>
      <c r="G445" s="235"/>
      <c r="H445" s="235"/>
      <c r="I445" s="235"/>
      <c r="J445" s="235"/>
      <c r="K445" s="236"/>
    </row>
    <row r="446" spans="1:11" ht="13.8">
      <c r="A446" s="235"/>
      <c r="B446" s="235"/>
      <c r="C446" s="235"/>
      <c r="D446" s="234"/>
      <c r="E446" s="234"/>
      <c r="F446" s="235"/>
      <c r="G446" s="235"/>
      <c r="H446" s="235"/>
      <c r="I446" s="235"/>
      <c r="J446" s="235"/>
      <c r="K446" s="236"/>
    </row>
    <row r="447" spans="1:11" ht="13.8">
      <c r="A447" s="235"/>
      <c r="B447" s="235"/>
      <c r="C447" s="235"/>
      <c r="D447" s="234"/>
      <c r="E447" s="234"/>
      <c r="F447" s="235"/>
      <c r="G447" s="235"/>
      <c r="H447" s="235"/>
      <c r="I447" s="235"/>
      <c r="J447" s="235"/>
      <c r="K447" s="236"/>
    </row>
    <row r="448" spans="1:11" ht="13.8">
      <c r="A448" s="235"/>
      <c r="B448" s="235"/>
      <c r="C448" s="235"/>
      <c r="D448" s="234"/>
      <c r="E448" s="234"/>
      <c r="F448" s="235"/>
      <c r="G448" s="235"/>
      <c r="H448" s="235"/>
      <c r="I448" s="235"/>
      <c r="J448" s="235"/>
      <c r="K448" s="236"/>
    </row>
    <row r="449" spans="1:11" ht="13.8">
      <c r="A449" s="235"/>
      <c r="B449" s="235"/>
      <c r="C449" s="235"/>
      <c r="D449" s="234"/>
      <c r="E449" s="234"/>
      <c r="F449" s="235"/>
      <c r="G449" s="235"/>
      <c r="H449" s="235"/>
      <c r="I449" s="235"/>
      <c r="J449" s="235"/>
      <c r="K449" s="236"/>
    </row>
    <row r="450" spans="1:11" ht="13.8">
      <c r="A450" s="235"/>
      <c r="B450" s="235"/>
      <c r="C450" s="235"/>
      <c r="D450" s="234"/>
      <c r="E450" s="234"/>
      <c r="F450" s="235"/>
      <c r="G450" s="235"/>
      <c r="H450" s="235"/>
      <c r="I450" s="235"/>
      <c r="J450" s="235"/>
      <c r="K450" s="236"/>
    </row>
    <row r="451" spans="1:11" ht="13.8">
      <c r="A451" s="235"/>
      <c r="B451" s="235"/>
      <c r="C451" s="235"/>
      <c r="D451" s="234"/>
      <c r="E451" s="234"/>
      <c r="F451" s="235"/>
      <c r="G451" s="235"/>
      <c r="H451" s="235"/>
      <c r="I451" s="235"/>
      <c r="J451" s="235"/>
      <c r="K451" s="236"/>
    </row>
    <row r="452" spans="1:11" ht="13.8">
      <c r="A452" s="235"/>
      <c r="B452" s="235"/>
      <c r="C452" s="235"/>
      <c r="D452" s="234"/>
      <c r="E452" s="234"/>
      <c r="F452" s="235"/>
      <c r="G452" s="235"/>
      <c r="H452" s="235"/>
      <c r="I452" s="235"/>
      <c r="J452" s="235"/>
      <c r="K452" s="236"/>
    </row>
    <row r="453" spans="1:11" ht="13.8">
      <c r="A453" s="235"/>
      <c r="B453" s="235"/>
      <c r="C453" s="235"/>
      <c r="D453" s="234"/>
      <c r="E453" s="234"/>
      <c r="F453" s="235"/>
      <c r="G453" s="235"/>
      <c r="H453" s="235"/>
      <c r="I453" s="235"/>
      <c r="J453" s="235"/>
      <c r="K453" s="236"/>
    </row>
    <row r="454" spans="1:11" ht="13.8">
      <c r="A454" s="235"/>
      <c r="B454" s="235"/>
      <c r="C454" s="235"/>
      <c r="D454" s="234"/>
      <c r="E454" s="234"/>
      <c r="F454" s="235"/>
      <c r="G454" s="235"/>
      <c r="H454" s="235"/>
      <c r="I454" s="235"/>
      <c r="J454" s="235"/>
      <c r="K454" s="236"/>
    </row>
    <row r="455" spans="1:11" ht="13.8">
      <c r="A455" s="235"/>
      <c r="B455" s="235"/>
      <c r="C455" s="235"/>
      <c r="D455" s="234"/>
      <c r="E455" s="234"/>
      <c r="F455" s="235"/>
      <c r="G455" s="235"/>
      <c r="H455" s="235"/>
      <c r="I455" s="235"/>
      <c r="J455" s="235"/>
      <c r="K455" s="236"/>
    </row>
    <row r="456" spans="1:11" ht="13.8">
      <c r="A456" s="235"/>
      <c r="B456" s="235"/>
      <c r="C456" s="235"/>
      <c r="D456" s="234"/>
      <c r="E456" s="234"/>
      <c r="F456" s="235"/>
      <c r="G456" s="235"/>
      <c r="H456" s="235"/>
      <c r="I456" s="235"/>
      <c r="J456" s="235"/>
      <c r="K456" s="236"/>
    </row>
    <row r="457" spans="1:11" ht="13.8">
      <c r="A457" s="235"/>
      <c r="B457" s="235"/>
      <c r="C457" s="235"/>
      <c r="D457" s="234"/>
      <c r="E457" s="234"/>
      <c r="F457" s="235"/>
      <c r="G457" s="235"/>
      <c r="H457" s="235"/>
      <c r="I457" s="235"/>
      <c r="J457" s="235"/>
      <c r="K457" s="236"/>
    </row>
    <row r="458" spans="1:11" ht="13.8">
      <c r="A458" s="235"/>
      <c r="B458" s="235"/>
      <c r="C458" s="235"/>
      <c r="D458" s="234"/>
      <c r="E458" s="234"/>
      <c r="F458" s="235"/>
      <c r="G458" s="235"/>
      <c r="H458" s="235"/>
      <c r="I458" s="235"/>
      <c r="J458" s="235"/>
      <c r="K458" s="236"/>
    </row>
    <row r="459" spans="1:11" ht="13.8">
      <c r="A459" s="235"/>
      <c r="B459" s="235"/>
      <c r="C459" s="235"/>
      <c r="D459" s="234"/>
      <c r="E459" s="234"/>
      <c r="F459" s="235"/>
      <c r="G459" s="235"/>
      <c r="H459" s="235"/>
      <c r="I459" s="235"/>
      <c r="J459" s="235"/>
      <c r="K459" s="236"/>
    </row>
    <row r="460" spans="1:11" ht="13.8">
      <c r="A460" s="235"/>
      <c r="B460" s="235"/>
      <c r="C460" s="235"/>
      <c r="D460" s="234"/>
      <c r="E460" s="234"/>
      <c r="F460" s="235"/>
      <c r="G460" s="235"/>
      <c r="H460" s="235"/>
      <c r="I460" s="235"/>
      <c r="J460" s="235"/>
      <c r="K460" s="236"/>
    </row>
    <row r="461" spans="1:11" ht="13.8">
      <c r="A461" s="235"/>
      <c r="B461" s="235"/>
      <c r="C461" s="235"/>
      <c r="D461" s="234"/>
      <c r="E461" s="234"/>
      <c r="F461" s="235"/>
      <c r="G461" s="235"/>
      <c r="H461" s="235"/>
      <c r="I461" s="235"/>
      <c r="J461" s="235"/>
      <c r="K461" s="236"/>
    </row>
    <row r="462" spans="1:11" ht="13.8">
      <c r="A462" s="235"/>
      <c r="B462" s="235"/>
      <c r="C462" s="235"/>
      <c r="D462" s="234"/>
      <c r="E462" s="234"/>
      <c r="F462" s="235"/>
      <c r="G462" s="235"/>
      <c r="H462" s="235"/>
      <c r="I462" s="235"/>
      <c r="J462" s="235"/>
      <c r="K462" s="236"/>
    </row>
    <row r="463" spans="1:11" ht="13.8">
      <c r="A463" s="235"/>
      <c r="B463" s="235"/>
      <c r="C463" s="235"/>
      <c r="D463" s="234"/>
      <c r="E463" s="234"/>
      <c r="F463" s="235"/>
      <c r="G463" s="235"/>
      <c r="H463" s="235"/>
      <c r="I463" s="235"/>
      <c r="J463" s="235"/>
      <c r="K463" s="236"/>
    </row>
    <row r="464" spans="1:11" ht="13.8">
      <c r="A464" s="235"/>
      <c r="B464" s="235"/>
      <c r="C464" s="235"/>
      <c r="D464" s="234"/>
      <c r="E464" s="234"/>
      <c r="F464" s="235"/>
      <c r="G464" s="235"/>
      <c r="H464" s="235"/>
      <c r="I464" s="235"/>
      <c r="J464" s="235"/>
      <c r="K464" s="236"/>
    </row>
    <row r="465" spans="1:11" ht="13.8">
      <c r="A465" s="235"/>
      <c r="B465" s="235"/>
      <c r="C465" s="235"/>
      <c r="D465" s="234"/>
      <c r="E465" s="234"/>
      <c r="F465" s="235"/>
      <c r="G465" s="235"/>
      <c r="H465" s="235"/>
      <c r="I465" s="235"/>
      <c r="J465" s="235"/>
      <c r="K465" s="236"/>
    </row>
    <row r="466" spans="1:11" ht="13.8">
      <c r="A466" s="235"/>
      <c r="B466" s="235"/>
      <c r="C466" s="235"/>
      <c r="D466" s="234"/>
      <c r="E466" s="234"/>
      <c r="F466" s="235"/>
      <c r="G466" s="235"/>
      <c r="H466" s="235"/>
      <c r="I466" s="235"/>
      <c r="J466" s="235"/>
      <c r="K466" s="236"/>
    </row>
    <row r="467" spans="1:11" ht="13.8">
      <c r="A467" s="235"/>
      <c r="B467" s="235"/>
      <c r="C467" s="235"/>
      <c r="D467" s="234"/>
      <c r="E467" s="234"/>
      <c r="F467" s="235"/>
      <c r="G467" s="235"/>
      <c r="H467" s="235"/>
      <c r="I467" s="235"/>
      <c r="J467" s="235"/>
      <c r="K467" s="236"/>
    </row>
    <row r="468" spans="1:11" ht="13.8">
      <c r="A468" s="235"/>
      <c r="B468" s="235"/>
      <c r="C468" s="235"/>
      <c r="D468" s="234"/>
      <c r="E468" s="234"/>
      <c r="F468" s="235"/>
      <c r="G468" s="235"/>
      <c r="H468" s="235"/>
      <c r="I468" s="235"/>
      <c r="J468" s="235"/>
      <c r="K468" s="236"/>
    </row>
    <row r="469" spans="1:11" ht="13.8">
      <c r="A469" s="235"/>
      <c r="B469" s="235"/>
      <c r="C469" s="235"/>
      <c r="D469" s="234"/>
      <c r="E469" s="234"/>
      <c r="F469" s="235"/>
      <c r="G469" s="235"/>
      <c r="H469" s="235"/>
      <c r="I469" s="235"/>
      <c r="J469" s="235"/>
      <c r="K469" s="236"/>
    </row>
    <row r="470" spans="1:11" ht="13.8">
      <c r="A470" s="235"/>
      <c r="B470" s="235"/>
      <c r="C470" s="235"/>
      <c r="D470" s="234"/>
      <c r="E470" s="234"/>
      <c r="F470" s="235"/>
      <c r="G470" s="235"/>
      <c r="H470" s="235"/>
      <c r="I470" s="235"/>
      <c r="J470" s="235"/>
      <c r="K470" s="236"/>
    </row>
    <row r="471" spans="1:11" ht="13.8">
      <c r="A471" s="235"/>
      <c r="B471" s="235"/>
      <c r="C471" s="235"/>
      <c r="D471" s="234"/>
      <c r="E471" s="234"/>
      <c r="F471" s="235"/>
      <c r="G471" s="235"/>
      <c r="H471" s="235"/>
      <c r="I471" s="235"/>
      <c r="J471" s="235"/>
      <c r="K471" s="236"/>
    </row>
    <row r="472" spans="1:11" ht="13.8">
      <c r="A472" s="235"/>
      <c r="B472" s="235"/>
      <c r="C472" s="235"/>
      <c r="D472" s="234"/>
      <c r="E472" s="234"/>
      <c r="F472" s="235"/>
      <c r="G472" s="235"/>
      <c r="H472" s="235"/>
      <c r="I472" s="235"/>
      <c r="J472" s="235"/>
      <c r="K472" s="236"/>
    </row>
    <row r="473" spans="1:11" ht="13.8">
      <c r="A473" s="235"/>
      <c r="B473" s="235"/>
      <c r="C473" s="235"/>
      <c r="D473" s="234"/>
      <c r="E473" s="234"/>
      <c r="F473" s="235"/>
      <c r="G473" s="235"/>
      <c r="H473" s="235"/>
      <c r="I473" s="235"/>
      <c r="J473" s="235"/>
      <c r="K473" s="236"/>
    </row>
    <row r="474" spans="1:11" ht="13.8">
      <c r="A474" s="235"/>
      <c r="B474" s="235"/>
      <c r="C474" s="235"/>
      <c r="D474" s="234"/>
      <c r="E474" s="234"/>
      <c r="F474" s="235"/>
      <c r="G474" s="235"/>
      <c r="H474" s="235"/>
      <c r="I474" s="235"/>
      <c r="J474" s="235"/>
      <c r="K474" s="236"/>
    </row>
    <row r="475" spans="1:11" ht="13.8">
      <c r="A475" s="235"/>
      <c r="B475" s="235"/>
      <c r="C475" s="235"/>
      <c r="D475" s="234"/>
      <c r="E475" s="234"/>
      <c r="F475" s="235"/>
      <c r="G475" s="235"/>
      <c r="H475" s="235"/>
      <c r="I475" s="235"/>
      <c r="J475" s="235"/>
      <c r="K475" s="236"/>
    </row>
    <row r="476" spans="1:11" ht="13.8">
      <c r="A476" s="235"/>
      <c r="B476" s="235"/>
      <c r="C476" s="235"/>
      <c r="D476" s="234"/>
      <c r="E476" s="234"/>
      <c r="F476" s="235"/>
      <c r="G476" s="235"/>
      <c r="H476" s="235"/>
      <c r="I476" s="235"/>
      <c r="J476" s="235"/>
      <c r="K476" s="236"/>
    </row>
    <row r="477" spans="1:11" ht="13.8">
      <c r="A477" s="235"/>
      <c r="B477" s="235"/>
      <c r="C477" s="235"/>
      <c r="D477" s="234"/>
      <c r="E477" s="234"/>
      <c r="F477" s="235"/>
      <c r="G477" s="235"/>
      <c r="H477" s="235"/>
      <c r="I477" s="235"/>
      <c r="J477" s="235"/>
      <c r="K477" s="236"/>
    </row>
    <row r="478" spans="1:11" ht="13.8">
      <c r="A478" s="235"/>
      <c r="B478" s="235"/>
      <c r="C478" s="235"/>
      <c r="D478" s="234"/>
      <c r="E478" s="234"/>
      <c r="F478" s="235"/>
      <c r="G478" s="235"/>
      <c r="H478" s="235"/>
      <c r="I478" s="235"/>
      <c r="J478" s="235"/>
      <c r="K478" s="236"/>
    </row>
    <row r="479" spans="1:11" ht="13.8">
      <c r="A479" s="235"/>
      <c r="B479" s="235"/>
      <c r="C479" s="235"/>
      <c r="D479" s="234"/>
      <c r="E479" s="234"/>
      <c r="F479" s="235"/>
      <c r="G479" s="235"/>
      <c r="H479" s="235"/>
      <c r="I479" s="235"/>
      <c r="J479" s="235"/>
      <c r="K479" s="236"/>
    </row>
    <row r="480" spans="1:11" ht="13.8">
      <c r="A480" s="235"/>
      <c r="B480" s="235"/>
      <c r="C480" s="235"/>
      <c r="D480" s="234"/>
      <c r="E480" s="234"/>
      <c r="F480" s="235"/>
      <c r="G480" s="235"/>
      <c r="H480" s="235"/>
      <c r="I480" s="235"/>
      <c r="J480" s="235"/>
      <c r="K480" s="236"/>
    </row>
    <row r="481" spans="1:11" ht="13.8">
      <c r="A481" s="235"/>
      <c r="B481" s="235"/>
      <c r="C481" s="235"/>
      <c r="D481" s="234"/>
      <c r="E481" s="234"/>
      <c r="F481" s="235"/>
      <c r="G481" s="235"/>
      <c r="H481" s="235"/>
      <c r="I481" s="235"/>
      <c r="J481" s="235"/>
      <c r="K481" s="236"/>
    </row>
    <row r="482" spans="1:11" ht="13.8">
      <c r="A482" s="235"/>
      <c r="B482" s="235"/>
      <c r="C482" s="235"/>
      <c r="D482" s="234"/>
      <c r="E482" s="234"/>
      <c r="F482" s="235"/>
      <c r="G482" s="235"/>
      <c r="H482" s="235"/>
      <c r="I482" s="235"/>
      <c r="J482" s="235"/>
      <c r="K482" s="236"/>
    </row>
    <row r="483" spans="1:11" ht="13.8">
      <c r="A483" s="235"/>
      <c r="B483" s="235"/>
      <c r="C483" s="235"/>
      <c r="D483" s="234"/>
      <c r="E483" s="234"/>
      <c r="F483" s="235"/>
      <c r="G483" s="235"/>
      <c r="H483" s="235"/>
      <c r="I483" s="235"/>
      <c r="J483" s="235"/>
      <c r="K483" s="236"/>
    </row>
    <row r="484" spans="1:11" ht="13.8">
      <c r="A484" s="235"/>
      <c r="B484" s="235"/>
      <c r="C484" s="235"/>
      <c r="D484" s="234"/>
      <c r="E484" s="234"/>
      <c r="F484" s="235"/>
      <c r="G484" s="235"/>
      <c r="H484" s="235"/>
      <c r="I484" s="235"/>
      <c r="J484" s="235"/>
      <c r="K484" s="236"/>
    </row>
    <row r="485" spans="1:11" ht="13.8">
      <c r="A485" s="235"/>
      <c r="B485" s="235"/>
      <c r="C485" s="235"/>
      <c r="D485" s="234"/>
      <c r="E485" s="234"/>
      <c r="F485" s="235"/>
      <c r="G485" s="235"/>
      <c r="H485" s="235"/>
      <c r="I485" s="235"/>
      <c r="J485" s="235"/>
      <c r="K485" s="236"/>
    </row>
    <row r="486" spans="1:11" ht="13.8">
      <c r="A486" s="235"/>
      <c r="B486" s="235"/>
      <c r="C486" s="235"/>
      <c r="D486" s="234"/>
      <c r="E486" s="234"/>
      <c r="F486" s="235"/>
      <c r="G486" s="235"/>
      <c r="H486" s="235"/>
      <c r="I486" s="235"/>
      <c r="J486" s="235"/>
      <c r="K486" s="236"/>
    </row>
    <row r="487" spans="1:11" ht="13.8">
      <c r="A487" s="235"/>
      <c r="B487" s="235"/>
      <c r="C487" s="235"/>
      <c r="D487" s="234"/>
      <c r="E487" s="234"/>
      <c r="F487" s="235"/>
      <c r="G487" s="235"/>
      <c r="H487" s="235"/>
      <c r="I487" s="235"/>
      <c r="J487" s="235"/>
      <c r="K487" s="236"/>
    </row>
    <row r="488" spans="1:11" ht="13.8">
      <c r="A488" s="235"/>
      <c r="B488" s="235"/>
      <c r="C488" s="235"/>
      <c r="D488" s="234"/>
      <c r="E488" s="234"/>
      <c r="F488" s="235"/>
      <c r="G488" s="235"/>
      <c r="H488" s="235"/>
      <c r="I488" s="235"/>
      <c r="J488" s="235"/>
      <c r="K488" s="236"/>
    </row>
    <row r="489" spans="1:11" ht="13.8">
      <c r="A489" s="235"/>
      <c r="B489" s="235"/>
      <c r="C489" s="235"/>
      <c r="D489" s="234"/>
      <c r="E489" s="234"/>
      <c r="F489" s="235"/>
      <c r="G489" s="235"/>
      <c r="H489" s="235"/>
      <c r="I489" s="235"/>
      <c r="J489" s="235"/>
      <c r="K489" s="236"/>
    </row>
    <row r="490" spans="1:11" ht="13.8">
      <c r="A490" s="235"/>
      <c r="B490" s="235"/>
      <c r="C490" s="235"/>
      <c r="D490" s="234"/>
      <c r="E490" s="234"/>
      <c r="F490" s="235"/>
      <c r="G490" s="235"/>
      <c r="H490" s="235"/>
      <c r="I490" s="235"/>
      <c r="J490" s="235"/>
      <c r="K490" s="236"/>
    </row>
    <row r="491" spans="1:11" ht="13.8">
      <c r="A491" s="235"/>
      <c r="B491" s="235"/>
      <c r="C491" s="235"/>
      <c r="D491" s="234"/>
      <c r="E491" s="234"/>
      <c r="F491" s="235"/>
      <c r="G491" s="235"/>
      <c r="H491" s="235"/>
      <c r="I491" s="235"/>
      <c r="J491" s="235"/>
      <c r="K491" s="236"/>
    </row>
    <row r="492" spans="1:11" ht="13.8">
      <c r="A492" s="235"/>
      <c r="B492" s="235"/>
      <c r="C492" s="235"/>
      <c r="D492" s="234"/>
      <c r="E492" s="234"/>
      <c r="F492" s="235"/>
      <c r="G492" s="235"/>
      <c r="H492" s="235"/>
      <c r="I492" s="235"/>
      <c r="J492" s="235"/>
      <c r="K492" s="236"/>
    </row>
    <row r="493" spans="1:11" ht="13.8">
      <c r="A493" s="235"/>
      <c r="B493" s="235"/>
      <c r="C493" s="235"/>
      <c r="D493" s="234"/>
      <c r="E493" s="234"/>
      <c r="F493" s="235"/>
      <c r="G493" s="235"/>
      <c r="H493" s="235"/>
      <c r="I493" s="235"/>
      <c r="J493" s="235"/>
      <c r="K493" s="236"/>
    </row>
    <row r="494" spans="1:11" ht="13.8">
      <c r="A494" s="235"/>
      <c r="B494" s="235"/>
      <c r="C494" s="235"/>
      <c r="D494" s="234"/>
      <c r="E494" s="234"/>
      <c r="F494" s="235"/>
      <c r="G494" s="235"/>
      <c r="H494" s="235"/>
      <c r="I494" s="235"/>
      <c r="J494" s="235"/>
      <c r="K494" s="236"/>
    </row>
    <row r="495" spans="1:11" ht="13.8">
      <c r="A495" s="235"/>
      <c r="B495" s="235"/>
      <c r="C495" s="235"/>
      <c r="D495" s="234"/>
      <c r="E495" s="234"/>
      <c r="F495" s="235"/>
      <c r="G495" s="235"/>
      <c r="H495" s="235"/>
      <c r="I495" s="235"/>
      <c r="J495" s="235"/>
      <c r="K495" s="236"/>
    </row>
    <row r="496" spans="1:11" ht="13.8">
      <c r="A496" s="235"/>
      <c r="B496" s="235"/>
      <c r="C496" s="235"/>
      <c r="D496" s="234"/>
      <c r="E496" s="234"/>
      <c r="F496" s="235"/>
      <c r="G496" s="235"/>
      <c r="H496" s="235"/>
      <c r="I496" s="235"/>
      <c r="J496" s="235"/>
      <c r="K496" s="236"/>
    </row>
    <row r="497" spans="1:11" ht="13.8">
      <c r="A497" s="235"/>
      <c r="B497" s="235"/>
      <c r="C497" s="235"/>
      <c r="D497" s="234"/>
      <c r="E497" s="234"/>
      <c r="F497" s="235"/>
      <c r="G497" s="235"/>
      <c r="H497" s="235"/>
      <c r="I497" s="235"/>
      <c r="J497" s="235"/>
      <c r="K497" s="236"/>
    </row>
    <row r="498" spans="1:11" ht="13.8">
      <c r="A498" s="235"/>
      <c r="B498" s="235"/>
      <c r="C498" s="235"/>
      <c r="D498" s="234"/>
      <c r="E498" s="234"/>
      <c r="F498" s="235"/>
      <c r="G498" s="235"/>
      <c r="H498" s="235"/>
      <c r="I498" s="235"/>
      <c r="J498" s="235"/>
      <c r="K498" s="236"/>
    </row>
    <row r="499" spans="1:11" ht="13.8">
      <c r="A499" s="235"/>
      <c r="B499" s="235"/>
      <c r="C499" s="235"/>
      <c r="D499" s="234"/>
      <c r="E499" s="234"/>
      <c r="F499" s="235"/>
      <c r="G499" s="235"/>
      <c r="H499" s="235"/>
      <c r="I499" s="235"/>
      <c r="J499" s="235"/>
      <c r="K499" s="236"/>
    </row>
    <row r="500" spans="1:11" ht="13.8">
      <c r="A500" s="235"/>
      <c r="B500" s="235"/>
      <c r="C500" s="235"/>
      <c r="D500" s="234"/>
      <c r="E500" s="234"/>
      <c r="F500" s="235"/>
      <c r="G500" s="235"/>
      <c r="H500" s="235"/>
      <c r="I500" s="235"/>
      <c r="J500" s="235"/>
      <c r="K500" s="236"/>
    </row>
    <row r="501" spans="1:11" ht="13.8">
      <c r="A501" s="235"/>
      <c r="B501" s="235"/>
      <c r="C501" s="235"/>
      <c r="D501" s="234"/>
      <c r="E501" s="234"/>
      <c r="F501" s="235"/>
      <c r="G501" s="235"/>
      <c r="H501" s="235"/>
      <c r="I501" s="235"/>
      <c r="J501" s="235"/>
      <c r="K501" s="236"/>
    </row>
    <row r="502" spans="1:11" ht="13.8">
      <c r="A502" s="235"/>
      <c r="B502" s="235"/>
      <c r="C502" s="235"/>
      <c r="D502" s="234"/>
      <c r="E502" s="234"/>
      <c r="F502" s="235"/>
      <c r="G502" s="235"/>
      <c r="H502" s="235"/>
      <c r="I502" s="235"/>
      <c r="J502" s="235"/>
      <c r="K502" s="236"/>
    </row>
    <row r="503" spans="1:11" ht="13.8">
      <c r="A503" s="235"/>
      <c r="B503" s="235"/>
      <c r="C503" s="235"/>
      <c r="D503" s="234"/>
      <c r="E503" s="234"/>
      <c r="F503" s="235"/>
      <c r="G503" s="235"/>
      <c r="H503" s="235"/>
      <c r="I503" s="235"/>
      <c r="J503" s="235"/>
      <c r="K503" s="236"/>
    </row>
    <row r="504" spans="1:11" ht="13.8">
      <c r="A504" s="235"/>
      <c r="B504" s="235"/>
      <c r="C504" s="235"/>
      <c r="D504" s="234"/>
      <c r="E504" s="234"/>
      <c r="F504" s="235"/>
      <c r="G504" s="235"/>
      <c r="H504" s="235"/>
      <c r="I504" s="235"/>
      <c r="J504" s="235"/>
      <c r="K504" s="236"/>
    </row>
    <row r="505" spans="1:11" ht="13.8">
      <c r="A505" s="235"/>
      <c r="B505" s="235"/>
      <c r="C505" s="235"/>
      <c r="D505" s="234"/>
      <c r="E505" s="234"/>
      <c r="F505" s="235"/>
      <c r="G505" s="235"/>
      <c r="H505" s="235"/>
      <c r="I505" s="235"/>
      <c r="J505" s="235"/>
      <c r="K505" s="236"/>
    </row>
    <row r="506" spans="1:11" ht="13.8">
      <c r="A506" s="235"/>
      <c r="B506" s="235"/>
      <c r="C506" s="235"/>
      <c r="D506" s="234"/>
      <c r="E506" s="234"/>
      <c r="F506" s="235"/>
      <c r="G506" s="235"/>
      <c r="H506" s="235"/>
      <c r="I506" s="235"/>
      <c r="J506" s="235"/>
      <c r="K506" s="236"/>
    </row>
    <row r="507" spans="1:11" ht="13.8">
      <c r="A507" s="235"/>
      <c r="B507" s="235"/>
      <c r="C507" s="235"/>
      <c r="D507" s="234"/>
      <c r="E507" s="234"/>
      <c r="F507" s="235"/>
      <c r="G507" s="235"/>
      <c r="H507" s="235"/>
      <c r="I507" s="235"/>
      <c r="J507" s="235"/>
      <c r="K507" s="236"/>
    </row>
    <row r="508" spans="1:11" ht="13.8">
      <c r="A508" s="235"/>
      <c r="B508" s="235"/>
      <c r="C508" s="235"/>
      <c r="D508" s="234"/>
      <c r="E508" s="234"/>
      <c r="F508" s="235"/>
      <c r="G508" s="235"/>
      <c r="H508" s="235"/>
      <c r="I508" s="235"/>
      <c r="J508" s="235"/>
      <c r="K508" s="236"/>
    </row>
    <row r="509" spans="1:11" ht="13.8">
      <c r="A509" s="235"/>
      <c r="B509" s="235"/>
      <c r="C509" s="235"/>
      <c r="D509" s="234"/>
      <c r="E509" s="234"/>
      <c r="F509" s="235"/>
      <c r="G509" s="235"/>
      <c r="H509" s="235"/>
      <c r="I509" s="235"/>
      <c r="J509" s="235"/>
      <c r="K509" s="236"/>
    </row>
    <row r="510" spans="1:11" ht="13.8">
      <c r="A510" s="235"/>
      <c r="B510" s="235"/>
      <c r="C510" s="235"/>
      <c r="D510" s="234"/>
      <c r="E510" s="234"/>
      <c r="F510" s="235"/>
      <c r="G510" s="235"/>
      <c r="H510" s="235"/>
      <c r="I510" s="235"/>
      <c r="J510" s="235"/>
      <c r="K510" s="236"/>
    </row>
    <row r="511" spans="1:11" ht="13.8">
      <c r="A511" s="235"/>
      <c r="B511" s="235"/>
      <c r="C511" s="235"/>
      <c r="D511" s="234"/>
      <c r="E511" s="234"/>
      <c r="F511" s="235"/>
      <c r="G511" s="235"/>
      <c r="H511" s="235"/>
      <c r="I511" s="235"/>
      <c r="J511" s="235"/>
      <c r="K511" s="236"/>
    </row>
    <row r="512" spans="1:11" ht="13.8">
      <c r="A512" s="235"/>
      <c r="B512" s="235"/>
      <c r="C512" s="235"/>
      <c r="D512" s="234"/>
      <c r="E512" s="234"/>
      <c r="F512" s="235"/>
      <c r="G512" s="235"/>
      <c r="H512" s="235"/>
      <c r="I512" s="235"/>
      <c r="J512" s="235"/>
      <c r="K512" s="236"/>
    </row>
    <row r="513" spans="1:11" ht="13.8">
      <c r="A513" s="235"/>
      <c r="B513" s="235"/>
      <c r="C513" s="235"/>
      <c r="D513" s="234"/>
      <c r="E513" s="234"/>
      <c r="F513" s="235"/>
      <c r="G513" s="235"/>
      <c r="H513" s="235"/>
      <c r="I513" s="235"/>
      <c r="J513" s="235"/>
      <c r="K513" s="236"/>
    </row>
    <row r="514" spans="1:11" ht="13.8">
      <c r="A514" s="235"/>
      <c r="B514" s="235"/>
      <c r="C514" s="235"/>
      <c r="D514" s="234"/>
      <c r="E514" s="234"/>
      <c r="F514" s="235"/>
      <c r="G514" s="235"/>
      <c r="H514" s="235"/>
      <c r="I514" s="235"/>
      <c r="J514" s="235"/>
      <c r="K514" s="236"/>
    </row>
    <row r="515" spans="1:11" ht="13.8">
      <c r="A515" s="235"/>
      <c r="B515" s="235"/>
      <c r="C515" s="235"/>
      <c r="D515" s="234"/>
      <c r="E515" s="234"/>
      <c r="F515" s="235"/>
      <c r="G515" s="235"/>
      <c r="H515" s="235"/>
      <c r="I515" s="235"/>
      <c r="J515" s="235"/>
      <c r="K515" s="236"/>
    </row>
    <row r="516" spans="1:11" ht="13.8">
      <c r="A516" s="235"/>
      <c r="B516" s="235"/>
      <c r="C516" s="235"/>
      <c r="D516" s="234"/>
      <c r="E516" s="234"/>
      <c r="F516" s="235"/>
      <c r="G516" s="235"/>
      <c r="H516" s="235"/>
      <c r="I516" s="235"/>
      <c r="J516" s="235"/>
      <c r="K516" s="236"/>
    </row>
    <row r="517" spans="1:11" ht="13.8">
      <c r="A517" s="235"/>
      <c r="B517" s="235"/>
      <c r="C517" s="235"/>
      <c r="D517" s="234"/>
      <c r="E517" s="234"/>
      <c r="F517" s="235"/>
      <c r="G517" s="235"/>
      <c r="H517" s="235"/>
      <c r="I517" s="235"/>
      <c r="J517" s="235"/>
      <c r="K517" s="236"/>
    </row>
    <row r="518" spans="1:11" ht="13.8">
      <c r="A518" s="235"/>
      <c r="B518" s="235"/>
      <c r="C518" s="235"/>
      <c r="D518" s="234"/>
      <c r="E518" s="234"/>
      <c r="F518" s="235"/>
      <c r="G518" s="235"/>
      <c r="H518" s="235"/>
      <c r="I518" s="235"/>
      <c r="J518" s="235"/>
      <c r="K518" s="236"/>
    </row>
    <row r="519" spans="1:11" ht="13.8">
      <c r="A519" s="235"/>
      <c r="B519" s="235"/>
      <c r="C519" s="235"/>
      <c r="D519" s="234"/>
      <c r="E519" s="234"/>
      <c r="F519" s="235"/>
      <c r="G519" s="235"/>
      <c r="H519" s="235"/>
      <c r="I519" s="235"/>
      <c r="J519" s="235"/>
      <c r="K519" s="236"/>
    </row>
    <row r="520" spans="1:11" ht="13.8">
      <c r="A520" s="235"/>
      <c r="B520" s="235"/>
      <c r="C520" s="235"/>
      <c r="D520" s="234"/>
      <c r="E520" s="234"/>
      <c r="F520" s="235"/>
      <c r="G520" s="235"/>
      <c r="H520" s="235"/>
      <c r="I520" s="235"/>
      <c r="J520" s="235"/>
      <c r="K520" s="236"/>
    </row>
    <row r="521" spans="1:11" ht="13.8">
      <c r="A521" s="235"/>
      <c r="B521" s="235"/>
      <c r="C521" s="235"/>
      <c r="D521" s="234"/>
      <c r="E521" s="234"/>
      <c r="F521" s="235"/>
      <c r="G521" s="235"/>
      <c r="H521" s="235"/>
      <c r="I521" s="235"/>
      <c r="J521" s="235"/>
      <c r="K521" s="236"/>
    </row>
    <row r="522" spans="1:11" ht="13.8">
      <c r="A522" s="235"/>
      <c r="B522" s="235"/>
      <c r="C522" s="235"/>
      <c r="D522" s="234"/>
      <c r="E522" s="234"/>
      <c r="F522" s="235"/>
      <c r="G522" s="235"/>
      <c r="H522" s="235"/>
      <c r="I522" s="235"/>
      <c r="J522" s="235"/>
      <c r="K522" s="236"/>
    </row>
    <row r="523" spans="1:11" ht="13.8">
      <c r="A523" s="235"/>
      <c r="B523" s="235"/>
      <c r="C523" s="235"/>
      <c r="D523" s="234"/>
      <c r="E523" s="234"/>
      <c r="F523" s="235"/>
      <c r="G523" s="235"/>
      <c r="H523" s="235"/>
      <c r="I523" s="235"/>
      <c r="J523" s="235"/>
      <c r="K523" s="236"/>
    </row>
    <row r="524" spans="1:11" ht="13.8">
      <c r="A524" s="235"/>
      <c r="B524" s="235"/>
      <c r="C524" s="235"/>
      <c r="D524" s="234"/>
      <c r="E524" s="234"/>
      <c r="F524" s="235"/>
      <c r="G524" s="235"/>
      <c r="H524" s="235"/>
      <c r="I524" s="235"/>
      <c r="J524" s="235"/>
      <c r="K524" s="236"/>
    </row>
    <row r="525" spans="1:11" ht="13.8">
      <c r="A525" s="235"/>
      <c r="B525" s="235"/>
      <c r="C525" s="235"/>
      <c r="D525" s="234"/>
      <c r="E525" s="234"/>
      <c r="F525" s="235"/>
      <c r="G525" s="235"/>
      <c r="H525" s="235"/>
      <c r="I525" s="235"/>
      <c r="J525" s="235"/>
      <c r="K525" s="236"/>
    </row>
    <row r="526" spans="1:11" ht="13.8">
      <c r="A526" s="235"/>
      <c r="B526" s="235"/>
      <c r="C526" s="235"/>
      <c r="D526" s="234"/>
      <c r="E526" s="234"/>
      <c r="F526" s="235"/>
      <c r="G526" s="235"/>
      <c r="H526" s="235"/>
      <c r="I526" s="235"/>
      <c r="J526" s="235"/>
      <c r="K526" s="236"/>
    </row>
    <row r="527" spans="1:11" ht="13.8">
      <c r="A527" s="235"/>
      <c r="B527" s="235"/>
      <c r="C527" s="235"/>
      <c r="D527" s="234"/>
      <c r="E527" s="234"/>
      <c r="F527" s="235"/>
      <c r="G527" s="235"/>
      <c r="H527" s="235"/>
      <c r="I527" s="235"/>
      <c r="J527" s="235"/>
      <c r="K527" s="236"/>
    </row>
    <row r="528" spans="1:11" ht="13.8">
      <c r="A528" s="235"/>
      <c r="B528" s="235"/>
      <c r="C528" s="235"/>
      <c r="D528" s="234"/>
      <c r="E528" s="234"/>
      <c r="F528" s="235"/>
      <c r="G528" s="235"/>
      <c r="H528" s="235"/>
      <c r="I528" s="235"/>
      <c r="J528" s="235"/>
      <c r="K528" s="236"/>
    </row>
    <row r="529" spans="1:11" ht="13.8">
      <c r="A529" s="235"/>
      <c r="B529" s="235"/>
      <c r="C529" s="235"/>
      <c r="D529" s="234"/>
      <c r="E529" s="234"/>
      <c r="F529" s="235"/>
      <c r="G529" s="235"/>
      <c r="H529" s="235"/>
      <c r="I529" s="235"/>
      <c r="J529" s="235"/>
      <c r="K529" s="236"/>
    </row>
    <row r="530" spans="1:11" ht="13.8">
      <c r="A530" s="235"/>
      <c r="B530" s="235"/>
      <c r="C530" s="235"/>
      <c r="D530" s="234"/>
      <c r="E530" s="234"/>
      <c r="F530" s="235"/>
      <c r="G530" s="235"/>
      <c r="H530" s="235"/>
      <c r="I530" s="235"/>
      <c r="J530" s="235"/>
      <c r="K530" s="236"/>
    </row>
    <row r="531" spans="1:11" ht="13.8">
      <c r="A531" s="235"/>
      <c r="B531" s="235"/>
      <c r="C531" s="235"/>
      <c r="D531" s="234"/>
      <c r="E531" s="234"/>
      <c r="F531" s="235"/>
      <c r="G531" s="235"/>
      <c r="H531" s="235"/>
      <c r="I531" s="235"/>
      <c r="J531" s="235"/>
      <c r="K531" s="236"/>
    </row>
    <row r="532" spans="1:11" ht="13.8">
      <c r="A532" s="235"/>
      <c r="B532" s="235"/>
      <c r="C532" s="235"/>
      <c r="D532" s="234"/>
      <c r="E532" s="234"/>
      <c r="F532" s="235"/>
      <c r="G532" s="235"/>
      <c r="H532" s="235"/>
      <c r="I532" s="235"/>
      <c r="J532" s="235"/>
      <c r="K532" s="236"/>
    </row>
    <row r="533" spans="1:11" ht="13.8">
      <c r="A533" s="235"/>
      <c r="B533" s="235"/>
      <c r="C533" s="235"/>
      <c r="D533" s="234"/>
      <c r="E533" s="234"/>
      <c r="F533" s="235"/>
      <c r="G533" s="235"/>
      <c r="H533" s="235"/>
      <c r="I533" s="235"/>
      <c r="J533" s="235"/>
      <c r="K533" s="236"/>
    </row>
    <row r="534" spans="1:11" ht="13.8">
      <c r="A534" s="235"/>
      <c r="B534" s="235"/>
      <c r="C534" s="235"/>
      <c r="D534" s="234"/>
      <c r="E534" s="234"/>
      <c r="F534" s="235"/>
      <c r="G534" s="235"/>
      <c r="H534" s="235"/>
      <c r="I534" s="235"/>
      <c r="J534" s="235"/>
      <c r="K534" s="236"/>
    </row>
    <row r="535" spans="1:11" ht="13.8">
      <c r="A535" s="235"/>
      <c r="B535" s="235"/>
      <c r="C535" s="235"/>
      <c r="D535" s="234"/>
      <c r="E535" s="234"/>
      <c r="F535" s="235"/>
      <c r="G535" s="235"/>
      <c r="H535" s="235"/>
      <c r="I535" s="235"/>
      <c r="J535" s="235"/>
      <c r="K535" s="236"/>
    </row>
    <row r="536" spans="1:11" ht="13.8">
      <c r="A536" s="235"/>
      <c r="B536" s="235"/>
      <c r="C536" s="235"/>
      <c r="D536" s="234"/>
      <c r="E536" s="234"/>
      <c r="F536" s="235"/>
      <c r="G536" s="235"/>
      <c r="H536" s="235"/>
      <c r="I536" s="235"/>
      <c r="J536" s="235"/>
      <c r="K536" s="236"/>
    </row>
    <row r="537" spans="1:11" ht="13.8">
      <c r="A537" s="235"/>
      <c r="B537" s="235"/>
      <c r="C537" s="235"/>
      <c r="D537" s="234"/>
      <c r="E537" s="234"/>
      <c r="F537" s="235"/>
      <c r="G537" s="235"/>
      <c r="H537" s="235"/>
      <c r="I537" s="235"/>
      <c r="J537" s="235"/>
      <c r="K537" s="236"/>
    </row>
    <row r="538" spans="1:11" ht="13.8">
      <c r="A538" s="235"/>
      <c r="B538" s="235"/>
      <c r="C538" s="235"/>
      <c r="D538" s="234"/>
      <c r="E538" s="234"/>
      <c r="F538" s="235"/>
      <c r="G538" s="235"/>
      <c r="H538" s="235"/>
      <c r="I538" s="235"/>
      <c r="J538" s="235"/>
      <c r="K538" s="236"/>
    </row>
    <row r="539" spans="1:11" ht="13.8">
      <c r="A539" s="235"/>
      <c r="B539" s="235"/>
      <c r="C539" s="235"/>
      <c r="D539" s="234"/>
      <c r="E539" s="234"/>
      <c r="F539" s="235"/>
      <c r="G539" s="235"/>
      <c r="H539" s="235"/>
      <c r="I539" s="235"/>
      <c r="J539" s="235"/>
      <c r="K539" s="236"/>
    </row>
    <row r="540" spans="1:11" ht="13.8">
      <c r="A540" s="235"/>
      <c r="B540" s="235"/>
      <c r="C540" s="235"/>
      <c r="D540" s="234"/>
      <c r="E540" s="234"/>
      <c r="F540" s="235"/>
      <c r="G540" s="235"/>
      <c r="H540" s="235"/>
      <c r="I540" s="235"/>
      <c r="J540" s="235"/>
      <c r="K540" s="236"/>
    </row>
    <row r="541" spans="1:11" ht="13.8">
      <c r="A541" s="235"/>
      <c r="B541" s="235"/>
      <c r="C541" s="235"/>
      <c r="D541" s="234"/>
      <c r="E541" s="234"/>
      <c r="F541" s="235"/>
      <c r="G541" s="235"/>
      <c r="H541" s="235"/>
      <c r="I541" s="235"/>
      <c r="J541" s="235"/>
      <c r="K541" s="236"/>
    </row>
    <row r="542" spans="1:11" ht="13.8">
      <c r="A542" s="235"/>
      <c r="B542" s="235"/>
      <c r="C542" s="235"/>
      <c r="D542" s="234"/>
      <c r="E542" s="234"/>
      <c r="F542" s="235"/>
      <c r="G542" s="235"/>
      <c r="H542" s="235"/>
      <c r="I542" s="235"/>
      <c r="J542" s="235"/>
      <c r="K542" s="236"/>
    </row>
    <row r="543" spans="1:11" ht="13.8">
      <c r="A543" s="235"/>
      <c r="B543" s="235"/>
      <c r="C543" s="235"/>
      <c r="D543" s="234"/>
      <c r="E543" s="234"/>
      <c r="F543" s="235"/>
      <c r="G543" s="235"/>
      <c r="H543" s="235"/>
      <c r="I543" s="235"/>
      <c r="J543" s="235"/>
      <c r="K543" s="236"/>
    </row>
    <row r="544" spans="1:11" ht="13.8">
      <c r="A544" s="235"/>
      <c r="B544" s="235"/>
      <c r="C544" s="235"/>
      <c r="D544" s="234"/>
      <c r="E544" s="234"/>
      <c r="F544" s="235"/>
      <c r="G544" s="235"/>
      <c r="H544" s="235"/>
      <c r="I544" s="235"/>
      <c r="J544" s="235"/>
      <c r="K544" s="236"/>
    </row>
    <row r="545" spans="1:11" ht="13.8">
      <c r="A545" s="235"/>
      <c r="B545" s="235"/>
      <c r="C545" s="235"/>
      <c r="D545" s="234"/>
      <c r="E545" s="234"/>
      <c r="F545" s="235"/>
      <c r="G545" s="235"/>
      <c r="H545" s="235"/>
      <c r="I545" s="235"/>
      <c r="J545" s="235"/>
      <c r="K545" s="236"/>
    </row>
    <row r="546" spans="1:11" ht="13.8">
      <c r="A546" s="235"/>
      <c r="B546" s="235"/>
      <c r="C546" s="235"/>
      <c r="D546" s="234"/>
      <c r="E546" s="234"/>
      <c r="F546" s="235"/>
      <c r="G546" s="235"/>
      <c r="H546" s="235"/>
      <c r="I546" s="235"/>
      <c r="J546" s="235"/>
      <c r="K546" s="236"/>
    </row>
    <row r="547" spans="1:11" ht="13.8">
      <c r="A547" s="235"/>
      <c r="B547" s="235"/>
      <c r="C547" s="235"/>
      <c r="D547" s="234"/>
      <c r="E547" s="234"/>
      <c r="F547" s="235"/>
      <c r="G547" s="235"/>
      <c r="H547" s="235"/>
      <c r="I547" s="235"/>
      <c r="J547" s="235"/>
      <c r="K547" s="236"/>
    </row>
    <row r="548" spans="1:11" ht="13.8">
      <c r="A548" s="235"/>
      <c r="B548" s="235"/>
      <c r="C548" s="235"/>
      <c r="D548" s="234"/>
      <c r="E548" s="234"/>
      <c r="F548" s="235"/>
      <c r="G548" s="235"/>
      <c r="H548" s="235"/>
      <c r="I548" s="235"/>
      <c r="J548" s="235"/>
      <c r="K548" s="236"/>
    </row>
    <row r="549" spans="1:11" ht="13.8">
      <c r="A549" s="235"/>
      <c r="B549" s="235"/>
      <c r="C549" s="235"/>
      <c r="D549" s="234"/>
      <c r="E549" s="234"/>
      <c r="F549" s="235"/>
      <c r="G549" s="235"/>
      <c r="H549" s="235"/>
      <c r="I549" s="235"/>
      <c r="J549" s="235"/>
      <c r="K549" s="236"/>
    </row>
    <row r="550" spans="1:11" ht="13.8">
      <c r="A550" s="235"/>
      <c r="B550" s="235"/>
      <c r="C550" s="235"/>
      <c r="D550" s="234"/>
      <c r="E550" s="234"/>
      <c r="F550" s="235"/>
      <c r="G550" s="235"/>
      <c r="H550" s="235"/>
      <c r="I550" s="235"/>
      <c r="J550" s="235"/>
      <c r="K550" s="236"/>
    </row>
    <row r="551" spans="1:11" ht="13.8">
      <c r="A551" s="235"/>
      <c r="B551" s="235"/>
      <c r="C551" s="235"/>
      <c r="D551" s="234"/>
      <c r="E551" s="234"/>
      <c r="F551" s="235"/>
      <c r="G551" s="235"/>
      <c r="H551" s="235"/>
      <c r="I551" s="235"/>
      <c r="J551" s="235"/>
      <c r="K551" s="236"/>
    </row>
    <row r="552" spans="1:11" ht="13.8">
      <c r="A552" s="235"/>
      <c r="B552" s="235"/>
      <c r="C552" s="235"/>
      <c r="D552" s="234"/>
      <c r="E552" s="234"/>
      <c r="F552" s="235"/>
      <c r="G552" s="235"/>
      <c r="H552" s="235"/>
      <c r="I552" s="235"/>
      <c r="J552" s="235"/>
      <c r="K552" s="236"/>
    </row>
    <row r="553" spans="1:11" ht="13.8">
      <c r="A553" s="235"/>
      <c r="B553" s="235"/>
      <c r="C553" s="235"/>
      <c r="D553" s="234"/>
      <c r="E553" s="234"/>
      <c r="F553" s="235"/>
      <c r="G553" s="235"/>
      <c r="H553" s="235"/>
      <c r="I553" s="235"/>
      <c r="J553" s="235"/>
      <c r="K553" s="236"/>
    </row>
    <row r="554" spans="1:11" ht="13.8">
      <c r="A554" s="235"/>
      <c r="B554" s="235"/>
      <c r="C554" s="235"/>
      <c r="D554" s="234"/>
      <c r="E554" s="234"/>
      <c r="F554" s="235"/>
      <c r="G554" s="235"/>
      <c r="H554" s="235"/>
      <c r="I554" s="235"/>
      <c r="J554" s="235"/>
      <c r="K554" s="236"/>
    </row>
    <row r="555" spans="1:11" ht="13.8">
      <c r="A555" s="235"/>
      <c r="B555" s="235"/>
      <c r="C555" s="235"/>
      <c r="D555" s="234"/>
      <c r="E555" s="234"/>
      <c r="F555" s="235"/>
      <c r="G555" s="235"/>
      <c r="H555" s="235"/>
      <c r="I555" s="235"/>
      <c r="J555" s="235"/>
      <c r="K555" s="236"/>
    </row>
    <row r="556" spans="1:11" ht="13.8">
      <c r="A556" s="235"/>
      <c r="B556" s="235"/>
      <c r="C556" s="235"/>
      <c r="D556" s="234"/>
      <c r="E556" s="234"/>
      <c r="F556" s="235"/>
      <c r="G556" s="235"/>
      <c r="H556" s="235"/>
      <c r="I556" s="235"/>
      <c r="J556" s="235"/>
      <c r="K556" s="236"/>
    </row>
    <row r="557" spans="1:11" ht="13.8">
      <c r="A557" s="235"/>
      <c r="B557" s="235"/>
      <c r="C557" s="235"/>
      <c r="D557" s="234"/>
      <c r="E557" s="234"/>
      <c r="F557" s="235"/>
      <c r="G557" s="235"/>
      <c r="H557" s="235"/>
      <c r="I557" s="235"/>
      <c r="J557" s="235"/>
      <c r="K557" s="236"/>
    </row>
    <row r="558" spans="1:11" ht="13.8">
      <c r="A558" s="235"/>
      <c r="B558" s="235"/>
      <c r="C558" s="235"/>
      <c r="D558" s="234"/>
      <c r="E558" s="234"/>
      <c r="F558" s="235"/>
      <c r="G558" s="235"/>
      <c r="H558" s="235"/>
      <c r="I558" s="235"/>
      <c r="J558" s="235"/>
      <c r="K558" s="236"/>
    </row>
    <row r="559" spans="1:11" ht="13.8">
      <c r="A559" s="235"/>
      <c r="B559" s="235"/>
      <c r="C559" s="235"/>
      <c r="D559" s="234"/>
      <c r="E559" s="234"/>
      <c r="F559" s="235"/>
      <c r="G559" s="235"/>
      <c r="H559" s="235"/>
      <c r="I559" s="235"/>
      <c r="J559" s="235"/>
      <c r="K559" s="236"/>
    </row>
    <row r="560" spans="1:11" ht="13.8">
      <c r="A560" s="235"/>
      <c r="B560" s="235"/>
      <c r="C560" s="235"/>
      <c r="D560" s="234"/>
      <c r="E560" s="234"/>
      <c r="F560" s="235"/>
      <c r="G560" s="235"/>
      <c r="H560" s="235"/>
      <c r="I560" s="235"/>
      <c r="J560" s="235"/>
      <c r="K560" s="236"/>
    </row>
    <row r="561" spans="1:11" ht="13.8">
      <c r="A561" s="235"/>
      <c r="B561" s="235"/>
      <c r="C561" s="235"/>
      <c r="D561" s="234"/>
      <c r="E561" s="234"/>
      <c r="F561" s="235"/>
      <c r="G561" s="235"/>
      <c r="H561" s="235"/>
      <c r="I561" s="235"/>
      <c r="J561" s="235"/>
      <c r="K561" s="236"/>
    </row>
    <row r="562" spans="1:11" ht="13.8">
      <c r="A562" s="235"/>
      <c r="B562" s="235"/>
      <c r="C562" s="235"/>
      <c r="D562" s="234"/>
      <c r="E562" s="234"/>
      <c r="F562" s="235"/>
      <c r="G562" s="235"/>
      <c r="H562" s="235"/>
      <c r="I562" s="235"/>
      <c r="J562" s="235"/>
      <c r="K562" s="236"/>
    </row>
    <row r="563" spans="1:11" ht="13.8">
      <c r="A563" s="235"/>
      <c r="B563" s="235"/>
      <c r="C563" s="235"/>
      <c r="D563" s="234"/>
      <c r="E563" s="234"/>
      <c r="F563" s="235"/>
      <c r="G563" s="235"/>
      <c r="H563" s="235"/>
      <c r="I563" s="235"/>
      <c r="J563" s="235"/>
      <c r="K563" s="236"/>
    </row>
    <row r="564" spans="1:11" ht="13.8">
      <c r="A564" s="235"/>
      <c r="B564" s="235"/>
      <c r="C564" s="235"/>
      <c r="D564" s="234"/>
      <c r="E564" s="234"/>
      <c r="F564" s="235"/>
      <c r="G564" s="235"/>
      <c r="H564" s="235"/>
      <c r="I564" s="235"/>
      <c r="J564" s="235"/>
      <c r="K564" s="236"/>
    </row>
    <row r="565" spans="1:11" ht="13.8">
      <c r="A565" s="235"/>
      <c r="B565" s="235"/>
      <c r="C565" s="235"/>
      <c r="D565" s="234"/>
      <c r="E565" s="234"/>
      <c r="F565" s="235"/>
      <c r="G565" s="235"/>
      <c r="H565" s="235"/>
      <c r="I565" s="235"/>
      <c r="J565" s="235"/>
      <c r="K565" s="236"/>
    </row>
    <row r="566" spans="1:11" ht="13.8">
      <c r="A566" s="235"/>
      <c r="B566" s="235"/>
      <c r="C566" s="235"/>
      <c r="D566" s="234"/>
      <c r="E566" s="234"/>
      <c r="F566" s="235"/>
      <c r="G566" s="235"/>
      <c r="H566" s="235"/>
      <c r="I566" s="235"/>
      <c r="J566" s="235"/>
      <c r="K566" s="236"/>
    </row>
    <row r="567" spans="1:11" ht="13.8">
      <c r="A567" s="235"/>
      <c r="B567" s="235"/>
      <c r="C567" s="235"/>
      <c r="D567" s="234"/>
      <c r="E567" s="234"/>
      <c r="F567" s="235"/>
      <c r="G567" s="235"/>
      <c r="H567" s="235"/>
      <c r="I567" s="235"/>
      <c r="J567" s="235"/>
      <c r="K567" s="236"/>
    </row>
    <row r="568" spans="1:11" ht="13.8">
      <c r="A568" s="235"/>
      <c r="B568" s="235"/>
      <c r="C568" s="235"/>
      <c r="D568" s="234"/>
      <c r="E568" s="234"/>
      <c r="F568" s="235"/>
      <c r="G568" s="235"/>
      <c r="H568" s="235"/>
      <c r="I568" s="235"/>
      <c r="J568" s="235"/>
      <c r="K568" s="236"/>
    </row>
    <row r="569" spans="1:11" ht="13.8">
      <c r="A569" s="235"/>
      <c r="B569" s="235"/>
      <c r="C569" s="235"/>
      <c r="D569" s="234"/>
      <c r="E569" s="234"/>
      <c r="F569" s="235"/>
      <c r="G569" s="235"/>
      <c r="H569" s="235"/>
      <c r="I569" s="235"/>
      <c r="J569" s="235"/>
      <c r="K569" s="236"/>
    </row>
    <row r="570" spans="1:11" ht="13.8">
      <c r="A570" s="235"/>
      <c r="B570" s="235"/>
      <c r="C570" s="235"/>
      <c r="D570" s="234"/>
      <c r="E570" s="234"/>
      <c r="F570" s="235"/>
      <c r="G570" s="235"/>
      <c r="H570" s="235"/>
      <c r="I570" s="235"/>
      <c r="J570" s="235"/>
      <c r="K570" s="236"/>
    </row>
    <row r="571" spans="1:11" ht="13.8">
      <c r="A571" s="235"/>
      <c r="B571" s="235"/>
      <c r="C571" s="235"/>
      <c r="D571" s="234"/>
      <c r="E571" s="234"/>
      <c r="F571" s="235"/>
      <c r="G571" s="235"/>
      <c r="H571" s="235"/>
      <c r="I571" s="235"/>
      <c r="J571" s="235"/>
      <c r="K571" s="236"/>
    </row>
    <row r="572" spans="1:11" ht="13.8">
      <c r="A572" s="235"/>
      <c r="B572" s="235"/>
      <c r="C572" s="235"/>
      <c r="D572" s="234"/>
      <c r="E572" s="234"/>
      <c r="F572" s="235"/>
      <c r="G572" s="235"/>
      <c r="H572" s="235"/>
      <c r="I572" s="235"/>
      <c r="J572" s="235"/>
      <c r="K572" s="236"/>
    </row>
    <row r="573" spans="1:11" ht="13.8">
      <c r="A573" s="235"/>
      <c r="B573" s="235"/>
      <c r="C573" s="235"/>
      <c r="D573" s="234"/>
      <c r="E573" s="234"/>
      <c r="F573" s="235"/>
      <c r="G573" s="235"/>
      <c r="H573" s="235"/>
      <c r="I573" s="235"/>
      <c r="J573" s="235"/>
      <c r="K573" s="236"/>
    </row>
    <row r="574" spans="1:11" ht="13.8">
      <c r="A574" s="235"/>
      <c r="B574" s="235"/>
      <c r="C574" s="235"/>
      <c r="D574" s="234"/>
      <c r="E574" s="234"/>
      <c r="F574" s="235"/>
      <c r="G574" s="235"/>
      <c r="H574" s="235"/>
      <c r="I574" s="235"/>
      <c r="J574" s="235"/>
      <c r="K574" s="236"/>
    </row>
    <row r="575" spans="1:11" ht="13.8">
      <c r="A575" s="235"/>
      <c r="B575" s="235"/>
      <c r="C575" s="235"/>
      <c r="D575" s="234"/>
      <c r="E575" s="234"/>
      <c r="F575" s="235"/>
      <c r="G575" s="235"/>
      <c r="H575" s="235"/>
      <c r="I575" s="235"/>
      <c r="J575" s="235"/>
      <c r="K575" s="236"/>
    </row>
    <row r="576" spans="1:11" ht="13.8">
      <c r="A576" s="235"/>
      <c r="B576" s="235"/>
      <c r="C576" s="235"/>
      <c r="D576" s="234"/>
      <c r="E576" s="234"/>
      <c r="F576" s="235"/>
      <c r="G576" s="235"/>
      <c r="H576" s="235"/>
      <c r="I576" s="235"/>
      <c r="J576" s="235"/>
      <c r="K576" s="236"/>
    </row>
    <row r="577" spans="1:11" ht="13.8">
      <c r="A577" s="235"/>
      <c r="B577" s="235"/>
      <c r="C577" s="235"/>
      <c r="D577" s="234"/>
      <c r="E577" s="234"/>
      <c r="F577" s="235"/>
      <c r="G577" s="235"/>
      <c r="H577" s="235"/>
      <c r="I577" s="235"/>
      <c r="J577" s="235"/>
      <c r="K577" s="236"/>
    </row>
    <row r="578" spans="1:11" ht="13.8">
      <c r="A578" s="235"/>
      <c r="B578" s="235"/>
      <c r="C578" s="235"/>
      <c r="D578" s="234"/>
      <c r="E578" s="234"/>
      <c r="F578" s="235"/>
      <c r="G578" s="235"/>
      <c r="H578" s="235"/>
      <c r="I578" s="235"/>
      <c r="J578" s="235"/>
      <c r="K578" s="236"/>
    </row>
    <row r="579" spans="1:11" ht="13.8">
      <c r="A579" s="235"/>
      <c r="B579" s="235"/>
      <c r="C579" s="235"/>
      <c r="D579" s="234"/>
      <c r="E579" s="234"/>
      <c r="F579" s="235"/>
      <c r="G579" s="235"/>
      <c r="H579" s="235"/>
      <c r="I579" s="235"/>
      <c r="J579" s="235"/>
      <c r="K579" s="236"/>
    </row>
    <row r="580" spans="1:11" ht="13.8">
      <c r="A580" s="235"/>
      <c r="B580" s="235"/>
      <c r="C580" s="235"/>
      <c r="D580" s="234"/>
      <c r="E580" s="234"/>
      <c r="F580" s="235"/>
      <c r="G580" s="235"/>
      <c r="H580" s="235"/>
      <c r="I580" s="235"/>
      <c r="J580" s="235"/>
      <c r="K580" s="236"/>
    </row>
    <row r="581" spans="1:11" ht="13.8">
      <c r="A581" s="235"/>
      <c r="B581" s="235"/>
      <c r="C581" s="235"/>
      <c r="D581" s="234"/>
      <c r="E581" s="234"/>
      <c r="F581" s="235"/>
      <c r="G581" s="235"/>
      <c r="H581" s="235"/>
      <c r="I581" s="235"/>
      <c r="J581" s="235"/>
      <c r="K581" s="236"/>
    </row>
    <row r="582" spans="1:11" ht="13.8">
      <c r="A582" s="235"/>
      <c r="B582" s="235"/>
      <c r="C582" s="235"/>
      <c r="D582" s="234"/>
      <c r="E582" s="234"/>
      <c r="F582" s="235"/>
      <c r="G582" s="235"/>
      <c r="H582" s="235"/>
      <c r="I582" s="235"/>
      <c r="J582" s="235"/>
      <c r="K582" s="236"/>
    </row>
    <row r="583" spans="1:11" ht="13.8">
      <c r="A583" s="235"/>
      <c r="B583" s="235"/>
      <c r="C583" s="235"/>
      <c r="D583" s="234"/>
      <c r="E583" s="234"/>
      <c r="F583" s="235"/>
      <c r="G583" s="235"/>
      <c r="H583" s="235"/>
      <c r="I583" s="235"/>
      <c r="J583" s="235"/>
      <c r="K583" s="236"/>
    </row>
    <row r="584" spans="1:11" ht="13.8">
      <c r="A584" s="235"/>
      <c r="B584" s="235"/>
      <c r="C584" s="235"/>
      <c r="D584" s="234"/>
      <c r="E584" s="234"/>
      <c r="F584" s="235"/>
      <c r="G584" s="235"/>
      <c r="H584" s="235"/>
      <c r="I584" s="235"/>
      <c r="J584" s="235"/>
      <c r="K584" s="236"/>
    </row>
    <row r="585" spans="1:11" ht="13.8">
      <c r="A585" s="235"/>
      <c r="B585" s="235"/>
      <c r="C585" s="235"/>
      <c r="D585" s="234"/>
      <c r="E585" s="234"/>
      <c r="F585" s="235"/>
      <c r="G585" s="235"/>
      <c r="H585" s="235"/>
      <c r="I585" s="235"/>
      <c r="J585" s="235"/>
      <c r="K585" s="236"/>
    </row>
    <row r="586" spans="1:11" ht="13.8">
      <c r="A586" s="235"/>
      <c r="B586" s="235"/>
      <c r="C586" s="235"/>
      <c r="D586" s="234"/>
      <c r="E586" s="234"/>
      <c r="F586" s="235"/>
      <c r="G586" s="235"/>
      <c r="H586" s="235"/>
      <c r="I586" s="235"/>
      <c r="J586" s="235"/>
      <c r="K586" s="236"/>
    </row>
    <row r="587" spans="1:11" ht="13.8">
      <c r="A587" s="235"/>
      <c r="B587" s="235"/>
      <c r="C587" s="235"/>
      <c r="D587" s="234"/>
      <c r="E587" s="234"/>
      <c r="F587" s="235"/>
      <c r="G587" s="235"/>
      <c r="H587" s="235"/>
      <c r="I587" s="235"/>
      <c r="J587" s="235"/>
      <c r="K587" s="236"/>
    </row>
    <row r="588" spans="1:11" ht="13.8">
      <c r="A588" s="235"/>
      <c r="B588" s="235"/>
      <c r="C588" s="235"/>
      <c r="D588" s="234"/>
      <c r="E588" s="234"/>
      <c r="F588" s="235"/>
      <c r="G588" s="235"/>
      <c r="H588" s="235"/>
      <c r="I588" s="235"/>
      <c r="J588" s="235"/>
      <c r="K588" s="236"/>
    </row>
    <row r="589" spans="1:11" ht="13.8">
      <c r="A589" s="235"/>
      <c r="B589" s="235"/>
      <c r="C589" s="235"/>
      <c r="D589" s="234"/>
      <c r="E589" s="234"/>
      <c r="F589" s="235"/>
      <c r="G589" s="235"/>
      <c r="H589" s="235"/>
      <c r="I589" s="235"/>
      <c r="J589" s="235"/>
      <c r="K589" s="236"/>
    </row>
    <row r="590" spans="1:11" ht="13.8">
      <c r="A590" s="235"/>
      <c r="B590" s="235"/>
      <c r="C590" s="235"/>
      <c r="D590" s="234"/>
      <c r="E590" s="234"/>
      <c r="F590" s="235"/>
      <c r="G590" s="235"/>
      <c r="H590" s="235"/>
      <c r="I590" s="235"/>
      <c r="J590" s="235"/>
      <c r="K590" s="236"/>
    </row>
    <row r="591" spans="1:11" ht="13.8">
      <c r="A591" s="235"/>
      <c r="B591" s="235"/>
      <c r="C591" s="235"/>
      <c r="D591" s="234"/>
      <c r="E591" s="234"/>
      <c r="F591" s="235"/>
      <c r="G591" s="235"/>
      <c r="H591" s="235"/>
      <c r="I591" s="235"/>
      <c r="J591" s="235"/>
      <c r="K591" s="236"/>
    </row>
    <row r="592" spans="1:11" ht="13.8">
      <c r="A592" s="235"/>
      <c r="B592" s="235"/>
      <c r="C592" s="235"/>
      <c r="D592" s="234"/>
      <c r="E592" s="234"/>
      <c r="F592" s="235"/>
      <c r="G592" s="235"/>
      <c r="H592" s="235"/>
      <c r="I592" s="235"/>
      <c r="J592" s="235"/>
      <c r="K592" s="236"/>
    </row>
    <row r="593" spans="1:11" ht="13.8">
      <c r="A593" s="235"/>
      <c r="B593" s="235"/>
      <c r="C593" s="235"/>
      <c r="D593" s="234"/>
      <c r="E593" s="234"/>
      <c r="F593" s="235"/>
      <c r="G593" s="235"/>
      <c r="H593" s="235"/>
      <c r="I593" s="235"/>
      <c r="J593" s="235"/>
      <c r="K593" s="236"/>
    </row>
    <row r="594" spans="1:11" ht="13.8">
      <c r="A594" s="235"/>
      <c r="B594" s="235"/>
      <c r="C594" s="235"/>
      <c r="D594" s="234"/>
      <c r="E594" s="234"/>
      <c r="F594" s="235"/>
      <c r="G594" s="235"/>
      <c r="H594" s="235"/>
      <c r="I594" s="235"/>
      <c r="J594" s="235"/>
      <c r="K594" s="236"/>
    </row>
    <row r="595" spans="1:11" ht="13.8">
      <c r="A595" s="235"/>
      <c r="B595" s="235"/>
      <c r="C595" s="235"/>
      <c r="D595" s="234"/>
      <c r="E595" s="234"/>
      <c r="F595" s="235"/>
      <c r="G595" s="235"/>
      <c r="H595" s="235"/>
      <c r="I595" s="235"/>
      <c r="J595" s="235"/>
      <c r="K595" s="236"/>
    </row>
    <row r="596" spans="1:11" ht="13.8">
      <c r="A596" s="235"/>
      <c r="B596" s="235"/>
      <c r="C596" s="235"/>
      <c r="D596" s="234"/>
      <c r="E596" s="234"/>
      <c r="F596" s="235"/>
      <c r="G596" s="235"/>
      <c r="H596" s="235"/>
      <c r="I596" s="235"/>
      <c r="J596" s="235"/>
      <c r="K596" s="236"/>
    </row>
    <row r="597" spans="1:11" ht="13.8">
      <c r="A597" s="235"/>
      <c r="B597" s="235"/>
      <c r="C597" s="235"/>
      <c r="D597" s="234"/>
      <c r="E597" s="234"/>
      <c r="F597" s="235"/>
      <c r="G597" s="235"/>
      <c r="H597" s="235"/>
      <c r="I597" s="235"/>
      <c r="J597" s="235"/>
      <c r="K597" s="236"/>
    </row>
    <row r="598" spans="1:11" ht="13.8">
      <c r="A598" s="235"/>
      <c r="B598" s="235"/>
      <c r="C598" s="235"/>
      <c r="D598" s="234"/>
      <c r="E598" s="234"/>
      <c r="F598" s="235"/>
      <c r="G598" s="235"/>
      <c r="H598" s="235"/>
      <c r="I598" s="235"/>
      <c r="J598" s="235"/>
      <c r="K598" s="236"/>
    </row>
    <row r="599" spans="1:11" ht="13.8">
      <c r="A599" s="235"/>
      <c r="B599" s="235"/>
      <c r="C599" s="235"/>
      <c r="D599" s="234"/>
      <c r="E599" s="234"/>
      <c r="F599" s="235"/>
      <c r="G599" s="235"/>
      <c r="H599" s="235"/>
      <c r="I599" s="235"/>
      <c r="J599" s="235"/>
      <c r="K599" s="236"/>
    </row>
    <row r="600" spans="1:11" ht="13.8">
      <c r="A600" s="235"/>
      <c r="B600" s="235"/>
      <c r="C600" s="235"/>
      <c r="D600" s="234"/>
      <c r="E600" s="234"/>
      <c r="F600" s="235"/>
      <c r="G600" s="235"/>
      <c r="H600" s="235"/>
      <c r="I600" s="235"/>
      <c r="J600" s="235"/>
      <c r="K600" s="236"/>
    </row>
    <row r="601" spans="1:11" ht="13.8">
      <c r="A601" s="235"/>
      <c r="B601" s="235"/>
      <c r="C601" s="235"/>
      <c r="D601" s="234"/>
      <c r="E601" s="234"/>
      <c r="F601" s="235"/>
      <c r="G601" s="235"/>
      <c r="H601" s="235"/>
      <c r="I601" s="235"/>
      <c r="J601" s="235"/>
      <c r="K601" s="236"/>
    </row>
    <row r="602" spans="1:11" ht="13.8">
      <c r="A602" s="235"/>
      <c r="B602" s="235"/>
      <c r="C602" s="235"/>
      <c r="D602" s="234"/>
      <c r="E602" s="234"/>
      <c r="F602" s="235"/>
      <c r="G602" s="235"/>
      <c r="H602" s="235"/>
      <c r="I602" s="235"/>
      <c r="J602" s="235"/>
      <c r="K602" s="236"/>
    </row>
    <row r="603" spans="1:11" ht="13.8">
      <c r="A603" s="235"/>
      <c r="B603" s="235"/>
      <c r="C603" s="235"/>
      <c r="D603" s="234"/>
      <c r="E603" s="234"/>
      <c r="F603" s="235"/>
      <c r="G603" s="235"/>
      <c r="H603" s="235"/>
      <c r="I603" s="235"/>
      <c r="J603" s="235"/>
      <c r="K603" s="236"/>
    </row>
    <row r="604" spans="1:11" ht="13.8">
      <c r="A604" s="235"/>
      <c r="B604" s="235"/>
      <c r="C604" s="235"/>
      <c r="D604" s="234"/>
      <c r="E604" s="234"/>
      <c r="F604" s="235"/>
      <c r="G604" s="235"/>
      <c r="H604" s="235"/>
      <c r="I604" s="235"/>
      <c r="J604" s="235"/>
      <c r="K604" s="236"/>
    </row>
    <row r="605" spans="1:11" ht="13.8">
      <c r="A605" s="235"/>
      <c r="B605" s="235"/>
      <c r="C605" s="235"/>
      <c r="D605" s="234"/>
      <c r="E605" s="234"/>
      <c r="F605" s="235"/>
      <c r="G605" s="235"/>
      <c r="H605" s="235"/>
      <c r="I605" s="235"/>
      <c r="J605" s="235"/>
      <c r="K605" s="236"/>
    </row>
    <row r="606" spans="1:11" ht="13.8">
      <c r="A606" s="235"/>
      <c r="B606" s="235"/>
      <c r="C606" s="235"/>
      <c r="D606" s="234"/>
      <c r="E606" s="234"/>
      <c r="F606" s="235"/>
      <c r="G606" s="235"/>
      <c r="H606" s="235"/>
      <c r="I606" s="235"/>
      <c r="J606" s="235"/>
      <c r="K606" s="236"/>
    </row>
    <row r="607" spans="1:11" ht="13.8">
      <c r="A607" s="235"/>
      <c r="B607" s="235"/>
      <c r="C607" s="235"/>
      <c r="D607" s="234"/>
      <c r="E607" s="234"/>
      <c r="F607" s="235"/>
      <c r="G607" s="235"/>
      <c r="H607" s="235"/>
      <c r="I607" s="235"/>
      <c r="J607" s="235"/>
      <c r="K607" s="236"/>
    </row>
    <row r="608" spans="1:11" ht="13.8">
      <c r="A608" s="235"/>
      <c r="B608" s="235"/>
      <c r="C608" s="235"/>
      <c r="D608" s="234"/>
      <c r="E608" s="234"/>
      <c r="F608" s="235"/>
      <c r="G608" s="235"/>
      <c r="H608" s="235"/>
      <c r="I608" s="235"/>
      <c r="J608" s="235"/>
      <c r="K608" s="236"/>
    </row>
    <row r="609" spans="1:11" ht="13.8">
      <c r="A609" s="235"/>
      <c r="B609" s="235"/>
      <c r="C609" s="235"/>
      <c r="D609" s="234"/>
      <c r="E609" s="234"/>
      <c r="F609" s="235"/>
      <c r="G609" s="235"/>
      <c r="H609" s="235"/>
      <c r="I609" s="235"/>
      <c r="J609" s="235"/>
      <c r="K609" s="236"/>
    </row>
    <row r="610" spans="1:11" ht="13.8">
      <c r="A610" s="235"/>
      <c r="B610" s="235"/>
      <c r="C610" s="235"/>
      <c r="D610" s="234"/>
      <c r="E610" s="234"/>
      <c r="F610" s="235"/>
      <c r="G610" s="235"/>
      <c r="H610" s="235"/>
      <c r="I610" s="235"/>
      <c r="J610" s="235"/>
      <c r="K610" s="236"/>
    </row>
    <row r="611" spans="1:11" ht="13.8">
      <c r="A611" s="235"/>
      <c r="B611" s="235"/>
      <c r="C611" s="235"/>
      <c r="D611" s="234"/>
      <c r="E611" s="234"/>
      <c r="F611" s="235"/>
      <c r="G611" s="235"/>
      <c r="H611" s="235"/>
      <c r="I611" s="235"/>
      <c r="J611" s="235"/>
      <c r="K611" s="236"/>
    </row>
    <row r="612" spans="1:11" ht="13.8">
      <c r="A612" s="235"/>
      <c r="B612" s="235"/>
      <c r="C612" s="235"/>
      <c r="D612" s="234"/>
      <c r="E612" s="234"/>
      <c r="F612" s="235"/>
      <c r="G612" s="235"/>
      <c r="H612" s="235"/>
      <c r="I612" s="235"/>
      <c r="J612" s="235"/>
      <c r="K612" s="236"/>
    </row>
    <row r="613" spans="1:11" ht="13.8">
      <c r="A613" s="235"/>
      <c r="B613" s="235"/>
      <c r="C613" s="235"/>
      <c r="D613" s="234"/>
      <c r="E613" s="234"/>
      <c r="F613" s="235"/>
      <c r="G613" s="235"/>
      <c r="H613" s="235"/>
      <c r="I613" s="235"/>
      <c r="J613" s="235"/>
      <c r="K613" s="236"/>
    </row>
    <row r="614" spans="1:11" ht="13.8">
      <c r="A614" s="235"/>
      <c r="B614" s="235"/>
      <c r="C614" s="235"/>
      <c r="D614" s="234"/>
      <c r="E614" s="234"/>
      <c r="F614" s="235"/>
      <c r="G614" s="235"/>
      <c r="H614" s="235"/>
      <c r="I614" s="235"/>
      <c r="J614" s="235"/>
      <c r="K614" s="236"/>
    </row>
    <row r="615" spans="1:11" ht="13.8">
      <c r="A615" s="235"/>
      <c r="B615" s="235"/>
      <c r="C615" s="235"/>
      <c r="D615" s="234"/>
      <c r="E615" s="234"/>
      <c r="F615" s="235"/>
      <c r="G615" s="235"/>
      <c r="H615" s="235"/>
      <c r="I615" s="235"/>
      <c r="J615" s="235"/>
      <c r="K615" s="236"/>
    </row>
    <row r="616" spans="1:11" ht="13.8">
      <c r="A616" s="235"/>
      <c r="B616" s="235"/>
      <c r="C616" s="235"/>
      <c r="D616" s="234"/>
      <c r="E616" s="234"/>
      <c r="F616" s="235"/>
      <c r="G616" s="235"/>
      <c r="H616" s="235"/>
      <c r="I616" s="235"/>
      <c r="J616" s="235"/>
      <c r="K616" s="236"/>
    </row>
    <row r="617" spans="1:11" ht="13.8">
      <c r="A617" s="235"/>
      <c r="B617" s="235"/>
      <c r="C617" s="235"/>
      <c r="D617" s="234"/>
      <c r="E617" s="234"/>
      <c r="F617" s="235"/>
      <c r="G617" s="235"/>
      <c r="H617" s="235"/>
      <c r="I617" s="235"/>
      <c r="J617" s="235"/>
      <c r="K617" s="236"/>
    </row>
    <row r="618" spans="1:11" ht="13.8">
      <c r="A618" s="235"/>
      <c r="B618" s="235"/>
      <c r="C618" s="235"/>
      <c r="D618" s="234"/>
      <c r="E618" s="234"/>
      <c r="F618" s="235"/>
      <c r="G618" s="235"/>
      <c r="H618" s="235"/>
      <c r="I618" s="235"/>
      <c r="J618" s="235"/>
      <c r="K618" s="236"/>
    </row>
    <row r="619" spans="1:11" ht="13.8">
      <c r="A619" s="235"/>
      <c r="B619" s="235"/>
      <c r="C619" s="235"/>
      <c r="D619" s="234"/>
      <c r="E619" s="234"/>
      <c r="F619" s="235"/>
      <c r="G619" s="235"/>
      <c r="H619" s="235"/>
      <c r="I619" s="235"/>
      <c r="J619" s="235"/>
      <c r="K619" s="236"/>
    </row>
    <row r="620" spans="1:11" ht="13.8">
      <c r="A620" s="235"/>
      <c r="B620" s="235"/>
      <c r="C620" s="235"/>
      <c r="D620" s="234"/>
      <c r="E620" s="234"/>
      <c r="F620" s="235"/>
      <c r="G620" s="235"/>
      <c r="H620" s="235"/>
      <c r="I620" s="235"/>
      <c r="J620" s="235"/>
      <c r="K620" s="236"/>
    </row>
    <row r="621" spans="1:11" ht="13.8">
      <c r="A621" s="235"/>
      <c r="B621" s="235"/>
      <c r="C621" s="235"/>
      <c r="D621" s="234"/>
      <c r="E621" s="234"/>
      <c r="F621" s="235"/>
      <c r="G621" s="235"/>
      <c r="H621" s="235"/>
      <c r="I621" s="235"/>
      <c r="J621" s="235"/>
      <c r="K621" s="236"/>
    </row>
    <row r="622" spans="1:11" ht="13.8">
      <c r="A622" s="235"/>
      <c r="B622" s="235"/>
      <c r="C622" s="235"/>
      <c r="D622" s="234"/>
      <c r="E622" s="234"/>
      <c r="F622" s="235"/>
      <c r="G622" s="235"/>
      <c r="H622" s="235"/>
      <c r="I622" s="235"/>
      <c r="J622" s="235"/>
      <c r="K622" s="236"/>
    </row>
    <row r="623" spans="1:11" ht="13.8">
      <c r="A623" s="235"/>
      <c r="B623" s="235"/>
      <c r="C623" s="235"/>
      <c r="D623" s="234"/>
      <c r="E623" s="234"/>
      <c r="F623" s="235"/>
      <c r="G623" s="235"/>
      <c r="H623" s="235"/>
      <c r="I623" s="235"/>
      <c r="J623" s="235"/>
      <c r="K623" s="236"/>
    </row>
    <row r="624" spans="1:11" ht="13.8">
      <c r="A624" s="235"/>
      <c r="B624" s="235"/>
      <c r="C624" s="235"/>
      <c r="D624" s="234"/>
      <c r="E624" s="234"/>
      <c r="F624" s="235"/>
      <c r="G624" s="235"/>
      <c r="H624" s="235"/>
      <c r="I624" s="235"/>
      <c r="J624" s="235"/>
      <c r="K624" s="236"/>
    </row>
    <row r="625" spans="1:11" ht="13.8">
      <c r="A625" s="235"/>
      <c r="B625" s="235"/>
      <c r="C625" s="235"/>
      <c r="D625" s="234"/>
      <c r="E625" s="234"/>
      <c r="F625" s="235"/>
      <c r="G625" s="235"/>
      <c r="H625" s="235"/>
      <c r="I625" s="235"/>
      <c r="J625" s="235"/>
      <c r="K625" s="236"/>
    </row>
    <row r="626" spans="1:11" ht="13.8">
      <c r="A626" s="235"/>
      <c r="B626" s="235"/>
      <c r="C626" s="235"/>
      <c r="D626" s="234"/>
      <c r="E626" s="234"/>
      <c r="F626" s="235"/>
      <c r="G626" s="235"/>
      <c r="H626" s="235"/>
      <c r="I626" s="235"/>
      <c r="J626" s="235"/>
      <c r="K626" s="236"/>
    </row>
    <row r="627" spans="1:11" ht="13.8">
      <c r="A627" s="235"/>
      <c r="B627" s="235"/>
      <c r="C627" s="235"/>
      <c r="D627" s="234"/>
      <c r="E627" s="234"/>
      <c r="F627" s="235"/>
      <c r="G627" s="235"/>
      <c r="H627" s="235"/>
      <c r="I627" s="235"/>
      <c r="J627" s="235"/>
      <c r="K627" s="236"/>
    </row>
    <row r="628" spans="1:11" ht="13.8">
      <c r="A628" s="235"/>
      <c r="B628" s="235"/>
      <c r="C628" s="235"/>
      <c r="D628" s="234"/>
      <c r="E628" s="234"/>
      <c r="F628" s="235"/>
      <c r="G628" s="235"/>
      <c r="H628" s="235"/>
      <c r="I628" s="235"/>
      <c r="J628" s="235"/>
      <c r="K628" s="236"/>
    </row>
    <row r="629" spans="1:11" ht="13.8">
      <c r="A629" s="235"/>
      <c r="B629" s="235"/>
      <c r="C629" s="235"/>
      <c r="D629" s="234"/>
      <c r="E629" s="234"/>
      <c r="F629" s="235"/>
      <c r="G629" s="235"/>
      <c r="H629" s="235"/>
      <c r="I629" s="235"/>
      <c r="J629" s="235"/>
      <c r="K629" s="236"/>
    </row>
    <row r="630" spans="1:11" ht="13.8">
      <c r="A630" s="235"/>
      <c r="B630" s="235"/>
      <c r="C630" s="235"/>
      <c r="D630" s="234"/>
      <c r="E630" s="234"/>
      <c r="F630" s="235"/>
      <c r="G630" s="235"/>
      <c r="H630" s="235"/>
      <c r="I630" s="235"/>
      <c r="J630" s="235"/>
      <c r="K630" s="236"/>
    </row>
    <row r="631" spans="1:11" ht="13.8">
      <c r="A631" s="235"/>
      <c r="B631" s="235"/>
      <c r="C631" s="235"/>
      <c r="D631" s="234"/>
      <c r="E631" s="234"/>
      <c r="F631" s="235"/>
      <c r="G631" s="235"/>
      <c r="H631" s="235"/>
      <c r="I631" s="235"/>
      <c r="J631" s="235"/>
      <c r="K631" s="236"/>
    </row>
    <row r="632" spans="1:11" ht="13.8">
      <c r="A632" s="235"/>
      <c r="B632" s="235"/>
      <c r="C632" s="235"/>
      <c r="D632" s="234"/>
      <c r="E632" s="234"/>
      <c r="F632" s="235"/>
      <c r="G632" s="235"/>
      <c r="H632" s="235"/>
      <c r="I632" s="235"/>
      <c r="J632" s="235"/>
      <c r="K632" s="236"/>
    </row>
    <row r="633" spans="1:11" ht="13.8">
      <c r="A633" s="235"/>
      <c r="B633" s="235"/>
      <c r="C633" s="235"/>
      <c r="D633" s="234"/>
      <c r="E633" s="234"/>
      <c r="F633" s="235"/>
      <c r="G633" s="235"/>
      <c r="H633" s="235"/>
      <c r="I633" s="235"/>
      <c r="J633" s="235"/>
      <c r="K633" s="236"/>
    </row>
    <row r="634" spans="1:11" ht="13.8">
      <c r="A634" s="235"/>
      <c r="B634" s="235"/>
      <c r="C634" s="235"/>
      <c r="D634" s="234"/>
      <c r="E634" s="234"/>
      <c r="F634" s="235"/>
      <c r="G634" s="235"/>
      <c r="H634" s="235"/>
      <c r="I634" s="235"/>
      <c r="J634" s="235"/>
      <c r="K634" s="236"/>
    </row>
    <row r="635" spans="1:11" ht="13.8">
      <c r="A635" s="235"/>
      <c r="B635" s="235"/>
      <c r="C635" s="235"/>
      <c r="D635" s="234"/>
      <c r="E635" s="234"/>
      <c r="F635" s="235"/>
      <c r="G635" s="235"/>
      <c r="H635" s="235"/>
      <c r="I635" s="235"/>
      <c r="J635" s="235"/>
      <c r="K635" s="236"/>
    </row>
    <row r="636" spans="1:11" ht="13.8">
      <c r="A636" s="235"/>
      <c r="B636" s="235"/>
      <c r="C636" s="235"/>
      <c r="D636" s="234"/>
      <c r="E636" s="234"/>
      <c r="F636" s="235"/>
      <c r="G636" s="235"/>
      <c r="H636" s="235"/>
      <c r="I636" s="235"/>
      <c r="J636" s="235"/>
      <c r="K636" s="236"/>
    </row>
    <row r="637" spans="1:11" ht="13.8">
      <c r="A637" s="235"/>
      <c r="B637" s="235"/>
      <c r="C637" s="235"/>
      <c r="D637" s="234"/>
      <c r="E637" s="234"/>
      <c r="F637" s="235"/>
      <c r="G637" s="235"/>
      <c r="H637" s="235"/>
      <c r="I637" s="235"/>
      <c r="J637" s="235"/>
      <c r="K637" s="236"/>
    </row>
    <row r="638" spans="1:11" ht="13.8">
      <c r="A638" s="235"/>
      <c r="B638" s="235"/>
      <c r="C638" s="235"/>
      <c r="D638" s="234"/>
      <c r="E638" s="234"/>
      <c r="F638" s="235"/>
      <c r="G638" s="235"/>
      <c r="H638" s="235"/>
      <c r="I638" s="235"/>
      <c r="J638" s="235"/>
      <c r="K638" s="236"/>
    </row>
    <row r="639" spans="1:11" ht="13.8">
      <c r="A639" s="235"/>
      <c r="B639" s="235"/>
      <c r="C639" s="235"/>
      <c r="D639" s="234"/>
      <c r="E639" s="234"/>
      <c r="F639" s="235"/>
      <c r="G639" s="235"/>
      <c r="H639" s="235"/>
      <c r="I639" s="235"/>
      <c r="J639" s="235"/>
      <c r="K639" s="236"/>
    </row>
    <row r="640" spans="1:11" ht="13.8">
      <c r="A640" s="235"/>
      <c r="B640" s="235"/>
      <c r="C640" s="235"/>
      <c r="D640" s="234"/>
      <c r="E640" s="234"/>
      <c r="F640" s="235"/>
      <c r="G640" s="235"/>
      <c r="H640" s="235"/>
      <c r="I640" s="235"/>
      <c r="J640" s="235"/>
      <c r="K640" s="236"/>
    </row>
    <row r="641" spans="1:11" ht="13.8">
      <c r="A641" s="235"/>
      <c r="B641" s="235"/>
      <c r="C641" s="235"/>
      <c r="D641" s="234"/>
      <c r="E641" s="234"/>
      <c r="F641" s="235"/>
      <c r="G641" s="235"/>
      <c r="H641" s="235"/>
      <c r="I641" s="235"/>
      <c r="J641" s="235"/>
      <c r="K641" s="236"/>
    </row>
    <row r="642" spans="1:11" ht="13.8">
      <c r="A642" s="235"/>
      <c r="B642" s="235"/>
      <c r="C642" s="235"/>
      <c r="D642" s="234"/>
      <c r="E642" s="234"/>
      <c r="F642" s="235"/>
      <c r="G642" s="235"/>
      <c r="H642" s="235"/>
      <c r="I642" s="235"/>
      <c r="J642" s="235"/>
      <c r="K642" s="236"/>
    </row>
    <row r="643" spans="1:11" ht="13.8">
      <c r="A643" s="235"/>
      <c r="B643" s="235"/>
      <c r="C643" s="235"/>
      <c r="D643" s="234"/>
      <c r="E643" s="234"/>
      <c r="F643" s="235"/>
      <c r="G643" s="235"/>
      <c r="H643" s="235"/>
      <c r="I643" s="235"/>
      <c r="J643" s="235"/>
      <c r="K643" s="236"/>
    </row>
    <row r="644" spans="1:11" ht="13.8">
      <c r="A644" s="235"/>
      <c r="B644" s="235"/>
      <c r="C644" s="235"/>
      <c r="D644" s="234"/>
      <c r="E644" s="234"/>
      <c r="F644" s="235"/>
      <c r="G644" s="235"/>
      <c r="H644" s="235"/>
      <c r="I644" s="235"/>
      <c r="J644" s="235"/>
      <c r="K644" s="236"/>
    </row>
    <row r="645" spans="1:11" ht="13.8">
      <c r="A645" s="235"/>
      <c r="B645" s="235"/>
      <c r="C645" s="235"/>
      <c r="D645" s="234"/>
      <c r="E645" s="234"/>
      <c r="F645" s="235"/>
      <c r="G645" s="235"/>
      <c r="H645" s="235"/>
      <c r="I645" s="235"/>
      <c r="J645" s="235"/>
      <c r="K645" s="236"/>
    </row>
    <row r="646" spans="1:11" ht="13.8">
      <c r="A646" s="235"/>
      <c r="B646" s="235"/>
      <c r="C646" s="235"/>
      <c r="D646" s="234"/>
      <c r="E646" s="234"/>
      <c r="F646" s="235"/>
      <c r="G646" s="235"/>
      <c r="H646" s="235"/>
      <c r="I646" s="235"/>
      <c r="J646" s="235"/>
      <c r="K646" s="236"/>
    </row>
    <row r="647" spans="1:11" ht="13.8">
      <c r="A647" s="235"/>
      <c r="B647" s="235"/>
      <c r="C647" s="235"/>
      <c r="D647" s="234"/>
      <c r="E647" s="234"/>
      <c r="F647" s="235"/>
      <c r="G647" s="235"/>
      <c r="H647" s="235"/>
      <c r="I647" s="235"/>
      <c r="J647" s="235"/>
      <c r="K647" s="236"/>
    </row>
    <row r="648" spans="1:11" ht="13.8">
      <c r="A648" s="235"/>
      <c r="B648" s="235"/>
      <c r="C648" s="235"/>
      <c r="D648" s="234"/>
      <c r="E648" s="234"/>
      <c r="F648" s="235"/>
      <c r="G648" s="235"/>
      <c r="H648" s="235"/>
      <c r="I648" s="235"/>
      <c r="J648" s="235"/>
      <c r="K648" s="236"/>
    </row>
    <row r="649" spans="1:11" ht="13.8">
      <c r="A649" s="235"/>
      <c r="B649" s="235"/>
      <c r="C649" s="235"/>
      <c r="D649" s="234"/>
      <c r="E649" s="234"/>
      <c r="F649" s="235"/>
      <c r="G649" s="235"/>
      <c r="H649" s="235"/>
      <c r="I649" s="235"/>
      <c r="J649" s="235"/>
      <c r="K649" s="236"/>
    </row>
    <row r="650" spans="1:11" ht="13.8">
      <c r="A650" s="235"/>
      <c r="B650" s="235"/>
      <c r="C650" s="235"/>
      <c r="D650" s="234"/>
      <c r="E650" s="234"/>
      <c r="F650" s="235"/>
      <c r="G650" s="235"/>
      <c r="H650" s="235"/>
      <c r="I650" s="235"/>
      <c r="J650" s="235"/>
      <c r="K650" s="236"/>
    </row>
    <row r="651" spans="1:11" ht="13.8">
      <c r="A651" s="235"/>
      <c r="B651" s="235"/>
      <c r="C651" s="235"/>
      <c r="D651" s="234"/>
      <c r="E651" s="234"/>
      <c r="F651" s="235"/>
      <c r="G651" s="235"/>
      <c r="H651" s="235"/>
      <c r="I651" s="235"/>
      <c r="J651" s="235"/>
      <c r="K651" s="236"/>
    </row>
    <row r="652" spans="1:11" ht="13.8">
      <c r="A652" s="235"/>
      <c r="B652" s="235"/>
      <c r="C652" s="235"/>
      <c r="D652" s="234"/>
      <c r="E652" s="234"/>
      <c r="F652" s="235"/>
      <c r="G652" s="235"/>
      <c r="H652" s="235"/>
      <c r="I652" s="235"/>
      <c r="J652" s="235"/>
      <c r="K652" s="236"/>
    </row>
    <row r="653" spans="1:11" ht="13.8">
      <c r="A653" s="235"/>
      <c r="B653" s="235"/>
      <c r="C653" s="235"/>
      <c r="D653" s="234"/>
      <c r="E653" s="234"/>
      <c r="F653" s="235"/>
      <c r="G653" s="235"/>
      <c r="H653" s="235"/>
      <c r="I653" s="235"/>
      <c r="J653" s="235"/>
      <c r="K653" s="236"/>
    </row>
    <row r="654" spans="1:11" ht="13.8">
      <c r="A654" s="235"/>
      <c r="B654" s="235"/>
      <c r="C654" s="235"/>
      <c r="D654" s="234"/>
      <c r="E654" s="234"/>
      <c r="F654" s="235"/>
      <c r="G654" s="235"/>
      <c r="H654" s="235"/>
      <c r="I654" s="235"/>
      <c r="J654" s="235"/>
      <c r="K654" s="236"/>
    </row>
    <row r="655" spans="1:11" ht="13.8">
      <c r="A655" s="235"/>
      <c r="B655" s="235"/>
      <c r="C655" s="235"/>
      <c r="D655" s="234"/>
      <c r="E655" s="234"/>
      <c r="F655" s="235"/>
      <c r="G655" s="235"/>
      <c r="H655" s="235"/>
      <c r="I655" s="235"/>
      <c r="J655" s="235"/>
      <c r="K655" s="236"/>
    </row>
    <row r="656" spans="1:11" ht="13.8">
      <c r="A656" s="235"/>
      <c r="B656" s="235"/>
      <c r="C656" s="235"/>
      <c r="D656" s="234"/>
      <c r="E656" s="234"/>
      <c r="F656" s="235"/>
      <c r="G656" s="235"/>
      <c r="H656" s="235"/>
      <c r="I656" s="235"/>
      <c r="J656" s="235"/>
      <c r="K656" s="236"/>
    </row>
    <row r="657" spans="1:11" ht="13.8">
      <c r="A657" s="235"/>
      <c r="B657" s="235"/>
      <c r="C657" s="235"/>
      <c r="D657" s="234"/>
      <c r="E657" s="234"/>
      <c r="F657" s="235"/>
      <c r="G657" s="235"/>
      <c r="H657" s="235"/>
      <c r="I657" s="235"/>
      <c r="J657" s="235"/>
      <c r="K657" s="236"/>
    </row>
    <row r="658" spans="1:11" ht="13.8">
      <c r="A658" s="235"/>
      <c r="B658" s="235"/>
      <c r="C658" s="235"/>
      <c r="D658" s="234"/>
      <c r="E658" s="234"/>
      <c r="F658" s="235"/>
      <c r="G658" s="235"/>
      <c r="H658" s="235"/>
      <c r="I658" s="235"/>
      <c r="J658" s="235"/>
      <c r="K658" s="236"/>
    </row>
    <row r="659" spans="1:11" ht="13.8">
      <c r="A659" s="235"/>
      <c r="B659" s="235"/>
      <c r="C659" s="235"/>
      <c r="D659" s="234"/>
      <c r="E659" s="234"/>
      <c r="F659" s="235"/>
      <c r="G659" s="235"/>
      <c r="H659" s="235"/>
      <c r="I659" s="235"/>
      <c r="J659" s="235"/>
      <c r="K659" s="236"/>
    </row>
    <row r="660" spans="1:11" ht="13.8">
      <c r="A660" s="235"/>
      <c r="B660" s="235"/>
      <c r="C660" s="235"/>
      <c r="D660" s="234"/>
      <c r="E660" s="234"/>
      <c r="F660" s="235"/>
      <c r="G660" s="235"/>
      <c r="H660" s="235"/>
      <c r="I660" s="235"/>
      <c r="J660" s="235"/>
      <c r="K660" s="236"/>
    </row>
    <row r="661" spans="1:11" ht="13.8">
      <c r="A661" s="235"/>
      <c r="B661" s="235"/>
      <c r="C661" s="235"/>
      <c r="D661" s="234"/>
      <c r="E661" s="234"/>
      <c r="F661" s="235"/>
      <c r="G661" s="235"/>
      <c r="H661" s="235"/>
      <c r="I661" s="235"/>
      <c r="J661" s="235"/>
      <c r="K661" s="236"/>
    </row>
    <row r="662" spans="1:11" ht="13.8">
      <c r="A662" s="235"/>
      <c r="B662" s="235"/>
      <c r="C662" s="235"/>
      <c r="D662" s="234"/>
      <c r="E662" s="234"/>
      <c r="F662" s="235"/>
      <c r="G662" s="235"/>
      <c r="H662" s="235"/>
      <c r="I662" s="235"/>
      <c r="J662" s="235"/>
      <c r="K662" s="236"/>
    </row>
    <row r="663" spans="1:11" ht="13.8">
      <c r="A663" s="235"/>
      <c r="B663" s="235"/>
      <c r="C663" s="235"/>
      <c r="D663" s="234"/>
      <c r="E663" s="234"/>
      <c r="F663" s="235"/>
      <c r="G663" s="235"/>
      <c r="H663" s="235"/>
      <c r="I663" s="235"/>
      <c r="J663" s="235"/>
      <c r="K663" s="236"/>
    </row>
    <row r="664" spans="1:11" ht="13.8">
      <c r="A664" s="235"/>
      <c r="B664" s="235"/>
      <c r="C664" s="235"/>
      <c r="D664" s="234"/>
      <c r="E664" s="234"/>
      <c r="F664" s="235"/>
      <c r="G664" s="235"/>
      <c r="H664" s="235"/>
      <c r="I664" s="235"/>
      <c r="J664" s="235"/>
      <c r="K664" s="236"/>
    </row>
    <row r="665" spans="1:11" ht="13.8">
      <c r="A665" s="235"/>
      <c r="B665" s="235"/>
      <c r="C665" s="235"/>
      <c r="D665" s="234"/>
      <c r="E665" s="234"/>
      <c r="F665" s="235"/>
      <c r="G665" s="235"/>
      <c r="H665" s="235"/>
      <c r="I665" s="235"/>
      <c r="J665" s="235"/>
      <c r="K665" s="236"/>
    </row>
    <row r="666" spans="1:11" ht="13.8">
      <c r="A666" s="235"/>
      <c r="B666" s="235"/>
      <c r="C666" s="235"/>
      <c r="D666" s="234"/>
      <c r="E666" s="234"/>
      <c r="F666" s="235"/>
      <c r="G666" s="235"/>
      <c r="H666" s="235"/>
      <c r="I666" s="235"/>
      <c r="J666" s="235"/>
      <c r="K666" s="236"/>
    </row>
    <row r="667" spans="1:11" ht="13.8">
      <c r="A667" s="235"/>
      <c r="B667" s="235"/>
      <c r="C667" s="235"/>
      <c r="D667" s="234"/>
      <c r="E667" s="234"/>
      <c r="F667" s="235"/>
      <c r="G667" s="235"/>
      <c r="H667" s="235"/>
      <c r="I667" s="235"/>
      <c r="J667" s="235"/>
      <c r="K667" s="236"/>
    </row>
    <row r="668" spans="1:11" ht="13.8">
      <c r="A668" s="235"/>
      <c r="B668" s="235"/>
      <c r="C668" s="235"/>
      <c r="D668" s="234"/>
      <c r="E668" s="234"/>
      <c r="F668" s="235"/>
      <c r="G668" s="235"/>
      <c r="H668" s="235"/>
      <c r="I668" s="235"/>
      <c r="J668" s="235"/>
      <c r="K668" s="236"/>
    </row>
    <row r="669" spans="1:11" ht="13.8">
      <c r="A669" s="235"/>
      <c r="B669" s="235"/>
      <c r="C669" s="235"/>
      <c r="D669" s="234"/>
      <c r="E669" s="234"/>
      <c r="F669" s="235"/>
      <c r="G669" s="235"/>
      <c r="H669" s="235"/>
      <c r="I669" s="235"/>
      <c r="J669" s="235"/>
      <c r="K669" s="236"/>
    </row>
    <row r="670" spans="1:11" ht="13.8">
      <c r="A670" s="235"/>
      <c r="B670" s="235"/>
      <c r="C670" s="235"/>
      <c r="D670" s="234"/>
      <c r="E670" s="234"/>
      <c r="F670" s="235"/>
      <c r="G670" s="235"/>
      <c r="H670" s="235"/>
      <c r="I670" s="235"/>
      <c r="J670" s="235"/>
      <c r="K670" s="236"/>
    </row>
    <row r="671" spans="1:11" ht="13.8">
      <c r="A671" s="235"/>
      <c r="B671" s="235"/>
      <c r="C671" s="235"/>
      <c r="D671" s="234"/>
      <c r="E671" s="234"/>
      <c r="F671" s="235"/>
      <c r="G671" s="235"/>
      <c r="H671" s="235"/>
      <c r="I671" s="235"/>
      <c r="J671" s="235"/>
      <c r="K671" s="236"/>
    </row>
    <row r="672" spans="1:11" ht="13.8">
      <c r="A672" s="235"/>
      <c r="B672" s="235"/>
      <c r="C672" s="235"/>
      <c r="D672" s="234"/>
      <c r="E672" s="234"/>
      <c r="F672" s="235"/>
      <c r="G672" s="235"/>
      <c r="H672" s="235"/>
      <c r="I672" s="235"/>
      <c r="J672" s="235"/>
      <c r="K672" s="236"/>
    </row>
    <row r="673" spans="1:11" ht="13.8">
      <c r="A673" s="235"/>
      <c r="B673" s="235"/>
      <c r="C673" s="235"/>
      <c r="D673" s="234"/>
      <c r="E673" s="234"/>
      <c r="F673" s="235"/>
      <c r="G673" s="235"/>
      <c r="H673" s="235"/>
      <c r="I673" s="235"/>
      <c r="J673" s="235"/>
      <c r="K673" s="236"/>
    </row>
    <row r="674" spans="1:11" ht="13.8">
      <c r="A674" s="235"/>
      <c r="B674" s="235"/>
      <c r="C674" s="235"/>
      <c r="D674" s="234"/>
      <c r="E674" s="234"/>
      <c r="F674" s="235"/>
      <c r="G674" s="235"/>
      <c r="H674" s="235"/>
      <c r="I674" s="235"/>
      <c r="J674" s="235"/>
      <c r="K674" s="236"/>
    </row>
    <row r="675" spans="1:11" ht="13.8">
      <c r="A675" s="235"/>
      <c r="B675" s="235"/>
      <c r="C675" s="235"/>
      <c r="D675" s="234"/>
      <c r="E675" s="234"/>
      <c r="F675" s="235"/>
      <c r="G675" s="235"/>
      <c r="H675" s="235"/>
      <c r="I675" s="235"/>
      <c r="J675" s="235"/>
      <c r="K675" s="236"/>
    </row>
    <row r="676" spans="1:11" ht="13.8">
      <c r="A676" s="235"/>
      <c r="B676" s="235"/>
      <c r="C676" s="235"/>
      <c r="D676" s="234"/>
      <c r="E676" s="234"/>
      <c r="F676" s="235"/>
      <c r="G676" s="235"/>
      <c r="H676" s="235"/>
      <c r="I676" s="235"/>
      <c r="J676" s="235"/>
      <c r="K676" s="236"/>
    </row>
    <row r="677" spans="1:11" ht="13.8">
      <c r="A677" s="235"/>
      <c r="B677" s="235"/>
      <c r="C677" s="235"/>
      <c r="D677" s="234"/>
      <c r="E677" s="234"/>
      <c r="F677" s="235"/>
      <c r="G677" s="235"/>
      <c r="H677" s="235"/>
      <c r="I677" s="235"/>
      <c r="J677" s="235"/>
      <c r="K677" s="236"/>
    </row>
    <row r="678" spans="1:11" ht="13.8">
      <c r="A678" s="235"/>
      <c r="B678" s="235"/>
      <c r="C678" s="235"/>
      <c r="D678" s="234"/>
      <c r="E678" s="234"/>
      <c r="F678" s="235"/>
      <c r="G678" s="235"/>
      <c r="H678" s="235"/>
      <c r="I678" s="235"/>
      <c r="J678" s="235"/>
      <c r="K678" s="236"/>
    </row>
    <row r="679" spans="1:11" ht="13.8">
      <c r="A679" s="235"/>
      <c r="B679" s="235"/>
      <c r="C679" s="235"/>
      <c r="D679" s="234"/>
      <c r="E679" s="234"/>
      <c r="F679" s="235"/>
      <c r="G679" s="235"/>
      <c r="H679" s="235"/>
      <c r="I679" s="235"/>
      <c r="J679" s="235"/>
      <c r="K679" s="236"/>
    </row>
    <row r="680" spans="1:11" ht="13.8">
      <c r="A680" s="235"/>
      <c r="B680" s="235"/>
      <c r="C680" s="235"/>
      <c r="D680" s="234"/>
      <c r="E680" s="234"/>
      <c r="F680" s="235"/>
      <c r="G680" s="235"/>
      <c r="H680" s="235"/>
      <c r="I680" s="235"/>
      <c r="J680" s="235"/>
      <c r="K680" s="236"/>
    </row>
    <row r="681" spans="1:11" ht="13.8">
      <c r="A681" s="235"/>
      <c r="B681" s="235"/>
      <c r="C681" s="235"/>
      <c r="D681" s="234"/>
      <c r="E681" s="234"/>
      <c r="F681" s="235"/>
      <c r="G681" s="235"/>
      <c r="H681" s="235"/>
      <c r="I681" s="235"/>
      <c r="J681" s="235"/>
      <c r="K681" s="236"/>
    </row>
    <row r="682" spans="1:11" ht="13.8">
      <c r="A682" s="235"/>
      <c r="B682" s="235"/>
      <c r="C682" s="235"/>
      <c r="D682" s="234"/>
      <c r="E682" s="234"/>
      <c r="F682" s="235"/>
      <c r="G682" s="235"/>
      <c r="H682" s="235"/>
      <c r="I682" s="235"/>
      <c r="J682" s="235"/>
      <c r="K682" s="236"/>
    </row>
    <row r="683" spans="1:11" ht="13.8">
      <c r="A683" s="235"/>
      <c r="B683" s="235"/>
      <c r="C683" s="235"/>
      <c r="D683" s="234"/>
      <c r="E683" s="234"/>
      <c r="F683" s="235"/>
      <c r="G683" s="235"/>
      <c r="H683" s="235"/>
      <c r="I683" s="235"/>
      <c r="J683" s="235"/>
      <c r="K683" s="236"/>
    </row>
    <row r="684" spans="1:11" ht="13.8">
      <c r="A684" s="235"/>
      <c r="B684" s="235"/>
      <c r="C684" s="235"/>
      <c r="D684" s="234"/>
      <c r="E684" s="234"/>
      <c r="F684" s="235"/>
      <c r="G684" s="235"/>
      <c r="H684" s="235"/>
      <c r="I684" s="235"/>
      <c r="J684" s="235"/>
      <c r="K684" s="236"/>
    </row>
    <row r="685" spans="1:11" ht="13.8">
      <c r="A685" s="235"/>
      <c r="B685" s="235"/>
      <c r="C685" s="235"/>
      <c r="D685" s="234"/>
      <c r="E685" s="234"/>
      <c r="F685" s="235"/>
      <c r="G685" s="235"/>
      <c r="H685" s="235"/>
      <c r="I685" s="235"/>
      <c r="J685" s="235"/>
      <c r="K685" s="236"/>
    </row>
    <row r="686" spans="1:11" ht="13.8">
      <c r="A686" s="235"/>
      <c r="B686" s="235"/>
      <c r="C686" s="235"/>
      <c r="D686" s="234"/>
      <c r="E686" s="234"/>
      <c r="F686" s="235"/>
      <c r="G686" s="235"/>
      <c r="H686" s="235"/>
      <c r="I686" s="235"/>
      <c r="J686" s="235"/>
      <c r="K686" s="236"/>
    </row>
    <row r="687" spans="1:11" ht="13.8">
      <c r="A687" s="235"/>
      <c r="B687" s="235"/>
      <c r="C687" s="235"/>
      <c r="D687" s="234"/>
      <c r="E687" s="234"/>
      <c r="F687" s="235"/>
      <c r="G687" s="235"/>
      <c r="H687" s="235"/>
      <c r="I687" s="235"/>
      <c r="J687" s="235"/>
      <c r="K687" s="236"/>
    </row>
    <row r="688" spans="1:11" ht="13.8">
      <c r="A688" s="235"/>
      <c r="B688" s="235"/>
      <c r="C688" s="235"/>
      <c r="D688" s="234"/>
      <c r="E688" s="234"/>
      <c r="F688" s="235"/>
      <c r="G688" s="235"/>
      <c r="H688" s="235"/>
      <c r="I688" s="235"/>
      <c r="J688" s="235"/>
      <c r="K688" s="236"/>
    </row>
    <row r="689" spans="1:11" ht="13.8">
      <c r="A689" s="235"/>
      <c r="B689" s="235"/>
      <c r="C689" s="235"/>
      <c r="D689" s="234"/>
      <c r="E689" s="234"/>
      <c r="F689" s="235"/>
      <c r="G689" s="235"/>
      <c r="H689" s="235"/>
      <c r="I689" s="235"/>
      <c r="J689" s="235"/>
      <c r="K689" s="236"/>
    </row>
    <row r="690" spans="1:11" ht="13.8">
      <c r="A690" s="235"/>
      <c r="B690" s="235"/>
      <c r="C690" s="235"/>
      <c r="D690" s="234"/>
      <c r="E690" s="234"/>
      <c r="F690" s="235"/>
      <c r="G690" s="235"/>
      <c r="H690" s="235"/>
      <c r="I690" s="235"/>
      <c r="J690" s="235"/>
      <c r="K690" s="236"/>
    </row>
    <row r="691" spans="1:11" ht="13.8">
      <c r="A691" s="235"/>
      <c r="B691" s="235"/>
      <c r="C691" s="235"/>
      <c r="D691" s="234"/>
      <c r="E691" s="234"/>
      <c r="F691" s="235"/>
      <c r="G691" s="235"/>
      <c r="H691" s="235"/>
      <c r="I691" s="235"/>
      <c r="J691" s="235"/>
      <c r="K691" s="236"/>
    </row>
    <row r="692" spans="1:11" ht="13.8">
      <c r="A692" s="235"/>
      <c r="B692" s="235"/>
      <c r="C692" s="235"/>
      <c r="D692" s="234"/>
      <c r="E692" s="234"/>
      <c r="F692" s="235"/>
      <c r="G692" s="235"/>
      <c r="H692" s="235"/>
      <c r="I692" s="235"/>
      <c r="J692" s="235"/>
      <c r="K692" s="236"/>
    </row>
    <row r="693" spans="1:11" ht="13.8">
      <c r="A693" s="235"/>
      <c r="B693" s="235"/>
      <c r="C693" s="235"/>
      <c r="D693" s="234"/>
      <c r="E693" s="234"/>
      <c r="F693" s="235"/>
      <c r="G693" s="235"/>
      <c r="H693" s="235"/>
      <c r="I693" s="235"/>
      <c r="J693" s="235"/>
      <c r="K693" s="236"/>
    </row>
    <row r="694" spans="1:11" ht="13.8">
      <c r="A694" s="235"/>
      <c r="B694" s="235"/>
      <c r="C694" s="235"/>
      <c r="D694" s="234"/>
      <c r="E694" s="234"/>
      <c r="F694" s="235"/>
      <c r="G694" s="235"/>
      <c r="H694" s="235"/>
      <c r="I694" s="235"/>
      <c r="J694" s="235"/>
      <c r="K694" s="236"/>
    </row>
    <row r="695" spans="1:11" ht="13.8">
      <c r="A695" s="235"/>
      <c r="B695" s="235"/>
      <c r="C695" s="235"/>
      <c r="D695" s="234"/>
      <c r="E695" s="234"/>
      <c r="F695" s="235"/>
      <c r="G695" s="235"/>
      <c r="H695" s="235"/>
      <c r="I695" s="235"/>
      <c r="J695" s="235"/>
      <c r="K695" s="236"/>
    </row>
    <row r="696" spans="1:11" ht="13.8">
      <c r="A696" s="235"/>
      <c r="B696" s="235"/>
      <c r="C696" s="235"/>
      <c r="D696" s="234"/>
      <c r="E696" s="234"/>
      <c r="F696" s="235"/>
      <c r="G696" s="235"/>
      <c r="H696" s="235"/>
      <c r="I696" s="235"/>
      <c r="J696" s="235"/>
      <c r="K696" s="236"/>
    </row>
    <row r="697" spans="1:11" ht="13.8">
      <c r="A697" s="235"/>
      <c r="B697" s="235"/>
      <c r="C697" s="235"/>
      <c r="D697" s="234"/>
      <c r="E697" s="234"/>
      <c r="F697" s="235"/>
      <c r="G697" s="235"/>
      <c r="H697" s="235"/>
      <c r="I697" s="235"/>
      <c r="J697" s="235"/>
      <c r="K697" s="236"/>
    </row>
    <row r="698" spans="1:11" ht="13.8">
      <c r="A698" s="235"/>
      <c r="B698" s="235"/>
      <c r="C698" s="235"/>
      <c r="D698" s="234"/>
      <c r="E698" s="234"/>
      <c r="F698" s="235"/>
      <c r="G698" s="235"/>
      <c r="H698" s="235"/>
      <c r="I698" s="235"/>
      <c r="J698" s="235"/>
      <c r="K698" s="236"/>
    </row>
    <row r="699" spans="1:11" ht="13.8">
      <c r="A699" s="235"/>
      <c r="B699" s="235"/>
      <c r="C699" s="235"/>
      <c r="D699" s="234"/>
      <c r="E699" s="234"/>
      <c r="F699" s="235"/>
      <c r="G699" s="235"/>
      <c r="H699" s="235"/>
      <c r="I699" s="235"/>
      <c r="J699" s="235"/>
      <c r="K699" s="236"/>
    </row>
    <row r="700" spans="1:11" ht="13.8">
      <c r="A700" s="235"/>
      <c r="B700" s="235"/>
      <c r="C700" s="235"/>
      <c r="D700" s="234"/>
      <c r="E700" s="234"/>
      <c r="F700" s="235"/>
      <c r="G700" s="235"/>
      <c r="H700" s="235"/>
      <c r="I700" s="235"/>
      <c r="J700" s="235"/>
      <c r="K700" s="236"/>
    </row>
    <row r="701" spans="1:11" ht="13.8">
      <c r="A701" s="235"/>
      <c r="B701" s="235"/>
      <c r="C701" s="235"/>
      <c r="D701" s="234"/>
      <c r="E701" s="234"/>
      <c r="F701" s="235"/>
      <c r="G701" s="235"/>
      <c r="H701" s="235"/>
      <c r="I701" s="235"/>
      <c r="J701" s="235"/>
      <c r="K701" s="236"/>
    </row>
    <row r="702" spans="1:11" ht="13.8">
      <c r="A702" s="235"/>
      <c r="B702" s="235"/>
      <c r="C702" s="235"/>
      <c r="D702" s="234"/>
      <c r="E702" s="234"/>
      <c r="F702" s="235"/>
      <c r="G702" s="235"/>
      <c r="H702" s="235"/>
      <c r="I702" s="235"/>
      <c r="J702" s="235"/>
      <c r="K702" s="236"/>
    </row>
    <row r="703" spans="1:11" ht="13.8">
      <c r="A703" s="235"/>
      <c r="B703" s="235"/>
      <c r="C703" s="235"/>
      <c r="D703" s="234"/>
      <c r="E703" s="234"/>
      <c r="F703" s="235"/>
      <c r="G703" s="235"/>
      <c r="H703" s="235"/>
      <c r="I703" s="235"/>
      <c r="J703" s="235"/>
      <c r="K703" s="236"/>
    </row>
    <row r="704" spans="1:11" ht="13.8">
      <c r="A704" s="235"/>
      <c r="B704" s="235"/>
      <c r="C704" s="235"/>
      <c r="D704" s="234"/>
      <c r="E704" s="234"/>
      <c r="F704" s="235"/>
      <c r="G704" s="235"/>
      <c r="H704" s="235"/>
      <c r="I704" s="235"/>
      <c r="J704" s="235"/>
      <c r="K704" s="236"/>
    </row>
    <row r="705" spans="1:11" ht="13.8">
      <c r="A705" s="235"/>
      <c r="B705" s="235"/>
      <c r="C705" s="235"/>
      <c r="D705" s="234"/>
      <c r="E705" s="234"/>
      <c r="F705" s="235"/>
      <c r="G705" s="235"/>
      <c r="H705" s="235"/>
      <c r="I705" s="235"/>
      <c r="J705" s="235"/>
      <c r="K705" s="236"/>
    </row>
    <row r="706" spans="1:11" ht="13.8">
      <c r="A706" s="235"/>
      <c r="B706" s="235"/>
      <c r="C706" s="235"/>
      <c r="D706" s="234"/>
      <c r="E706" s="234"/>
      <c r="F706" s="235"/>
      <c r="G706" s="235"/>
      <c r="H706" s="235"/>
      <c r="I706" s="235"/>
      <c r="J706" s="235"/>
      <c r="K706" s="236"/>
    </row>
    <row r="707" spans="1:11" ht="13.8">
      <c r="A707" s="235"/>
      <c r="B707" s="235"/>
      <c r="C707" s="235"/>
      <c r="D707" s="234"/>
      <c r="E707" s="234"/>
      <c r="F707" s="235"/>
      <c r="G707" s="235"/>
      <c r="H707" s="235"/>
      <c r="I707" s="235"/>
      <c r="J707" s="235"/>
      <c r="K707" s="236"/>
    </row>
    <row r="708" spans="1:11" ht="13.8">
      <c r="A708" s="235"/>
      <c r="B708" s="235"/>
      <c r="C708" s="235"/>
      <c r="D708" s="234"/>
      <c r="E708" s="234"/>
      <c r="F708" s="235"/>
      <c r="G708" s="235"/>
      <c r="H708" s="235"/>
      <c r="I708" s="235"/>
      <c r="J708" s="235"/>
      <c r="K708" s="236"/>
    </row>
    <row r="709" spans="1:11" ht="13.8">
      <c r="A709" s="235"/>
      <c r="B709" s="235"/>
      <c r="C709" s="235"/>
      <c r="D709" s="234"/>
      <c r="E709" s="234"/>
      <c r="F709" s="235"/>
      <c r="G709" s="235"/>
      <c r="H709" s="235"/>
      <c r="I709" s="235"/>
      <c r="J709" s="235"/>
      <c r="K709" s="236"/>
    </row>
    <row r="710" spans="1:11" ht="13.8">
      <c r="A710" s="235"/>
      <c r="B710" s="235"/>
      <c r="C710" s="235"/>
      <c r="D710" s="234"/>
      <c r="E710" s="234"/>
      <c r="F710" s="235"/>
      <c r="G710" s="235"/>
      <c r="H710" s="235"/>
      <c r="I710" s="235"/>
      <c r="J710" s="235"/>
      <c r="K710" s="236"/>
    </row>
    <row r="711" spans="1:11" ht="13.8">
      <c r="A711" s="235"/>
      <c r="B711" s="235"/>
      <c r="C711" s="235"/>
      <c r="D711" s="234"/>
      <c r="E711" s="234"/>
      <c r="F711" s="235"/>
      <c r="G711" s="235"/>
      <c r="H711" s="235"/>
      <c r="I711" s="235"/>
      <c r="J711" s="235"/>
      <c r="K711" s="236"/>
    </row>
    <row r="712" spans="1:11" ht="13.8">
      <c r="A712" s="235"/>
      <c r="B712" s="235"/>
      <c r="C712" s="235"/>
      <c r="D712" s="234"/>
      <c r="E712" s="234"/>
      <c r="F712" s="235"/>
      <c r="G712" s="235"/>
      <c r="H712" s="235"/>
      <c r="I712" s="235"/>
      <c r="J712" s="235"/>
      <c r="K712" s="236"/>
    </row>
    <row r="713" spans="1:11" ht="13.8">
      <c r="A713" s="235"/>
      <c r="B713" s="235"/>
      <c r="C713" s="235"/>
      <c r="D713" s="234"/>
      <c r="E713" s="234"/>
      <c r="F713" s="235"/>
      <c r="G713" s="235"/>
      <c r="H713" s="235"/>
      <c r="I713" s="235"/>
      <c r="J713" s="235"/>
      <c r="K713" s="236"/>
    </row>
    <row r="714" spans="1:11" ht="13.8">
      <c r="A714" s="235"/>
      <c r="B714" s="235"/>
      <c r="C714" s="235"/>
      <c r="D714" s="234"/>
      <c r="E714" s="234"/>
      <c r="F714" s="235"/>
      <c r="G714" s="235"/>
      <c r="H714" s="235"/>
      <c r="I714" s="235"/>
      <c r="J714" s="235"/>
      <c r="K714" s="236"/>
    </row>
    <row r="715" spans="1:11" ht="13.8">
      <c r="A715" s="235"/>
      <c r="B715" s="235"/>
      <c r="C715" s="235"/>
      <c r="D715" s="234"/>
      <c r="E715" s="234"/>
      <c r="F715" s="235"/>
      <c r="G715" s="235"/>
      <c r="H715" s="235"/>
      <c r="I715" s="235"/>
      <c r="J715" s="235"/>
      <c r="K715" s="236"/>
    </row>
    <row r="716" spans="1:11" ht="13.8">
      <c r="A716" s="235"/>
      <c r="B716" s="235"/>
      <c r="C716" s="235"/>
      <c r="D716" s="234"/>
      <c r="E716" s="234"/>
      <c r="F716" s="235"/>
      <c r="G716" s="235"/>
      <c r="H716" s="235"/>
      <c r="I716" s="235"/>
      <c r="J716" s="235"/>
      <c r="K716" s="236"/>
    </row>
    <row r="717" spans="1:11" ht="13.8">
      <c r="A717" s="235"/>
      <c r="B717" s="235"/>
      <c r="C717" s="235"/>
      <c r="D717" s="234"/>
      <c r="E717" s="234"/>
      <c r="F717" s="235"/>
      <c r="G717" s="235"/>
      <c r="H717" s="235"/>
      <c r="I717" s="235"/>
      <c r="J717" s="235"/>
      <c r="K717" s="236"/>
    </row>
    <row r="718" spans="1:11" ht="13.8">
      <c r="A718" s="235"/>
      <c r="B718" s="235"/>
      <c r="C718" s="235"/>
      <c r="D718" s="234"/>
      <c r="E718" s="234"/>
      <c r="F718" s="235"/>
      <c r="G718" s="235"/>
      <c r="H718" s="235"/>
      <c r="I718" s="235"/>
      <c r="J718" s="235"/>
      <c r="K718" s="236"/>
    </row>
    <row r="719" spans="1:11" ht="13.8">
      <c r="A719" s="235"/>
      <c r="B719" s="235"/>
      <c r="C719" s="235"/>
      <c r="D719" s="234"/>
      <c r="E719" s="234"/>
      <c r="F719" s="235"/>
      <c r="G719" s="235"/>
      <c r="H719" s="235"/>
      <c r="I719" s="235"/>
      <c r="J719" s="235"/>
      <c r="K719" s="236"/>
    </row>
    <row r="720" spans="1:11" ht="13.8">
      <c r="A720" s="235"/>
      <c r="B720" s="235"/>
      <c r="C720" s="235"/>
      <c r="D720" s="234"/>
      <c r="E720" s="234"/>
      <c r="F720" s="235"/>
      <c r="G720" s="235"/>
      <c r="H720" s="235"/>
      <c r="I720" s="235"/>
      <c r="J720" s="235"/>
      <c r="K720" s="236"/>
    </row>
    <row r="721" spans="1:11" ht="13.8">
      <c r="A721" s="235"/>
      <c r="B721" s="235"/>
      <c r="C721" s="235"/>
      <c r="D721" s="234"/>
      <c r="E721" s="234"/>
      <c r="F721" s="235"/>
      <c r="G721" s="235"/>
      <c r="H721" s="235"/>
      <c r="I721" s="235"/>
      <c r="J721" s="235"/>
      <c r="K721" s="236"/>
    </row>
    <row r="722" spans="1:11" ht="13.8">
      <c r="A722" s="235"/>
      <c r="B722" s="235"/>
      <c r="C722" s="235"/>
      <c r="D722" s="234"/>
      <c r="E722" s="234"/>
      <c r="F722" s="235"/>
      <c r="G722" s="235"/>
      <c r="H722" s="235"/>
      <c r="I722" s="235"/>
      <c r="J722" s="235"/>
      <c r="K722" s="236"/>
    </row>
    <row r="723" spans="1:11" ht="13.8">
      <c r="A723" s="235"/>
      <c r="B723" s="235"/>
      <c r="C723" s="235"/>
      <c r="D723" s="234"/>
      <c r="E723" s="234"/>
      <c r="F723" s="235"/>
      <c r="G723" s="235"/>
      <c r="H723" s="235"/>
      <c r="I723" s="235"/>
      <c r="J723" s="235"/>
      <c r="K723" s="236"/>
    </row>
    <row r="724" spans="1:11" ht="13.8">
      <c r="A724" s="235"/>
      <c r="B724" s="235"/>
      <c r="C724" s="235"/>
      <c r="D724" s="234"/>
      <c r="E724" s="234"/>
      <c r="F724" s="235"/>
      <c r="G724" s="235"/>
      <c r="H724" s="235"/>
      <c r="I724" s="235"/>
      <c r="J724" s="235"/>
      <c r="K724" s="236"/>
    </row>
    <row r="725" spans="1:11" ht="13.8">
      <c r="A725" s="235"/>
      <c r="B725" s="235"/>
      <c r="C725" s="235"/>
      <c r="D725" s="234"/>
      <c r="E725" s="234"/>
      <c r="F725" s="235"/>
      <c r="G725" s="235"/>
      <c r="H725" s="235"/>
      <c r="I725" s="235"/>
      <c r="J725" s="235"/>
      <c r="K725" s="236"/>
    </row>
    <row r="726" spans="1:11" ht="13.8">
      <c r="A726" s="235"/>
      <c r="B726" s="235"/>
      <c r="C726" s="235"/>
      <c r="D726" s="234"/>
      <c r="E726" s="234"/>
      <c r="F726" s="235"/>
      <c r="G726" s="235"/>
      <c r="H726" s="235"/>
      <c r="I726" s="235"/>
      <c r="J726" s="235"/>
      <c r="K726" s="236"/>
    </row>
    <row r="727" spans="1:11" ht="13.8">
      <c r="A727" s="235"/>
      <c r="B727" s="235"/>
      <c r="C727" s="235"/>
      <c r="D727" s="234"/>
      <c r="E727" s="234"/>
      <c r="F727" s="235"/>
      <c r="G727" s="235"/>
      <c r="H727" s="235"/>
      <c r="I727" s="235"/>
      <c r="J727" s="235"/>
      <c r="K727" s="236"/>
    </row>
    <row r="728" spans="1:11" ht="13.8">
      <c r="A728" s="235"/>
      <c r="B728" s="235"/>
      <c r="C728" s="235"/>
      <c r="D728" s="234"/>
      <c r="E728" s="234"/>
      <c r="F728" s="235"/>
      <c r="G728" s="235"/>
      <c r="H728" s="235"/>
      <c r="I728" s="235"/>
      <c r="J728" s="235"/>
      <c r="K728" s="236"/>
    </row>
    <row r="729" spans="1:11" ht="13.8">
      <c r="A729" s="235"/>
      <c r="B729" s="235"/>
      <c r="C729" s="235"/>
      <c r="D729" s="234"/>
      <c r="E729" s="234"/>
      <c r="F729" s="235"/>
      <c r="G729" s="235"/>
      <c r="H729" s="235"/>
      <c r="I729" s="235"/>
      <c r="J729" s="235"/>
      <c r="K729" s="236"/>
    </row>
    <row r="730" spans="1:11" ht="13.8">
      <c r="A730" s="235"/>
      <c r="B730" s="235"/>
      <c r="C730" s="235"/>
      <c r="D730" s="234"/>
      <c r="E730" s="234"/>
      <c r="F730" s="235"/>
      <c r="G730" s="235"/>
      <c r="H730" s="235"/>
      <c r="I730" s="235"/>
      <c r="J730" s="235"/>
      <c r="K730" s="236"/>
    </row>
    <row r="731" spans="1:11" ht="13.8">
      <c r="A731" s="235"/>
      <c r="B731" s="235"/>
      <c r="C731" s="235"/>
      <c r="D731" s="234"/>
      <c r="E731" s="234"/>
      <c r="F731" s="235"/>
      <c r="G731" s="235"/>
      <c r="H731" s="235"/>
      <c r="I731" s="235"/>
      <c r="J731" s="235"/>
      <c r="K731" s="236"/>
    </row>
    <row r="732" spans="1:11" ht="13.8">
      <c r="A732" s="235"/>
      <c r="B732" s="235"/>
      <c r="C732" s="235"/>
      <c r="D732" s="234"/>
      <c r="E732" s="234"/>
      <c r="F732" s="235"/>
      <c r="G732" s="235"/>
      <c r="H732" s="235"/>
      <c r="I732" s="235"/>
      <c r="J732" s="235"/>
      <c r="K732" s="236"/>
    </row>
    <row r="733" spans="1:11" ht="13.8">
      <c r="A733" s="235"/>
      <c r="B733" s="235"/>
      <c r="C733" s="235"/>
      <c r="D733" s="234"/>
      <c r="E733" s="234"/>
      <c r="F733" s="235"/>
      <c r="G733" s="235"/>
      <c r="H733" s="235"/>
      <c r="I733" s="235"/>
      <c r="J733" s="235"/>
      <c r="K733" s="236"/>
    </row>
    <row r="734" spans="1:11" ht="13.8">
      <c r="A734" s="235"/>
      <c r="B734" s="235"/>
      <c r="C734" s="235"/>
      <c r="D734" s="234"/>
      <c r="E734" s="234"/>
      <c r="F734" s="235"/>
      <c r="G734" s="235"/>
      <c r="H734" s="235"/>
      <c r="I734" s="235"/>
      <c r="J734" s="235"/>
      <c r="K734" s="236"/>
    </row>
    <row r="735" spans="1:11" ht="13.8">
      <c r="A735" s="235"/>
      <c r="B735" s="235"/>
      <c r="C735" s="235"/>
      <c r="D735" s="234"/>
      <c r="E735" s="234"/>
      <c r="F735" s="235"/>
      <c r="G735" s="235"/>
      <c r="H735" s="235"/>
      <c r="I735" s="235"/>
      <c r="J735" s="235"/>
      <c r="K735" s="236"/>
    </row>
    <row r="736" spans="1:11" ht="13.8">
      <c r="A736" s="235"/>
      <c r="B736" s="235"/>
      <c r="C736" s="235"/>
      <c r="D736" s="234"/>
      <c r="E736" s="234"/>
      <c r="F736" s="235"/>
      <c r="G736" s="235"/>
      <c r="H736" s="235"/>
      <c r="I736" s="235"/>
      <c r="J736" s="235"/>
      <c r="K736" s="236"/>
    </row>
    <row r="737" spans="1:11" ht="13.8">
      <c r="A737" s="235"/>
      <c r="B737" s="235"/>
      <c r="C737" s="235"/>
      <c r="D737" s="234"/>
      <c r="E737" s="234"/>
      <c r="F737" s="235"/>
      <c r="G737" s="235"/>
      <c r="H737" s="235"/>
      <c r="I737" s="235"/>
      <c r="J737" s="235"/>
      <c r="K737" s="236"/>
    </row>
    <row r="738" spans="1:11" ht="13.8">
      <c r="A738" s="235"/>
      <c r="B738" s="235"/>
      <c r="C738" s="235"/>
      <c r="D738" s="234"/>
      <c r="E738" s="234"/>
      <c r="F738" s="235"/>
      <c r="G738" s="235"/>
      <c r="H738" s="235"/>
      <c r="I738" s="235"/>
      <c r="J738" s="235"/>
      <c r="K738" s="236"/>
    </row>
    <row r="739" spans="1:11" ht="13.8">
      <c r="A739" s="235"/>
      <c r="B739" s="235"/>
      <c r="C739" s="235"/>
      <c r="D739" s="234"/>
      <c r="E739" s="234"/>
      <c r="F739" s="235"/>
      <c r="G739" s="235"/>
      <c r="H739" s="235"/>
      <c r="I739" s="235"/>
      <c r="J739" s="235"/>
      <c r="K739" s="236"/>
    </row>
    <row r="740" spans="1:11" ht="13.8">
      <c r="A740" s="235"/>
      <c r="B740" s="235"/>
      <c r="C740" s="235"/>
      <c r="D740" s="234"/>
      <c r="E740" s="234"/>
      <c r="F740" s="235"/>
      <c r="G740" s="235"/>
      <c r="H740" s="235"/>
      <c r="I740" s="235"/>
      <c r="J740" s="235"/>
      <c r="K740" s="236"/>
    </row>
    <row r="741" spans="1:11" ht="13.8">
      <c r="A741" s="235"/>
      <c r="B741" s="235"/>
      <c r="C741" s="235"/>
      <c r="D741" s="234"/>
      <c r="E741" s="234"/>
      <c r="F741" s="235"/>
      <c r="G741" s="235"/>
      <c r="H741" s="235"/>
      <c r="I741" s="235"/>
      <c r="J741" s="235"/>
      <c r="K741" s="236"/>
    </row>
    <row r="742" spans="1:11" ht="13.8">
      <c r="A742" s="235"/>
      <c r="B742" s="235"/>
      <c r="C742" s="235"/>
      <c r="D742" s="234"/>
      <c r="E742" s="234"/>
      <c r="F742" s="235"/>
      <c r="G742" s="235"/>
      <c r="H742" s="235"/>
      <c r="I742" s="235"/>
      <c r="J742" s="235"/>
      <c r="K742" s="236"/>
    </row>
    <row r="743" spans="1:11" ht="13.8">
      <c r="A743" s="235"/>
      <c r="B743" s="235"/>
      <c r="C743" s="235"/>
      <c r="D743" s="234"/>
      <c r="E743" s="234"/>
      <c r="F743" s="235"/>
      <c r="G743" s="235"/>
      <c r="H743" s="235"/>
      <c r="I743" s="235"/>
      <c r="J743" s="235"/>
      <c r="K743" s="236"/>
    </row>
    <row r="744" spans="1:11" ht="13.8">
      <c r="A744" s="235"/>
      <c r="B744" s="235"/>
      <c r="C744" s="235"/>
      <c r="D744" s="234"/>
      <c r="E744" s="234"/>
      <c r="F744" s="235"/>
      <c r="G744" s="235"/>
      <c r="H744" s="235"/>
      <c r="I744" s="235"/>
      <c r="J744" s="235"/>
      <c r="K744" s="236"/>
    </row>
    <row r="745" spans="1:11" ht="13.8">
      <c r="A745" s="235"/>
      <c r="B745" s="235"/>
      <c r="C745" s="235"/>
      <c r="D745" s="234"/>
      <c r="E745" s="234"/>
      <c r="F745" s="235"/>
      <c r="G745" s="235"/>
      <c r="H745" s="235"/>
      <c r="I745" s="235"/>
      <c r="J745" s="235"/>
      <c r="K745" s="236"/>
    </row>
    <row r="746" spans="1:11" ht="13.8">
      <c r="A746" s="235"/>
      <c r="B746" s="235"/>
      <c r="C746" s="235"/>
      <c r="D746" s="234"/>
      <c r="E746" s="234"/>
      <c r="F746" s="235"/>
      <c r="G746" s="235"/>
      <c r="H746" s="235"/>
      <c r="I746" s="235"/>
      <c r="J746" s="235"/>
      <c r="K746" s="236"/>
    </row>
    <row r="747" spans="1:11" ht="13.8">
      <c r="A747" s="235"/>
      <c r="B747" s="235"/>
      <c r="C747" s="235"/>
      <c r="D747" s="234"/>
      <c r="E747" s="234"/>
      <c r="F747" s="235"/>
      <c r="G747" s="235"/>
      <c r="H747" s="235"/>
      <c r="I747" s="235"/>
      <c r="J747" s="235"/>
      <c r="K747" s="236"/>
    </row>
    <row r="748" spans="1:11" ht="13.8">
      <c r="A748" s="235"/>
      <c r="B748" s="235"/>
      <c r="C748" s="235"/>
      <c r="D748" s="234"/>
      <c r="E748" s="234"/>
      <c r="F748" s="235"/>
      <c r="G748" s="235"/>
      <c r="H748" s="235"/>
      <c r="I748" s="235"/>
      <c r="J748" s="235"/>
      <c r="K748" s="236"/>
    </row>
    <row r="749" spans="1:11" ht="13.8">
      <c r="A749" s="235"/>
      <c r="B749" s="235"/>
      <c r="C749" s="235"/>
      <c r="D749" s="234"/>
      <c r="E749" s="234"/>
      <c r="F749" s="235"/>
      <c r="G749" s="235"/>
      <c r="H749" s="235"/>
      <c r="I749" s="235"/>
      <c r="J749" s="235"/>
      <c r="K749" s="236"/>
    </row>
    <row r="750" spans="1:11" ht="13.8">
      <c r="A750" s="235"/>
      <c r="B750" s="235"/>
      <c r="C750" s="235"/>
      <c r="D750" s="234"/>
      <c r="E750" s="234"/>
      <c r="F750" s="235"/>
      <c r="G750" s="235"/>
      <c r="H750" s="235"/>
      <c r="I750" s="235"/>
      <c r="J750" s="235"/>
      <c r="K750" s="236"/>
    </row>
    <row r="751" spans="1:11" ht="13.8">
      <c r="A751" s="235"/>
      <c r="B751" s="235"/>
      <c r="C751" s="235"/>
      <c r="D751" s="234"/>
      <c r="E751" s="234"/>
      <c r="F751" s="235"/>
      <c r="G751" s="235"/>
      <c r="H751" s="235"/>
      <c r="I751" s="235"/>
      <c r="J751" s="235"/>
      <c r="K751" s="236"/>
    </row>
    <row r="752" spans="1:11" ht="13.8">
      <c r="A752" s="235"/>
      <c r="B752" s="235"/>
      <c r="C752" s="235"/>
      <c r="D752" s="234"/>
      <c r="E752" s="234"/>
      <c r="F752" s="235"/>
      <c r="G752" s="235"/>
      <c r="H752" s="235"/>
      <c r="I752" s="235"/>
      <c r="J752" s="235"/>
      <c r="K752" s="236"/>
    </row>
    <row r="753" spans="1:11" ht="13.8">
      <c r="A753" s="235"/>
      <c r="B753" s="235"/>
      <c r="C753" s="235"/>
      <c r="D753" s="234"/>
      <c r="E753" s="234"/>
      <c r="F753" s="235"/>
      <c r="G753" s="235"/>
      <c r="H753" s="235"/>
      <c r="I753" s="235"/>
      <c r="J753" s="235"/>
      <c r="K753" s="236"/>
    </row>
    <row r="754" spans="1:11" ht="13.8">
      <c r="A754" s="235"/>
      <c r="B754" s="235"/>
      <c r="C754" s="235"/>
      <c r="D754" s="234"/>
      <c r="E754" s="234"/>
      <c r="F754" s="235"/>
      <c r="G754" s="235"/>
      <c r="H754" s="235"/>
      <c r="I754" s="235"/>
      <c r="J754" s="235"/>
      <c r="K754" s="236"/>
    </row>
    <row r="755" spans="1:11" ht="13.8">
      <c r="A755" s="235"/>
      <c r="B755" s="235"/>
      <c r="C755" s="235"/>
      <c r="D755" s="234"/>
      <c r="E755" s="234"/>
      <c r="F755" s="235"/>
      <c r="G755" s="235"/>
      <c r="H755" s="235"/>
      <c r="I755" s="235"/>
      <c r="J755" s="235"/>
      <c r="K755" s="236"/>
    </row>
    <row r="756" spans="1:11" ht="13.8">
      <c r="A756" s="235"/>
      <c r="B756" s="235"/>
      <c r="C756" s="235"/>
      <c r="D756" s="234"/>
      <c r="E756" s="234"/>
      <c r="F756" s="235"/>
      <c r="G756" s="235"/>
      <c r="H756" s="235"/>
      <c r="I756" s="235"/>
      <c r="J756" s="235"/>
      <c r="K756" s="236"/>
    </row>
    <row r="757" spans="1:11" ht="13.8">
      <c r="A757" s="235"/>
      <c r="B757" s="235"/>
      <c r="C757" s="235"/>
      <c r="D757" s="234"/>
      <c r="E757" s="234"/>
      <c r="F757" s="235"/>
      <c r="G757" s="235"/>
      <c r="H757" s="235"/>
      <c r="I757" s="235"/>
      <c r="J757" s="235"/>
      <c r="K757" s="236"/>
    </row>
    <row r="758" spans="1:11" ht="13.8">
      <c r="A758" s="235"/>
      <c r="B758" s="235"/>
      <c r="C758" s="235"/>
      <c r="D758" s="234"/>
      <c r="E758" s="234"/>
      <c r="F758" s="235"/>
      <c r="G758" s="235"/>
      <c r="H758" s="235"/>
      <c r="I758" s="235"/>
      <c r="J758" s="235"/>
      <c r="K758" s="236"/>
    </row>
    <row r="759" spans="1:11" ht="13.8">
      <c r="A759" s="235"/>
      <c r="B759" s="235"/>
      <c r="C759" s="235"/>
      <c r="D759" s="234"/>
      <c r="E759" s="234"/>
      <c r="F759" s="235"/>
      <c r="G759" s="235"/>
      <c r="H759" s="235"/>
      <c r="I759" s="235"/>
      <c r="J759" s="235"/>
      <c r="K759" s="236"/>
    </row>
    <row r="760" spans="1:11" ht="13.8">
      <c r="A760" s="235"/>
      <c r="B760" s="235"/>
      <c r="C760" s="235"/>
      <c r="D760" s="234"/>
      <c r="E760" s="234"/>
      <c r="F760" s="235"/>
      <c r="G760" s="235"/>
      <c r="H760" s="235"/>
      <c r="I760" s="235"/>
      <c r="J760" s="235"/>
      <c r="K760" s="236"/>
    </row>
    <row r="761" spans="1:11" ht="13.8">
      <c r="A761" s="235"/>
      <c r="B761" s="235"/>
      <c r="C761" s="235"/>
      <c r="D761" s="234"/>
      <c r="E761" s="234"/>
      <c r="F761" s="235"/>
      <c r="G761" s="235"/>
      <c r="H761" s="235"/>
      <c r="I761" s="235"/>
      <c r="J761" s="235"/>
      <c r="K761" s="236"/>
    </row>
    <row r="762" spans="1:11" ht="13.8">
      <c r="A762" s="235"/>
      <c r="B762" s="235"/>
      <c r="C762" s="235"/>
      <c r="D762" s="234"/>
      <c r="E762" s="234"/>
      <c r="F762" s="235"/>
      <c r="G762" s="235"/>
      <c r="H762" s="235"/>
      <c r="I762" s="235"/>
      <c r="J762" s="235"/>
      <c r="K762" s="236"/>
    </row>
    <row r="763" spans="1:11" ht="13.8">
      <c r="A763" s="235"/>
      <c r="B763" s="235"/>
      <c r="C763" s="235"/>
      <c r="D763" s="234"/>
      <c r="E763" s="234"/>
      <c r="F763" s="235"/>
      <c r="G763" s="235"/>
      <c r="H763" s="235"/>
      <c r="I763" s="235"/>
      <c r="J763" s="235"/>
      <c r="K763" s="236"/>
    </row>
    <row r="764" spans="1:11" ht="13.8">
      <c r="A764" s="235"/>
      <c r="B764" s="235"/>
      <c r="C764" s="235"/>
      <c r="D764" s="234"/>
      <c r="E764" s="234"/>
      <c r="F764" s="235"/>
      <c r="G764" s="235"/>
      <c r="H764" s="235"/>
      <c r="I764" s="235"/>
      <c r="J764" s="235"/>
      <c r="K764" s="236"/>
    </row>
    <row r="765" spans="1:11" ht="13.8">
      <c r="A765" s="235"/>
      <c r="B765" s="235"/>
      <c r="C765" s="235"/>
      <c r="D765" s="234"/>
      <c r="E765" s="234"/>
      <c r="F765" s="235"/>
      <c r="G765" s="235"/>
      <c r="H765" s="235"/>
      <c r="I765" s="235"/>
      <c r="J765" s="235"/>
      <c r="K765" s="236"/>
    </row>
    <row r="766" spans="1:11" ht="13.8">
      <c r="A766" s="235"/>
      <c r="B766" s="235"/>
      <c r="C766" s="235"/>
      <c r="D766" s="234"/>
      <c r="E766" s="234"/>
      <c r="F766" s="235"/>
      <c r="G766" s="235"/>
      <c r="H766" s="235"/>
      <c r="I766" s="235"/>
      <c r="J766" s="235"/>
      <c r="K766" s="236"/>
    </row>
    <row r="767" spans="1:11" ht="13.8">
      <c r="A767" s="235"/>
      <c r="B767" s="235"/>
      <c r="C767" s="235"/>
      <c r="D767" s="234"/>
      <c r="E767" s="234"/>
      <c r="F767" s="235"/>
      <c r="G767" s="235"/>
      <c r="H767" s="235"/>
      <c r="I767" s="235"/>
      <c r="J767" s="235"/>
      <c r="K767" s="236"/>
    </row>
    <row r="768" spans="1:11" ht="13.8">
      <c r="A768" s="235"/>
      <c r="B768" s="235"/>
      <c r="C768" s="235"/>
      <c r="D768" s="234"/>
      <c r="E768" s="234"/>
      <c r="F768" s="235"/>
      <c r="G768" s="235"/>
      <c r="H768" s="235"/>
      <c r="I768" s="235"/>
      <c r="J768" s="235"/>
      <c r="K768" s="236"/>
    </row>
    <row r="769" spans="1:11" ht="13.8">
      <c r="A769" s="235"/>
      <c r="B769" s="235"/>
      <c r="C769" s="235"/>
      <c r="D769" s="234"/>
      <c r="E769" s="234"/>
      <c r="F769" s="235"/>
      <c r="G769" s="235"/>
      <c r="H769" s="235"/>
      <c r="I769" s="235"/>
      <c r="J769" s="235"/>
      <c r="K769" s="236"/>
    </row>
    <row r="770" spans="1:11" ht="13.8">
      <c r="A770" s="235"/>
      <c r="B770" s="235"/>
      <c r="C770" s="235"/>
      <c r="D770" s="234"/>
      <c r="E770" s="234"/>
      <c r="F770" s="235"/>
      <c r="G770" s="235"/>
      <c r="H770" s="235"/>
      <c r="I770" s="235"/>
      <c r="J770" s="235"/>
      <c r="K770" s="236"/>
    </row>
    <row r="771" spans="1:11" ht="13.8">
      <c r="A771" s="235"/>
      <c r="B771" s="235"/>
      <c r="C771" s="235"/>
      <c r="D771" s="234"/>
      <c r="E771" s="234"/>
      <c r="F771" s="235"/>
      <c r="G771" s="235"/>
      <c r="H771" s="235"/>
      <c r="I771" s="235"/>
      <c r="J771" s="235"/>
      <c r="K771" s="236"/>
    </row>
    <row r="772" spans="1:11" ht="13.8">
      <c r="A772" s="235"/>
      <c r="B772" s="235"/>
      <c r="C772" s="235"/>
      <c r="D772" s="234"/>
      <c r="E772" s="234"/>
      <c r="F772" s="235"/>
      <c r="G772" s="235"/>
      <c r="H772" s="235"/>
      <c r="I772" s="235"/>
      <c r="J772" s="235"/>
      <c r="K772" s="236"/>
    </row>
    <row r="773" spans="1:11" ht="13.8">
      <c r="A773" s="235"/>
      <c r="B773" s="235"/>
      <c r="C773" s="235"/>
      <c r="D773" s="234"/>
      <c r="E773" s="234"/>
      <c r="F773" s="235"/>
      <c r="G773" s="235"/>
      <c r="H773" s="235"/>
      <c r="I773" s="235"/>
      <c r="J773" s="235"/>
      <c r="K773" s="236"/>
    </row>
    <row r="774" spans="1:11" ht="13.8">
      <c r="A774" s="235"/>
      <c r="B774" s="235"/>
      <c r="C774" s="235"/>
      <c r="D774" s="234"/>
      <c r="E774" s="234"/>
      <c r="F774" s="235"/>
      <c r="G774" s="235"/>
      <c r="H774" s="235"/>
      <c r="I774" s="235"/>
      <c r="J774" s="235"/>
      <c r="K774" s="236"/>
    </row>
    <row r="775" spans="1:11" ht="13.8">
      <c r="A775" s="235"/>
      <c r="B775" s="235"/>
      <c r="C775" s="235"/>
      <c r="D775" s="234"/>
      <c r="E775" s="234"/>
      <c r="F775" s="235"/>
      <c r="G775" s="235"/>
      <c r="H775" s="235"/>
      <c r="I775" s="235"/>
      <c r="J775" s="235"/>
      <c r="K775" s="236"/>
    </row>
    <row r="776" spans="1:11" ht="13.8">
      <c r="A776" s="235"/>
      <c r="B776" s="235"/>
      <c r="C776" s="235"/>
      <c r="D776" s="234"/>
      <c r="E776" s="234"/>
      <c r="F776" s="235"/>
      <c r="G776" s="235"/>
      <c r="H776" s="235"/>
      <c r="I776" s="235"/>
      <c r="J776" s="235"/>
      <c r="K776" s="236"/>
    </row>
    <row r="777" spans="1:11" ht="13.8">
      <c r="A777" s="235"/>
      <c r="B777" s="235"/>
      <c r="C777" s="235"/>
      <c r="D777" s="234"/>
      <c r="E777" s="234"/>
      <c r="F777" s="235"/>
      <c r="G777" s="235"/>
      <c r="H777" s="235"/>
      <c r="I777" s="235"/>
      <c r="J777" s="235"/>
      <c r="K777" s="236"/>
    </row>
    <row r="778" spans="1:11" ht="13.8">
      <c r="A778" s="235"/>
      <c r="B778" s="235"/>
      <c r="C778" s="235"/>
      <c r="D778" s="234"/>
      <c r="E778" s="234"/>
      <c r="F778" s="235"/>
      <c r="G778" s="235"/>
      <c r="H778" s="235"/>
      <c r="I778" s="235"/>
      <c r="J778" s="235"/>
      <c r="K778" s="236"/>
    </row>
    <row r="779" spans="1:11" ht="13.8">
      <c r="A779" s="235"/>
      <c r="B779" s="235"/>
      <c r="C779" s="235"/>
      <c r="D779" s="234"/>
      <c r="E779" s="234"/>
      <c r="F779" s="235"/>
      <c r="G779" s="235"/>
      <c r="H779" s="235"/>
      <c r="I779" s="235"/>
      <c r="J779" s="235"/>
      <c r="K779" s="236"/>
    </row>
    <row r="780" spans="1:11" ht="13.8">
      <c r="A780" s="235"/>
      <c r="B780" s="235"/>
      <c r="C780" s="235"/>
      <c r="D780" s="234"/>
      <c r="E780" s="234"/>
      <c r="F780" s="235"/>
      <c r="G780" s="235"/>
      <c r="H780" s="235"/>
      <c r="I780" s="235"/>
      <c r="J780" s="235"/>
      <c r="K780" s="236"/>
    </row>
    <row r="781" spans="1:11" ht="13.8">
      <c r="A781" s="235"/>
      <c r="B781" s="235"/>
      <c r="C781" s="235"/>
      <c r="D781" s="234"/>
      <c r="E781" s="234"/>
      <c r="F781" s="235"/>
      <c r="G781" s="235"/>
      <c r="H781" s="235"/>
      <c r="I781" s="235"/>
      <c r="J781" s="235"/>
      <c r="K781" s="236"/>
    </row>
    <row r="782" spans="1:11" ht="13.8">
      <c r="A782" s="235"/>
      <c r="B782" s="235"/>
      <c r="C782" s="235"/>
      <c r="D782" s="234"/>
      <c r="E782" s="234"/>
      <c r="F782" s="235"/>
      <c r="G782" s="235"/>
      <c r="H782" s="235"/>
      <c r="I782" s="235"/>
      <c r="J782" s="235"/>
      <c r="K782" s="236"/>
    </row>
    <row r="783" spans="1:11" ht="13.8">
      <c r="A783" s="235"/>
      <c r="B783" s="235"/>
      <c r="C783" s="235"/>
      <c r="D783" s="234"/>
      <c r="E783" s="234"/>
      <c r="F783" s="235"/>
      <c r="G783" s="235"/>
      <c r="H783" s="235"/>
      <c r="I783" s="235"/>
      <c r="J783" s="235"/>
      <c r="K783" s="236"/>
    </row>
    <row r="784" spans="1:11" ht="13.8">
      <c r="A784" s="235"/>
      <c r="B784" s="235"/>
      <c r="C784" s="235"/>
      <c r="D784" s="234"/>
      <c r="E784" s="234"/>
      <c r="F784" s="235"/>
      <c r="G784" s="235"/>
      <c r="H784" s="235"/>
      <c r="I784" s="235"/>
      <c r="J784" s="235"/>
      <c r="K784" s="236"/>
    </row>
    <row r="785" spans="1:11" ht="13.8">
      <c r="A785" s="235"/>
      <c r="B785" s="235"/>
      <c r="C785" s="235"/>
      <c r="D785" s="234"/>
      <c r="E785" s="234"/>
      <c r="F785" s="235"/>
      <c r="G785" s="235"/>
      <c r="H785" s="235"/>
      <c r="I785" s="235"/>
      <c r="J785" s="235"/>
      <c r="K785" s="236"/>
    </row>
    <row r="786" spans="1:11" ht="13.8">
      <c r="A786" s="235"/>
      <c r="B786" s="235"/>
      <c r="C786" s="235"/>
      <c r="D786" s="234"/>
      <c r="E786" s="234"/>
      <c r="F786" s="235"/>
      <c r="G786" s="235"/>
      <c r="H786" s="235"/>
      <c r="I786" s="235"/>
      <c r="J786" s="235"/>
      <c r="K786" s="236"/>
    </row>
    <row r="787" spans="1:11" ht="13.8">
      <c r="A787" s="235"/>
      <c r="B787" s="235"/>
      <c r="C787" s="235"/>
      <c r="D787" s="234"/>
      <c r="E787" s="234"/>
      <c r="F787" s="235"/>
      <c r="G787" s="235"/>
      <c r="H787" s="235"/>
      <c r="I787" s="235"/>
      <c r="J787" s="235"/>
      <c r="K787" s="236"/>
    </row>
    <row r="788" spans="1:11" ht="13.8">
      <c r="A788" s="235"/>
      <c r="B788" s="235"/>
      <c r="C788" s="235"/>
      <c r="D788" s="234"/>
      <c r="E788" s="234"/>
      <c r="F788" s="235"/>
      <c r="G788" s="235"/>
      <c r="H788" s="235"/>
      <c r="I788" s="235"/>
      <c r="J788" s="235"/>
      <c r="K788" s="236"/>
    </row>
    <row r="789" spans="1:11" ht="13.8">
      <c r="A789" s="235"/>
      <c r="B789" s="235"/>
      <c r="C789" s="235"/>
      <c r="D789" s="234"/>
      <c r="E789" s="234"/>
      <c r="F789" s="235"/>
      <c r="G789" s="235"/>
      <c r="H789" s="235"/>
      <c r="I789" s="235"/>
      <c r="J789" s="235"/>
      <c r="K789" s="236"/>
    </row>
    <row r="790" spans="1:11" ht="13.8">
      <c r="A790" s="235"/>
      <c r="B790" s="235"/>
      <c r="C790" s="235"/>
      <c r="D790" s="234"/>
      <c r="E790" s="234"/>
      <c r="F790" s="235"/>
      <c r="G790" s="235"/>
      <c r="H790" s="235"/>
      <c r="I790" s="235"/>
      <c r="J790" s="235"/>
      <c r="K790" s="236"/>
    </row>
    <row r="791" spans="1:11" ht="13.8">
      <c r="A791" s="235"/>
      <c r="B791" s="235"/>
      <c r="C791" s="235"/>
      <c r="D791" s="234"/>
      <c r="E791" s="234"/>
      <c r="F791" s="235"/>
      <c r="G791" s="235"/>
      <c r="H791" s="235"/>
      <c r="I791" s="235"/>
      <c r="J791" s="235"/>
      <c r="K791" s="236"/>
    </row>
    <row r="792" spans="1:11" ht="13.8">
      <c r="A792" s="235"/>
      <c r="B792" s="235"/>
      <c r="C792" s="235"/>
      <c r="D792" s="234"/>
      <c r="E792" s="234"/>
      <c r="F792" s="235"/>
      <c r="G792" s="235"/>
      <c r="H792" s="235"/>
      <c r="I792" s="235"/>
      <c r="J792" s="235"/>
      <c r="K792" s="236"/>
    </row>
    <row r="793" spans="1:11" ht="13.8">
      <c r="A793" s="235"/>
      <c r="B793" s="235"/>
      <c r="C793" s="235"/>
      <c r="D793" s="234"/>
      <c r="E793" s="234"/>
      <c r="F793" s="235"/>
      <c r="G793" s="235"/>
      <c r="H793" s="235"/>
      <c r="I793" s="235"/>
      <c r="J793" s="235"/>
      <c r="K793" s="236"/>
    </row>
    <row r="794" spans="1:11" ht="13.8">
      <c r="A794" s="235"/>
      <c r="B794" s="235"/>
      <c r="C794" s="235"/>
      <c r="D794" s="234"/>
      <c r="E794" s="234"/>
      <c r="F794" s="235"/>
      <c r="G794" s="235"/>
      <c r="H794" s="235"/>
      <c r="I794" s="235"/>
      <c r="J794" s="235"/>
      <c r="K794" s="236"/>
    </row>
    <row r="795" spans="1:11" ht="13.8">
      <c r="A795" s="235"/>
      <c r="B795" s="235"/>
      <c r="C795" s="235"/>
      <c r="D795" s="234"/>
      <c r="E795" s="234"/>
      <c r="F795" s="235"/>
      <c r="G795" s="235"/>
      <c r="H795" s="235"/>
      <c r="I795" s="235"/>
      <c r="J795" s="235"/>
      <c r="K795" s="236"/>
    </row>
    <row r="796" spans="1:11" ht="13.8">
      <c r="A796" s="235"/>
      <c r="B796" s="235"/>
      <c r="C796" s="235"/>
      <c r="D796" s="234"/>
      <c r="E796" s="234"/>
      <c r="F796" s="235"/>
      <c r="G796" s="235"/>
      <c r="H796" s="235"/>
      <c r="I796" s="235"/>
      <c r="J796" s="235"/>
      <c r="K796" s="236"/>
    </row>
    <row r="797" spans="1:11" ht="13.8">
      <c r="A797" s="235"/>
      <c r="B797" s="235"/>
      <c r="C797" s="235"/>
      <c r="D797" s="234"/>
      <c r="E797" s="234"/>
      <c r="F797" s="235"/>
      <c r="G797" s="235"/>
      <c r="H797" s="235"/>
      <c r="I797" s="235"/>
      <c r="J797" s="235"/>
      <c r="K797" s="236"/>
    </row>
    <row r="798" spans="1:11" ht="13.8">
      <c r="A798" s="235"/>
      <c r="B798" s="235"/>
      <c r="C798" s="235"/>
      <c r="D798" s="234"/>
      <c r="E798" s="234"/>
      <c r="F798" s="235"/>
      <c r="G798" s="235"/>
      <c r="H798" s="235"/>
      <c r="I798" s="235"/>
      <c r="J798" s="235"/>
      <c r="K798" s="236"/>
    </row>
    <row r="799" spans="1:11" ht="13.8">
      <c r="A799" s="235"/>
      <c r="B799" s="235"/>
      <c r="C799" s="235"/>
      <c r="D799" s="234"/>
      <c r="E799" s="234"/>
      <c r="F799" s="235"/>
      <c r="G799" s="235"/>
      <c r="H799" s="235"/>
      <c r="I799" s="235"/>
      <c r="J799" s="235"/>
      <c r="K799" s="236"/>
    </row>
    <row r="800" spans="1:11" ht="13.8">
      <c r="A800" s="235"/>
      <c r="B800" s="235"/>
      <c r="C800" s="235"/>
      <c r="D800" s="234"/>
      <c r="E800" s="234"/>
      <c r="F800" s="235"/>
      <c r="G800" s="235"/>
      <c r="H800" s="235"/>
      <c r="I800" s="235"/>
      <c r="J800" s="235"/>
      <c r="K800" s="236"/>
    </row>
    <row r="801" spans="1:11" ht="13.8">
      <c r="A801" s="235"/>
      <c r="B801" s="235"/>
      <c r="C801" s="235"/>
      <c r="D801" s="234"/>
      <c r="E801" s="234"/>
      <c r="F801" s="235"/>
      <c r="G801" s="235"/>
      <c r="H801" s="235"/>
      <c r="I801" s="235"/>
      <c r="J801" s="235"/>
      <c r="K801" s="236"/>
    </row>
    <row r="802" spans="1:11" ht="13.8">
      <c r="A802" s="235"/>
      <c r="B802" s="235"/>
      <c r="C802" s="235"/>
      <c r="D802" s="234"/>
      <c r="E802" s="234"/>
      <c r="F802" s="235"/>
      <c r="G802" s="235"/>
      <c r="H802" s="235"/>
      <c r="I802" s="235"/>
      <c r="J802" s="235"/>
      <c r="K802" s="236"/>
    </row>
    <row r="803" spans="1:11" ht="13.8">
      <c r="A803" s="235"/>
      <c r="B803" s="235"/>
      <c r="C803" s="235"/>
      <c r="D803" s="234"/>
      <c r="E803" s="234"/>
      <c r="F803" s="235"/>
      <c r="G803" s="235"/>
      <c r="H803" s="235"/>
      <c r="I803" s="235"/>
      <c r="J803" s="235"/>
      <c r="K803" s="236"/>
    </row>
    <row r="804" spans="1:11" ht="13.8">
      <c r="A804" s="235"/>
      <c r="B804" s="235"/>
      <c r="C804" s="235"/>
      <c r="D804" s="234"/>
      <c r="E804" s="234"/>
      <c r="F804" s="235"/>
      <c r="G804" s="235"/>
      <c r="H804" s="235"/>
      <c r="I804" s="235"/>
      <c r="J804" s="235"/>
      <c r="K804" s="236"/>
    </row>
    <row r="805" spans="1:11" ht="13.8">
      <c r="A805" s="235"/>
      <c r="B805" s="235"/>
      <c r="C805" s="235"/>
      <c r="D805" s="234"/>
      <c r="E805" s="234"/>
      <c r="F805" s="235"/>
      <c r="G805" s="235"/>
      <c r="H805" s="235"/>
      <c r="I805" s="235"/>
      <c r="J805" s="235"/>
      <c r="K805" s="236"/>
    </row>
    <row r="806" spans="1:11" ht="13.8">
      <c r="A806" s="235"/>
      <c r="B806" s="235"/>
      <c r="C806" s="235"/>
      <c r="D806" s="234"/>
      <c r="E806" s="234"/>
      <c r="F806" s="235"/>
      <c r="G806" s="235"/>
      <c r="H806" s="235"/>
      <c r="I806" s="235"/>
      <c r="J806" s="235"/>
      <c r="K806" s="236"/>
    </row>
    <row r="807" spans="1:11" ht="13.8">
      <c r="A807" s="235"/>
      <c r="B807" s="235"/>
      <c r="C807" s="235"/>
      <c r="D807" s="234"/>
      <c r="E807" s="234"/>
      <c r="F807" s="235"/>
      <c r="G807" s="235"/>
      <c r="H807" s="235"/>
      <c r="I807" s="235"/>
      <c r="J807" s="235"/>
      <c r="K807" s="236"/>
    </row>
    <row r="808" spans="1:11" ht="13.8">
      <c r="A808" s="235"/>
      <c r="B808" s="235"/>
      <c r="C808" s="235"/>
      <c r="D808" s="234"/>
      <c r="E808" s="234"/>
      <c r="F808" s="235"/>
      <c r="G808" s="235"/>
      <c r="H808" s="235"/>
      <c r="I808" s="235"/>
      <c r="J808" s="235"/>
      <c r="K808" s="236"/>
    </row>
    <row r="809" spans="1:11" ht="13.8">
      <c r="A809" s="235"/>
      <c r="B809" s="235"/>
      <c r="C809" s="235"/>
      <c r="D809" s="234"/>
      <c r="E809" s="234"/>
      <c r="F809" s="235"/>
      <c r="G809" s="235"/>
      <c r="H809" s="235"/>
      <c r="I809" s="235"/>
      <c r="J809" s="235"/>
      <c r="K809" s="236"/>
    </row>
    <row r="810" spans="1:11" ht="13.8">
      <c r="A810" s="235"/>
      <c r="B810" s="235"/>
      <c r="C810" s="235"/>
      <c r="D810" s="234"/>
      <c r="E810" s="234"/>
      <c r="F810" s="235"/>
      <c r="G810" s="235"/>
      <c r="H810" s="235"/>
      <c r="I810" s="235"/>
      <c r="J810" s="235"/>
      <c r="K810" s="236"/>
    </row>
    <row r="811" spans="1:11" ht="13.8">
      <c r="A811" s="235"/>
      <c r="B811" s="235"/>
      <c r="C811" s="235"/>
      <c r="D811" s="234"/>
      <c r="E811" s="234"/>
      <c r="F811" s="235"/>
      <c r="G811" s="235"/>
      <c r="H811" s="235"/>
      <c r="I811" s="235"/>
      <c r="J811" s="235"/>
      <c r="K811" s="236"/>
    </row>
    <row r="812" spans="1:11" ht="13.8">
      <c r="A812" s="235"/>
      <c r="B812" s="235"/>
      <c r="C812" s="235"/>
      <c r="D812" s="234"/>
      <c r="E812" s="234"/>
      <c r="F812" s="235"/>
      <c r="G812" s="235"/>
      <c r="H812" s="235"/>
      <c r="I812" s="235"/>
      <c r="J812" s="235"/>
      <c r="K812" s="236"/>
    </row>
    <row r="813" spans="1:11" ht="13.8">
      <c r="A813" s="235"/>
      <c r="B813" s="235"/>
      <c r="C813" s="235"/>
      <c r="D813" s="234"/>
      <c r="E813" s="234"/>
      <c r="F813" s="235"/>
      <c r="G813" s="235"/>
      <c r="H813" s="235"/>
      <c r="I813" s="235"/>
      <c r="J813" s="235"/>
      <c r="K813" s="236"/>
    </row>
    <row r="814" spans="1:11" ht="13.8">
      <c r="A814" s="235"/>
      <c r="B814" s="235"/>
      <c r="C814" s="235"/>
      <c r="D814" s="234"/>
      <c r="E814" s="234"/>
      <c r="F814" s="235"/>
      <c r="G814" s="235"/>
      <c r="H814" s="235"/>
      <c r="I814" s="235"/>
      <c r="J814" s="235"/>
      <c r="K814" s="236"/>
    </row>
    <row r="815" spans="1:11" ht="13.8">
      <c r="A815" s="235"/>
      <c r="B815" s="235"/>
      <c r="C815" s="235"/>
      <c r="D815" s="234"/>
      <c r="E815" s="234"/>
      <c r="F815" s="235"/>
      <c r="G815" s="235"/>
      <c r="H815" s="235"/>
      <c r="I815" s="235"/>
      <c r="J815" s="235"/>
      <c r="K815" s="236"/>
    </row>
    <row r="816" spans="1:11" ht="13.8">
      <c r="A816" s="235"/>
      <c r="B816" s="235"/>
      <c r="C816" s="235"/>
      <c r="D816" s="234"/>
      <c r="E816" s="234"/>
      <c r="F816" s="235"/>
      <c r="G816" s="235"/>
      <c r="H816" s="235"/>
      <c r="I816" s="235"/>
      <c r="J816" s="235"/>
      <c r="K816" s="236"/>
    </row>
    <row r="817" spans="1:11" ht="13.8">
      <c r="A817" s="235"/>
      <c r="B817" s="235"/>
      <c r="C817" s="235"/>
      <c r="D817" s="234"/>
      <c r="E817" s="234"/>
      <c r="F817" s="235"/>
      <c r="G817" s="235"/>
      <c r="H817" s="235"/>
      <c r="I817" s="235"/>
      <c r="J817" s="235"/>
      <c r="K817" s="236"/>
    </row>
    <row r="818" spans="1:11" ht="13.8">
      <c r="A818" s="235"/>
      <c r="B818" s="235"/>
      <c r="C818" s="235"/>
      <c r="D818" s="234"/>
      <c r="E818" s="234"/>
      <c r="F818" s="235"/>
      <c r="G818" s="235"/>
      <c r="H818" s="235"/>
      <c r="I818" s="235"/>
      <c r="J818" s="235"/>
      <c r="K818" s="236"/>
    </row>
    <row r="819" spans="1:11" ht="13.8">
      <c r="A819" s="235"/>
      <c r="B819" s="235"/>
      <c r="C819" s="235"/>
      <c r="D819" s="234"/>
      <c r="E819" s="234"/>
      <c r="F819" s="235"/>
      <c r="G819" s="235"/>
      <c r="H819" s="235"/>
      <c r="I819" s="235"/>
      <c r="J819" s="235"/>
      <c r="K819" s="236"/>
    </row>
    <row r="820" spans="1:11" ht="13.8">
      <c r="A820" s="235"/>
      <c r="B820" s="235"/>
      <c r="C820" s="235"/>
      <c r="D820" s="234"/>
      <c r="E820" s="234"/>
      <c r="F820" s="235"/>
      <c r="G820" s="235"/>
      <c r="H820" s="235"/>
      <c r="I820" s="235"/>
      <c r="J820" s="235"/>
      <c r="K820" s="236"/>
    </row>
    <row r="821" spans="1:11" ht="13.8">
      <c r="A821" s="235"/>
      <c r="B821" s="235"/>
      <c r="C821" s="235"/>
      <c r="D821" s="234"/>
      <c r="E821" s="234"/>
      <c r="F821" s="235"/>
      <c r="G821" s="235"/>
      <c r="H821" s="235"/>
      <c r="I821" s="235"/>
      <c r="J821" s="235"/>
      <c r="K821" s="236"/>
    </row>
    <row r="822" spans="1:11" ht="13.8">
      <c r="A822" s="235"/>
      <c r="B822" s="235"/>
      <c r="C822" s="235"/>
      <c r="D822" s="234"/>
      <c r="E822" s="234"/>
      <c r="F822" s="235"/>
      <c r="G822" s="235"/>
      <c r="H822" s="235"/>
      <c r="I822" s="235"/>
      <c r="J822" s="235"/>
      <c r="K822" s="236"/>
    </row>
    <row r="823" spans="1:11" ht="13.8">
      <c r="A823" s="235"/>
      <c r="B823" s="235"/>
      <c r="C823" s="235"/>
      <c r="D823" s="234"/>
      <c r="E823" s="234"/>
      <c r="F823" s="235"/>
      <c r="G823" s="235"/>
      <c r="H823" s="235"/>
      <c r="I823" s="235"/>
      <c r="J823" s="235"/>
      <c r="K823" s="236"/>
    </row>
    <row r="824" spans="1:11" ht="13.8">
      <c r="A824" s="235"/>
      <c r="B824" s="235"/>
      <c r="C824" s="235"/>
      <c r="D824" s="234"/>
      <c r="E824" s="234"/>
      <c r="F824" s="235"/>
      <c r="G824" s="235"/>
      <c r="H824" s="235"/>
      <c r="I824" s="235"/>
      <c r="J824" s="235"/>
      <c r="K824" s="236"/>
    </row>
    <row r="825" spans="1:11" ht="13.8">
      <c r="A825" s="235"/>
      <c r="B825" s="235"/>
      <c r="C825" s="235"/>
      <c r="D825" s="234"/>
      <c r="E825" s="234"/>
      <c r="F825" s="235"/>
      <c r="G825" s="235"/>
      <c r="H825" s="235"/>
      <c r="I825" s="235"/>
      <c r="J825" s="235"/>
      <c r="K825" s="236"/>
    </row>
    <row r="826" spans="1:11" ht="13.8">
      <c r="A826" s="235"/>
      <c r="B826" s="235"/>
      <c r="C826" s="235"/>
      <c r="D826" s="234"/>
      <c r="E826" s="234"/>
      <c r="F826" s="235"/>
      <c r="G826" s="235"/>
      <c r="H826" s="235"/>
      <c r="I826" s="235"/>
      <c r="J826" s="235"/>
      <c r="K826" s="236"/>
    </row>
    <row r="827" spans="1:11" ht="13.8">
      <c r="A827" s="235"/>
      <c r="B827" s="235"/>
      <c r="C827" s="235"/>
      <c r="D827" s="234"/>
      <c r="E827" s="234"/>
      <c r="F827" s="235"/>
      <c r="G827" s="235"/>
      <c r="H827" s="235"/>
      <c r="I827" s="235"/>
      <c r="J827" s="235"/>
      <c r="K827" s="236"/>
    </row>
    <row r="828" spans="1:11" ht="13.8">
      <c r="A828" s="235"/>
      <c r="B828" s="235"/>
      <c r="C828" s="235"/>
      <c r="D828" s="234"/>
      <c r="E828" s="234"/>
      <c r="F828" s="235"/>
      <c r="G828" s="235"/>
      <c r="H828" s="235"/>
      <c r="I828" s="235"/>
      <c r="J828" s="235"/>
      <c r="K828" s="236"/>
    </row>
    <row r="829" spans="1:11" ht="13.8">
      <c r="A829" s="235"/>
      <c r="B829" s="235"/>
      <c r="C829" s="235"/>
      <c r="D829" s="234"/>
      <c r="E829" s="234"/>
      <c r="F829" s="235"/>
      <c r="G829" s="235"/>
      <c r="H829" s="235"/>
      <c r="I829" s="235"/>
      <c r="J829" s="235"/>
      <c r="K829" s="236"/>
    </row>
    <row r="830" spans="1:11" ht="13.8">
      <c r="A830" s="235"/>
      <c r="B830" s="235"/>
      <c r="C830" s="235"/>
      <c r="D830" s="234"/>
      <c r="E830" s="234"/>
      <c r="F830" s="235"/>
      <c r="G830" s="235"/>
      <c r="H830" s="235"/>
      <c r="I830" s="235"/>
      <c r="J830" s="235"/>
      <c r="K830" s="236"/>
    </row>
    <row r="831" spans="1:11" ht="13.8">
      <c r="A831" s="235"/>
      <c r="B831" s="235"/>
      <c r="C831" s="235"/>
      <c r="D831" s="234"/>
      <c r="E831" s="234"/>
      <c r="F831" s="235"/>
      <c r="G831" s="235"/>
      <c r="H831" s="235"/>
      <c r="I831" s="235"/>
      <c r="J831" s="235"/>
      <c r="K831" s="236"/>
    </row>
    <row r="832" spans="1:11" ht="13.8">
      <c r="A832" s="235"/>
      <c r="B832" s="235"/>
      <c r="C832" s="235"/>
      <c r="D832" s="234"/>
      <c r="E832" s="234"/>
      <c r="F832" s="235"/>
      <c r="G832" s="235"/>
      <c r="H832" s="235"/>
      <c r="I832" s="235"/>
      <c r="J832" s="235"/>
      <c r="K832" s="236"/>
    </row>
    <row r="833" spans="1:11" ht="13.8">
      <c r="A833" s="235"/>
      <c r="B833" s="235"/>
      <c r="C833" s="235"/>
      <c r="D833" s="234"/>
      <c r="E833" s="234"/>
      <c r="F833" s="235"/>
      <c r="G833" s="235"/>
      <c r="H833" s="235"/>
      <c r="I833" s="235"/>
      <c r="J833" s="235"/>
      <c r="K833" s="236"/>
    </row>
    <row r="834" spans="1:11" ht="13.8">
      <c r="A834" s="235"/>
      <c r="B834" s="235"/>
      <c r="C834" s="235"/>
      <c r="D834" s="234"/>
      <c r="E834" s="234"/>
      <c r="F834" s="235"/>
      <c r="G834" s="235"/>
      <c r="H834" s="235"/>
      <c r="I834" s="235"/>
      <c r="J834" s="235"/>
      <c r="K834" s="236"/>
    </row>
    <row r="835" spans="1:11" ht="13.8">
      <c r="A835" s="235"/>
      <c r="B835" s="235"/>
      <c r="C835" s="235"/>
      <c r="D835" s="234"/>
      <c r="E835" s="234"/>
      <c r="F835" s="235"/>
      <c r="G835" s="235"/>
      <c r="H835" s="235"/>
      <c r="I835" s="235"/>
      <c r="J835" s="235"/>
      <c r="K835" s="236"/>
    </row>
    <row r="836" spans="1:11" ht="13.8">
      <c r="A836" s="235"/>
      <c r="B836" s="235"/>
      <c r="C836" s="235"/>
      <c r="D836" s="234"/>
      <c r="E836" s="234"/>
      <c r="F836" s="235"/>
      <c r="G836" s="235"/>
      <c r="H836" s="235"/>
      <c r="I836" s="235"/>
      <c r="J836" s="235"/>
      <c r="K836" s="236"/>
    </row>
    <row r="837" spans="1:11" ht="13.8">
      <c r="A837" s="235"/>
      <c r="B837" s="235"/>
      <c r="C837" s="235"/>
      <c r="D837" s="234"/>
      <c r="E837" s="234"/>
      <c r="F837" s="235"/>
      <c r="G837" s="235"/>
      <c r="H837" s="235"/>
      <c r="I837" s="235"/>
      <c r="J837" s="235"/>
      <c r="K837" s="236"/>
    </row>
    <row r="838" spans="1:11" ht="13.8">
      <c r="A838" s="235"/>
      <c r="B838" s="235"/>
      <c r="C838" s="235"/>
      <c r="D838" s="234"/>
      <c r="E838" s="234"/>
      <c r="F838" s="235"/>
      <c r="G838" s="235"/>
      <c r="H838" s="235"/>
      <c r="I838" s="235"/>
      <c r="J838" s="235"/>
      <c r="K838" s="236"/>
    </row>
    <row r="839" spans="1:11" ht="13.8">
      <c r="A839" s="235"/>
      <c r="B839" s="235"/>
      <c r="C839" s="235"/>
      <c r="D839" s="234"/>
      <c r="E839" s="234"/>
      <c r="F839" s="235"/>
      <c r="G839" s="235"/>
      <c r="H839" s="235"/>
      <c r="I839" s="235"/>
      <c r="J839" s="235"/>
      <c r="K839" s="236"/>
    </row>
    <row r="840" spans="1:11" ht="13.8">
      <c r="A840" s="235"/>
      <c r="B840" s="235"/>
      <c r="C840" s="235"/>
      <c r="D840" s="234"/>
      <c r="E840" s="234"/>
      <c r="F840" s="235"/>
      <c r="G840" s="235"/>
      <c r="H840" s="235"/>
      <c r="I840" s="235"/>
      <c r="J840" s="235"/>
      <c r="K840" s="236"/>
    </row>
    <row r="841" spans="1:11" ht="13.8">
      <c r="A841" s="235"/>
      <c r="B841" s="235"/>
      <c r="C841" s="235"/>
      <c r="D841" s="234"/>
      <c r="E841" s="234"/>
      <c r="F841" s="235"/>
      <c r="G841" s="235"/>
      <c r="H841" s="235"/>
      <c r="I841" s="235"/>
      <c r="J841" s="235"/>
      <c r="K841" s="236"/>
    </row>
    <row r="842" spans="1:11" ht="13.8">
      <c r="A842" s="235"/>
      <c r="B842" s="235"/>
      <c r="C842" s="235"/>
      <c r="D842" s="234"/>
      <c r="E842" s="234"/>
      <c r="F842" s="235"/>
      <c r="G842" s="235"/>
      <c r="H842" s="235"/>
      <c r="I842" s="235"/>
      <c r="J842" s="235"/>
      <c r="K842" s="236"/>
    </row>
    <row r="843" spans="1:11" ht="13.8">
      <c r="A843" s="235"/>
      <c r="B843" s="235"/>
      <c r="C843" s="235"/>
      <c r="D843" s="234"/>
      <c r="E843" s="234"/>
      <c r="F843" s="235"/>
      <c r="G843" s="235"/>
      <c r="H843" s="235"/>
      <c r="I843" s="235"/>
      <c r="J843" s="235"/>
      <c r="K843" s="236"/>
    </row>
    <row r="844" spans="1:11" ht="13.8">
      <c r="A844" s="235"/>
      <c r="B844" s="235"/>
      <c r="C844" s="235"/>
      <c r="D844" s="234"/>
      <c r="E844" s="234"/>
      <c r="F844" s="235"/>
      <c r="G844" s="235"/>
      <c r="H844" s="235"/>
      <c r="I844" s="235"/>
      <c r="J844" s="235"/>
      <c r="K844" s="236"/>
    </row>
    <row r="845" spans="1:11" ht="13.8">
      <c r="A845" s="235"/>
      <c r="B845" s="235"/>
      <c r="C845" s="235"/>
      <c r="D845" s="234"/>
      <c r="E845" s="234"/>
      <c r="F845" s="235"/>
      <c r="G845" s="235"/>
      <c r="H845" s="235"/>
      <c r="I845" s="235"/>
      <c r="J845" s="235"/>
      <c r="K845" s="236"/>
    </row>
    <row r="846" spans="1:11" ht="13.8">
      <c r="A846" s="235"/>
      <c r="B846" s="235"/>
      <c r="C846" s="235"/>
      <c r="D846" s="234"/>
      <c r="E846" s="234"/>
      <c r="F846" s="235"/>
      <c r="G846" s="235"/>
      <c r="H846" s="235"/>
      <c r="I846" s="235"/>
      <c r="J846" s="235"/>
      <c r="K846" s="236"/>
    </row>
    <row r="847" spans="1:11" ht="13.8">
      <c r="A847" s="235"/>
      <c r="B847" s="235"/>
      <c r="C847" s="235"/>
      <c r="D847" s="234"/>
      <c r="E847" s="234"/>
      <c r="F847" s="235"/>
      <c r="G847" s="235"/>
      <c r="H847" s="235"/>
      <c r="I847" s="235"/>
      <c r="J847" s="235"/>
      <c r="K847" s="236"/>
    </row>
    <row r="848" spans="1:11" ht="13.8">
      <c r="A848" s="235"/>
      <c r="B848" s="235"/>
      <c r="C848" s="235"/>
      <c r="D848" s="234"/>
      <c r="E848" s="234"/>
      <c r="F848" s="235"/>
      <c r="G848" s="235"/>
      <c r="H848" s="235"/>
      <c r="I848" s="235"/>
      <c r="J848" s="235"/>
      <c r="K848" s="236"/>
    </row>
    <row r="849" spans="1:11" ht="13.8">
      <c r="A849" s="235"/>
      <c r="B849" s="235"/>
      <c r="C849" s="235"/>
      <c r="D849" s="234"/>
      <c r="E849" s="234"/>
      <c r="F849" s="235"/>
      <c r="G849" s="235"/>
      <c r="H849" s="235"/>
      <c r="I849" s="235"/>
      <c r="J849" s="235"/>
      <c r="K849" s="236"/>
    </row>
    <row r="850" spans="1:11" ht="13.8">
      <c r="A850" s="235"/>
      <c r="B850" s="235"/>
      <c r="C850" s="235"/>
      <c r="D850" s="234"/>
      <c r="E850" s="234"/>
      <c r="F850" s="235"/>
      <c r="G850" s="235"/>
      <c r="H850" s="235"/>
      <c r="I850" s="235"/>
      <c r="J850" s="235"/>
      <c r="K850" s="236"/>
    </row>
    <row r="851" spans="1:11" ht="13.8">
      <c r="A851" s="235"/>
      <c r="B851" s="235"/>
      <c r="C851" s="235"/>
      <c r="D851" s="234"/>
      <c r="E851" s="234"/>
      <c r="F851" s="235"/>
      <c r="G851" s="235"/>
      <c r="H851" s="235"/>
      <c r="I851" s="235"/>
      <c r="J851" s="235"/>
      <c r="K851" s="236"/>
    </row>
    <row r="852" spans="1:11" ht="13.8">
      <c r="A852" s="235"/>
      <c r="B852" s="235"/>
      <c r="C852" s="235"/>
      <c r="D852" s="234"/>
      <c r="E852" s="234"/>
      <c r="F852" s="235"/>
      <c r="G852" s="235"/>
      <c r="H852" s="235"/>
      <c r="I852" s="235"/>
      <c r="J852" s="235"/>
      <c r="K852" s="236"/>
    </row>
    <row r="853" spans="1:11" ht="13.8">
      <c r="A853" s="235"/>
      <c r="B853" s="235"/>
      <c r="C853" s="235"/>
      <c r="D853" s="234"/>
      <c r="E853" s="234"/>
      <c r="F853" s="235"/>
      <c r="G853" s="235"/>
      <c r="H853" s="235"/>
      <c r="I853" s="235"/>
      <c r="J853" s="235"/>
      <c r="K853" s="236"/>
    </row>
    <row r="854" spans="1:11" ht="13.8">
      <c r="A854" s="235"/>
      <c r="B854" s="235"/>
      <c r="C854" s="235"/>
      <c r="D854" s="234"/>
      <c r="E854" s="234"/>
      <c r="F854" s="235"/>
      <c r="G854" s="235"/>
      <c r="H854" s="235"/>
      <c r="I854" s="235"/>
      <c r="J854" s="235"/>
      <c r="K854" s="236"/>
    </row>
    <row r="855" spans="1:11" ht="13.8">
      <c r="A855" s="235"/>
      <c r="B855" s="235"/>
      <c r="C855" s="235"/>
      <c r="D855" s="234"/>
      <c r="E855" s="234"/>
      <c r="F855" s="235"/>
      <c r="G855" s="235"/>
      <c r="H855" s="235"/>
      <c r="I855" s="235"/>
      <c r="J855" s="235"/>
      <c r="K855" s="236"/>
    </row>
    <row r="856" spans="1:11" ht="13.8">
      <c r="A856" s="235"/>
      <c r="B856" s="235"/>
      <c r="C856" s="235"/>
      <c r="D856" s="234"/>
      <c r="E856" s="234"/>
      <c r="F856" s="235"/>
      <c r="G856" s="235"/>
      <c r="H856" s="235"/>
      <c r="I856" s="235"/>
      <c r="J856" s="235"/>
      <c r="K856" s="236"/>
    </row>
    <row r="857" spans="1:11" ht="13.8">
      <c r="A857" s="235"/>
      <c r="B857" s="235"/>
      <c r="C857" s="235"/>
      <c r="D857" s="234"/>
      <c r="E857" s="234"/>
      <c r="F857" s="235"/>
      <c r="G857" s="235"/>
      <c r="H857" s="235"/>
      <c r="I857" s="235"/>
      <c r="J857" s="235"/>
      <c r="K857" s="236"/>
    </row>
    <row r="858" spans="1:11" ht="13.8">
      <c r="A858" s="235"/>
      <c r="B858" s="235"/>
      <c r="C858" s="235"/>
      <c r="D858" s="234"/>
      <c r="E858" s="234"/>
      <c r="F858" s="235"/>
      <c r="G858" s="235"/>
      <c r="H858" s="235"/>
      <c r="I858" s="235"/>
      <c r="J858" s="235"/>
      <c r="K858" s="236"/>
    </row>
    <row r="859" spans="1:11" ht="13.8">
      <c r="A859" s="235"/>
      <c r="B859" s="235"/>
      <c r="C859" s="235"/>
      <c r="D859" s="234"/>
      <c r="E859" s="234"/>
      <c r="F859" s="235"/>
      <c r="G859" s="235"/>
      <c r="H859" s="235"/>
      <c r="I859" s="235"/>
      <c r="J859" s="235"/>
      <c r="K859" s="236"/>
    </row>
    <row r="860" spans="1:11" ht="13.8">
      <c r="A860" s="235"/>
      <c r="B860" s="235"/>
      <c r="C860" s="235"/>
      <c r="D860" s="234"/>
      <c r="E860" s="234"/>
      <c r="F860" s="235"/>
      <c r="G860" s="235"/>
      <c r="H860" s="235"/>
      <c r="I860" s="235"/>
      <c r="J860" s="235"/>
      <c r="K860" s="236"/>
    </row>
    <row r="861" spans="1:11" ht="13.8">
      <c r="A861" s="235"/>
      <c r="B861" s="235"/>
      <c r="C861" s="235"/>
      <c r="D861" s="234"/>
      <c r="E861" s="234"/>
      <c r="F861" s="235"/>
      <c r="G861" s="235"/>
      <c r="H861" s="235"/>
      <c r="I861" s="235"/>
      <c r="J861" s="235"/>
      <c r="K861" s="236"/>
    </row>
    <row r="862" spans="1:11" ht="13.8">
      <c r="A862" s="235"/>
      <c r="B862" s="235"/>
      <c r="C862" s="235"/>
      <c r="D862" s="234"/>
      <c r="E862" s="234"/>
      <c r="F862" s="235"/>
      <c r="G862" s="235"/>
      <c r="H862" s="235"/>
      <c r="I862" s="235"/>
      <c r="J862" s="235"/>
      <c r="K862" s="236"/>
    </row>
    <row r="863" spans="1:11" ht="13.8">
      <c r="A863" s="235"/>
      <c r="B863" s="235"/>
      <c r="C863" s="235"/>
      <c r="D863" s="234"/>
      <c r="E863" s="234"/>
      <c r="F863" s="235"/>
      <c r="G863" s="235"/>
      <c r="H863" s="235"/>
      <c r="I863" s="235"/>
      <c r="J863" s="235"/>
      <c r="K863" s="236"/>
    </row>
    <row r="864" spans="1:11" ht="13.8">
      <c r="A864" s="235"/>
      <c r="B864" s="235"/>
      <c r="C864" s="235"/>
      <c r="D864" s="234"/>
      <c r="E864" s="234"/>
      <c r="F864" s="235"/>
      <c r="G864" s="235"/>
      <c r="H864" s="235"/>
      <c r="I864" s="235"/>
      <c r="J864" s="235"/>
      <c r="K864" s="236"/>
    </row>
    <row r="865" spans="1:11" ht="13.8">
      <c r="A865" s="235"/>
      <c r="B865" s="235"/>
      <c r="C865" s="235"/>
      <c r="D865" s="234"/>
      <c r="E865" s="234"/>
      <c r="F865" s="235"/>
      <c r="G865" s="235"/>
      <c r="H865" s="235"/>
      <c r="I865" s="235"/>
      <c r="J865" s="235"/>
      <c r="K865" s="236"/>
    </row>
    <row r="866" spans="1:11" ht="13.8">
      <c r="A866" s="235"/>
      <c r="B866" s="235"/>
      <c r="C866" s="235"/>
      <c r="D866" s="234"/>
      <c r="E866" s="234"/>
      <c r="F866" s="235"/>
      <c r="G866" s="235"/>
      <c r="H866" s="235"/>
      <c r="I866" s="235"/>
      <c r="J866" s="235"/>
      <c r="K866" s="236"/>
    </row>
    <row r="867" spans="1:11" ht="13.8">
      <c r="A867" s="235"/>
      <c r="B867" s="235"/>
      <c r="C867" s="235"/>
      <c r="D867" s="234"/>
      <c r="E867" s="234"/>
      <c r="F867" s="235"/>
      <c r="G867" s="235"/>
      <c r="H867" s="235"/>
      <c r="I867" s="235"/>
      <c r="J867" s="235"/>
      <c r="K867" s="236"/>
    </row>
    <row r="868" spans="1:11" ht="13.8">
      <c r="D868" s="263"/>
      <c r="E868" s="263"/>
      <c r="K868" s="264"/>
    </row>
    <row r="869" spans="1:11" ht="13.8">
      <c r="D869" s="263"/>
      <c r="E869" s="263"/>
      <c r="K869" s="264"/>
    </row>
    <row r="870" spans="1:11" ht="13.8">
      <c r="D870" s="263"/>
      <c r="E870" s="263"/>
      <c r="K870" s="264"/>
    </row>
    <row r="871" spans="1:11" ht="13.8">
      <c r="D871" s="263"/>
      <c r="E871" s="263"/>
      <c r="K871" s="264"/>
    </row>
    <row r="872" spans="1:11" ht="13.8">
      <c r="D872" s="263"/>
      <c r="E872" s="263"/>
      <c r="K872" s="264"/>
    </row>
    <row r="873" spans="1:11" ht="13.8">
      <c r="D873" s="263"/>
      <c r="E873" s="263"/>
      <c r="K873" s="264"/>
    </row>
    <row r="874" spans="1:11" ht="13.8">
      <c r="D874" s="263"/>
      <c r="E874" s="263"/>
      <c r="K874" s="264"/>
    </row>
    <row r="875" spans="1:11" ht="13.8">
      <c r="D875" s="263"/>
      <c r="E875" s="263"/>
      <c r="K875" s="264"/>
    </row>
    <row r="876" spans="1:11" ht="13.8">
      <c r="D876" s="263"/>
      <c r="E876" s="263"/>
      <c r="K876" s="264"/>
    </row>
    <row r="877" spans="1:11" ht="13.8">
      <c r="D877" s="263"/>
      <c r="E877" s="263"/>
      <c r="K877" s="264"/>
    </row>
    <row r="878" spans="1:11" ht="13.8">
      <c r="D878" s="263"/>
      <c r="E878" s="263"/>
      <c r="K878" s="264"/>
    </row>
    <row r="879" spans="1:11" ht="13.8">
      <c r="D879" s="263"/>
      <c r="E879" s="263"/>
      <c r="K879" s="264"/>
    </row>
    <row r="880" spans="1:11" ht="13.8">
      <c r="D880" s="263"/>
      <c r="E880" s="263"/>
      <c r="K880" s="264"/>
    </row>
    <row r="881" spans="4:11" ht="13.8">
      <c r="D881" s="263"/>
      <c r="E881" s="263"/>
      <c r="K881" s="264"/>
    </row>
    <row r="882" spans="4:11" ht="13.8">
      <c r="D882" s="263"/>
      <c r="E882" s="263"/>
      <c r="K882" s="264"/>
    </row>
    <row r="883" spans="4:11" ht="13.8">
      <c r="D883" s="263"/>
      <c r="E883" s="263"/>
      <c r="K883" s="264"/>
    </row>
    <row r="884" spans="4:11" ht="13.8">
      <c r="D884" s="263"/>
      <c r="E884" s="263"/>
      <c r="K884" s="264"/>
    </row>
    <row r="885" spans="4:11" ht="13.8">
      <c r="D885" s="263"/>
      <c r="E885" s="263"/>
      <c r="K885" s="264"/>
    </row>
    <row r="886" spans="4:11" ht="13.8">
      <c r="D886" s="263"/>
      <c r="E886" s="263"/>
      <c r="K886" s="264"/>
    </row>
    <row r="887" spans="4:11" ht="13.8">
      <c r="D887" s="263"/>
      <c r="E887" s="263"/>
      <c r="K887" s="264"/>
    </row>
    <row r="888" spans="4:11" ht="13.8">
      <c r="D888" s="263"/>
      <c r="E888" s="263"/>
      <c r="K888" s="264"/>
    </row>
    <row r="889" spans="4:11" ht="13.8">
      <c r="D889" s="263"/>
      <c r="E889" s="263"/>
      <c r="K889" s="264"/>
    </row>
    <row r="890" spans="4:11" ht="13.8">
      <c r="D890" s="263"/>
      <c r="E890" s="263"/>
      <c r="K890" s="264"/>
    </row>
    <row r="891" spans="4:11" ht="13.8">
      <c r="D891" s="263"/>
      <c r="E891" s="263"/>
      <c r="K891" s="264"/>
    </row>
    <row r="892" spans="4:11" ht="13.8">
      <c r="D892" s="263"/>
      <c r="E892" s="263"/>
      <c r="K892" s="264"/>
    </row>
    <row r="893" spans="4:11" ht="13.8">
      <c r="D893" s="263"/>
      <c r="E893" s="263"/>
      <c r="K893" s="264"/>
    </row>
    <row r="894" spans="4:11" ht="13.8">
      <c r="D894" s="263"/>
      <c r="E894" s="263"/>
      <c r="K894" s="264"/>
    </row>
    <row r="895" spans="4:11" ht="13.8">
      <c r="D895" s="263"/>
      <c r="E895" s="263"/>
      <c r="K895" s="264"/>
    </row>
    <row r="896" spans="4:11" ht="13.8">
      <c r="D896" s="263"/>
      <c r="E896" s="263"/>
      <c r="K896" s="264"/>
    </row>
    <row r="897" spans="4:11" ht="13.8">
      <c r="D897" s="263"/>
      <c r="E897" s="263"/>
      <c r="K897" s="264"/>
    </row>
    <row r="898" spans="4:11" ht="13.8">
      <c r="D898" s="263"/>
      <c r="E898" s="263"/>
      <c r="K898" s="264"/>
    </row>
    <row r="899" spans="4:11" ht="13.8">
      <c r="D899" s="263"/>
      <c r="E899" s="263"/>
      <c r="K899" s="264"/>
    </row>
    <row r="900" spans="4:11" ht="13.8">
      <c r="D900" s="263"/>
      <c r="E900" s="263"/>
      <c r="K900" s="264"/>
    </row>
    <row r="901" spans="4:11" ht="13.8">
      <c r="D901" s="263"/>
      <c r="E901" s="263"/>
      <c r="K901" s="264"/>
    </row>
    <row r="902" spans="4:11" ht="13.8">
      <c r="D902" s="263"/>
      <c r="E902" s="263"/>
      <c r="K902" s="264"/>
    </row>
    <row r="903" spans="4:11" ht="13.8">
      <c r="D903" s="263"/>
      <c r="E903" s="263"/>
      <c r="K903" s="264"/>
    </row>
    <row r="904" spans="4:11" ht="13.8">
      <c r="D904" s="263"/>
      <c r="E904" s="263"/>
      <c r="K904" s="264"/>
    </row>
    <row r="905" spans="4:11" ht="13.8">
      <c r="D905" s="263"/>
      <c r="E905" s="263"/>
      <c r="K905" s="264"/>
    </row>
    <row r="906" spans="4:11" ht="13.8">
      <c r="D906" s="263"/>
      <c r="E906" s="263"/>
      <c r="K906" s="264"/>
    </row>
    <row r="907" spans="4:11" ht="13.8">
      <c r="D907" s="263"/>
      <c r="E907" s="263"/>
      <c r="K907" s="264"/>
    </row>
    <row r="908" spans="4:11" ht="13.8">
      <c r="D908" s="263"/>
      <c r="E908" s="263"/>
      <c r="K908" s="264"/>
    </row>
    <row r="909" spans="4:11" ht="13.8">
      <c r="D909" s="263"/>
      <c r="E909" s="263"/>
      <c r="K909" s="264"/>
    </row>
    <row r="910" spans="4:11" ht="13.8">
      <c r="D910" s="263"/>
      <c r="E910" s="263"/>
      <c r="K910" s="264"/>
    </row>
    <row r="911" spans="4:11" ht="13.8">
      <c r="D911" s="263"/>
      <c r="E911" s="263"/>
      <c r="K911" s="264"/>
    </row>
    <row r="912" spans="4:11" ht="13.8">
      <c r="D912" s="263"/>
      <c r="E912" s="263"/>
      <c r="K912" s="264"/>
    </row>
    <row r="913" spans="4:11" ht="13.8">
      <c r="D913" s="263"/>
      <c r="E913" s="263"/>
      <c r="K913" s="264"/>
    </row>
    <row r="914" spans="4:11" ht="13.8">
      <c r="D914" s="263"/>
      <c r="E914" s="263"/>
      <c r="K914" s="264"/>
    </row>
    <row r="915" spans="4:11" ht="13.8">
      <c r="D915" s="263"/>
      <c r="E915" s="263"/>
      <c r="K915" s="264"/>
    </row>
    <row r="916" spans="4:11" ht="13.8">
      <c r="D916" s="263"/>
      <c r="E916" s="263"/>
      <c r="K916" s="264"/>
    </row>
    <row r="917" spans="4:11" ht="13.8">
      <c r="D917" s="263"/>
      <c r="E917" s="263"/>
      <c r="K917" s="264"/>
    </row>
    <row r="918" spans="4:11" ht="13.8">
      <c r="D918" s="263"/>
      <c r="E918" s="263"/>
      <c r="K918" s="264"/>
    </row>
    <row r="919" spans="4:11" ht="13.8">
      <c r="D919" s="263"/>
      <c r="E919" s="263"/>
      <c r="K919" s="264"/>
    </row>
    <row r="920" spans="4:11" ht="13.8">
      <c r="D920" s="263"/>
      <c r="E920" s="263"/>
      <c r="K920" s="264"/>
    </row>
    <row r="921" spans="4:11" ht="13.8">
      <c r="D921" s="263"/>
      <c r="E921" s="263"/>
      <c r="K921" s="264"/>
    </row>
    <row r="922" spans="4:11" ht="13.8">
      <c r="D922" s="263"/>
      <c r="E922" s="263"/>
      <c r="K922" s="264"/>
    </row>
    <row r="923" spans="4:11" ht="13.8">
      <c r="D923" s="263"/>
      <c r="E923" s="263"/>
      <c r="K923" s="264"/>
    </row>
    <row r="924" spans="4:11" ht="13.8">
      <c r="D924" s="263"/>
      <c r="E924" s="263"/>
      <c r="K924" s="264"/>
    </row>
    <row r="925" spans="4:11" ht="13.8">
      <c r="D925" s="263"/>
      <c r="E925" s="263"/>
      <c r="K925" s="264"/>
    </row>
    <row r="926" spans="4:11" ht="13.8">
      <c r="D926" s="263"/>
      <c r="E926" s="263"/>
      <c r="K926" s="264"/>
    </row>
    <row r="927" spans="4:11" ht="13.8">
      <c r="D927" s="263"/>
      <c r="E927" s="263"/>
      <c r="K927" s="264"/>
    </row>
    <row r="928" spans="4:11" ht="13.8">
      <c r="D928" s="263"/>
      <c r="E928" s="263"/>
      <c r="K928" s="264"/>
    </row>
    <row r="929" spans="4:11" ht="13.8">
      <c r="D929" s="263"/>
      <c r="E929" s="263"/>
      <c r="K929" s="264"/>
    </row>
    <row r="930" spans="4:11" ht="13.8">
      <c r="D930" s="263"/>
      <c r="E930" s="263"/>
      <c r="K930" s="264"/>
    </row>
    <row r="931" spans="4:11" ht="13.8">
      <c r="D931" s="263"/>
      <c r="E931" s="263"/>
      <c r="K931" s="264"/>
    </row>
    <row r="932" spans="4:11" ht="13.8">
      <c r="D932" s="263"/>
      <c r="E932" s="263"/>
      <c r="K932" s="264"/>
    </row>
    <row r="933" spans="4:11" ht="13.8">
      <c r="D933" s="263"/>
      <c r="E933" s="263"/>
      <c r="K933" s="264"/>
    </row>
    <row r="934" spans="4:11" ht="13.8">
      <c r="D934" s="263"/>
      <c r="E934" s="263"/>
      <c r="K934" s="264"/>
    </row>
    <row r="935" spans="4:11" ht="13.8">
      <c r="D935" s="263"/>
      <c r="E935" s="263"/>
      <c r="K935" s="264"/>
    </row>
    <row r="936" spans="4:11" ht="13.8">
      <c r="D936" s="263"/>
      <c r="E936" s="263"/>
      <c r="K936" s="264"/>
    </row>
    <row r="937" spans="4:11" ht="13.8">
      <c r="D937" s="263"/>
      <c r="E937" s="263"/>
      <c r="K937" s="264"/>
    </row>
    <row r="938" spans="4:11" ht="13.8">
      <c r="D938" s="263"/>
      <c r="E938" s="263"/>
      <c r="K938" s="264"/>
    </row>
    <row r="939" spans="4:11" ht="13.8">
      <c r="D939" s="263"/>
      <c r="E939" s="263"/>
      <c r="K939" s="264"/>
    </row>
    <row r="940" spans="4:11" ht="13.8">
      <c r="D940" s="263"/>
      <c r="E940" s="263"/>
      <c r="K940" s="264"/>
    </row>
    <row r="941" spans="4:11" ht="13.8">
      <c r="D941" s="263"/>
      <c r="E941" s="263"/>
      <c r="K941" s="264"/>
    </row>
    <row r="942" spans="4:11" ht="13.8">
      <c r="D942" s="263"/>
      <c r="E942" s="263"/>
      <c r="K942" s="264"/>
    </row>
    <row r="943" spans="4:11" ht="13.8">
      <c r="D943" s="263"/>
      <c r="E943" s="263"/>
      <c r="K943" s="264"/>
    </row>
    <row r="944" spans="4:11" ht="13.8">
      <c r="D944" s="263"/>
      <c r="E944" s="263"/>
      <c r="K944" s="264"/>
    </row>
    <row r="945" spans="4:11" ht="13.8">
      <c r="D945" s="263"/>
      <c r="E945" s="263"/>
      <c r="K945" s="264"/>
    </row>
    <row r="946" spans="4:11" ht="13.8">
      <c r="D946" s="263"/>
      <c r="E946" s="263"/>
      <c r="K946" s="264"/>
    </row>
    <row r="947" spans="4:11" ht="13.8">
      <c r="D947" s="263"/>
      <c r="E947" s="263"/>
      <c r="K947" s="264"/>
    </row>
    <row r="948" spans="4:11" ht="13.8">
      <c r="D948" s="263"/>
      <c r="E948" s="263"/>
      <c r="K948" s="264"/>
    </row>
    <row r="949" spans="4:11" ht="13.8">
      <c r="D949" s="263"/>
      <c r="E949" s="263"/>
      <c r="K949" s="264"/>
    </row>
    <row r="950" spans="4:11" ht="13.8">
      <c r="D950" s="263"/>
      <c r="E950" s="263"/>
      <c r="K950" s="264"/>
    </row>
    <row r="951" spans="4:11" ht="13.8">
      <c r="D951" s="263"/>
      <c r="E951" s="263"/>
      <c r="K951" s="264"/>
    </row>
    <row r="952" spans="4:11" ht="13.8">
      <c r="D952" s="263"/>
      <c r="E952" s="263"/>
      <c r="K952" s="264"/>
    </row>
    <row r="953" spans="4:11" ht="13.8">
      <c r="D953" s="263"/>
      <c r="E953" s="263"/>
      <c r="K953" s="264"/>
    </row>
    <row r="954" spans="4:11" ht="13.8">
      <c r="D954" s="263"/>
      <c r="E954" s="263"/>
      <c r="K954" s="264"/>
    </row>
    <row r="955" spans="4:11" ht="13.8">
      <c r="D955" s="263"/>
      <c r="E955" s="263"/>
      <c r="K955" s="264"/>
    </row>
    <row r="956" spans="4:11" ht="13.8">
      <c r="D956" s="263"/>
      <c r="E956" s="263"/>
      <c r="K956" s="264"/>
    </row>
    <row r="957" spans="4:11" ht="13.8">
      <c r="D957" s="263"/>
      <c r="E957" s="263"/>
      <c r="K957" s="264"/>
    </row>
    <row r="958" spans="4:11" ht="13.8">
      <c r="D958" s="263"/>
      <c r="E958" s="263"/>
      <c r="K958" s="264"/>
    </row>
    <row r="959" spans="4:11" ht="13.8">
      <c r="D959" s="263"/>
      <c r="E959" s="263"/>
      <c r="K959" s="264"/>
    </row>
    <row r="960" spans="4:11" ht="13.8">
      <c r="D960" s="263"/>
      <c r="E960" s="263"/>
      <c r="K960" s="264"/>
    </row>
    <row r="961" spans="4:11" ht="13.8">
      <c r="D961" s="263"/>
      <c r="E961" s="263"/>
      <c r="K961" s="264"/>
    </row>
    <row r="962" spans="4:11" ht="13.8">
      <c r="D962" s="263"/>
      <c r="E962" s="263"/>
      <c r="K962" s="264"/>
    </row>
    <row r="963" spans="4:11" ht="13.8">
      <c r="D963" s="263"/>
      <c r="E963" s="263"/>
      <c r="K963" s="264"/>
    </row>
    <row r="964" spans="4:11" ht="13.8">
      <c r="D964" s="263"/>
      <c r="E964" s="263"/>
      <c r="K964" s="264"/>
    </row>
    <row r="965" spans="4:11" ht="13.8">
      <c r="D965" s="263"/>
      <c r="E965" s="263"/>
      <c r="K965" s="264"/>
    </row>
    <row r="966" spans="4:11" ht="13.8">
      <c r="D966" s="263"/>
      <c r="E966" s="263"/>
      <c r="K966" s="264"/>
    </row>
    <row r="967" spans="4:11" ht="13.8">
      <c r="D967" s="263"/>
      <c r="E967" s="263"/>
      <c r="K967" s="264"/>
    </row>
  </sheetData>
  <mergeCells count="7">
    <mergeCell ref="J5:J6"/>
    <mergeCell ref="K5:K6"/>
    <mergeCell ref="B5:B6"/>
    <mergeCell ref="C5:C6"/>
    <mergeCell ref="E5:F5"/>
    <mergeCell ref="G5:G6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F830"/>
  <sheetViews>
    <sheetView workbookViewId="0"/>
  </sheetViews>
  <sheetFormatPr defaultColWidth="12.59765625" defaultRowHeight="15" customHeight="1"/>
  <cols>
    <col min="1" max="1" width="3.3984375" customWidth="1"/>
    <col min="2" max="2" width="41.19921875" customWidth="1"/>
    <col min="3" max="3" width="41.59765625" customWidth="1"/>
    <col min="7" max="7" width="39.09765625" customWidth="1"/>
    <col min="11" max="11" width="27.3984375" customWidth="1"/>
    <col min="18" max="28" width="19.09765625" customWidth="1"/>
    <col min="29" max="30" width="30.69921875" customWidth="1"/>
  </cols>
  <sheetData>
    <row r="1" spans="1:32" ht="13.8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</row>
    <row r="2" spans="1:32" ht="13.8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</row>
    <row r="3" spans="1:32" ht="13.8">
      <c r="A3" s="265"/>
      <c r="B3" s="547" t="s">
        <v>209</v>
      </c>
      <c r="C3" s="547" t="s">
        <v>210</v>
      </c>
      <c r="D3" s="547" t="s">
        <v>211</v>
      </c>
      <c r="E3" s="547" t="s">
        <v>212</v>
      </c>
      <c r="F3" s="547" t="s">
        <v>213</v>
      </c>
      <c r="G3" s="548" t="s">
        <v>214</v>
      </c>
      <c r="H3" s="531"/>
      <c r="I3" s="531"/>
      <c r="J3" s="532"/>
      <c r="K3" s="546" t="s">
        <v>215</v>
      </c>
      <c r="L3" s="531"/>
      <c r="M3" s="531"/>
      <c r="N3" s="532"/>
      <c r="O3" s="549" t="s">
        <v>216</v>
      </c>
      <c r="P3" s="544" t="s">
        <v>217</v>
      </c>
      <c r="Q3" s="532"/>
      <c r="R3" s="266"/>
      <c r="S3" s="266"/>
      <c r="T3" s="545" t="s">
        <v>218</v>
      </c>
      <c r="U3" s="531"/>
      <c r="V3" s="531"/>
      <c r="W3" s="531"/>
      <c r="X3" s="531"/>
      <c r="Y3" s="531"/>
      <c r="Z3" s="531"/>
      <c r="AA3" s="531"/>
      <c r="AB3" s="532"/>
    </row>
    <row r="4" spans="1:32" ht="27.6">
      <c r="A4" s="265"/>
      <c r="B4" s="540"/>
      <c r="C4" s="540"/>
      <c r="D4" s="540"/>
      <c r="E4" s="540"/>
      <c r="F4" s="540"/>
      <c r="G4" s="267" t="s">
        <v>219</v>
      </c>
      <c r="H4" s="267" t="s">
        <v>220</v>
      </c>
      <c r="I4" s="267" t="s">
        <v>221</v>
      </c>
      <c r="J4" s="267" t="s">
        <v>222</v>
      </c>
      <c r="K4" s="268" t="s">
        <v>219</v>
      </c>
      <c r="L4" s="268" t="s">
        <v>220</v>
      </c>
      <c r="M4" s="268" t="s">
        <v>221</v>
      </c>
      <c r="N4" s="268" t="s">
        <v>222</v>
      </c>
      <c r="O4" s="540"/>
      <c r="P4" s="269" t="s">
        <v>223</v>
      </c>
      <c r="Q4" s="270" t="s">
        <v>224</v>
      </c>
      <c r="R4" s="271" t="s">
        <v>225</v>
      </c>
      <c r="S4" s="272" t="s">
        <v>226</v>
      </c>
      <c r="T4" s="271" t="s">
        <v>227</v>
      </c>
      <c r="U4" s="271" t="s">
        <v>228</v>
      </c>
      <c r="V4" s="271" t="s">
        <v>229</v>
      </c>
      <c r="W4" s="272" t="s">
        <v>230</v>
      </c>
      <c r="X4" s="271" t="s">
        <v>231</v>
      </c>
      <c r="Y4" s="271" t="s">
        <v>232</v>
      </c>
      <c r="Z4" s="271" t="s">
        <v>233</v>
      </c>
      <c r="AA4" s="271" t="s">
        <v>234</v>
      </c>
      <c r="AB4" s="272" t="s">
        <v>235</v>
      </c>
    </row>
    <row r="5" spans="1:32" ht="15" customHeight="1">
      <c r="A5" s="265"/>
      <c r="B5" s="273" t="s">
        <v>236</v>
      </c>
      <c r="C5" s="274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6"/>
      <c r="T5" s="275"/>
      <c r="U5" s="275"/>
      <c r="V5" s="275"/>
      <c r="W5" s="276"/>
      <c r="X5" s="275"/>
      <c r="Y5" s="275"/>
      <c r="Z5" s="275"/>
      <c r="AA5" s="275"/>
      <c r="AB5" s="277"/>
    </row>
    <row r="6" spans="1:32" ht="13.8">
      <c r="A6" s="265"/>
      <c r="B6" s="275" t="s">
        <v>237</v>
      </c>
      <c r="C6" s="274"/>
      <c r="D6" s="278"/>
      <c r="E6" s="279"/>
      <c r="F6" s="279"/>
      <c r="G6" s="279"/>
      <c r="H6" s="280"/>
      <c r="I6" s="279"/>
      <c r="J6" s="279"/>
      <c r="K6" s="279"/>
      <c r="L6" s="279"/>
      <c r="M6" s="279"/>
      <c r="N6" s="279"/>
      <c r="O6" s="279"/>
      <c r="P6" s="279"/>
      <c r="Q6" s="275"/>
      <c r="R6" s="275"/>
      <c r="S6" s="276"/>
      <c r="T6" s="275"/>
      <c r="U6" s="275"/>
      <c r="V6" s="275"/>
      <c r="W6" s="276"/>
      <c r="X6" s="275"/>
      <c r="Y6" s="275"/>
      <c r="Z6" s="275"/>
      <c r="AA6" s="275"/>
      <c r="AB6" s="277"/>
    </row>
    <row r="7" spans="1:32" ht="13.8">
      <c r="A7" s="265"/>
      <c r="B7" s="281" t="s">
        <v>238</v>
      </c>
      <c r="C7" s="282" t="s">
        <v>239</v>
      </c>
      <c r="D7" s="283">
        <v>4</v>
      </c>
      <c r="E7" s="284">
        <v>12</v>
      </c>
      <c r="F7" s="284"/>
      <c r="G7" s="281" t="s">
        <v>240</v>
      </c>
      <c r="H7" s="285">
        <v>45785</v>
      </c>
      <c r="I7" s="286">
        <v>4</v>
      </c>
      <c r="J7" s="287">
        <v>1</v>
      </c>
      <c r="K7" s="286"/>
      <c r="L7" s="285"/>
      <c r="M7" s="286"/>
      <c r="N7" s="281"/>
      <c r="O7" s="284">
        <v>1</v>
      </c>
      <c r="P7" s="284">
        <f t="shared" ref="P7:P21" si="0">D7*E7*J7*O7</f>
        <v>48</v>
      </c>
      <c r="Q7" s="288">
        <f t="shared" ref="Q7:Q21" si="1">D7*F7*N7*O7</f>
        <v>0</v>
      </c>
      <c r="R7" s="288">
        <f>D7</f>
        <v>4</v>
      </c>
      <c r="S7" s="289">
        <f>D7</f>
        <v>4</v>
      </c>
      <c r="T7" s="288"/>
      <c r="U7" s="288"/>
      <c r="V7" s="288"/>
      <c r="W7" s="289"/>
      <c r="X7" s="288"/>
      <c r="Y7" s="288"/>
      <c r="Z7" s="288"/>
      <c r="AA7" s="288"/>
      <c r="AB7" s="277"/>
    </row>
    <row r="8" spans="1:32" ht="13.8">
      <c r="A8" s="265"/>
      <c r="B8" s="281" t="s">
        <v>241</v>
      </c>
      <c r="C8" s="282" t="s">
        <v>239</v>
      </c>
      <c r="D8" s="290">
        <v>27</v>
      </c>
      <c r="E8" s="288">
        <v>19</v>
      </c>
      <c r="F8" s="288"/>
      <c r="G8" s="281" t="s">
        <v>240</v>
      </c>
      <c r="H8" s="285">
        <v>45785</v>
      </c>
      <c r="I8" s="281">
        <v>4</v>
      </c>
      <c r="J8" s="291">
        <v>1</v>
      </c>
      <c r="K8" s="281"/>
      <c r="L8" s="285"/>
      <c r="M8" s="281"/>
      <c r="N8" s="281"/>
      <c r="O8" s="288">
        <v>1</v>
      </c>
      <c r="P8" s="288">
        <f t="shared" si="0"/>
        <v>513</v>
      </c>
      <c r="Q8" s="288">
        <f t="shared" si="1"/>
        <v>0</v>
      </c>
      <c r="S8" s="289"/>
      <c r="T8" s="288">
        <f>D8</f>
        <v>27</v>
      </c>
      <c r="U8" s="288"/>
      <c r="V8" s="288"/>
      <c r="W8" s="289"/>
      <c r="X8" s="288"/>
      <c r="Y8" s="288"/>
      <c r="Z8" s="288"/>
      <c r="AA8" s="288"/>
      <c r="AB8" s="277"/>
    </row>
    <row r="9" spans="1:32" ht="13.8">
      <c r="A9" s="265"/>
      <c r="B9" s="281" t="s">
        <v>242</v>
      </c>
      <c r="C9" s="282" t="s">
        <v>239</v>
      </c>
      <c r="D9" s="290">
        <v>32</v>
      </c>
      <c r="E9" s="288">
        <v>12</v>
      </c>
      <c r="F9" s="288"/>
      <c r="G9" s="281" t="s">
        <v>240</v>
      </c>
      <c r="H9" s="285">
        <v>45785</v>
      </c>
      <c r="I9" s="281">
        <v>4</v>
      </c>
      <c r="J9" s="291">
        <v>1</v>
      </c>
      <c r="K9" s="281"/>
      <c r="L9" s="292"/>
      <c r="M9" s="281"/>
      <c r="N9" s="281"/>
      <c r="O9" s="288">
        <v>1</v>
      </c>
      <c r="P9" s="288">
        <f t="shared" si="0"/>
        <v>384</v>
      </c>
      <c r="Q9" s="288">
        <f t="shared" si="1"/>
        <v>0</v>
      </c>
      <c r="R9" s="288"/>
      <c r="S9" s="277"/>
      <c r="T9" s="293"/>
      <c r="U9" s="288"/>
      <c r="V9" s="288">
        <f t="shared" ref="V9:V10" si="2">D9</f>
        <v>32</v>
      </c>
      <c r="W9" s="289"/>
      <c r="X9" s="288"/>
      <c r="Y9" s="288"/>
      <c r="Z9" s="288"/>
      <c r="AA9" s="288"/>
      <c r="AB9" s="277"/>
    </row>
    <row r="10" spans="1:32" ht="13.8">
      <c r="A10" s="265"/>
      <c r="B10" s="281" t="s">
        <v>243</v>
      </c>
      <c r="C10" s="282" t="s">
        <v>239</v>
      </c>
      <c r="D10" s="290">
        <v>18</v>
      </c>
      <c r="E10" s="288">
        <v>12</v>
      </c>
      <c r="F10" s="288"/>
      <c r="G10" s="281" t="s">
        <v>240</v>
      </c>
      <c r="H10" s="285">
        <v>45785</v>
      </c>
      <c r="I10" s="281">
        <v>4</v>
      </c>
      <c r="J10" s="291">
        <v>1</v>
      </c>
      <c r="K10" s="281"/>
      <c r="L10" s="281"/>
      <c r="M10" s="281"/>
      <c r="N10" s="281"/>
      <c r="O10" s="288">
        <v>1</v>
      </c>
      <c r="P10" s="288">
        <f t="shared" si="0"/>
        <v>216</v>
      </c>
      <c r="Q10" s="288">
        <f t="shared" si="1"/>
        <v>0</v>
      </c>
      <c r="R10" s="288"/>
      <c r="S10" s="289"/>
      <c r="T10" s="288"/>
      <c r="U10" s="288"/>
      <c r="V10" s="288">
        <f t="shared" si="2"/>
        <v>18</v>
      </c>
      <c r="W10" s="289">
        <f>D10</f>
        <v>18</v>
      </c>
      <c r="X10" s="288"/>
      <c r="Y10" s="288"/>
      <c r="Z10" s="288"/>
      <c r="AA10" s="288"/>
      <c r="AB10" s="277"/>
    </row>
    <row r="11" spans="1:32" ht="13.8">
      <c r="A11" s="265"/>
      <c r="B11" s="281" t="s">
        <v>244</v>
      </c>
      <c r="C11" s="282" t="s">
        <v>239</v>
      </c>
      <c r="D11" s="290">
        <v>17</v>
      </c>
      <c r="E11" s="288">
        <v>19</v>
      </c>
      <c r="F11" s="288">
        <v>12</v>
      </c>
      <c r="G11" s="281" t="s">
        <v>240</v>
      </c>
      <c r="H11" s="285">
        <v>45785</v>
      </c>
      <c r="I11" s="281">
        <v>4</v>
      </c>
      <c r="J11" s="291">
        <v>1</v>
      </c>
      <c r="K11" s="281" t="s">
        <v>240</v>
      </c>
      <c r="L11" s="285">
        <v>45785</v>
      </c>
      <c r="M11" s="281">
        <v>4</v>
      </c>
      <c r="N11" s="291">
        <v>1</v>
      </c>
      <c r="O11" s="288">
        <v>1</v>
      </c>
      <c r="P11" s="288">
        <f t="shared" si="0"/>
        <v>323</v>
      </c>
      <c r="Q11" s="288">
        <f t="shared" si="1"/>
        <v>204</v>
      </c>
      <c r="R11" s="288"/>
      <c r="S11" s="289"/>
      <c r="T11" s="288">
        <f>D11</f>
        <v>17</v>
      </c>
      <c r="U11" s="288"/>
      <c r="V11" s="288"/>
      <c r="W11" s="289"/>
      <c r="X11" s="288"/>
      <c r="Y11" s="288"/>
      <c r="Z11" s="288"/>
      <c r="AA11" s="288"/>
      <c r="AB11" s="277"/>
    </row>
    <row r="12" spans="1:32" ht="13.8">
      <c r="A12" s="265"/>
      <c r="B12" s="281" t="s">
        <v>245</v>
      </c>
      <c r="C12" s="282" t="s">
        <v>239</v>
      </c>
      <c r="D12" s="290">
        <v>3</v>
      </c>
      <c r="E12" s="288">
        <v>2</v>
      </c>
      <c r="F12" s="288">
        <v>2</v>
      </c>
      <c r="G12" s="281" t="s">
        <v>240</v>
      </c>
      <c r="H12" s="285">
        <v>45785</v>
      </c>
      <c r="I12" s="281">
        <v>4</v>
      </c>
      <c r="J12" s="291">
        <v>1</v>
      </c>
      <c r="K12" s="281" t="s">
        <v>240</v>
      </c>
      <c r="L12" s="285">
        <v>45785</v>
      </c>
      <c r="M12" s="281">
        <v>4</v>
      </c>
      <c r="N12" s="291">
        <v>1</v>
      </c>
      <c r="O12" s="288">
        <v>1</v>
      </c>
      <c r="P12" s="288">
        <f t="shared" si="0"/>
        <v>6</v>
      </c>
      <c r="Q12" s="288">
        <f t="shared" si="1"/>
        <v>6</v>
      </c>
      <c r="R12" s="288"/>
      <c r="S12" s="277"/>
      <c r="T12" s="293"/>
      <c r="U12" s="288"/>
      <c r="V12" s="288"/>
      <c r="W12" s="289"/>
      <c r="X12" s="288">
        <f>D12</f>
        <v>3</v>
      </c>
      <c r="Y12" s="288"/>
      <c r="Z12" s="288"/>
      <c r="AA12" s="288"/>
      <c r="AB12" s="277"/>
    </row>
    <row r="13" spans="1:32" ht="13.8">
      <c r="A13" s="265"/>
      <c r="B13" s="281" t="s">
        <v>246</v>
      </c>
      <c r="C13" s="282" t="s">
        <v>239</v>
      </c>
      <c r="D13" s="290">
        <v>44</v>
      </c>
      <c r="E13" s="288">
        <v>12</v>
      </c>
      <c r="F13" s="288">
        <v>12</v>
      </c>
      <c r="G13" s="281" t="s">
        <v>240</v>
      </c>
      <c r="H13" s="285">
        <v>45785</v>
      </c>
      <c r="I13" s="281">
        <v>4</v>
      </c>
      <c r="J13" s="291">
        <v>1</v>
      </c>
      <c r="K13" s="281" t="s">
        <v>240</v>
      </c>
      <c r="L13" s="285">
        <v>45785</v>
      </c>
      <c r="M13" s="281">
        <v>4</v>
      </c>
      <c r="N13" s="291">
        <v>1</v>
      </c>
      <c r="O13" s="288">
        <v>1</v>
      </c>
      <c r="P13" s="288">
        <f t="shared" si="0"/>
        <v>528</v>
      </c>
      <c r="Q13" s="288">
        <f t="shared" si="1"/>
        <v>528</v>
      </c>
      <c r="R13" s="288"/>
      <c r="S13" s="289"/>
      <c r="T13" s="288"/>
      <c r="U13" s="288"/>
      <c r="V13" s="288">
        <f>D13</f>
        <v>44</v>
      </c>
      <c r="W13" s="289">
        <f t="shared" ref="W13:W14" si="3">D13</f>
        <v>44</v>
      </c>
      <c r="X13" s="288"/>
      <c r="Y13" s="288"/>
      <c r="Z13" s="288"/>
      <c r="AA13" s="288"/>
      <c r="AB13" s="277"/>
    </row>
    <row r="14" spans="1:32" ht="13.8">
      <c r="A14" s="265"/>
      <c r="B14" s="281" t="s">
        <v>247</v>
      </c>
      <c r="C14" s="282" t="s">
        <v>239</v>
      </c>
      <c r="D14" s="283">
        <v>7</v>
      </c>
      <c r="E14" s="284">
        <v>14</v>
      </c>
      <c r="F14" s="284">
        <v>14</v>
      </c>
      <c r="G14" s="281" t="s">
        <v>240</v>
      </c>
      <c r="H14" s="285">
        <v>45785</v>
      </c>
      <c r="I14" s="286">
        <v>4</v>
      </c>
      <c r="J14" s="287">
        <v>1</v>
      </c>
      <c r="K14" s="281" t="s">
        <v>240</v>
      </c>
      <c r="L14" s="285">
        <v>45785</v>
      </c>
      <c r="M14" s="281">
        <v>4</v>
      </c>
      <c r="N14" s="291">
        <v>1</v>
      </c>
      <c r="O14" s="284">
        <v>1</v>
      </c>
      <c r="P14" s="284">
        <f t="shared" si="0"/>
        <v>98</v>
      </c>
      <c r="Q14" s="288">
        <f t="shared" si="1"/>
        <v>98</v>
      </c>
      <c r="R14" s="288"/>
      <c r="S14" s="289"/>
      <c r="T14" s="288"/>
      <c r="U14" s="288">
        <f>D14</f>
        <v>7</v>
      </c>
      <c r="V14" s="293"/>
      <c r="W14" s="289">
        <f t="shared" si="3"/>
        <v>7</v>
      </c>
      <c r="X14" s="288"/>
      <c r="Y14" s="288"/>
      <c r="Z14" s="288"/>
      <c r="AA14" s="288"/>
      <c r="AB14" s="277"/>
    </row>
    <row r="15" spans="1:32" ht="13.8">
      <c r="A15" s="265"/>
      <c r="B15" s="281" t="s">
        <v>248</v>
      </c>
      <c r="C15" s="282" t="s">
        <v>239</v>
      </c>
      <c r="D15" s="283">
        <v>3</v>
      </c>
      <c r="E15" s="284">
        <v>19</v>
      </c>
      <c r="F15" s="284">
        <v>12</v>
      </c>
      <c r="G15" s="281" t="s">
        <v>240</v>
      </c>
      <c r="H15" s="285">
        <v>45785</v>
      </c>
      <c r="I15" s="286">
        <v>4</v>
      </c>
      <c r="J15" s="287">
        <v>1</v>
      </c>
      <c r="K15" s="281" t="s">
        <v>240</v>
      </c>
      <c r="L15" s="285">
        <v>45785</v>
      </c>
      <c r="M15" s="281">
        <v>4</v>
      </c>
      <c r="N15" s="291">
        <v>1</v>
      </c>
      <c r="O15" s="284">
        <v>1</v>
      </c>
      <c r="P15" s="284">
        <f t="shared" si="0"/>
        <v>57</v>
      </c>
      <c r="Q15" s="288">
        <f t="shared" si="1"/>
        <v>36</v>
      </c>
      <c r="R15" s="288"/>
      <c r="S15" s="289"/>
      <c r="T15" s="288"/>
      <c r="V15" s="288"/>
      <c r="W15" s="289"/>
      <c r="X15" s="288"/>
      <c r="Y15" s="288">
        <f>D15</f>
        <v>3</v>
      </c>
      <c r="Z15" s="288"/>
      <c r="AA15" s="288"/>
      <c r="AB15" s="277"/>
    </row>
    <row r="16" spans="1:32" ht="13.8">
      <c r="A16" s="265"/>
      <c r="B16" s="281" t="s">
        <v>249</v>
      </c>
      <c r="C16" s="282" t="s">
        <v>239</v>
      </c>
      <c r="D16" s="290">
        <v>9</v>
      </c>
      <c r="E16" s="288">
        <v>14</v>
      </c>
      <c r="F16" s="288">
        <v>14</v>
      </c>
      <c r="G16" s="281" t="s">
        <v>240</v>
      </c>
      <c r="H16" s="285">
        <v>45785</v>
      </c>
      <c r="I16" s="281">
        <v>4</v>
      </c>
      <c r="J16" s="291">
        <v>1</v>
      </c>
      <c r="K16" s="281" t="s">
        <v>240</v>
      </c>
      <c r="L16" s="285">
        <v>45785</v>
      </c>
      <c r="M16" s="281">
        <v>4</v>
      </c>
      <c r="N16" s="291">
        <v>1</v>
      </c>
      <c r="O16" s="288">
        <v>1</v>
      </c>
      <c r="P16" s="288">
        <f t="shared" si="0"/>
        <v>126</v>
      </c>
      <c r="Q16" s="288">
        <f t="shared" si="1"/>
        <v>126</v>
      </c>
      <c r="R16" s="288"/>
      <c r="S16" s="289"/>
      <c r="T16" s="288"/>
      <c r="U16" s="288"/>
      <c r="V16" s="288"/>
      <c r="W16" s="289"/>
      <c r="X16" s="288"/>
      <c r="Y16" s="293"/>
      <c r="Z16" s="288">
        <f>D16</f>
        <v>9</v>
      </c>
      <c r="AA16" s="288"/>
      <c r="AB16" s="277">
        <f t="shared" ref="AB16:AB18" si="4">D16</f>
        <v>9</v>
      </c>
    </row>
    <row r="17" spans="1:32" ht="13.8">
      <c r="A17" s="265"/>
      <c r="B17" s="281" t="s">
        <v>249</v>
      </c>
      <c r="C17" s="282" t="s">
        <v>239</v>
      </c>
      <c r="D17" s="290">
        <v>33</v>
      </c>
      <c r="E17" s="288">
        <v>12</v>
      </c>
      <c r="F17" s="288">
        <v>12</v>
      </c>
      <c r="G17" s="281" t="s">
        <v>240</v>
      </c>
      <c r="H17" s="285">
        <v>45785</v>
      </c>
      <c r="I17" s="281">
        <v>4</v>
      </c>
      <c r="J17" s="291">
        <v>1</v>
      </c>
      <c r="K17" s="281" t="s">
        <v>240</v>
      </c>
      <c r="L17" s="285">
        <v>45785</v>
      </c>
      <c r="M17" s="281">
        <v>4</v>
      </c>
      <c r="N17" s="291">
        <v>1</v>
      </c>
      <c r="O17" s="288">
        <v>1</v>
      </c>
      <c r="P17" s="288">
        <f t="shared" si="0"/>
        <v>396</v>
      </c>
      <c r="Q17" s="288">
        <f t="shared" si="1"/>
        <v>396</v>
      </c>
      <c r="R17" s="288"/>
      <c r="S17" s="289"/>
      <c r="T17" s="288"/>
      <c r="U17" s="288"/>
      <c r="V17" s="288"/>
      <c r="W17" s="289"/>
      <c r="X17" s="288"/>
      <c r="Y17" s="293"/>
      <c r="Z17" s="288"/>
      <c r="AA17" s="288">
        <f t="shared" ref="AA17:AA18" si="5">D17</f>
        <v>33</v>
      </c>
      <c r="AB17" s="277">
        <f t="shared" si="4"/>
        <v>33</v>
      </c>
    </row>
    <row r="18" spans="1:32" ht="13.8">
      <c r="A18" s="265"/>
      <c r="B18" s="281" t="s">
        <v>250</v>
      </c>
      <c r="C18" s="282" t="s">
        <v>239</v>
      </c>
      <c r="D18" s="290">
        <v>10</v>
      </c>
      <c r="E18" s="288">
        <v>12</v>
      </c>
      <c r="F18" s="288"/>
      <c r="G18" s="281" t="s">
        <v>240</v>
      </c>
      <c r="H18" s="285">
        <v>45785</v>
      </c>
      <c r="I18" s="281">
        <v>4</v>
      </c>
      <c r="J18" s="291">
        <v>1</v>
      </c>
      <c r="K18" s="281"/>
      <c r="L18" s="292"/>
      <c r="M18" s="281"/>
      <c r="N18" s="281"/>
      <c r="O18" s="288">
        <v>1</v>
      </c>
      <c r="P18" s="288">
        <f t="shared" si="0"/>
        <v>120</v>
      </c>
      <c r="Q18" s="288">
        <f t="shared" si="1"/>
        <v>0</v>
      </c>
      <c r="R18" s="288"/>
      <c r="S18" s="289"/>
      <c r="T18" s="288"/>
      <c r="U18" s="288"/>
      <c r="V18" s="288"/>
      <c r="W18" s="289"/>
      <c r="X18" s="288"/>
      <c r="Y18" s="288"/>
      <c r="Z18" s="288"/>
      <c r="AA18" s="288">
        <f t="shared" si="5"/>
        <v>10</v>
      </c>
      <c r="AB18" s="277">
        <f t="shared" si="4"/>
        <v>10</v>
      </c>
    </row>
    <row r="19" spans="1:32" ht="13.8">
      <c r="A19" s="265"/>
      <c r="B19" s="281" t="s">
        <v>251</v>
      </c>
      <c r="C19" s="282" t="s">
        <v>252</v>
      </c>
      <c r="D19" s="290">
        <v>16</v>
      </c>
      <c r="E19" s="288">
        <v>14</v>
      </c>
      <c r="F19" s="288"/>
      <c r="G19" s="281" t="s">
        <v>253</v>
      </c>
      <c r="H19" s="285">
        <v>45785</v>
      </c>
      <c r="I19" s="281">
        <v>4</v>
      </c>
      <c r="J19" s="291">
        <v>1</v>
      </c>
      <c r="K19" s="281"/>
      <c r="L19" s="281"/>
      <c r="M19" s="281"/>
      <c r="N19" s="281"/>
      <c r="O19" s="288">
        <v>1</v>
      </c>
      <c r="P19" s="288">
        <f t="shared" si="0"/>
        <v>224</v>
      </c>
      <c r="Q19" s="288">
        <f t="shared" si="1"/>
        <v>0</v>
      </c>
      <c r="R19" s="288"/>
      <c r="S19" s="289"/>
      <c r="T19" s="288"/>
      <c r="U19" s="288"/>
      <c r="V19" s="288"/>
      <c r="W19" s="289"/>
      <c r="X19" s="288"/>
      <c r="Y19" s="288"/>
      <c r="Z19" s="288"/>
      <c r="AA19" s="288"/>
      <c r="AB19" s="277"/>
    </row>
    <row r="20" spans="1:32" ht="13.8">
      <c r="A20" s="265"/>
      <c r="B20" s="281" t="s">
        <v>251</v>
      </c>
      <c r="C20" s="282" t="s">
        <v>252</v>
      </c>
      <c r="D20" s="288">
        <v>105</v>
      </c>
      <c r="E20" s="288">
        <v>12</v>
      </c>
      <c r="F20" s="288"/>
      <c r="G20" s="281" t="s">
        <v>253</v>
      </c>
      <c r="H20" s="285">
        <v>45785</v>
      </c>
      <c r="I20" s="281">
        <v>4</v>
      </c>
      <c r="J20" s="291">
        <v>1</v>
      </c>
      <c r="K20" s="281"/>
      <c r="L20" s="281"/>
      <c r="M20" s="281"/>
      <c r="N20" s="281"/>
      <c r="O20" s="288">
        <v>1</v>
      </c>
      <c r="P20" s="288">
        <f t="shared" si="0"/>
        <v>1260</v>
      </c>
      <c r="Q20" s="288">
        <f t="shared" si="1"/>
        <v>0</v>
      </c>
      <c r="R20" s="288"/>
      <c r="S20" s="289"/>
      <c r="T20" s="288"/>
      <c r="U20" s="288"/>
      <c r="V20" s="288"/>
      <c r="W20" s="289"/>
      <c r="X20" s="288"/>
      <c r="Y20" s="288"/>
      <c r="Z20" s="288"/>
      <c r="AA20" s="288"/>
      <c r="AB20" s="277"/>
    </row>
    <row r="21" spans="1:32" ht="13.8">
      <c r="A21" s="265"/>
      <c r="B21" s="281" t="s">
        <v>254</v>
      </c>
      <c r="C21" s="294" t="s">
        <v>255</v>
      </c>
      <c r="D21" s="288">
        <v>65</v>
      </c>
      <c r="E21" s="288">
        <v>12</v>
      </c>
      <c r="F21" s="288"/>
      <c r="G21" s="281" t="s">
        <v>256</v>
      </c>
      <c r="H21" s="285">
        <v>45661</v>
      </c>
      <c r="I21" s="281"/>
      <c r="J21" s="291">
        <v>1</v>
      </c>
      <c r="K21" s="281"/>
      <c r="L21" s="281"/>
      <c r="M21" s="281"/>
      <c r="N21" s="281"/>
      <c r="O21" s="295">
        <v>1</v>
      </c>
      <c r="P21" s="288">
        <f t="shared" si="0"/>
        <v>780</v>
      </c>
      <c r="Q21" s="288">
        <f t="shared" si="1"/>
        <v>0</v>
      </c>
      <c r="R21" s="281"/>
      <c r="S21" s="296"/>
      <c r="T21" s="281"/>
      <c r="U21" s="281"/>
      <c r="V21" s="281"/>
      <c r="W21" s="296"/>
      <c r="X21" s="281"/>
      <c r="Y21" s="281"/>
      <c r="Z21" s="281"/>
      <c r="AA21" s="281"/>
      <c r="AB21" s="296"/>
    </row>
    <row r="22" spans="1:32" ht="13.8">
      <c r="A22" s="265"/>
      <c r="B22" s="281"/>
      <c r="C22" s="294"/>
      <c r="D22" s="288"/>
      <c r="E22" s="288"/>
      <c r="F22" s="288"/>
      <c r="G22" s="281"/>
      <c r="H22" s="292"/>
      <c r="I22" s="281"/>
      <c r="J22" s="281"/>
      <c r="K22" s="281"/>
      <c r="L22" s="281"/>
      <c r="M22" s="281"/>
      <c r="N22" s="281"/>
      <c r="O22" s="295" t="str">
        <f>G7</f>
        <v>5/8" Gypsum Board Type X</v>
      </c>
      <c r="P22" s="297">
        <f t="shared" ref="P22:P24" si="6">SUMIF($G$7:$G$21,O22,$P$7:$P$21)</f>
        <v>2815</v>
      </c>
      <c r="Q22" s="297">
        <f t="shared" ref="Q22:Q24" si="7">SUMIF($K$7:$K$21,O22,$Q$7:$Q$21)</f>
        <v>1394</v>
      </c>
      <c r="R22" s="298">
        <f t="shared" ref="R22:AB22" si="8">SUM(R7:R20)</f>
        <v>4</v>
      </c>
      <c r="S22" s="299">
        <f t="shared" si="8"/>
        <v>4</v>
      </c>
      <c r="T22" s="298">
        <f t="shared" si="8"/>
        <v>44</v>
      </c>
      <c r="U22" s="298">
        <f t="shared" si="8"/>
        <v>7</v>
      </c>
      <c r="V22" s="298">
        <f t="shared" si="8"/>
        <v>94</v>
      </c>
      <c r="W22" s="299">
        <f t="shared" si="8"/>
        <v>69</v>
      </c>
      <c r="X22" s="298">
        <f t="shared" si="8"/>
        <v>3</v>
      </c>
      <c r="Y22" s="298">
        <f t="shared" si="8"/>
        <v>3</v>
      </c>
      <c r="Z22" s="298">
        <f t="shared" si="8"/>
        <v>9</v>
      </c>
      <c r="AA22" s="298">
        <f t="shared" si="8"/>
        <v>43</v>
      </c>
      <c r="AB22" s="299">
        <f t="shared" si="8"/>
        <v>52</v>
      </c>
    </row>
    <row r="23" spans="1:32" ht="13.8">
      <c r="A23" s="265"/>
      <c r="B23" s="281"/>
      <c r="C23" s="294"/>
      <c r="D23" s="300"/>
      <c r="E23" s="300"/>
      <c r="F23" s="300"/>
      <c r="G23" s="281"/>
      <c r="H23" s="281"/>
      <c r="I23" s="281"/>
      <c r="J23" s="301"/>
      <c r="K23" s="281"/>
      <c r="L23" s="281"/>
      <c r="M23" s="281"/>
      <c r="N23" s="281"/>
      <c r="O23" s="295" t="str">
        <f>G19</f>
        <v>5/8" Gypsum Board Type X MR</v>
      </c>
      <c r="P23" s="297">
        <f t="shared" si="6"/>
        <v>1484</v>
      </c>
      <c r="Q23" s="297">
        <f t="shared" si="7"/>
        <v>0</v>
      </c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65"/>
      <c r="AF23" s="265"/>
    </row>
    <row r="24" spans="1:32" ht="13.8">
      <c r="A24" s="265"/>
      <c r="B24" s="281"/>
      <c r="C24" s="294"/>
      <c r="D24" s="300"/>
      <c r="E24" s="300"/>
      <c r="F24" s="300"/>
      <c r="G24" s="281"/>
      <c r="H24" s="281"/>
      <c r="I24" s="281"/>
      <c r="J24" s="301"/>
      <c r="K24" s="281"/>
      <c r="L24" s="281"/>
      <c r="M24" s="281"/>
      <c r="N24" s="281"/>
      <c r="O24" s="295" t="str">
        <f>G21</f>
        <v>1/4" Cement Backer Board</v>
      </c>
      <c r="P24" s="297">
        <f t="shared" si="6"/>
        <v>780</v>
      </c>
      <c r="Q24" s="297">
        <f t="shared" si="7"/>
        <v>0</v>
      </c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65"/>
      <c r="AF24" s="265"/>
    </row>
    <row r="25" spans="1:32" ht="13.8">
      <c r="A25" s="265"/>
      <c r="B25" s="547" t="s">
        <v>209</v>
      </c>
      <c r="C25" s="547" t="s">
        <v>210</v>
      </c>
      <c r="D25" s="547" t="s">
        <v>257</v>
      </c>
      <c r="E25" s="547" t="s">
        <v>258</v>
      </c>
      <c r="F25" s="547" t="s">
        <v>259</v>
      </c>
      <c r="G25" s="557" t="s">
        <v>223</v>
      </c>
      <c r="H25" s="558"/>
      <c r="I25" s="559"/>
      <c r="J25" s="550" t="s">
        <v>260</v>
      </c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</row>
    <row r="26" spans="1:32" ht="13.8">
      <c r="A26" s="265"/>
      <c r="B26" s="556"/>
      <c r="C26" s="556"/>
      <c r="D26" s="556"/>
      <c r="E26" s="556"/>
      <c r="F26" s="556"/>
      <c r="G26" s="560"/>
      <c r="H26" s="561"/>
      <c r="I26" s="562"/>
      <c r="J26" s="540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</row>
    <row r="27" spans="1:32" ht="13.8">
      <c r="A27" s="265"/>
      <c r="B27" s="540"/>
      <c r="C27" s="540"/>
      <c r="D27" s="540"/>
      <c r="E27" s="540"/>
      <c r="F27" s="540"/>
      <c r="G27" s="267" t="s">
        <v>219</v>
      </c>
      <c r="H27" s="267" t="s">
        <v>221</v>
      </c>
      <c r="I27" s="267" t="s">
        <v>222</v>
      </c>
      <c r="J27" s="267" t="s">
        <v>223</v>
      </c>
      <c r="K27" s="545" t="s">
        <v>261</v>
      </c>
      <c r="L27" s="531"/>
      <c r="M27" s="531"/>
      <c r="N27" s="531"/>
      <c r="O27" s="531"/>
      <c r="P27" s="532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</row>
    <row r="28" spans="1:32" ht="42.6">
      <c r="A28" s="265"/>
      <c r="B28" s="273" t="s">
        <v>262</v>
      </c>
      <c r="C28" s="275"/>
      <c r="D28" s="275"/>
      <c r="E28" s="275"/>
      <c r="F28" s="275"/>
      <c r="G28" s="275"/>
      <c r="H28" s="275"/>
      <c r="I28" s="275"/>
      <c r="J28" s="275"/>
      <c r="K28" s="275" t="s">
        <v>229</v>
      </c>
      <c r="L28" s="272" t="s">
        <v>263</v>
      </c>
      <c r="M28" s="271" t="s">
        <v>264</v>
      </c>
      <c r="N28" s="271" t="s">
        <v>265</v>
      </c>
      <c r="O28" s="271" t="s">
        <v>266</v>
      </c>
      <c r="P28" s="302" t="s">
        <v>267</v>
      </c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</row>
    <row r="29" spans="1:32" ht="13.8">
      <c r="A29" s="265"/>
      <c r="B29" s="275" t="s">
        <v>237</v>
      </c>
      <c r="C29" s="275"/>
      <c r="D29" s="275"/>
      <c r="E29" s="275"/>
      <c r="F29" s="275"/>
      <c r="G29" s="275"/>
      <c r="H29" s="275"/>
      <c r="I29" s="275"/>
      <c r="J29" s="275"/>
      <c r="K29" s="288"/>
      <c r="L29" s="288"/>
      <c r="M29" s="288"/>
      <c r="N29" s="288"/>
      <c r="O29" s="288"/>
      <c r="P29" s="288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</row>
    <row r="30" spans="1:32" ht="13.8">
      <c r="A30" s="265"/>
      <c r="B30" s="281" t="s">
        <v>268</v>
      </c>
      <c r="C30" s="281"/>
      <c r="D30" s="281"/>
      <c r="E30" s="288">
        <v>779</v>
      </c>
      <c r="F30" s="288"/>
      <c r="G30" s="281" t="s">
        <v>240</v>
      </c>
      <c r="H30" s="281">
        <v>4</v>
      </c>
      <c r="I30" s="291">
        <v>1</v>
      </c>
      <c r="J30" s="288">
        <f t="shared" ref="J30:J37" si="9">E30*I30</f>
        <v>779</v>
      </c>
      <c r="K30" s="288"/>
      <c r="L30" s="288"/>
      <c r="M30" s="288"/>
      <c r="N30" s="288"/>
      <c r="O30" s="288"/>
      <c r="P30" s="288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</row>
    <row r="31" spans="1:32" ht="13.8">
      <c r="A31" s="265"/>
      <c r="B31" s="281" t="s">
        <v>269</v>
      </c>
      <c r="C31" s="281"/>
      <c r="D31" s="281">
        <v>88</v>
      </c>
      <c r="E31" s="288">
        <f t="shared" ref="E31:E33" si="10">D31*F31</f>
        <v>352</v>
      </c>
      <c r="F31" s="288">
        <v>4</v>
      </c>
      <c r="G31" s="281" t="s">
        <v>240</v>
      </c>
      <c r="H31" s="281">
        <v>4</v>
      </c>
      <c r="I31" s="291">
        <v>1</v>
      </c>
      <c r="J31" s="288">
        <f t="shared" si="9"/>
        <v>352</v>
      </c>
      <c r="K31" s="288">
        <f>D31</f>
        <v>88</v>
      </c>
      <c r="L31" s="289">
        <f>D31</f>
        <v>88</v>
      </c>
      <c r="M31" s="288"/>
      <c r="N31" s="288"/>
      <c r="O31" s="288"/>
      <c r="P31" s="288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</row>
    <row r="32" spans="1:32" ht="13.8">
      <c r="A32" s="265"/>
      <c r="B32" s="281" t="s">
        <v>270</v>
      </c>
      <c r="C32" s="281"/>
      <c r="D32" s="281">
        <v>117</v>
      </c>
      <c r="E32" s="288">
        <f t="shared" si="10"/>
        <v>117</v>
      </c>
      <c r="F32" s="288">
        <v>1</v>
      </c>
      <c r="G32" s="281" t="s">
        <v>240</v>
      </c>
      <c r="H32" s="281">
        <v>4</v>
      </c>
      <c r="I32" s="291">
        <v>1</v>
      </c>
      <c r="J32" s="288">
        <f t="shared" si="9"/>
        <v>117</v>
      </c>
      <c r="K32" s="288"/>
      <c r="L32" s="288"/>
      <c r="M32" s="288">
        <f t="shared" ref="M32:M33" si="11">D32</f>
        <v>117</v>
      </c>
      <c r="N32" s="288"/>
      <c r="O32" s="288"/>
      <c r="P32" s="288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</row>
    <row r="33" spans="1:32" ht="13.8">
      <c r="A33" s="265"/>
      <c r="B33" s="281" t="s">
        <v>271</v>
      </c>
      <c r="C33" s="281"/>
      <c r="D33" s="281">
        <v>34</v>
      </c>
      <c r="E33" s="288">
        <f t="shared" si="10"/>
        <v>34</v>
      </c>
      <c r="F33" s="288">
        <v>1</v>
      </c>
      <c r="G33" s="281" t="s">
        <v>240</v>
      </c>
      <c r="H33" s="281">
        <v>4</v>
      </c>
      <c r="I33" s="291">
        <v>1</v>
      </c>
      <c r="J33" s="288">
        <f t="shared" si="9"/>
        <v>34</v>
      </c>
      <c r="K33" s="288"/>
      <c r="L33" s="288"/>
      <c r="M33" s="288">
        <f t="shared" si="11"/>
        <v>34</v>
      </c>
      <c r="N33" s="288"/>
      <c r="O33" s="288"/>
      <c r="P33" s="288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</row>
    <row r="34" spans="1:32" ht="13.8">
      <c r="A34" s="265"/>
      <c r="B34" s="281" t="s">
        <v>272</v>
      </c>
      <c r="C34" s="281"/>
      <c r="D34" s="281">
        <v>9</v>
      </c>
      <c r="E34" s="288">
        <f>D34*F34*2</f>
        <v>162</v>
      </c>
      <c r="F34" s="288">
        <v>9</v>
      </c>
      <c r="G34" s="281" t="s">
        <v>240</v>
      </c>
      <c r="H34" s="281">
        <v>4</v>
      </c>
      <c r="I34" s="291">
        <v>1</v>
      </c>
      <c r="J34" s="288">
        <f t="shared" si="9"/>
        <v>162</v>
      </c>
      <c r="K34" s="288"/>
      <c r="L34" s="289"/>
      <c r="M34" s="303"/>
      <c r="N34" s="288">
        <f>D34</f>
        <v>9</v>
      </c>
      <c r="O34" s="288"/>
      <c r="P34" s="288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</row>
    <row r="35" spans="1:32" ht="13.8">
      <c r="A35" s="265"/>
      <c r="B35" s="565" t="s">
        <v>273</v>
      </c>
      <c r="C35" s="565" t="s">
        <v>274</v>
      </c>
      <c r="D35" s="304">
        <f t="shared" ref="D35:D36" si="12">3+2/12</f>
        <v>3.1666666666666665</v>
      </c>
      <c r="E35" s="288">
        <v>20</v>
      </c>
      <c r="F35" s="305">
        <f t="shared" ref="F35:F36" si="13">6+3/12</f>
        <v>6.25</v>
      </c>
      <c r="G35" s="281" t="s">
        <v>253</v>
      </c>
      <c r="H35" s="281">
        <v>4</v>
      </c>
      <c r="I35" s="291">
        <v>1</v>
      </c>
      <c r="J35" s="288">
        <f t="shared" si="9"/>
        <v>20</v>
      </c>
      <c r="K35" s="554"/>
      <c r="L35" s="554"/>
      <c r="M35" s="554"/>
      <c r="N35" s="554"/>
      <c r="O35" s="555">
        <f>D35</f>
        <v>3.1666666666666665</v>
      </c>
      <c r="P35" s="554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</row>
    <row r="36" spans="1:32" ht="13.8">
      <c r="A36" s="265"/>
      <c r="B36" s="540"/>
      <c r="C36" s="540"/>
      <c r="D36" s="304">
        <f t="shared" si="12"/>
        <v>3.1666666666666665</v>
      </c>
      <c r="E36" s="288">
        <v>20</v>
      </c>
      <c r="F36" s="305">
        <f t="shared" si="13"/>
        <v>6.25</v>
      </c>
      <c r="G36" s="281" t="s">
        <v>275</v>
      </c>
      <c r="H36" s="281"/>
      <c r="I36" s="291">
        <v>1</v>
      </c>
      <c r="J36" s="288">
        <f t="shared" si="9"/>
        <v>20</v>
      </c>
      <c r="K36" s="540"/>
      <c r="L36" s="540"/>
      <c r="M36" s="540"/>
      <c r="N36" s="540"/>
      <c r="O36" s="540"/>
      <c r="P36" s="540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</row>
    <row r="37" spans="1:32" ht="13.8">
      <c r="A37" s="265"/>
      <c r="B37" s="281" t="s">
        <v>276</v>
      </c>
      <c r="C37" s="281" t="s">
        <v>274</v>
      </c>
      <c r="D37" s="281">
        <v>5</v>
      </c>
      <c r="E37" s="288">
        <f>D37*F37*2</f>
        <v>60</v>
      </c>
      <c r="F37" s="288">
        <v>6</v>
      </c>
      <c r="G37" s="281" t="s">
        <v>240</v>
      </c>
      <c r="H37" s="281">
        <v>4</v>
      </c>
      <c r="I37" s="291">
        <v>1</v>
      </c>
      <c r="J37" s="288">
        <f t="shared" si="9"/>
        <v>60</v>
      </c>
      <c r="K37" s="288"/>
      <c r="L37" s="289"/>
      <c r="M37" s="288"/>
      <c r="N37" s="288"/>
      <c r="O37" s="305"/>
      <c r="P37" s="288">
        <f>D37</f>
        <v>5</v>
      </c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</row>
    <row r="38" spans="1:32" ht="13.8">
      <c r="A38" s="265"/>
      <c r="B38" s="281"/>
      <c r="C38" s="281"/>
      <c r="D38" s="281"/>
      <c r="E38" s="288"/>
      <c r="F38" s="288"/>
      <c r="G38" s="281"/>
      <c r="H38" s="281"/>
      <c r="I38" s="295" t="str">
        <f>G30</f>
        <v>5/8" Gypsum Board Type X</v>
      </c>
      <c r="J38" s="297">
        <f t="shared" ref="J38:J40" si="14">SUMIF($G$30:$G$36,I38,$J$30:$J$36)</f>
        <v>1444</v>
      </c>
      <c r="K38" s="265">
        <f t="shared" ref="K38:P38" si="15">SUM(K30:K37)</f>
        <v>88</v>
      </c>
      <c r="L38" s="306">
        <f t="shared" si="15"/>
        <v>88</v>
      </c>
      <c r="M38" s="265">
        <f t="shared" si="15"/>
        <v>151</v>
      </c>
      <c r="N38" s="265">
        <f t="shared" si="15"/>
        <v>9</v>
      </c>
      <c r="O38" s="307">
        <f t="shared" si="15"/>
        <v>3.1666666666666665</v>
      </c>
      <c r="P38" s="265">
        <f t="shared" si="15"/>
        <v>5</v>
      </c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</row>
    <row r="39" spans="1:32" ht="13.8">
      <c r="A39" s="265"/>
      <c r="B39" s="281"/>
      <c r="C39" s="281"/>
      <c r="D39" s="281"/>
      <c r="E39" s="288"/>
      <c r="F39" s="288"/>
      <c r="G39" s="281"/>
      <c r="H39" s="281"/>
      <c r="I39" s="295" t="str">
        <f t="shared" ref="I39:I40" si="16">G35</f>
        <v>5/8" Gypsum Board Type X MR</v>
      </c>
      <c r="J39" s="297">
        <f t="shared" si="14"/>
        <v>20</v>
      </c>
      <c r="K39" s="265"/>
      <c r="L39" s="306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</row>
    <row r="40" spans="1:32" ht="13.8">
      <c r="A40" s="265"/>
      <c r="B40" s="281"/>
      <c r="C40" s="281"/>
      <c r="D40" s="281"/>
      <c r="E40" s="288"/>
      <c r="F40" s="288"/>
      <c r="G40" s="281"/>
      <c r="H40" s="281"/>
      <c r="I40" s="295" t="str">
        <f t="shared" si="16"/>
        <v>1/2" Cement Backer Board</v>
      </c>
      <c r="J40" s="297">
        <f t="shared" si="14"/>
        <v>20</v>
      </c>
      <c r="K40" s="265"/>
      <c r="L40" s="306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</row>
    <row r="41" spans="1:32" ht="13.8">
      <c r="A41" s="265"/>
      <c r="B41" s="568" t="s">
        <v>209</v>
      </c>
      <c r="C41" s="568" t="s">
        <v>210</v>
      </c>
      <c r="D41" s="568" t="s">
        <v>277</v>
      </c>
      <c r="E41" s="308"/>
      <c r="F41" s="568" t="s">
        <v>86</v>
      </c>
      <c r="G41" s="551"/>
      <c r="H41" s="566" t="s">
        <v>189</v>
      </c>
      <c r="I41" s="558"/>
      <c r="J41" s="558"/>
      <c r="K41" s="559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</row>
    <row r="42" spans="1:32" ht="13.8">
      <c r="A42" s="265"/>
      <c r="B42" s="540"/>
      <c r="C42" s="540"/>
      <c r="D42" s="540"/>
      <c r="E42" s="308"/>
      <c r="F42" s="540"/>
      <c r="G42" s="552"/>
      <c r="H42" s="560"/>
      <c r="I42" s="561"/>
      <c r="J42" s="561"/>
      <c r="K42" s="562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</row>
    <row r="43" spans="1:32" ht="20.399999999999999">
      <c r="A43" s="265"/>
      <c r="B43" s="273" t="s">
        <v>278</v>
      </c>
      <c r="C43" s="281"/>
      <c r="D43" s="288"/>
      <c r="E43" s="288"/>
      <c r="F43" s="288"/>
      <c r="G43" s="283"/>
      <c r="H43" s="567">
        <v>1.03</v>
      </c>
      <c r="I43" s="561"/>
      <c r="J43" s="561"/>
      <c r="K43" s="562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</row>
    <row r="44" spans="1:32" ht="13.8">
      <c r="A44" s="265"/>
      <c r="B44" s="286"/>
      <c r="C44" s="281"/>
      <c r="D44" s="281"/>
      <c r="E44" s="288"/>
      <c r="F44" s="288"/>
      <c r="G44" s="288"/>
      <c r="H44" s="281"/>
      <c r="I44" s="281"/>
      <c r="J44" s="281"/>
      <c r="K44" s="281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</row>
    <row r="45" spans="1:32" ht="13.8">
      <c r="A45" s="265"/>
      <c r="B45" s="281"/>
      <c r="C45" s="281"/>
      <c r="D45" s="281"/>
      <c r="E45" s="288"/>
      <c r="F45" s="288"/>
      <c r="G45" s="288"/>
      <c r="H45" s="281"/>
      <c r="I45" s="281"/>
      <c r="J45" s="281"/>
      <c r="K45" s="281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</row>
    <row r="46" spans="1:32" ht="20.399999999999999">
      <c r="A46" s="265"/>
      <c r="B46" s="309" t="s">
        <v>279</v>
      </c>
      <c r="C46" s="310" t="s">
        <v>210</v>
      </c>
      <c r="D46" s="310" t="s">
        <v>86</v>
      </c>
      <c r="E46" s="310"/>
      <c r="F46" s="544" t="s">
        <v>189</v>
      </c>
      <c r="G46" s="532"/>
      <c r="H46" s="265"/>
      <c r="I46" s="265"/>
      <c r="J46" s="298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</row>
    <row r="47" spans="1:32" ht="13.8">
      <c r="A47" s="265"/>
      <c r="B47" s="275" t="s">
        <v>280</v>
      </c>
      <c r="C47" s="281"/>
      <c r="D47" s="288"/>
      <c r="E47" s="288"/>
      <c r="F47" s="553"/>
      <c r="G47" s="532"/>
      <c r="H47" s="265"/>
      <c r="I47" s="265"/>
      <c r="J47" s="298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</row>
    <row r="48" spans="1:32">
      <c r="A48" s="265"/>
      <c r="B48" s="311" t="s">
        <v>281</v>
      </c>
      <c r="C48" s="281"/>
      <c r="D48" s="288">
        <f>2*2+2</f>
        <v>6</v>
      </c>
      <c r="E48" s="288" t="s">
        <v>97</v>
      </c>
      <c r="F48" s="281">
        <f t="shared" ref="F48:F50" si="17">ROUNDUP((D48*$F$47),0)</f>
        <v>0</v>
      </c>
      <c r="G48" s="288" t="str">
        <f t="shared" ref="G48:G50" si="18">E48</f>
        <v>EA</v>
      </c>
      <c r="H48" s="265"/>
      <c r="I48" s="265"/>
      <c r="J48" s="298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</row>
    <row r="49" spans="1:32">
      <c r="A49" s="265"/>
      <c r="B49" s="311" t="s">
        <v>282</v>
      </c>
      <c r="C49" s="281"/>
      <c r="D49" s="288">
        <f>D48</f>
        <v>6</v>
      </c>
      <c r="E49" s="288" t="s">
        <v>97</v>
      </c>
      <c r="F49" s="281">
        <f t="shared" si="17"/>
        <v>0</v>
      </c>
      <c r="G49" s="288" t="str">
        <f t="shared" si="18"/>
        <v>EA</v>
      </c>
      <c r="H49" s="265"/>
      <c r="I49" s="265"/>
      <c r="J49" s="298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</row>
    <row r="50" spans="1:32">
      <c r="A50" s="265"/>
      <c r="B50" s="311" t="s">
        <v>283</v>
      </c>
      <c r="C50" s="281"/>
      <c r="D50" s="288">
        <f>4*2</f>
        <v>8</v>
      </c>
      <c r="E50" s="288" t="s">
        <v>97</v>
      </c>
      <c r="F50" s="281">
        <f t="shared" si="17"/>
        <v>0</v>
      </c>
      <c r="G50" s="288" t="str">
        <f t="shared" si="18"/>
        <v>EA</v>
      </c>
      <c r="H50" s="265"/>
      <c r="I50" s="265"/>
      <c r="J50" s="298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</row>
    <row r="51" spans="1:32">
      <c r="A51" s="265"/>
      <c r="B51" s="312"/>
      <c r="C51" s="294"/>
      <c r="D51" s="288"/>
      <c r="E51" s="288"/>
      <c r="F51" s="288"/>
      <c r="G51" s="288"/>
      <c r="H51" s="265"/>
      <c r="I51" s="265"/>
      <c r="J51" s="298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</row>
    <row r="52" spans="1:32" ht="20.399999999999999">
      <c r="A52" s="265"/>
      <c r="B52" s="313" t="s">
        <v>284</v>
      </c>
      <c r="C52" s="314"/>
      <c r="D52" s="315"/>
      <c r="E52" s="314"/>
      <c r="F52" s="544" t="s">
        <v>189</v>
      </c>
      <c r="G52" s="532"/>
      <c r="H52" s="298"/>
      <c r="I52" s="298"/>
      <c r="J52" s="298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</row>
    <row r="53" spans="1:32">
      <c r="A53" s="265"/>
      <c r="B53" s="311" t="s">
        <v>285</v>
      </c>
      <c r="C53" s="281"/>
      <c r="D53" s="288">
        <f>27+2</f>
        <v>29</v>
      </c>
      <c r="E53" s="316" t="s">
        <v>97</v>
      </c>
      <c r="F53" s="281">
        <f t="shared" ref="F53:F55" si="19">ROUNDUP((D53*$F$47),0)</f>
        <v>0</v>
      </c>
      <c r="G53" s="288" t="str">
        <f t="shared" ref="G53:G55" si="20">E53</f>
        <v>EA</v>
      </c>
      <c r="H53" s="298"/>
      <c r="I53" s="298"/>
      <c r="J53" s="298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</row>
    <row r="54" spans="1:32">
      <c r="A54" s="265"/>
      <c r="B54" s="311" t="s">
        <v>285</v>
      </c>
      <c r="C54" s="281" t="s">
        <v>286</v>
      </c>
      <c r="D54" s="288">
        <f>ROUNDUP(SUM(D31:D33,D34*2)/10,0)</f>
        <v>26</v>
      </c>
      <c r="E54" s="316" t="s">
        <v>97</v>
      </c>
      <c r="F54" s="281">
        <f t="shared" si="19"/>
        <v>0</v>
      </c>
      <c r="G54" s="288" t="str">
        <f t="shared" si="20"/>
        <v>EA</v>
      </c>
      <c r="H54" s="298"/>
      <c r="I54" s="298"/>
      <c r="J54" s="298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</row>
    <row r="55" spans="1:32">
      <c r="A55" s="265"/>
      <c r="B55" s="311" t="s">
        <v>287</v>
      </c>
      <c r="C55" s="281"/>
      <c r="D55" s="288">
        <v>7</v>
      </c>
      <c r="E55" s="316" t="s">
        <v>97</v>
      </c>
      <c r="F55" s="281">
        <f t="shared" si="19"/>
        <v>0</v>
      </c>
      <c r="G55" s="288" t="str">
        <f t="shared" si="20"/>
        <v>EA</v>
      </c>
      <c r="H55" s="298"/>
      <c r="I55" s="298"/>
      <c r="J55" s="298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</row>
    <row r="56" spans="1:32" ht="13.8">
      <c r="A56" s="265"/>
      <c r="B56" s="298"/>
      <c r="C56" s="298"/>
      <c r="D56" s="265"/>
      <c r="E56" s="298"/>
      <c r="F56" s="265"/>
      <c r="G56" s="298"/>
      <c r="H56" s="298"/>
      <c r="I56" s="298"/>
      <c r="J56" s="298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</row>
    <row r="57" spans="1:32" ht="42.6">
      <c r="A57" s="265"/>
      <c r="B57" s="563" t="s">
        <v>288</v>
      </c>
      <c r="C57" s="531"/>
      <c r="D57" s="531"/>
      <c r="E57" s="531"/>
      <c r="F57" s="532"/>
      <c r="G57" s="564" t="s">
        <v>189</v>
      </c>
      <c r="H57" s="531"/>
      <c r="I57" s="531"/>
      <c r="J57" s="532"/>
      <c r="K57" s="265"/>
      <c r="L57" s="317" t="s">
        <v>289</v>
      </c>
      <c r="M57" s="318" t="s">
        <v>290</v>
      </c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</row>
    <row r="58" spans="1:32" ht="13.8">
      <c r="A58" s="265"/>
      <c r="B58" s="275" t="s">
        <v>209</v>
      </c>
      <c r="C58" s="275" t="s">
        <v>86</v>
      </c>
      <c r="D58" s="275"/>
      <c r="E58" s="295"/>
      <c r="F58" s="288"/>
      <c r="G58" s="553"/>
      <c r="H58" s="531"/>
      <c r="I58" s="531"/>
      <c r="J58" s="532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</row>
    <row r="59" spans="1:32" ht="13.8">
      <c r="A59" s="265"/>
      <c r="B59" s="319" t="s">
        <v>236</v>
      </c>
      <c r="C59" s="281"/>
      <c r="D59" s="316"/>
      <c r="E59" s="320"/>
      <c r="F59" s="288"/>
      <c r="G59" s="321"/>
      <c r="H59" s="300"/>
      <c r="I59" s="321"/>
      <c r="J59" s="300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</row>
    <row r="60" spans="1:32" ht="13.8">
      <c r="A60" s="265"/>
      <c r="B60" s="316" t="str">
        <f t="shared" ref="B60:B62" si="21">O22</f>
        <v>5/8" Gypsum Board Type X</v>
      </c>
      <c r="C60" s="288">
        <f>SUM(P22:Q22)-C61</f>
        <v>2725</v>
      </c>
      <c r="D60" s="316" t="s">
        <v>101</v>
      </c>
      <c r="E60" s="320"/>
      <c r="F60" s="288"/>
      <c r="G60" s="322">
        <f t="shared" ref="G60:G62" si="22">ROUNDUP((C60*$G$58),0)</f>
        <v>0</v>
      </c>
      <c r="H60" s="323" t="str">
        <f t="shared" ref="H60:H62" si="23">D60</f>
        <v>SF</v>
      </c>
      <c r="I60" s="322"/>
      <c r="J60" s="324"/>
      <c r="K60" s="265"/>
      <c r="L60" s="265">
        <v>15</v>
      </c>
      <c r="M60" s="265">
        <f t="shared" ref="M60:M62" si="24">ROUNDUP(C60/(L60*4),0)</f>
        <v>46</v>
      </c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</row>
    <row r="61" spans="1:32" ht="13.8">
      <c r="A61" s="265"/>
      <c r="B61" s="316" t="str">
        <f t="shared" si="21"/>
        <v>5/8" Gypsum Board Type X MR</v>
      </c>
      <c r="C61" s="288">
        <f t="shared" ref="C61:C62" si="25">SUM(P23:Q23)</f>
        <v>1484</v>
      </c>
      <c r="D61" s="316" t="s">
        <v>101</v>
      </c>
      <c r="E61" s="320"/>
      <c r="F61" s="288"/>
      <c r="G61" s="322">
        <f t="shared" si="22"/>
        <v>0</v>
      </c>
      <c r="H61" s="323" t="str">
        <f t="shared" si="23"/>
        <v>SF</v>
      </c>
      <c r="I61" s="322"/>
      <c r="J61" s="324"/>
      <c r="K61" s="265"/>
      <c r="L61" s="265">
        <v>15</v>
      </c>
      <c r="M61" s="265">
        <f t="shared" si="24"/>
        <v>25</v>
      </c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</row>
    <row r="62" spans="1:32" ht="13.8">
      <c r="A62" s="265"/>
      <c r="B62" s="316" t="str">
        <f t="shared" si="21"/>
        <v>1/4" Cement Backer Board</v>
      </c>
      <c r="C62" s="288">
        <f t="shared" si="25"/>
        <v>780</v>
      </c>
      <c r="D62" s="316" t="s">
        <v>101</v>
      </c>
      <c r="E62" s="320"/>
      <c r="F62" s="288"/>
      <c r="G62" s="322">
        <f t="shared" si="22"/>
        <v>0</v>
      </c>
      <c r="H62" s="323" t="str">
        <f t="shared" si="23"/>
        <v>SF</v>
      </c>
      <c r="I62" s="322"/>
      <c r="J62" s="324"/>
      <c r="K62" s="265"/>
      <c r="L62" s="265">
        <v>25</v>
      </c>
      <c r="M62" s="265">
        <f t="shared" si="24"/>
        <v>8</v>
      </c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</row>
    <row r="63" spans="1:32" ht="13.8">
      <c r="A63" s="265"/>
      <c r="B63" s="316"/>
      <c r="C63" s="281"/>
      <c r="D63" s="316"/>
      <c r="E63" s="320"/>
      <c r="F63" s="288"/>
      <c r="G63" s="322"/>
      <c r="H63" s="323"/>
      <c r="I63" s="322"/>
      <c r="J63" s="324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</row>
    <row r="64" spans="1:32" ht="13.8">
      <c r="A64" s="265"/>
      <c r="B64" s="319" t="s">
        <v>291</v>
      </c>
      <c r="C64" s="281"/>
      <c r="D64" s="316"/>
      <c r="E64" s="320"/>
      <c r="F64" s="288"/>
      <c r="G64" s="322"/>
      <c r="H64" s="323"/>
      <c r="I64" s="322"/>
      <c r="J64" s="324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</row>
    <row r="65" spans="1:32" ht="13.8">
      <c r="A65" s="265"/>
      <c r="B65" s="316" t="str">
        <f t="shared" ref="B65:C65" si="26">I38</f>
        <v>5/8" Gypsum Board Type X</v>
      </c>
      <c r="C65" s="320">
        <f t="shared" si="26"/>
        <v>1444</v>
      </c>
      <c r="D65" s="316" t="s">
        <v>101</v>
      </c>
      <c r="E65" s="320"/>
      <c r="F65" s="288"/>
      <c r="G65" s="322">
        <f t="shared" ref="G65:G67" si="27">ROUNDUP((C65*$G$58),0)</f>
        <v>0</v>
      </c>
      <c r="H65" s="323" t="str">
        <f t="shared" ref="H65:H67" si="28">D65</f>
        <v>SF</v>
      </c>
      <c r="I65" s="322"/>
      <c r="J65" s="324"/>
      <c r="K65" s="265"/>
      <c r="L65" s="265">
        <v>15</v>
      </c>
      <c r="M65" s="265">
        <f t="shared" ref="M65:M67" si="29">ROUNDUP(C65/(L65*4),0)</f>
        <v>25</v>
      </c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</row>
    <row r="66" spans="1:32" ht="13.8">
      <c r="A66" s="265"/>
      <c r="B66" s="316" t="str">
        <f t="shared" ref="B66:C66" si="30">I40</f>
        <v>1/2" Cement Backer Board</v>
      </c>
      <c r="C66" s="320">
        <f t="shared" si="30"/>
        <v>20</v>
      </c>
      <c r="D66" s="316" t="s">
        <v>101</v>
      </c>
      <c r="E66" s="320"/>
      <c r="F66" s="288"/>
      <c r="G66" s="322">
        <f t="shared" si="27"/>
        <v>0</v>
      </c>
      <c r="H66" s="323" t="str">
        <f t="shared" si="28"/>
        <v>SF</v>
      </c>
      <c r="I66" s="322"/>
      <c r="J66" s="324"/>
      <c r="K66" s="265"/>
      <c r="L66" s="265">
        <v>25</v>
      </c>
      <c r="M66" s="265">
        <f t="shared" si="29"/>
        <v>1</v>
      </c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</row>
    <row r="67" spans="1:32" ht="13.8">
      <c r="A67" s="265"/>
      <c r="B67" s="316" t="s">
        <v>292</v>
      </c>
      <c r="C67" s="320">
        <f>C65</f>
        <v>1444</v>
      </c>
      <c r="D67" s="316" t="s">
        <v>101</v>
      </c>
      <c r="E67" s="320"/>
      <c r="F67" s="288"/>
      <c r="G67" s="322">
        <f t="shared" si="27"/>
        <v>0</v>
      </c>
      <c r="H67" s="323" t="str">
        <f t="shared" si="28"/>
        <v>SF</v>
      </c>
      <c r="I67" s="322"/>
      <c r="J67" s="324"/>
      <c r="K67" s="265"/>
      <c r="L67" s="265">
        <v>20</v>
      </c>
      <c r="M67" s="265">
        <f t="shared" si="29"/>
        <v>19</v>
      </c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</row>
    <row r="68" spans="1:32" ht="13.8">
      <c r="A68" s="265"/>
      <c r="B68" s="316"/>
      <c r="C68" s="281"/>
      <c r="D68" s="316"/>
      <c r="E68" s="320"/>
      <c r="F68" s="288"/>
      <c r="G68" s="322"/>
      <c r="H68" s="323"/>
      <c r="I68" s="322"/>
      <c r="J68" s="324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</row>
    <row r="69" spans="1:32" ht="13.8">
      <c r="A69" s="265"/>
      <c r="B69" s="319" t="s">
        <v>293</v>
      </c>
      <c r="C69" s="281"/>
      <c r="D69" s="316"/>
      <c r="E69" s="320"/>
      <c r="F69" s="288"/>
      <c r="G69" s="322"/>
      <c r="H69" s="323"/>
      <c r="I69" s="322"/>
      <c r="J69" s="324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</row>
    <row r="70" spans="1:32" ht="13.8">
      <c r="A70" s="265"/>
      <c r="B70" s="316" t="s">
        <v>285</v>
      </c>
      <c r="C70" s="320">
        <f>SUM(D53:D54)</f>
        <v>55</v>
      </c>
      <c r="D70" s="316" t="s">
        <v>97</v>
      </c>
      <c r="E70" s="320">
        <f t="shared" ref="E70:E74" si="31">C70</f>
        <v>55</v>
      </c>
      <c r="F70" s="316" t="s">
        <v>97</v>
      </c>
      <c r="G70" s="322">
        <f t="shared" ref="G70:G74" si="32">ROUNDUP((C70*$G$58),0)</f>
        <v>0</v>
      </c>
      <c r="H70" s="323" t="str">
        <f t="shared" ref="H70:H74" si="33">D70</f>
        <v>EA</v>
      </c>
      <c r="I70" s="322">
        <f t="shared" ref="I70:I74" si="34">ROUNDUP((E70*$G$58),0)</f>
        <v>0</v>
      </c>
      <c r="J70" s="324" t="str">
        <f t="shared" ref="J70:J74" si="35">F70</f>
        <v>EA</v>
      </c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</row>
    <row r="71" spans="1:32" ht="13.8">
      <c r="A71" s="265"/>
      <c r="B71" s="316" t="s">
        <v>287</v>
      </c>
      <c r="C71" s="320">
        <f>D55</f>
        <v>7</v>
      </c>
      <c r="D71" s="316" t="s">
        <v>97</v>
      </c>
      <c r="E71" s="320">
        <f t="shared" si="31"/>
        <v>7</v>
      </c>
      <c r="F71" s="316" t="s">
        <v>97</v>
      </c>
      <c r="G71" s="322">
        <f t="shared" si="32"/>
        <v>0</v>
      </c>
      <c r="H71" s="323" t="str">
        <f t="shared" si="33"/>
        <v>EA</v>
      </c>
      <c r="I71" s="322">
        <f t="shared" si="34"/>
        <v>0</v>
      </c>
      <c r="J71" s="324" t="str">
        <f t="shared" si="35"/>
        <v>EA</v>
      </c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</row>
    <row r="72" spans="1:32" ht="13.8">
      <c r="A72" s="265"/>
      <c r="B72" s="316" t="s">
        <v>294</v>
      </c>
      <c r="C72" s="320">
        <f>ROUNDUP(SUM(C60:C61,C65)/400,0)</f>
        <v>15</v>
      </c>
      <c r="D72" s="316" t="s">
        <v>295</v>
      </c>
      <c r="E72" s="320">
        <f t="shared" si="31"/>
        <v>15</v>
      </c>
      <c r="F72" s="316" t="s">
        <v>295</v>
      </c>
      <c r="G72" s="322">
        <f t="shared" si="32"/>
        <v>0</v>
      </c>
      <c r="H72" s="323" t="str">
        <f t="shared" si="33"/>
        <v>BOX</v>
      </c>
      <c r="I72" s="322">
        <f t="shared" si="34"/>
        <v>0</v>
      </c>
      <c r="J72" s="324" t="str">
        <f t="shared" si="35"/>
        <v>BOX</v>
      </c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</row>
    <row r="73" spans="1:32" ht="13.8">
      <c r="A73" s="265"/>
      <c r="B73" s="316" t="s">
        <v>296</v>
      </c>
      <c r="C73" s="320">
        <f>ROUNDUP(SUM(C60:C61,C65)/1400,0)</f>
        <v>5</v>
      </c>
      <c r="D73" s="316" t="s">
        <v>297</v>
      </c>
      <c r="E73" s="320">
        <f t="shared" si="31"/>
        <v>5</v>
      </c>
      <c r="F73" s="316" t="s">
        <v>297</v>
      </c>
      <c r="G73" s="322">
        <f t="shared" si="32"/>
        <v>0</v>
      </c>
      <c r="H73" s="323" t="str">
        <f t="shared" si="33"/>
        <v>ROLLS</v>
      </c>
      <c r="I73" s="322">
        <f t="shared" si="34"/>
        <v>0</v>
      </c>
      <c r="J73" s="324" t="str">
        <f t="shared" si="35"/>
        <v>ROLLS</v>
      </c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</row>
    <row r="74" spans="1:32" ht="13.8">
      <c r="A74" s="265"/>
      <c r="B74" s="316" t="s">
        <v>298</v>
      </c>
      <c r="C74" s="320">
        <f>ROUNDUP(SUM(C60:C61,C65)/7500,0)</f>
        <v>1</v>
      </c>
      <c r="D74" s="316" t="s">
        <v>295</v>
      </c>
      <c r="E74" s="320">
        <f t="shared" si="31"/>
        <v>1</v>
      </c>
      <c r="F74" s="316" t="s">
        <v>295</v>
      </c>
      <c r="G74" s="322">
        <f t="shared" si="32"/>
        <v>0</v>
      </c>
      <c r="H74" s="323" t="str">
        <f t="shared" si="33"/>
        <v>BOX</v>
      </c>
      <c r="I74" s="322">
        <f t="shared" si="34"/>
        <v>0</v>
      </c>
      <c r="J74" s="324" t="str">
        <f t="shared" si="35"/>
        <v>BOX</v>
      </c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</row>
    <row r="75" spans="1:32" ht="13.8">
      <c r="A75" s="265"/>
      <c r="B75" s="316"/>
      <c r="C75" s="320"/>
      <c r="D75" s="316"/>
      <c r="E75" s="320"/>
      <c r="F75" s="288"/>
      <c r="G75" s="322"/>
      <c r="H75" s="323"/>
      <c r="I75" s="322"/>
      <c r="J75" s="324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</row>
    <row r="76" spans="1:32" ht="13.8">
      <c r="A76" s="265"/>
      <c r="B76" s="319" t="s">
        <v>299</v>
      </c>
      <c r="C76" s="320"/>
      <c r="D76" s="316"/>
      <c r="E76" s="320"/>
      <c r="F76" s="316"/>
      <c r="G76" s="321"/>
      <c r="H76" s="300"/>
      <c r="I76" s="321"/>
      <c r="J76" s="300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</row>
    <row r="77" spans="1:32" ht="13.8">
      <c r="A77" s="265"/>
      <c r="B77" s="319" t="s">
        <v>300</v>
      </c>
      <c r="C77" s="320"/>
      <c r="D77" s="316"/>
      <c r="E77" s="320"/>
      <c r="F77" s="316"/>
      <c r="G77" s="321"/>
      <c r="H77" s="300"/>
      <c r="I77" s="321"/>
      <c r="J77" s="300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</row>
    <row r="78" spans="1:32" ht="13.8">
      <c r="A78" s="265"/>
      <c r="B78" s="316" t="s">
        <v>301</v>
      </c>
      <c r="C78" s="320">
        <f>R22</f>
        <v>4</v>
      </c>
      <c r="D78" s="316" t="s">
        <v>199</v>
      </c>
      <c r="E78" s="320">
        <f>ROUNDUP(C78/1.33,0)</f>
        <v>4</v>
      </c>
      <c r="F78" s="316" t="s">
        <v>97</v>
      </c>
      <c r="G78" s="322">
        <f t="shared" ref="G78:G80" si="36">ROUNDUP((C78*$G$58),0)</f>
        <v>0</v>
      </c>
      <c r="H78" s="323" t="str">
        <f t="shared" ref="H78:H80" si="37">D78</f>
        <v>LF</v>
      </c>
      <c r="I78" s="322">
        <f t="shared" ref="I78:I80" si="38">ROUNDUP((E78*$G$58),0)</f>
        <v>0</v>
      </c>
      <c r="J78" s="324" t="str">
        <f t="shared" ref="J78:J80" si="39">F78</f>
        <v>EA</v>
      </c>
      <c r="K78" s="265"/>
      <c r="L78" s="265">
        <v>4</v>
      </c>
      <c r="M78" s="265">
        <f>ROUNDUP(C78/(L78*4),0)</f>
        <v>1</v>
      </c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</row>
    <row r="79" spans="1:32" ht="13.8">
      <c r="A79" s="265"/>
      <c r="B79" s="316" t="s">
        <v>302</v>
      </c>
      <c r="C79" s="320">
        <f>C78*2</f>
        <v>8</v>
      </c>
      <c r="D79" s="316" t="s">
        <v>199</v>
      </c>
      <c r="E79" s="320">
        <f>ROUNDUP(C79/10,0)</f>
        <v>1</v>
      </c>
      <c r="F79" s="316" t="s">
        <v>97</v>
      </c>
      <c r="G79" s="322">
        <f t="shared" si="36"/>
        <v>0</v>
      </c>
      <c r="H79" s="323" t="str">
        <f t="shared" si="37"/>
        <v>LF</v>
      </c>
      <c r="I79" s="322">
        <f t="shared" si="38"/>
        <v>0</v>
      </c>
      <c r="J79" s="324" t="str">
        <f t="shared" si="39"/>
        <v>EA</v>
      </c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</row>
    <row r="80" spans="1:32" ht="13.8">
      <c r="A80" s="265"/>
      <c r="B80" s="316" t="s">
        <v>303</v>
      </c>
      <c r="C80" s="320">
        <f>S22</f>
        <v>4</v>
      </c>
      <c r="D80" s="316" t="s">
        <v>199</v>
      </c>
      <c r="E80" s="320">
        <f>ROUNDUP(C80/4,0)</f>
        <v>1</v>
      </c>
      <c r="F80" s="316" t="s">
        <v>97</v>
      </c>
      <c r="G80" s="322">
        <f t="shared" si="36"/>
        <v>0</v>
      </c>
      <c r="H80" s="323" t="str">
        <f t="shared" si="37"/>
        <v>LF</v>
      </c>
      <c r="I80" s="322">
        <f t="shared" si="38"/>
        <v>0</v>
      </c>
      <c r="J80" s="324" t="str">
        <f t="shared" si="39"/>
        <v>EA</v>
      </c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</row>
    <row r="81" spans="1:32" ht="13.8">
      <c r="A81" s="265"/>
      <c r="B81" s="316"/>
      <c r="C81" s="320"/>
      <c r="D81" s="316"/>
      <c r="E81" s="320"/>
      <c r="F81" s="316"/>
      <c r="G81" s="320"/>
      <c r="H81" s="288"/>
      <c r="I81" s="320"/>
      <c r="J81" s="288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</row>
    <row r="82" spans="1:32" ht="13.8">
      <c r="A82" s="265"/>
      <c r="B82" s="319" t="s">
        <v>304</v>
      </c>
      <c r="C82" s="320"/>
      <c r="D82" s="316"/>
      <c r="E82" s="320"/>
      <c r="F82" s="316"/>
      <c r="G82" s="320"/>
      <c r="H82" s="288"/>
      <c r="I82" s="320"/>
      <c r="J82" s="288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</row>
    <row r="83" spans="1:32" ht="13.8">
      <c r="A83" s="265"/>
      <c r="B83" s="316" t="s">
        <v>305</v>
      </c>
      <c r="C83" s="320">
        <f>T22</f>
        <v>44</v>
      </c>
      <c r="D83" s="316" t="s">
        <v>199</v>
      </c>
      <c r="E83" s="320">
        <f>ROUNDUP(C83/1.33,0)</f>
        <v>34</v>
      </c>
      <c r="F83" s="316" t="s">
        <v>97</v>
      </c>
      <c r="G83" s="322">
        <f t="shared" ref="G83:G85" si="40">ROUNDUP((C83*$G$58),0)</f>
        <v>0</v>
      </c>
      <c r="H83" s="323" t="str">
        <f t="shared" ref="H83:H85" si="41">D83</f>
        <v>LF</v>
      </c>
      <c r="I83" s="322">
        <f t="shared" ref="I83:I85" si="42">ROUNDUP((E83*$G$58),0)</f>
        <v>0</v>
      </c>
      <c r="J83" s="324" t="str">
        <f t="shared" ref="J83:J85" si="43">F83</f>
        <v>EA</v>
      </c>
      <c r="K83" s="265"/>
      <c r="L83" s="265">
        <v>2</v>
      </c>
      <c r="M83" s="265">
        <f>ROUNDUP(C83/(L83*4),0)</f>
        <v>6</v>
      </c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</row>
    <row r="84" spans="1:32" ht="13.8">
      <c r="A84" s="265"/>
      <c r="B84" s="316" t="s">
        <v>306</v>
      </c>
      <c r="C84" s="320">
        <f t="shared" ref="C84:C85" si="44">C83</f>
        <v>44</v>
      </c>
      <c r="D84" s="316" t="s">
        <v>199</v>
      </c>
      <c r="E84" s="320">
        <f t="shared" ref="E84:E85" si="45">ROUNDUP(C84/10,0)</f>
        <v>5</v>
      </c>
      <c r="F84" s="316" t="s">
        <v>97</v>
      </c>
      <c r="G84" s="322">
        <f t="shared" si="40"/>
        <v>0</v>
      </c>
      <c r="H84" s="323" t="str">
        <f t="shared" si="41"/>
        <v>LF</v>
      </c>
      <c r="I84" s="322">
        <f t="shared" si="42"/>
        <v>0</v>
      </c>
      <c r="J84" s="324" t="str">
        <f t="shared" si="43"/>
        <v>EA</v>
      </c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</row>
    <row r="85" spans="1:32" ht="13.8">
      <c r="A85" s="265"/>
      <c r="B85" s="316" t="s">
        <v>307</v>
      </c>
      <c r="C85" s="320">
        <f t="shared" si="44"/>
        <v>44</v>
      </c>
      <c r="D85" s="316" t="s">
        <v>199</v>
      </c>
      <c r="E85" s="320">
        <f t="shared" si="45"/>
        <v>5</v>
      </c>
      <c r="F85" s="316" t="s">
        <v>97</v>
      </c>
      <c r="G85" s="322">
        <f t="shared" si="40"/>
        <v>0</v>
      </c>
      <c r="H85" s="323" t="str">
        <f t="shared" si="41"/>
        <v>LF</v>
      </c>
      <c r="I85" s="322">
        <f t="shared" si="42"/>
        <v>0</v>
      </c>
      <c r="J85" s="324" t="str">
        <f t="shared" si="43"/>
        <v>EA</v>
      </c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</row>
    <row r="86" spans="1:32" ht="13.8">
      <c r="A86" s="265"/>
      <c r="B86" s="316"/>
      <c r="C86" s="320"/>
      <c r="D86" s="316"/>
      <c r="E86" s="320"/>
      <c r="F86" s="316"/>
      <c r="G86" s="320"/>
      <c r="H86" s="288"/>
      <c r="I86" s="320"/>
      <c r="J86" s="288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</row>
    <row r="87" spans="1:32" ht="13.8">
      <c r="A87" s="281"/>
      <c r="B87" s="319" t="s">
        <v>308</v>
      </c>
      <c r="C87" s="320"/>
      <c r="D87" s="316"/>
      <c r="E87" s="320"/>
      <c r="F87" s="316"/>
      <c r="G87" s="320"/>
      <c r="H87" s="288"/>
      <c r="I87" s="320"/>
      <c r="J87" s="288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</row>
    <row r="88" spans="1:32" ht="13.8">
      <c r="A88" s="281"/>
      <c r="B88" s="316" t="s">
        <v>309</v>
      </c>
      <c r="C88" s="320">
        <f>V9</f>
        <v>32</v>
      </c>
      <c r="D88" s="316" t="s">
        <v>199</v>
      </c>
      <c r="E88" s="320">
        <f>ROUNDUP(C88/1.33,0)</f>
        <v>25</v>
      </c>
      <c r="F88" s="316" t="s">
        <v>97</v>
      </c>
      <c r="G88" s="322">
        <f t="shared" ref="G88:G89" si="46">ROUNDUP((C88*$G$58),0)</f>
        <v>0</v>
      </c>
      <c r="H88" s="323" t="str">
        <f t="shared" ref="H88:H89" si="47">D88</f>
        <v>LF</v>
      </c>
      <c r="I88" s="322">
        <f t="shared" ref="I88:I89" si="48">ROUNDUP((E88*$G$58),0)</f>
        <v>0</v>
      </c>
      <c r="J88" s="324" t="str">
        <f t="shared" ref="J88:J89" si="49">F88</f>
        <v>EA</v>
      </c>
      <c r="K88" s="265"/>
      <c r="L88" s="265">
        <v>4</v>
      </c>
      <c r="M88" s="265">
        <f>ROUNDUP(C88/(L88*4),0)</f>
        <v>2</v>
      </c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</row>
    <row r="89" spans="1:32" ht="13.8">
      <c r="A89" s="281"/>
      <c r="B89" s="316" t="s">
        <v>307</v>
      </c>
      <c r="C89" s="320">
        <f>C88*2</f>
        <v>64</v>
      </c>
      <c r="D89" s="316" t="s">
        <v>199</v>
      </c>
      <c r="E89" s="320">
        <f>ROUNDUP(C89/10,0)</f>
        <v>7</v>
      </c>
      <c r="F89" s="316" t="s">
        <v>97</v>
      </c>
      <c r="G89" s="322">
        <f t="shared" si="46"/>
        <v>0</v>
      </c>
      <c r="H89" s="323" t="str">
        <f t="shared" si="47"/>
        <v>LF</v>
      </c>
      <c r="I89" s="322">
        <f t="shared" si="48"/>
        <v>0</v>
      </c>
      <c r="J89" s="324" t="str">
        <f t="shared" si="49"/>
        <v>EA</v>
      </c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</row>
    <row r="90" spans="1:32" ht="13.8">
      <c r="A90" s="281"/>
      <c r="B90" s="316"/>
      <c r="C90" s="320"/>
      <c r="D90" s="316"/>
      <c r="E90" s="320"/>
      <c r="F90" s="316"/>
      <c r="G90" s="320"/>
      <c r="H90" s="288"/>
      <c r="I90" s="320"/>
      <c r="J90" s="288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</row>
    <row r="91" spans="1:32" ht="13.8">
      <c r="A91" s="281"/>
      <c r="B91" s="319" t="s">
        <v>310</v>
      </c>
      <c r="C91" s="320"/>
      <c r="D91" s="316"/>
      <c r="E91" s="320"/>
      <c r="F91" s="316"/>
      <c r="G91" s="320"/>
      <c r="H91" s="288"/>
      <c r="I91" s="320"/>
      <c r="J91" s="288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</row>
    <row r="92" spans="1:32" ht="13.8">
      <c r="A92" s="281"/>
      <c r="B92" s="316" t="s">
        <v>309</v>
      </c>
      <c r="C92" s="320">
        <f>V22-V9</f>
        <v>62</v>
      </c>
      <c r="D92" s="316" t="s">
        <v>199</v>
      </c>
      <c r="E92" s="320">
        <f>ROUNDUP(C92/1.33,0)</f>
        <v>47</v>
      </c>
      <c r="F92" s="316" t="s">
        <v>97</v>
      </c>
      <c r="G92" s="322">
        <f t="shared" ref="G92:G94" si="50">ROUNDUP((C92*$G$58),0)</f>
        <v>0</v>
      </c>
      <c r="H92" s="323" t="str">
        <f t="shared" ref="H92:H94" si="51">D92</f>
        <v>LF</v>
      </c>
      <c r="I92" s="322">
        <f t="shared" ref="I92:I94" si="52">ROUNDUP((E92*$G$58),0)</f>
        <v>0</v>
      </c>
      <c r="J92" s="324" t="str">
        <f t="shared" ref="J92:J94" si="53">F92</f>
        <v>EA</v>
      </c>
      <c r="K92" s="265"/>
      <c r="L92" s="265">
        <v>4</v>
      </c>
      <c r="M92" s="265">
        <f>ROUNDUP(C92/(L92*4),0)</f>
        <v>4</v>
      </c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</row>
    <row r="93" spans="1:32" ht="13.8">
      <c r="A93" s="281"/>
      <c r="B93" s="316" t="s">
        <v>307</v>
      </c>
      <c r="C93" s="320">
        <f>C92*2</f>
        <v>124</v>
      </c>
      <c r="D93" s="316" t="s">
        <v>199</v>
      </c>
      <c r="E93" s="320">
        <f>ROUNDUP(C93/10,0)</f>
        <v>13</v>
      </c>
      <c r="F93" s="316" t="s">
        <v>97</v>
      </c>
      <c r="G93" s="322">
        <f t="shared" si="50"/>
        <v>0</v>
      </c>
      <c r="H93" s="323" t="str">
        <f t="shared" si="51"/>
        <v>LF</v>
      </c>
      <c r="I93" s="322">
        <f t="shared" si="52"/>
        <v>0</v>
      </c>
      <c r="J93" s="324" t="str">
        <f t="shared" si="53"/>
        <v>EA</v>
      </c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</row>
    <row r="94" spans="1:32" ht="13.8">
      <c r="A94" s="281"/>
      <c r="B94" s="316" t="s">
        <v>311</v>
      </c>
      <c r="C94" s="320">
        <f>W22-W14</f>
        <v>62</v>
      </c>
      <c r="D94" s="316" t="s">
        <v>199</v>
      </c>
      <c r="E94" s="320">
        <f>ROUNDUP(C94/4,0)</f>
        <v>16</v>
      </c>
      <c r="F94" s="316" t="s">
        <v>97</v>
      </c>
      <c r="G94" s="322">
        <f t="shared" si="50"/>
        <v>0</v>
      </c>
      <c r="H94" s="323" t="str">
        <f t="shared" si="51"/>
        <v>LF</v>
      </c>
      <c r="I94" s="322">
        <f t="shared" si="52"/>
        <v>0</v>
      </c>
      <c r="J94" s="324" t="str">
        <f t="shared" si="53"/>
        <v>EA</v>
      </c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</row>
    <row r="95" spans="1:32" ht="13.8">
      <c r="A95" s="281"/>
      <c r="B95" s="316"/>
      <c r="C95" s="320"/>
      <c r="D95" s="316"/>
      <c r="E95" s="320"/>
      <c r="F95" s="316"/>
      <c r="G95" s="320"/>
      <c r="H95" s="288"/>
      <c r="I95" s="320"/>
      <c r="J95" s="288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</row>
    <row r="96" spans="1:32" ht="13.8">
      <c r="A96" s="281"/>
      <c r="B96" s="319" t="s">
        <v>312</v>
      </c>
      <c r="C96" s="320"/>
      <c r="D96" s="316"/>
      <c r="E96" s="320"/>
      <c r="F96" s="316"/>
      <c r="G96" s="320"/>
      <c r="H96" s="288"/>
      <c r="I96" s="320"/>
      <c r="J96" s="288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</row>
    <row r="97" spans="1:32" ht="13.8">
      <c r="A97" s="281"/>
      <c r="B97" s="316" t="s">
        <v>313</v>
      </c>
      <c r="C97" s="320">
        <f>X12</f>
        <v>3</v>
      </c>
      <c r="D97" s="316" t="s">
        <v>199</v>
      </c>
      <c r="E97" s="320">
        <f>ROUNDUP(C97/4/1.33,0)</f>
        <v>1</v>
      </c>
      <c r="F97" s="316" t="s">
        <v>97</v>
      </c>
      <c r="G97" s="322">
        <f t="shared" ref="G97:G98" si="54">ROUNDUP((C97*$G$58),0)</f>
        <v>0</v>
      </c>
      <c r="H97" s="323" t="str">
        <f t="shared" ref="H97:H98" si="55">D97</f>
        <v>LF</v>
      </c>
      <c r="I97" s="322">
        <f t="shared" ref="I97:I98" si="56">ROUNDUP((E97*$G$58),0)</f>
        <v>0</v>
      </c>
      <c r="J97" s="324" t="str">
        <f t="shared" ref="J97:J98" si="57">F97</f>
        <v>EA</v>
      </c>
      <c r="K97" s="265"/>
      <c r="L97" s="265">
        <v>2</v>
      </c>
      <c r="M97" s="265">
        <f>ROUNDUP(C97/(L97*4),0)</f>
        <v>1</v>
      </c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</row>
    <row r="98" spans="1:32" ht="13.8">
      <c r="A98" s="265"/>
      <c r="B98" s="316" t="s">
        <v>314</v>
      </c>
      <c r="C98" s="320">
        <f>C97*2</f>
        <v>6</v>
      </c>
      <c r="D98" s="316" t="s">
        <v>199</v>
      </c>
      <c r="E98" s="320">
        <f>ROUNDUP(C98/10,0)</f>
        <v>1</v>
      </c>
      <c r="F98" s="316" t="s">
        <v>97</v>
      </c>
      <c r="G98" s="322">
        <f t="shared" si="54"/>
        <v>0</v>
      </c>
      <c r="H98" s="323" t="str">
        <f t="shared" si="55"/>
        <v>LF</v>
      </c>
      <c r="I98" s="322">
        <f t="shared" si="56"/>
        <v>0</v>
      </c>
      <c r="J98" s="324" t="str">
        <f t="shared" si="57"/>
        <v>EA</v>
      </c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</row>
    <row r="99" spans="1:32" ht="13.8">
      <c r="A99" s="265"/>
      <c r="B99" s="316"/>
      <c r="C99" s="320"/>
      <c r="D99" s="316"/>
      <c r="E99" s="320"/>
      <c r="F99" s="316"/>
      <c r="G99" s="320"/>
      <c r="H99" s="288"/>
      <c r="I99" s="320"/>
      <c r="J99" s="288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</row>
    <row r="100" spans="1:32" ht="13.8">
      <c r="A100" s="281"/>
      <c r="B100" s="319" t="s">
        <v>315</v>
      </c>
      <c r="C100" s="320"/>
      <c r="D100" s="316"/>
      <c r="E100" s="320"/>
      <c r="F100" s="316"/>
      <c r="G100" s="320"/>
      <c r="H100" s="288"/>
      <c r="I100" s="320"/>
      <c r="J100" s="288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</row>
    <row r="101" spans="1:32" ht="13.8">
      <c r="A101" s="281"/>
      <c r="B101" s="316" t="s">
        <v>316</v>
      </c>
      <c r="C101" s="320">
        <f>U22</f>
        <v>7</v>
      </c>
      <c r="D101" s="316" t="s">
        <v>199</v>
      </c>
      <c r="E101" s="320">
        <f>ROUNDUP(C101/1.33,0)</f>
        <v>6</v>
      </c>
      <c r="F101" s="316" t="s">
        <v>97</v>
      </c>
      <c r="G101" s="322">
        <f t="shared" ref="G101:G103" si="58">ROUNDUP((C101*$G$58),0)</f>
        <v>0</v>
      </c>
      <c r="H101" s="323" t="str">
        <f t="shared" ref="H101:H103" si="59">D101</f>
        <v>LF</v>
      </c>
      <c r="I101" s="322">
        <f t="shared" ref="I101:I103" si="60">ROUNDUP((E101*$G$58),0)</f>
        <v>0</v>
      </c>
      <c r="J101" s="324" t="str">
        <f t="shared" ref="J101:J103" si="61">F101</f>
        <v>EA</v>
      </c>
      <c r="K101" s="265"/>
      <c r="L101" s="265">
        <v>2</v>
      </c>
      <c r="M101" s="265">
        <f>ROUNDUP(C101/(L101*4),0)</f>
        <v>1</v>
      </c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</row>
    <row r="102" spans="1:32" ht="13.8">
      <c r="A102" s="281"/>
      <c r="B102" s="316" t="s">
        <v>314</v>
      </c>
      <c r="C102" s="320">
        <f>C101*2</f>
        <v>14</v>
      </c>
      <c r="D102" s="316" t="s">
        <v>199</v>
      </c>
      <c r="E102" s="320">
        <f>ROUNDUP(C102/10,0)</f>
        <v>2</v>
      </c>
      <c r="F102" s="316" t="s">
        <v>97</v>
      </c>
      <c r="G102" s="322">
        <f t="shared" si="58"/>
        <v>0</v>
      </c>
      <c r="H102" s="323" t="str">
        <f t="shared" si="59"/>
        <v>LF</v>
      </c>
      <c r="I102" s="322">
        <f t="shared" si="60"/>
        <v>0</v>
      </c>
      <c r="J102" s="324" t="str">
        <f t="shared" si="61"/>
        <v>EA</v>
      </c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</row>
    <row r="103" spans="1:32" ht="13.8">
      <c r="A103" s="265"/>
      <c r="B103" s="316" t="s">
        <v>311</v>
      </c>
      <c r="C103" s="320">
        <f>W14</f>
        <v>7</v>
      </c>
      <c r="D103" s="316" t="s">
        <v>199</v>
      </c>
      <c r="E103" s="320">
        <f>ROUNDUP(C103/4,0)</f>
        <v>2</v>
      </c>
      <c r="F103" s="316" t="s">
        <v>97</v>
      </c>
      <c r="G103" s="322">
        <f t="shared" si="58"/>
        <v>0</v>
      </c>
      <c r="H103" s="323" t="str">
        <f t="shared" si="59"/>
        <v>LF</v>
      </c>
      <c r="I103" s="322">
        <f t="shared" si="60"/>
        <v>0</v>
      </c>
      <c r="J103" s="324" t="str">
        <f t="shared" si="61"/>
        <v>EA</v>
      </c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65"/>
      <c r="AB103" s="265"/>
      <c r="AC103" s="265"/>
      <c r="AD103" s="265"/>
      <c r="AE103" s="265"/>
      <c r="AF103" s="265"/>
    </row>
    <row r="104" spans="1:32" ht="13.8">
      <c r="A104" s="265"/>
      <c r="B104" s="316"/>
      <c r="C104" s="320"/>
      <c r="D104" s="316"/>
      <c r="E104" s="320"/>
      <c r="F104" s="316"/>
      <c r="G104" s="322"/>
      <c r="H104" s="323"/>
      <c r="I104" s="322"/>
      <c r="J104" s="324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</row>
    <row r="105" spans="1:32" ht="13.8">
      <c r="A105" s="265"/>
      <c r="B105" s="319" t="s">
        <v>317</v>
      </c>
      <c r="C105" s="320"/>
      <c r="D105" s="316"/>
      <c r="E105" s="320"/>
      <c r="F105" s="316"/>
      <c r="G105" s="320"/>
      <c r="H105" s="288"/>
      <c r="I105" s="320"/>
      <c r="J105" s="288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5"/>
    </row>
    <row r="106" spans="1:32" ht="13.8">
      <c r="A106" s="265"/>
      <c r="B106" s="316" t="s">
        <v>318</v>
      </c>
      <c r="C106" s="320">
        <f>Y22</f>
        <v>3</v>
      </c>
      <c r="D106" s="316" t="s">
        <v>199</v>
      </c>
      <c r="E106" s="320">
        <f>ROUNDUP(C106/1.33,0)</f>
        <v>3</v>
      </c>
      <c r="F106" s="316" t="s">
        <v>97</v>
      </c>
      <c r="G106" s="322">
        <f t="shared" ref="G106:G108" si="62">ROUNDUP((C106*$G$58),0)</f>
        <v>0</v>
      </c>
      <c r="H106" s="323" t="str">
        <f t="shared" ref="H106:H108" si="63">D106</f>
        <v>LF</v>
      </c>
      <c r="I106" s="322">
        <f t="shared" ref="I106:I108" si="64">ROUNDUP((E106*$G$58),0)</f>
        <v>0</v>
      </c>
      <c r="J106" s="324" t="str">
        <f t="shared" ref="J106:J108" si="65">F106</f>
        <v>EA</v>
      </c>
      <c r="K106" s="265"/>
      <c r="L106" s="265">
        <v>2</v>
      </c>
      <c r="M106" s="265">
        <f>ROUNDUP(C106/(L106*4),0)</f>
        <v>1</v>
      </c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65"/>
      <c r="AB106" s="265"/>
      <c r="AC106" s="265"/>
      <c r="AD106" s="265"/>
      <c r="AE106" s="265"/>
      <c r="AF106" s="265"/>
    </row>
    <row r="107" spans="1:32" ht="13.8">
      <c r="A107" s="265"/>
      <c r="B107" s="316" t="s">
        <v>319</v>
      </c>
      <c r="C107" s="320">
        <f t="shared" ref="C107:C108" si="66">C106</f>
        <v>3</v>
      </c>
      <c r="D107" s="316" t="s">
        <v>199</v>
      </c>
      <c r="E107" s="320">
        <f t="shared" ref="E107:E108" si="67">ROUNDUP(C107/10,0)</f>
        <v>1</v>
      </c>
      <c r="F107" s="316" t="s">
        <v>97</v>
      </c>
      <c r="G107" s="322">
        <f t="shared" si="62"/>
        <v>0</v>
      </c>
      <c r="H107" s="323" t="str">
        <f t="shared" si="63"/>
        <v>LF</v>
      </c>
      <c r="I107" s="322">
        <f t="shared" si="64"/>
        <v>0</v>
      </c>
      <c r="J107" s="324" t="str">
        <f t="shared" si="65"/>
        <v>EA</v>
      </c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  <c r="AA107" s="265"/>
      <c r="AB107" s="265"/>
      <c r="AC107" s="265"/>
      <c r="AD107" s="265"/>
      <c r="AE107" s="265"/>
      <c r="AF107" s="265"/>
    </row>
    <row r="108" spans="1:32" ht="13.8">
      <c r="A108" s="265"/>
      <c r="B108" s="316" t="s">
        <v>320</v>
      </c>
      <c r="C108" s="320">
        <f t="shared" si="66"/>
        <v>3</v>
      </c>
      <c r="D108" s="316" t="s">
        <v>199</v>
      </c>
      <c r="E108" s="320">
        <f t="shared" si="67"/>
        <v>1</v>
      </c>
      <c r="F108" s="316" t="s">
        <v>97</v>
      </c>
      <c r="G108" s="322">
        <f t="shared" si="62"/>
        <v>0</v>
      </c>
      <c r="H108" s="323" t="str">
        <f t="shared" si="63"/>
        <v>LF</v>
      </c>
      <c r="I108" s="322">
        <f t="shared" si="64"/>
        <v>0</v>
      </c>
      <c r="J108" s="324" t="str">
        <f t="shared" si="65"/>
        <v>EA</v>
      </c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  <c r="AA108" s="265"/>
      <c r="AB108" s="265"/>
      <c r="AC108" s="265"/>
      <c r="AD108" s="265"/>
      <c r="AE108" s="265"/>
      <c r="AF108" s="265"/>
    </row>
    <row r="109" spans="1:32" ht="13.8">
      <c r="A109" s="265"/>
      <c r="B109" s="316"/>
      <c r="C109" s="320"/>
      <c r="D109" s="316"/>
      <c r="E109" s="320"/>
      <c r="F109" s="316"/>
      <c r="G109" s="320"/>
      <c r="H109" s="288"/>
      <c r="I109" s="320"/>
      <c r="J109" s="288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</row>
    <row r="110" spans="1:32" ht="13.8">
      <c r="A110" s="265"/>
      <c r="B110" s="319" t="s">
        <v>321</v>
      </c>
      <c r="C110" s="320"/>
      <c r="D110" s="316"/>
      <c r="E110" s="320"/>
      <c r="F110" s="316"/>
      <c r="G110" s="320"/>
      <c r="H110" s="288"/>
      <c r="I110" s="320"/>
      <c r="J110" s="288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  <c r="AA110" s="265"/>
      <c r="AB110" s="265"/>
      <c r="AC110" s="265"/>
      <c r="AD110" s="265"/>
      <c r="AE110" s="265"/>
      <c r="AF110" s="265"/>
    </row>
    <row r="111" spans="1:32" ht="13.8">
      <c r="A111" s="265"/>
      <c r="B111" s="316" t="s">
        <v>322</v>
      </c>
      <c r="C111" s="320">
        <f>Z22</f>
        <v>9</v>
      </c>
      <c r="D111" s="316" t="s">
        <v>199</v>
      </c>
      <c r="E111" s="320">
        <f>ROUNDUP(C111/1.33,0)</f>
        <v>7</v>
      </c>
      <c r="F111" s="316" t="s">
        <v>97</v>
      </c>
      <c r="G111" s="322">
        <f t="shared" ref="G111:G113" si="68">ROUNDUP((C111*$G$58),0)</f>
        <v>0</v>
      </c>
      <c r="H111" s="323" t="str">
        <f t="shared" ref="H111:H113" si="69">D111</f>
        <v>LF</v>
      </c>
      <c r="I111" s="322">
        <f t="shared" ref="I111:I113" si="70">ROUNDUP((E111*$G$58),0)</f>
        <v>0</v>
      </c>
      <c r="J111" s="324" t="str">
        <f t="shared" ref="J111:J113" si="71">F111</f>
        <v>EA</v>
      </c>
      <c r="K111" s="265"/>
      <c r="L111" s="265">
        <v>2</v>
      </c>
      <c r="M111" s="265">
        <f>ROUNDUP(C111/(L111*4),0)</f>
        <v>2</v>
      </c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  <c r="AA111" s="265"/>
      <c r="AB111" s="265"/>
      <c r="AC111" s="265"/>
      <c r="AD111" s="265"/>
      <c r="AE111" s="265"/>
      <c r="AF111" s="265"/>
    </row>
    <row r="112" spans="1:32" ht="13.8">
      <c r="A112" s="265"/>
      <c r="B112" s="316" t="s">
        <v>320</v>
      </c>
      <c r="C112" s="320">
        <f>C111*2</f>
        <v>18</v>
      </c>
      <c r="D112" s="316" t="s">
        <v>199</v>
      </c>
      <c r="E112" s="320">
        <f>ROUNDUP(C112/10,0)</f>
        <v>2</v>
      </c>
      <c r="F112" s="316" t="s">
        <v>97</v>
      </c>
      <c r="G112" s="322">
        <f t="shared" si="68"/>
        <v>0</v>
      </c>
      <c r="H112" s="323" t="str">
        <f t="shared" si="69"/>
        <v>LF</v>
      </c>
      <c r="I112" s="322">
        <f t="shared" si="70"/>
        <v>0</v>
      </c>
      <c r="J112" s="324" t="str">
        <f t="shared" si="71"/>
        <v>EA</v>
      </c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  <c r="AA112" s="265"/>
      <c r="AB112" s="265"/>
      <c r="AC112" s="265"/>
      <c r="AD112" s="265"/>
      <c r="AE112" s="265"/>
      <c r="AF112" s="265"/>
    </row>
    <row r="113" spans="1:32" ht="13.8">
      <c r="A113" s="265"/>
      <c r="B113" s="316" t="s">
        <v>323</v>
      </c>
      <c r="C113" s="320">
        <f>AB16</f>
        <v>9</v>
      </c>
      <c r="D113" s="316" t="s">
        <v>199</v>
      </c>
      <c r="E113" s="320">
        <f>ROUNDUP(C113/4,0)</f>
        <v>3</v>
      </c>
      <c r="F113" s="316" t="s">
        <v>97</v>
      </c>
      <c r="G113" s="322">
        <f t="shared" si="68"/>
        <v>0</v>
      </c>
      <c r="H113" s="323" t="str">
        <f t="shared" si="69"/>
        <v>LF</v>
      </c>
      <c r="I113" s="322">
        <f t="shared" si="70"/>
        <v>0</v>
      </c>
      <c r="J113" s="324" t="str">
        <f t="shared" si="71"/>
        <v>EA</v>
      </c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  <c r="AA113" s="265"/>
      <c r="AB113" s="265"/>
      <c r="AC113" s="265"/>
      <c r="AD113" s="265"/>
      <c r="AE113" s="265"/>
      <c r="AF113" s="265"/>
    </row>
    <row r="114" spans="1:32" ht="13.8">
      <c r="A114" s="265"/>
      <c r="B114" s="316"/>
      <c r="C114" s="320"/>
      <c r="D114" s="316"/>
      <c r="E114" s="320"/>
      <c r="F114" s="316"/>
      <c r="G114" s="322"/>
      <c r="H114" s="323"/>
      <c r="I114" s="322"/>
      <c r="J114" s="324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  <c r="AA114" s="265"/>
      <c r="AB114" s="265"/>
      <c r="AC114" s="265"/>
      <c r="AD114" s="265"/>
      <c r="AE114" s="265"/>
      <c r="AF114" s="265"/>
    </row>
    <row r="115" spans="1:32" ht="13.8">
      <c r="A115" s="265"/>
      <c r="B115" s="319" t="s">
        <v>324</v>
      </c>
      <c r="C115" s="320"/>
      <c r="D115" s="316"/>
      <c r="E115" s="320"/>
      <c r="F115" s="316"/>
      <c r="G115" s="320"/>
      <c r="H115" s="288"/>
      <c r="I115" s="320"/>
      <c r="J115" s="288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  <c r="AA115" s="265"/>
      <c r="AB115" s="265"/>
      <c r="AC115" s="265"/>
      <c r="AD115" s="265"/>
      <c r="AE115" s="265"/>
      <c r="AF115" s="265"/>
    </row>
    <row r="116" spans="1:32" ht="13.8">
      <c r="A116" s="265"/>
      <c r="B116" s="316" t="s">
        <v>325</v>
      </c>
      <c r="C116" s="320">
        <f>AA22</f>
        <v>43</v>
      </c>
      <c r="D116" s="316" t="s">
        <v>199</v>
      </c>
      <c r="E116" s="320">
        <f>ROUNDUP(C116/1.33,0)</f>
        <v>33</v>
      </c>
      <c r="F116" s="316" t="s">
        <v>97</v>
      </c>
      <c r="G116" s="322">
        <f t="shared" ref="G116:G118" si="72">ROUNDUP((C116*$G$58),0)</f>
        <v>0</v>
      </c>
      <c r="H116" s="323" t="str">
        <f t="shared" ref="H116:H118" si="73">D116</f>
        <v>LF</v>
      </c>
      <c r="I116" s="322">
        <f t="shared" ref="I116:I118" si="74">ROUNDUP((E116*$G$58),0)</f>
        <v>0</v>
      </c>
      <c r="J116" s="324" t="str">
        <f t="shared" ref="J116:J118" si="75">F116</f>
        <v>EA</v>
      </c>
      <c r="K116" s="265"/>
      <c r="L116" s="265">
        <v>2</v>
      </c>
      <c r="M116" s="265">
        <f>ROUNDUP(C116/(L116*4),0)</f>
        <v>6</v>
      </c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65"/>
      <c r="AB116" s="265"/>
      <c r="AC116" s="265"/>
      <c r="AD116" s="265"/>
      <c r="AE116" s="265"/>
      <c r="AF116" s="265"/>
    </row>
    <row r="117" spans="1:32" ht="13.8">
      <c r="A117" s="265"/>
      <c r="B117" s="316" t="s">
        <v>320</v>
      </c>
      <c r="C117" s="320">
        <f>C116*2</f>
        <v>86</v>
      </c>
      <c r="D117" s="316" t="s">
        <v>199</v>
      </c>
      <c r="E117" s="320">
        <f>ROUNDUP(C117/10,0)</f>
        <v>9</v>
      </c>
      <c r="F117" s="316" t="s">
        <v>97</v>
      </c>
      <c r="G117" s="322">
        <f t="shared" si="72"/>
        <v>0</v>
      </c>
      <c r="H117" s="323" t="str">
        <f t="shared" si="73"/>
        <v>LF</v>
      </c>
      <c r="I117" s="322">
        <f t="shared" si="74"/>
        <v>0</v>
      </c>
      <c r="J117" s="324" t="str">
        <f t="shared" si="75"/>
        <v>EA</v>
      </c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  <c r="AA117" s="265"/>
      <c r="AB117" s="265"/>
      <c r="AC117" s="265"/>
      <c r="AD117" s="265"/>
      <c r="AE117" s="265"/>
      <c r="AF117" s="265"/>
    </row>
    <row r="118" spans="1:32" ht="13.8">
      <c r="A118" s="265"/>
      <c r="B118" s="316" t="s">
        <v>323</v>
      </c>
      <c r="C118" s="320">
        <f>AB22-AB16</f>
        <v>43</v>
      </c>
      <c r="D118" s="316" t="s">
        <v>199</v>
      </c>
      <c r="E118" s="320">
        <f>ROUNDUP(C118/4,0)</f>
        <v>11</v>
      </c>
      <c r="F118" s="316" t="s">
        <v>97</v>
      </c>
      <c r="G118" s="322">
        <f t="shared" si="72"/>
        <v>0</v>
      </c>
      <c r="H118" s="323" t="str">
        <f t="shared" si="73"/>
        <v>LF</v>
      </c>
      <c r="I118" s="322">
        <f t="shared" si="74"/>
        <v>0</v>
      </c>
      <c r="J118" s="324" t="str">
        <f t="shared" si="75"/>
        <v>EA</v>
      </c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</row>
    <row r="119" spans="1:32" ht="13.8">
      <c r="A119" s="265"/>
      <c r="B119" s="319"/>
      <c r="C119" s="320"/>
      <c r="D119" s="316"/>
      <c r="E119" s="320"/>
      <c r="F119" s="316"/>
      <c r="G119" s="322"/>
      <c r="H119" s="325"/>
      <c r="I119" s="322"/>
      <c r="J119" s="32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  <c r="AA119" s="265"/>
      <c r="AB119" s="265"/>
      <c r="AC119" s="265"/>
      <c r="AD119" s="265"/>
      <c r="AE119" s="265"/>
      <c r="AF119" s="265"/>
    </row>
    <row r="120" spans="1:32" ht="13.8">
      <c r="A120" s="265"/>
      <c r="B120" s="319" t="s">
        <v>326</v>
      </c>
      <c r="C120" s="320"/>
      <c r="D120" s="316"/>
      <c r="E120" s="320"/>
      <c r="F120" s="316"/>
      <c r="G120" s="320"/>
      <c r="H120" s="288"/>
      <c r="I120" s="320"/>
      <c r="J120" s="288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  <c r="AA120" s="265"/>
      <c r="AB120" s="265"/>
      <c r="AC120" s="265"/>
      <c r="AD120" s="265"/>
      <c r="AE120" s="265"/>
      <c r="AF120" s="265"/>
    </row>
    <row r="121" spans="1:32" ht="13.8">
      <c r="A121" s="265"/>
      <c r="B121" s="316" t="s">
        <v>309</v>
      </c>
      <c r="C121" s="320">
        <f>K38</f>
        <v>88</v>
      </c>
      <c r="D121" s="316" t="s">
        <v>199</v>
      </c>
      <c r="E121" s="320">
        <f>ROUNDUP(C121/1.33,0)</f>
        <v>67</v>
      </c>
      <c r="F121" s="316" t="s">
        <v>97</v>
      </c>
      <c r="G121" s="322">
        <f t="shared" ref="G121:G124" si="76">ROUNDUP((C121*$G$58),0)</f>
        <v>0</v>
      </c>
      <c r="H121" s="323" t="str">
        <f t="shared" ref="H121:H124" si="77">D121</f>
        <v>LF</v>
      </c>
      <c r="I121" s="322">
        <f t="shared" ref="I121:I124" si="78">ROUNDUP((E121*$G$58),0)</f>
        <v>0</v>
      </c>
      <c r="J121" s="324" t="str">
        <f t="shared" ref="J121:J124" si="79">F121</f>
        <v>EA</v>
      </c>
      <c r="K121" s="265"/>
      <c r="L121" s="265">
        <v>2</v>
      </c>
      <c r="M121" s="265">
        <f>ROUNDUP(C121/(L121*4),0)</f>
        <v>11</v>
      </c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  <c r="AA121" s="265"/>
      <c r="AB121" s="265"/>
      <c r="AC121" s="265"/>
      <c r="AD121" s="265"/>
      <c r="AE121" s="265"/>
      <c r="AF121" s="265"/>
    </row>
    <row r="122" spans="1:32" ht="13.8">
      <c r="A122" s="265"/>
      <c r="B122" s="316" t="s">
        <v>306</v>
      </c>
      <c r="C122" s="320">
        <f t="shared" ref="C122:C123" si="80">C121</f>
        <v>88</v>
      </c>
      <c r="D122" s="316" t="s">
        <v>199</v>
      </c>
      <c r="E122" s="320">
        <f t="shared" ref="E122:E123" si="81">ROUNDUP(C122/10,0)</f>
        <v>9</v>
      </c>
      <c r="F122" s="316" t="s">
        <v>97</v>
      </c>
      <c r="G122" s="322">
        <f t="shared" si="76"/>
        <v>0</v>
      </c>
      <c r="H122" s="323" t="str">
        <f t="shared" si="77"/>
        <v>LF</v>
      </c>
      <c r="I122" s="322">
        <f t="shared" si="78"/>
        <v>0</v>
      </c>
      <c r="J122" s="324" t="str">
        <f t="shared" si="79"/>
        <v>EA</v>
      </c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</row>
    <row r="123" spans="1:32" ht="13.8">
      <c r="A123" s="265"/>
      <c r="B123" s="316" t="s">
        <v>307</v>
      </c>
      <c r="C123" s="320">
        <f t="shared" si="80"/>
        <v>88</v>
      </c>
      <c r="D123" s="316" t="s">
        <v>199</v>
      </c>
      <c r="E123" s="320">
        <f t="shared" si="81"/>
        <v>9</v>
      </c>
      <c r="F123" s="316" t="s">
        <v>97</v>
      </c>
      <c r="G123" s="322">
        <f t="shared" si="76"/>
        <v>0</v>
      </c>
      <c r="H123" s="323" t="str">
        <f t="shared" si="77"/>
        <v>LF</v>
      </c>
      <c r="I123" s="322">
        <f t="shared" si="78"/>
        <v>0</v>
      </c>
      <c r="J123" s="324" t="str">
        <f t="shared" si="79"/>
        <v>EA</v>
      </c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</row>
    <row r="124" spans="1:32" ht="13.8">
      <c r="A124" s="265"/>
      <c r="B124" s="316" t="s">
        <v>327</v>
      </c>
      <c r="C124" s="320">
        <f>L38</f>
        <v>88</v>
      </c>
      <c r="D124" s="316" t="s">
        <v>199</v>
      </c>
      <c r="E124" s="320">
        <f>ROUNDUP(C124/4,0)</f>
        <v>22</v>
      </c>
      <c r="F124" s="316" t="s">
        <v>97</v>
      </c>
      <c r="G124" s="322">
        <f t="shared" si="76"/>
        <v>0</v>
      </c>
      <c r="H124" s="323" t="str">
        <f t="shared" si="77"/>
        <v>LF</v>
      </c>
      <c r="I124" s="322">
        <f t="shared" si="78"/>
        <v>0</v>
      </c>
      <c r="J124" s="324" t="str">
        <f t="shared" si="79"/>
        <v>EA</v>
      </c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65"/>
      <c r="AB124" s="265"/>
      <c r="AC124" s="265"/>
      <c r="AD124" s="265"/>
      <c r="AE124" s="265"/>
      <c r="AF124" s="265"/>
    </row>
    <row r="125" spans="1:32" ht="13.8">
      <c r="A125" s="265"/>
      <c r="B125" s="319"/>
      <c r="C125" s="320"/>
      <c r="D125" s="316"/>
      <c r="E125" s="320"/>
      <c r="F125" s="316"/>
      <c r="G125" s="322"/>
      <c r="H125" s="325"/>
      <c r="I125" s="322"/>
      <c r="J125" s="32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65"/>
      <c r="AB125" s="265"/>
      <c r="AC125" s="265"/>
      <c r="AD125" s="265"/>
      <c r="AE125" s="265"/>
      <c r="AF125" s="265"/>
    </row>
    <row r="126" spans="1:32" ht="13.8">
      <c r="A126" s="265"/>
      <c r="B126" s="319" t="s">
        <v>328</v>
      </c>
      <c r="C126" s="320"/>
      <c r="D126" s="316"/>
      <c r="E126" s="320"/>
      <c r="F126" s="316"/>
      <c r="G126" s="320"/>
      <c r="H126" s="288"/>
      <c r="I126" s="320"/>
      <c r="J126" s="288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</row>
    <row r="127" spans="1:32" ht="13.8">
      <c r="A127" s="265"/>
      <c r="B127" s="316" t="s">
        <v>329</v>
      </c>
      <c r="C127" s="320">
        <f>M38</f>
        <v>151</v>
      </c>
      <c r="D127" s="316" t="s">
        <v>199</v>
      </c>
      <c r="E127" s="320">
        <f>ROUNDUP(C127/8/1.33,0)</f>
        <v>15</v>
      </c>
      <c r="F127" s="316" t="s">
        <v>97</v>
      </c>
      <c r="G127" s="322">
        <f t="shared" ref="G127:G128" si="82">ROUNDUP((C127*$G$58),0)</f>
        <v>0</v>
      </c>
      <c r="H127" s="323" t="str">
        <f t="shared" ref="H127:H128" si="83">D127</f>
        <v>LF</v>
      </c>
      <c r="I127" s="322">
        <f t="shared" ref="I127:I128" si="84">ROUNDUP((E127*$G$58),0)</f>
        <v>0</v>
      </c>
      <c r="J127" s="324" t="str">
        <f t="shared" ref="J127:J128" si="85">F127</f>
        <v>EA</v>
      </c>
      <c r="K127" s="265"/>
      <c r="L127" s="265">
        <v>2</v>
      </c>
      <c r="M127" s="265">
        <f>ROUNDUP(C127/(L127*4),0)</f>
        <v>19</v>
      </c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  <c r="AA127" s="265"/>
      <c r="AB127" s="265"/>
      <c r="AC127" s="265"/>
      <c r="AD127" s="265"/>
      <c r="AE127" s="265"/>
      <c r="AF127" s="265"/>
    </row>
    <row r="128" spans="1:32" ht="13.8">
      <c r="A128" s="265"/>
      <c r="B128" s="316" t="s">
        <v>307</v>
      </c>
      <c r="C128" s="320">
        <f>C127*2</f>
        <v>302</v>
      </c>
      <c r="D128" s="316" t="s">
        <v>199</v>
      </c>
      <c r="E128" s="320">
        <f>ROUNDUP(C128/10,0)</f>
        <v>31</v>
      </c>
      <c r="F128" s="316" t="s">
        <v>97</v>
      </c>
      <c r="G128" s="322">
        <f t="shared" si="82"/>
        <v>0</v>
      </c>
      <c r="H128" s="323" t="str">
        <f t="shared" si="83"/>
        <v>LF</v>
      </c>
      <c r="I128" s="322">
        <f t="shared" si="84"/>
        <v>0</v>
      </c>
      <c r="J128" s="324" t="str">
        <f t="shared" si="85"/>
        <v>EA</v>
      </c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  <c r="AA128" s="265"/>
      <c r="AB128" s="265"/>
      <c r="AC128" s="265"/>
      <c r="AD128" s="265"/>
      <c r="AE128" s="265"/>
      <c r="AF128" s="265"/>
    </row>
    <row r="129" spans="1:32" ht="13.8">
      <c r="A129" s="265"/>
      <c r="B129" s="316"/>
      <c r="C129" s="320"/>
      <c r="D129" s="316"/>
      <c r="E129" s="320"/>
      <c r="F129" s="316"/>
      <c r="G129" s="322"/>
      <c r="H129" s="323"/>
      <c r="I129" s="322"/>
      <c r="J129" s="324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  <c r="AA129" s="265"/>
      <c r="AB129" s="265"/>
      <c r="AC129" s="265"/>
      <c r="AD129" s="265"/>
      <c r="AE129" s="265"/>
      <c r="AF129" s="265"/>
    </row>
    <row r="130" spans="1:32" ht="13.8">
      <c r="A130" s="265"/>
      <c r="B130" s="319" t="s">
        <v>330</v>
      </c>
      <c r="C130" s="320"/>
      <c r="D130" s="316"/>
      <c r="E130" s="320"/>
      <c r="F130" s="316"/>
      <c r="G130" s="320"/>
      <c r="H130" s="288"/>
      <c r="I130" s="320"/>
      <c r="J130" s="288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5"/>
    </row>
    <row r="131" spans="1:32" ht="13.8">
      <c r="A131" s="265"/>
      <c r="B131" s="316" t="s">
        <v>331</v>
      </c>
      <c r="C131" s="320">
        <f>N38</f>
        <v>9</v>
      </c>
      <c r="D131" s="316" t="s">
        <v>199</v>
      </c>
      <c r="E131" s="320">
        <f>ROUNDUP(C131/1.33,0)</f>
        <v>7</v>
      </c>
      <c r="F131" s="316" t="s">
        <v>97</v>
      </c>
      <c r="G131" s="322">
        <f t="shared" ref="G131:G133" si="86">ROUNDUP((C131*$G$58),0)</f>
        <v>0</v>
      </c>
      <c r="H131" s="323" t="str">
        <f t="shared" ref="H131:H133" si="87">D131</f>
        <v>LF</v>
      </c>
      <c r="I131" s="322">
        <f t="shared" ref="I131:I133" si="88">ROUNDUP((E131*$G$58),0)</f>
        <v>0</v>
      </c>
      <c r="J131" s="324" t="str">
        <f t="shared" ref="J131:J133" si="89">F131</f>
        <v>EA</v>
      </c>
      <c r="K131" s="265"/>
      <c r="L131" s="265">
        <v>2</v>
      </c>
      <c r="M131" s="265">
        <f>ROUNDUP(C131/(L131*4),0)</f>
        <v>2</v>
      </c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  <c r="AA131" s="265"/>
      <c r="AB131" s="265"/>
      <c r="AC131" s="265"/>
      <c r="AD131" s="265"/>
      <c r="AE131" s="265"/>
      <c r="AF131" s="265"/>
    </row>
    <row r="132" spans="1:32" ht="13.8">
      <c r="A132" s="265"/>
      <c r="B132" s="316" t="s">
        <v>306</v>
      </c>
      <c r="C132" s="320">
        <f t="shared" ref="C132:C133" si="90">C131</f>
        <v>9</v>
      </c>
      <c r="D132" s="316" t="s">
        <v>199</v>
      </c>
      <c r="E132" s="320">
        <f t="shared" ref="E132:E133" si="91">ROUNDUP(C132/10,0)</f>
        <v>1</v>
      </c>
      <c r="F132" s="316" t="s">
        <v>97</v>
      </c>
      <c r="G132" s="322">
        <f t="shared" si="86"/>
        <v>0</v>
      </c>
      <c r="H132" s="323" t="str">
        <f t="shared" si="87"/>
        <v>LF</v>
      </c>
      <c r="I132" s="322">
        <f t="shared" si="88"/>
        <v>0</v>
      </c>
      <c r="J132" s="324" t="str">
        <f t="shared" si="89"/>
        <v>EA</v>
      </c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  <c r="AA132" s="265"/>
      <c r="AB132" s="265"/>
      <c r="AC132" s="265"/>
      <c r="AD132" s="265"/>
      <c r="AE132" s="265"/>
      <c r="AF132" s="265"/>
    </row>
    <row r="133" spans="1:32" ht="13.8">
      <c r="A133" s="265"/>
      <c r="B133" s="316" t="s">
        <v>307</v>
      </c>
      <c r="C133" s="320">
        <f t="shared" si="90"/>
        <v>9</v>
      </c>
      <c r="D133" s="316" t="s">
        <v>199</v>
      </c>
      <c r="E133" s="320">
        <f t="shared" si="91"/>
        <v>1</v>
      </c>
      <c r="F133" s="316" t="s">
        <v>97</v>
      </c>
      <c r="G133" s="322">
        <f t="shared" si="86"/>
        <v>0</v>
      </c>
      <c r="H133" s="323" t="str">
        <f t="shared" si="87"/>
        <v>LF</v>
      </c>
      <c r="I133" s="322">
        <f t="shared" si="88"/>
        <v>0</v>
      </c>
      <c r="J133" s="324" t="str">
        <f t="shared" si="89"/>
        <v>EA</v>
      </c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  <c r="AA133" s="265"/>
      <c r="AB133" s="265"/>
      <c r="AC133" s="265"/>
      <c r="AD133" s="265"/>
      <c r="AE133" s="265"/>
      <c r="AF133" s="265"/>
    </row>
    <row r="134" spans="1:32" ht="13.8">
      <c r="A134" s="265"/>
      <c r="B134" s="316"/>
      <c r="C134" s="320"/>
      <c r="D134" s="316"/>
      <c r="E134" s="320"/>
      <c r="F134" s="316"/>
      <c r="G134" s="322"/>
      <c r="H134" s="323"/>
      <c r="I134" s="322"/>
      <c r="J134" s="324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</row>
    <row r="135" spans="1:32" ht="13.8">
      <c r="A135" s="265"/>
      <c r="B135" s="319" t="s">
        <v>332</v>
      </c>
      <c r="C135" s="320"/>
      <c r="D135" s="316"/>
      <c r="E135" s="320"/>
      <c r="F135" s="316"/>
      <c r="G135" s="322"/>
      <c r="H135" s="323"/>
      <c r="I135" s="322"/>
      <c r="J135" s="324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</row>
    <row r="136" spans="1:32" ht="13.8">
      <c r="A136" s="265"/>
      <c r="B136" s="316" t="s">
        <v>333</v>
      </c>
      <c r="C136" s="320">
        <f>P38</f>
        <v>5</v>
      </c>
      <c r="D136" s="316" t="s">
        <v>199</v>
      </c>
      <c r="E136" s="320">
        <f>ROUNDUP(C136/0.67/2,0)*2</f>
        <v>8</v>
      </c>
      <c r="F136" s="316" t="s">
        <v>97</v>
      </c>
      <c r="G136" s="322">
        <f t="shared" ref="G136:G138" si="92">ROUNDUP((C136*$G$58),0)</f>
        <v>0</v>
      </c>
      <c r="H136" s="323" t="str">
        <f t="shared" ref="H136:H138" si="93">D136</f>
        <v>LF</v>
      </c>
      <c r="I136" s="322">
        <f t="shared" ref="I136:I138" si="94">ROUNDUP((E136*$G$58),0)</f>
        <v>0</v>
      </c>
      <c r="J136" s="324" t="str">
        <f t="shared" ref="J136:J138" si="95">F136</f>
        <v>EA</v>
      </c>
      <c r="K136" s="265"/>
      <c r="L136" s="265">
        <v>2</v>
      </c>
      <c r="M136" s="265">
        <f t="shared" ref="M136:M138" si="96">ROUNDUP(C136/(L136*4),0)</f>
        <v>1</v>
      </c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65"/>
      <c r="AB136" s="265"/>
      <c r="AC136" s="265"/>
      <c r="AD136" s="265"/>
      <c r="AE136" s="265"/>
      <c r="AF136" s="265"/>
    </row>
    <row r="137" spans="1:32" ht="13.8">
      <c r="A137" s="265"/>
      <c r="B137" s="316" t="s">
        <v>334</v>
      </c>
      <c r="C137" s="320">
        <f>C136</f>
        <v>5</v>
      </c>
      <c r="D137" s="316" t="s">
        <v>199</v>
      </c>
      <c r="E137" s="320">
        <f>ROUNDUP(C137/10,0*2)</f>
        <v>1</v>
      </c>
      <c r="F137" s="316" t="s">
        <v>97</v>
      </c>
      <c r="G137" s="322">
        <f t="shared" si="92"/>
        <v>0</v>
      </c>
      <c r="H137" s="323" t="str">
        <f t="shared" si="93"/>
        <v>LF</v>
      </c>
      <c r="I137" s="322">
        <f t="shared" si="94"/>
        <v>0</v>
      </c>
      <c r="J137" s="324" t="str">
        <f t="shared" si="95"/>
        <v>EA</v>
      </c>
      <c r="K137" s="265"/>
      <c r="L137" s="265">
        <v>2</v>
      </c>
      <c r="M137" s="265">
        <f t="shared" si="96"/>
        <v>1</v>
      </c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65"/>
      <c r="AB137" s="265"/>
      <c r="AC137" s="265"/>
      <c r="AD137" s="265"/>
      <c r="AE137" s="265"/>
      <c r="AF137" s="265"/>
    </row>
    <row r="138" spans="1:32" ht="13.8">
      <c r="A138" s="265"/>
      <c r="B138" s="316" t="s">
        <v>335</v>
      </c>
      <c r="C138" s="326">
        <f>O38</f>
        <v>3.1666666666666665</v>
      </c>
      <c r="D138" s="316" t="s">
        <v>199</v>
      </c>
      <c r="E138" s="320">
        <f>ROUNDUP(C138/0.67,0)</f>
        <v>5</v>
      </c>
      <c r="F138" s="316" t="s">
        <v>97</v>
      </c>
      <c r="G138" s="322">
        <f t="shared" si="92"/>
        <v>0</v>
      </c>
      <c r="H138" s="323" t="str">
        <f t="shared" si="93"/>
        <v>LF</v>
      </c>
      <c r="I138" s="322">
        <f t="shared" si="94"/>
        <v>0</v>
      </c>
      <c r="J138" s="324" t="str">
        <f t="shared" si="95"/>
        <v>EA</v>
      </c>
      <c r="K138" s="265"/>
      <c r="L138" s="265">
        <v>2</v>
      </c>
      <c r="M138" s="265">
        <f t="shared" si="96"/>
        <v>1</v>
      </c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</row>
    <row r="139" spans="1:32" ht="13.8">
      <c r="A139" s="265"/>
      <c r="B139" s="316"/>
      <c r="C139" s="320"/>
      <c r="D139" s="316"/>
      <c r="E139" s="320"/>
      <c r="F139" s="316"/>
      <c r="G139" s="322"/>
      <c r="H139" s="323"/>
      <c r="I139" s="322"/>
      <c r="J139" s="324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</row>
    <row r="140" spans="1:32" ht="13.8">
      <c r="A140" s="265"/>
      <c r="B140" s="319" t="str">
        <f t="shared" ref="B140:B143" si="97">B47</f>
        <v>Jamb Studs and Headers</v>
      </c>
      <c r="C140" s="320"/>
      <c r="D140" s="316"/>
      <c r="E140" s="320"/>
      <c r="F140" s="316"/>
      <c r="G140" s="320"/>
      <c r="H140" s="288"/>
      <c r="I140" s="320"/>
      <c r="J140" s="288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5"/>
    </row>
    <row r="141" spans="1:32" ht="13.8">
      <c r="A141" s="265"/>
      <c r="B141" s="316" t="str">
        <f t="shared" si="97"/>
        <v>6" 20ga Metal Stud x 12'</v>
      </c>
      <c r="C141" s="320"/>
      <c r="D141" s="316"/>
      <c r="E141" s="320">
        <f t="shared" ref="E141:F141" si="98">D48</f>
        <v>6</v>
      </c>
      <c r="F141" s="316" t="str">
        <f t="shared" si="98"/>
        <v>EA</v>
      </c>
      <c r="G141" s="322"/>
      <c r="H141" s="323"/>
      <c r="I141" s="322">
        <f t="shared" ref="I141:I143" si="99">ROUNDUP((E141*$G$58),0)</f>
        <v>0</v>
      </c>
      <c r="J141" s="324" t="str">
        <f t="shared" ref="J141:J143" si="100">F141</f>
        <v>EA</v>
      </c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65"/>
      <c r="AB141" s="265"/>
      <c r="AC141" s="265"/>
      <c r="AD141" s="265"/>
      <c r="AE141" s="265"/>
      <c r="AF141" s="265"/>
    </row>
    <row r="142" spans="1:32" ht="13.8">
      <c r="A142" s="265"/>
      <c r="B142" s="316" t="str">
        <f t="shared" si="97"/>
        <v>3 5/8" 20ga U-Track x 10'</v>
      </c>
      <c r="C142" s="320"/>
      <c r="D142" s="316"/>
      <c r="E142" s="320">
        <f t="shared" ref="E142:F142" si="101">D49</f>
        <v>6</v>
      </c>
      <c r="F142" s="316" t="str">
        <f t="shared" si="101"/>
        <v>EA</v>
      </c>
      <c r="G142" s="322"/>
      <c r="H142" s="323"/>
      <c r="I142" s="322">
        <f t="shared" si="99"/>
        <v>0</v>
      </c>
      <c r="J142" s="324" t="str">
        <f t="shared" si="100"/>
        <v>EA</v>
      </c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65"/>
      <c r="AB142" s="265"/>
      <c r="AC142" s="265"/>
      <c r="AD142" s="265"/>
      <c r="AE142" s="265"/>
      <c r="AF142" s="265"/>
    </row>
    <row r="143" spans="1:32" ht="13.8">
      <c r="A143" s="265"/>
      <c r="B143" s="316" t="str">
        <f t="shared" si="97"/>
        <v>3 5/8" 20ga Metal Stud x 12'</v>
      </c>
      <c r="C143" s="320"/>
      <c r="D143" s="316"/>
      <c r="E143" s="320">
        <f t="shared" ref="E143:F143" si="102">D50</f>
        <v>8</v>
      </c>
      <c r="F143" s="316" t="str">
        <f t="shared" si="102"/>
        <v>EA</v>
      </c>
      <c r="G143" s="322"/>
      <c r="H143" s="323"/>
      <c r="I143" s="322">
        <f t="shared" si="99"/>
        <v>0</v>
      </c>
      <c r="J143" s="324" t="str">
        <f t="shared" si="100"/>
        <v>EA</v>
      </c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65"/>
      <c r="AB143" s="265"/>
      <c r="AC143" s="265"/>
      <c r="AD143" s="265"/>
      <c r="AE143" s="265"/>
      <c r="AF143" s="265"/>
    </row>
    <row r="144" spans="1:32" ht="13.8">
      <c r="A144" s="265"/>
      <c r="B144" s="316"/>
      <c r="C144" s="320"/>
      <c r="D144" s="316"/>
      <c r="E144" s="320"/>
      <c r="F144" s="316"/>
      <c r="G144" s="322"/>
      <c r="H144" s="323"/>
      <c r="I144" s="322"/>
      <c r="J144" s="324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65"/>
      <c r="AB144" s="265"/>
      <c r="AC144" s="265"/>
      <c r="AD144" s="265"/>
      <c r="AE144" s="265"/>
      <c r="AF144" s="265"/>
    </row>
    <row r="145" spans="1:32" ht="13.8">
      <c r="A145" s="265"/>
      <c r="B145" s="265"/>
      <c r="C145" s="298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65"/>
      <c r="AB145" s="265"/>
      <c r="AC145" s="265"/>
      <c r="AD145" s="265"/>
      <c r="AE145" s="265"/>
      <c r="AF145" s="265"/>
    </row>
    <row r="146" spans="1:32" ht="13.8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65"/>
      <c r="AB146" s="265"/>
      <c r="AC146" s="265"/>
      <c r="AD146" s="265"/>
      <c r="AE146" s="265"/>
      <c r="AF146" s="265"/>
    </row>
    <row r="147" spans="1:32" ht="13.8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5"/>
    </row>
    <row r="148" spans="1:32" ht="13.8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  <c r="AA148" s="265"/>
      <c r="AB148" s="265"/>
      <c r="AC148" s="265"/>
      <c r="AD148" s="265"/>
      <c r="AE148" s="265"/>
      <c r="AF148" s="265"/>
    </row>
    <row r="149" spans="1:32" ht="13.8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  <c r="AA149" s="265"/>
      <c r="AB149" s="265"/>
      <c r="AC149" s="265"/>
      <c r="AD149" s="265"/>
      <c r="AE149" s="265"/>
      <c r="AF149" s="265"/>
    </row>
    <row r="150" spans="1:32" ht="13.8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</row>
    <row r="151" spans="1:32" ht="13.8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  <c r="AA151" s="265"/>
      <c r="AB151" s="265"/>
      <c r="AC151" s="265"/>
      <c r="AD151" s="265"/>
      <c r="AE151" s="265"/>
      <c r="AF151" s="265"/>
    </row>
    <row r="152" spans="1:32" ht="13.8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  <c r="AA152" s="265"/>
      <c r="AB152" s="265"/>
      <c r="AC152" s="265"/>
      <c r="AD152" s="265"/>
      <c r="AE152" s="265"/>
      <c r="AF152" s="265"/>
    </row>
    <row r="153" spans="1:32" ht="13.8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</row>
    <row r="154" spans="1:32" ht="13.8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</row>
    <row r="155" spans="1:32" ht="13.8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  <c r="AA155" s="265"/>
      <c r="AB155" s="265"/>
      <c r="AC155" s="265"/>
      <c r="AD155" s="265"/>
      <c r="AE155" s="265"/>
      <c r="AF155" s="265"/>
    </row>
    <row r="156" spans="1:32" ht="13.8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  <c r="AA156" s="265"/>
      <c r="AB156" s="265"/>
      <c r="AC156" s="265"/>
      <c r="AD156" s="265"/>
      <c r="AE156" s="265"/>
      <c r="AF156" s="265"/>
    </row>
    <row r="157" spans="1:32" ht="13.8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5"/>
    </row>
    <row r="158" spans="1:32" ht="13.8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  <c r="AA158" s="265"/>
      <c r="AB158" s="265"/>
      <c r="AC158" s="265"/>
      <c r="AD158" s="265"/>
      <c r="AE158" s="265"/>
      <c r="AF158" s="265"/>
    </row>
    <row r="159" spans="1:32" ht="13.8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</row>
    <row r="160" spans="1:32" ht="13.8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  <c r="AA160" s="265"/>
      <c r="AB160" s="265"/>
      <c r="AC160" s="265"/>
      <c r="AD160" s="265"/>
      <c r="AE160" s="265"/>
      <c r="AF160" s="265"/>
    </row>
    <row r="161" spans="1:32" ht="13.8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</row>
    <row r="162" spans="1:32" ht="13.8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</row>
    <row r="163" spans="1:32" ht="13.8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</row>
    <row r="164" spans="1:32" ht="13.8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65"/>
      <c r="AB164" s="265"/>
      <c r="AC164" s="265"/>
      <c r="AD164" s="265"/>
      <c r="AE164" s="265"/>
      <c r="AF164" s="265"/>
    </row>
    <row r="165" spans="1:32" ht="13.8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</row>
    <row r="166" spans="1:32" ht="13.8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</row>
    <row r="167" spans="1:32" ht="13.8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</row>
    <row r="168" spans="1:32" ht="13.8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</row>
    <row r="169" spans="1:32" ht="13.8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</row>
    <row r="170" spans="1:32" ht="13.8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</row>
    <row r="171" spans="1:32" ht="13.8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</row>
    <row r="172" spans="1:32" ht="13.8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</row>
    <row r="173" spans="1:32" ht="13.8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</row>
    <row r="174" spans="1:32" ht="13.8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</row>
    <row r="175" spans="1:32" ht="13.8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</row>
    <row r="176" spans="1:32" ht="13.8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</row>
    <row r="177" spans="1:32" ht="13.8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</row>
    <row r="178" spans="1:32" ht="13.8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</row>
    <row r="179" spans="1:32" ht="13.8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</row>
    <row r="180" spans="1:32" ht="13.8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</row>
    <row r="181" spans="1:32" ht="13.8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</row>
    <row r="182" spans="1:32" ht="13.8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</row>
    <row r="183" spans="1:32" ht="13.8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</row>
    <row r="184" spans="1:32" ht="13.8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</row>
    <row r="185" spans="1:32" ht="13.8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</row>
    <row r="186" spans="1:32" ht="13.8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</row>
    <row r="187" spans="1:32" ht="13.8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</row>
    <row r="188" spans="1:32" ht="13.8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</row>
    <row r="189" spans="1:32" ht="13.8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</row>
    <row r="190" spans="1:32" ht="13.8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</row>
    <row r="191" spans="1:32" ht="13.8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</row>
    <row r="192" spans="1:32" ht="13.8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</row>
    <row r="193" spans="1:32" ht="13.8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</row>
    <row r="194" spans="1:32" ht="13.8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</row>
    <row r="195" spans="1:32" ht="13.8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</row>
    <row r="196" spans="1:32" ht="13.8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</row>
    <row r="197" spans="1:32" ht="13.8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</row>
    <row r="198" spans="1:32" ht="13.8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</row>
    <row r="199" spans="1:32" ht="13.8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</row>
    <row r="200" spans="1:32" ht="13.8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</row>
    <row r="201" spans="1:32" ht="13.8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</row>
    <row r="202" spans="1:32" ht="13.8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</row>
    <row r="203" spans="1:32" ht="13.8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</row>
    <row r="204" spans="1:32" ht="13.8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</row>
    <row r="205" spans="1:32" ht="13.8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</row>
    <row r="206" spans="1:32" ht="13.8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</row>
    <row r="207" spans="1:32" ht="13.8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</row>
    <row r="208" spans="1:32" ht="13.8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</row>
    <row r="209" spans="1:32" ht="13.8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</row>
    <row r="210" spans="1:32" ht="13.8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</row>
    <row r="211" spans="1:32" ht="13.8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</row>
    <row r="212" spans="1:32" ht="13.8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</row>
    <row r="213" spans="1:32" ht="13.8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</row>
    <row r="214" spans="1:32" ht="13.8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</row>
    <row r="215" spans="1:32" ht="13.8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</row>
    <row r="216" spans="1:32" ht="13.8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</row>
    <row r="217" spans="1:32" ht="13.8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</row>
    <row r="218" spans="1:32" ht="13.8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</row>
    <row r="219" spans="1:32" ht="13.8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</row>
    <row r="220" spans="1:32" ht="13.8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</row>
    <row r="221" spans="1:32" ht="13.8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</row>
    <row r="222" spans="1:32" ht="13.8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</row>
    <row r="223" spans="1:32" ht="13.8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</row>
    <row r="224" spans="1:32" ht="13.8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</row>
    <row r="225" spans="1:32" ht="13.8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</row>
    <row r="226" spans="1:32" ht="13.8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</row>
    <row r="227" spans="1:32" ht="13.8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</row>
    <row r="228" spans="1:32" ht="13.8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</row>
    <row r="229" spans="1:32" ht="13.8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</row>
    <row r="230" spans="1:32" ht="13.8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</row>
    <row r="231" spans="1:32" ht="13.8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</row>
    <row r="232" spans="1:32" ht="13.8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</row>
    <row r="233" spans="1:32" ht="13.8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</row>
    <row r="234" spans="1:32" ht="13.8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</row>
    <row r="235" spans="1:32" ht="13.8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</row>
    <row r="236" spans="1:32" ht="13.8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</row>
    <row r="237" spans="1:32" ht="13.8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</row>
    <row r="238" spans="1:32" ht="13.8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</row>
    <row r="239" spans="1:32" ht="13.8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</row>
    <row r="240" spans="1:32" ht="13.8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</row>
    <row r="241" spans="1:32" ht="13.8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</row>
    <row r="242" spans="1:32" ht="13.8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</row>
    <row r="243" spans="1:32" ht="13.8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</row>
    <row r="244" spans="1:32" ht="13.8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</row>
    <row r="245" spans="1:32" ht="13.8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</row>
    <row r="246" spans="1:32" ht="13.8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</row>
    <row r="247" spans="1:32" ht="13.8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</row>
    <row r="248" spans="1:32" ht="13.8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</row>
    <row r="249" spans="1:32" ht="13.8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</row>
    <row r="250" spans="1:32" ht="13.8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</row>
    <row r="251" spans="1:32" ht="13.8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</row>
    <row r="252" spans="1:32" ht="13.8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</row>
    <row r="253" spans="1:32" ht="13.8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</row>
    <row r="254" spans="1:32" ht="13.8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</row>
    <row r="255" spans="1:32" ht="13.8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</row>
    <row r="256" spans="1:32" ht="13.8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</row>
    <row r="257" spans="1:32" ht="13.8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</row>
    <row r="258" spans="1:32" ht="13.8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</row>
    <row r="259" spans="1:32" ht="13.8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</row>
    <row r="260" spans="1:32" ht="13.8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</row>
    <row r="261" spans="1:32" ht="13.8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</row>
    <row r="262" spans="1:32" ht="13.8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</row>
    <row r="263" spans="1:32" ht="13.8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</row>
    <row r="264" spans="1:32" ht="13.8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</row>
    <row r="265" spans="1:32" ht="13.8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</row>
    <row r="266" spans="1:32" ht="13.8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</row>
    <row r="267" spans="1:32" ht="13.8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</row>
    <row r="268" spans="1:32" ht="13.8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</row>
    <row r="269" spans="1:32" ht="13.8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</row>
    <row r="270" spans="1:32" ht="13.8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</row>
    <row r="271" spans="1:32" ht="13.8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</row>
    <row r="272" spans="1:32" ht="13.8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</row>
    <row r="273" spans="1:32" ht="13.8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</row>
    <row r="274" spans="1:32" ht="13.8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</row>
    <row r="275" spans="1:32" ht="13.8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</row>
    <row r="276" spans="1:32" ht="13.8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</row>
    <row r="277" spans="1:32" ht="13.8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</row>
    <row r="278" spans="1:32" ht="13.8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</row>
    <row r="279" spans="1:32" ht="13.8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</row>
    <row r="280" spans="1:32" ht="13.8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</row>
    <row r="281" spans="1:32" ht="13.8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</row>
    <row r="282" spans="1:32" ht="13.8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</row>
    <row r="283" spans="1:32" ht="13.8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</row>
    <row r="284" spans="1:32" ht="13.8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</row>
    <row r="285" spans="1:32" ht="13.8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</row>
    <row r="286" spans="1:32" ht="13.8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</row>
    <row r="287" spans="1:32" ht="13.8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</row>
    <row r="288" spans="1:32" ht="13.8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</row>
    <row r="289" spans="1:32" ht="13.8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</row>
    <row r="290" spans="1:32" ht="13.8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</row>
    <row r="291" spans="1:32" ht="13.8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</row>
    <row r="292" spans="1:32" ht="13.8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</row>
    <row r="293" spans="1:32" ht="13.8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</row>
    <row r="294" spans="1:32" ht="13.8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</row>
    <row r="295" spans="1:32" ht="13.8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</row>
    <row r="296" spans="1:32" ht="13.8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</row>
    <row r="297" spans="1:32" ht="13.8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</row>
    <row r="298" spans="1:32" ht="13.8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</row>
    <row r="299" spans="1:32" ht="13.8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</row>
    <row r="300" spans="1:32" ht="13.8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</row>
    <row r="301" spans="1:32" ht="13.8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</row>
    <row r="302" spans="1:32" ht="13.8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</row>
    <row r="303" spans="1:32" ht="13.8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</row>
    <row r="304" spans="1:32" ht="13.8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</row>
    <row r="305" spans="1:32" ht="13.8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</row>
    <row r="306" spans="1:32" ht="13.8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</row>
    <row r="307" spans="1:32" ht="13.8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</row>
    <row r="308" spans="1:32" ht="13.8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</row>
    <row r="309" spans="1:32" ht="13.8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</row>
    <row r="310" spans="1:32" ht="13.8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</row>
    <row r="311" spans="1:32" ht="13.8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</row>
    <row r="312" spans="1:32" ht="13.8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</row>
    <row r="313" spans="1:32" ht="13.8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</row>
    <row r="314" spans="1:32" ht="13.8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</row>
    <row r="315" spans="1:32" ht="13.8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</row>
    <row r="316" spans="1:32" ht="13.8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</row>
    <row r="317" spans="1:32" ht="13.8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</row>
    <row r="318" spans="1:32" ht="13.8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</row>
    <row r="319" spans="1:32" ht="13.8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</row>
    <row r="320" spans="1:32" ht="13.8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</row>
    <row r="321" spans="1:32" ht="13.8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</row>
    <row r="322" spans="1:32" ht="13.8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</row>
    <row r="323" spans="1:32" ht="13.8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</row>
    <row r="324" spans="1:32" ht="13.8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</row>
    <row r="325" spans="1:32" ht="13.8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</row>
    <row r="326" spans="1:32" ht="13.8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</row>
    <row r="327" spans="1:32" ht="13.8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</row>
    <row r="328" spans="1:32" ht="13.8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</row>
    <row r="329" spans="1:32" ht="13.8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</row>
    <row r="330" spans="1:32" ht="13.8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</row>
    <row r="331" spans="1:32" ht="13.8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</row>
    <row r="332" spans="1:32" ht="13.8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</row>
    <row r="333" spans="1:32" ht="13.8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</row>
    <row r="334" spans="1:32" ht="13.8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</row>
    <row r="335" spans="1:32" ht="13.8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</row>
    <row r="336" spans="1:32" ht="13.8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</row>
    <row r="337" spans="1:32" ht="13.8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</row>
    <row r="338" spans="1:32" ht="13.8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</row>
    <row r="339" spans="1:32" ht="13.8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</row>
    <row r="340" spans="1:32" ht="13.8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</row>
    <row r="341" spans="1:32" ht="13.8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</row>
    <row r="342" spans="1:32" ht="13.8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</row>
    <row r="343" spans="1:32" ht="13.8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</row>
    <row r="344" spans="1:32" ht="13.8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</row>
    <row r="345" spans="1:32" ht="13.8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</row>
    <row r="346" spans="1:32" ht="13.8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</row>
    <row r="347" spans="1:32" ht="13.8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</row>
    <row r="348" spans="1:32" ht="13.8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</row>
    <row r="349" spans="1:32" ht="13.8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</row>
    <row r="350" spans="1:32" ht="13.8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</row>
    <row r="351" spans="1:32" ht="13.8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</row>
    <row r="352" spans="1:32" ht="13.8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</row>
    <row r="353" spans="1:32" ht="13.8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</row>
    <row r="354" spans="1:32" ht="13.8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</row>
    <row r="355" spans="1:32" ht="13.8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</row>
    <row r="356" spans="1:32" ht="13.8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</row>
    <row r="357" spans="1:32" ht="13.8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</row>
    <row r="358" spans="1:32" ht="13.8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</row>
    <row r="359" spans="1:32" ht="13.8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</row>
    <row r="360" spans="1:32" ht="13.8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</row>
    <row r="361" spans="1:32" ht="13.8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</row>
    <row r="362" spans="1:32" ht="13.8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</row>
    <row r="363" spans="1:32" ht="13.8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</row>
    <row r="364" spans="1:32" ht="13.8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</row>
    <row r="365" spans="1:32" ht="13.8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</row>
    <row r="366" spans="1:32" ht="13.8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</row>
    <row r="367" spans="1:32" ht="13.8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</row>
    <row r="368" spans="1:32" ht="13.8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</row>
    <row r="369" spans="1:32" ht="13.8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</row>
    <row r="370" spans="1:32" ht="13.8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</row>
    <row r="371" spans="1:32" ht="13.8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</row>
    <row r="372" spans="1:32" ht="13.8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</row>
    <row r="373" spans="1:32" ht="13.8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</row>
    <row r="374" spans="1:32" ht="13.8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</row>
    <row r="375" spans="1:32" ht="13.8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</row>
    <row r="376" spans="1:32" ht="13.8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</row>
    <row r="377" spans="1:32" ht="13.8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</row>
    <row r="378" spans="1:32" ht="13.8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</row>
    <row r="379" spans="1:32" ht="13.8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</row>
    <row r="380" spans="1:32" ht="13.8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</row>
    <row r="381" spans="1:32" ht="13.8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</row>
    <row r="382" spans="1:32" ht="13.8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</row>
    <row r="383" spans="1:32" ht="13.8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</row>
    <row r="384" spans="1:32" ht="13.8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</row>
    <row r="385" spans="1:32" ht="13.8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</row>
    <row r="386" spans="1:32" ht="13.8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</row>
    <row r="387" spans="1:32" ht="13.8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</row>
    <row r="388" spans="1:32" ht="13.8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</row>
    <row r="389" spans="1:32" ht="13.8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</row>
    <row r="390" spans="1:32" ht="13.8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</row>
    <row r="391" spans="1:32" ht="13.8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</row>
    <row r="392" spans="1:32" ht="13.8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</row>
    <row r="393" spans="1:32" ht="13.8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</row>
    <row r="394" spans="1:32" ht="13.8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</row>
    <row r="395" spans="1:32" ht="13.8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</row>
    <row r="396" spans="1:32" ht="13.8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</row>
    <row r="397" spans="1:32" ht="13.8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</row>
    <row r="398" spans="1:32" ht="13.8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</row>
    <row r="399" spans="1:32" ht="13.8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</row>
    <row r="400" spans="1:32" ht="13.8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</row>
    <row r="401" spans="1:32" ht="13.8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</row>
    <row r="402" spans="1:32" ht="13.8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</row>
    <row r="403" spans="1:32" ht="13.8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</row>
    <row r="404" spans="1:32" ht="13.8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</row>
    <row r="405" spans="1:32" ht="13.8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</row>
    <row r="406" spans="1:32" ht="13.8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</row>
    <row r="407" spans="1:32" ht="13.8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  <c r="AA407" s="265"/>
      <c r="AB407" s="265"/>
      <c r="AC407" s="265"/>
      <c r="AD407" s="265"/>
      <c r="AE407" s="265"/>
      <c r="AF407" s="265"/>
    </row>
    <row r="408" spans="1:32" ht="13.8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  <c r="AA408" s="265"/>
      <c r="AB408" s="265"/>
      <c r="AC408" s="265"/>
      <c r="AD408" s="265"/>
      <c r="AE408" s="265"/>
      <c r="AF408" s="265"/>
    </row>
    <row r="409" spans="1:32" ht="13.8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  <c r="AA409" s="265"/>
      <c r="AB409" s="265"/>
      <c r="AC409" s="265"/>
      <c r="AD409" s="265"/>
      <c r="AE409" s="265"/>
      <c r="AF409" s="265"/>
    </row>
    <row r="410" spans="1:32" ht="13.8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  <c r="AA410" s="265"/>
      <c r="AB410" s="265"/>
      <c r="AC410" s="265"/>
      <c r="AD410" s="265"/>
      <c r="AE410" s="265"/>
      <c r="AF410" s="265"/>
    </row>
    <row r="411" spans="1:32" ht="13.8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  <c r="AA411" s="265"/>
      <c r="AB411" s="265"/>
      <c r="AC411" s="265"/>
      <c r="AD411" s="265"/>
      <c r="AE411" s="265"/>
      <c r="AF411" s="265"/>
    </row>
    <row r="412" spans="1:32" ht="13.8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  <c r="AA412" s="265"/>
      <c r="AB412" s="265"/>
      <c r="AC412" s="265"/>
      <c r="AD412" s="265"/>
      <c r="AE412" s="265"/>
      <c r="AF412" s="265"/>
    </row>
    <row r="413" spans="1:32" ht="13.8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  <c r="AA413" s="265"/>
      <c r="AB413" s="265"/>
      <c r="AC413" s="265"/>
      <c r="AD413" s="265"/>
      <c r="AE413" s="265"/>
      <c r="AF413" s="265"/>
    </row>
    <row r="414" spans="1:32" ht="13.8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  <c r="AA414" s="265"/>
      <c r="AB414" s="265"/>
      <c r="AC414" s="265"/>
      <c r="AD414" s="265"/>
      <c r="AE414" s="265"/>
      <c r="AF414" s="265"/>
    </row>
    <row r="415" spans="1:32" ht="13.8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65"/>
      <c r="AB415" s="265"/>
      <c r="AC415" s="265"/>
      <c r="AD415" s="265"/>
      <c r="AE415" s="265"/>
      <c r="AF415" s="265"/>
    </row>
    <row r="416" spans="1:32" ht="13.8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  <c r="AA416" s="265"/>
      <c r="AB416" s="265"/>
      <c r="AC416" s="265"/>
      <c r="AD416" s="265"/>
      <c r="AE416" s="265"/>
      <c r="AF416" s="265"/>
    </row>
    <row r="417" spans="1:32" ht="13.8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5"/>
    </row>
    <row r="418" spans="1:32" ht="13.8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65"/>
      <c r="AB418" s="265"/>
      <c r="AC418" s="265"/>
      <c r="AD418" s="265"/>
      <c r="AE418" s="265"/>
      <c r="AF418" s="265"/>
    </row>
    <row r="419" spans="1:32" ht="13.8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65"/>
      <c r="AB419" s="265"/>
      <c r="AC419" s="265"/>
      <c r="AD419" s="265"/>
      <c r="AE419" s="265"/>
      <c r="AF419" s="265"/>
    </row>
    <row r="420" spans="1:32" ht="13.8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65"/>
      <c r="AB420" s="265"/>
      <c r="AC420" s="265"/>
      <c r="AD420" s="265"/>
      <c r="AE420" s="265"/>
      <c r="AF420" s="265"/>
    </row>
    <row r="421" spans="1:32" ht="13.8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65"/>
      <c r="AB421" s="265"/>
      <c r="AC421" s="265"/>
      <c r="AD421" s="265"/>
      <c r="AE421" s="265"/>
      <c r="AF421" s="265"/>
    </row>
    <row r="422" spans="1:32" ht="13.8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  <c r="AA422" s="265"/>
      <c r="AB422" s="265"/>
      <c r="AC422" s="265"/>
      <c r="AD422" s="265"/>
      <c r="AE422" s="265"/>
      <c r="AF422" s="265"/>
    </row>
    <row r="423" spans="1:32" ht="13.8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  <c r="AA423" s="265"/>
      <c r="AB423" s="265"/>
      <c r="AC423" s="265"/>
      <c r="AD423" s="265"/>
      <c r="AE423" s="265"/>
      <c r="AF423" s="265"/>
    </row>
    <row r="424" spans="1:32" ht="13.8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  <c r="AA424" s="265"/>
      <c r="AB424" s="265"/>
      <c r="AC424" s="265"/>
      <c r="AD424" s="265"/>
      <c r="AE424" s="265"/>
      <c r="AF424" s="265"/>
    </row>
    <row r="425" spans="1:32" ht="13.8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  <c r="AA425" s="265"/>
      <c r="AB425" s="265"/>
      <c r="AC425" s="265"/>
      <c r="AD425" s="265"/>
      <c r="AE425" s="265"/>
      <c r="AF425" s="265"/>
    </row>
    <row r="426" spans="1:32" ht="13.8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  <c r="AA426" s="265"/>
      <c r="AB426" s="265"/>
      <c r="AC426" s="265"/>
      <c r="AD426" s="265"/>
      <c r="AE426" s="265"/>
      <c r="AF426" s="265"/>
    </row>
    <row r="427" spans="1:32" ht="13.8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  <c r="AA427" s="265"/>
      <c r="AB427" s="265"/>
      <c r="AC427" s="265"/>
      <c r="AD427" s="265"/>
      <c r="AE427" s="265"/>
      <c r="AF427" s="265"/>
    </row>
    <row r="428" spans="1:32" ht="13.8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  <c r="AA428" s="265"/>
      <c r="AB428" s="265"/>
      <c r="AC428" s="265"/>
      <c r="AD428" s="265"/>
      <c r="AE428" s="265"/>
      <c r="AF428" s="265"/>
    </row>
    <row r="429" spans="1:32" ht="13.8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  <c r="AA429" s="265"/>
      <c r="AB429" s="265"/>
      <c r="AC429" s="265"/>
      <c r="AD429" s="265"/>
      <c r="AE429" s="265"/>
      <c r="AF429" s="265"/>
    </row>
    <row r="430" spans="1:32" ht="13.8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  <c r="AA430" s="265"/>
      <c r="AB430" s="265"/>
      <c r="AC430" s="265"/>
      <c r="AD430" s="265"/>
      <c r="AE430" s="265"/>
      <c r="AF430" s="265"/>
    </row>
    <row r="431" spans="1:32" ht="13.8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  <c r="AA431" s="265"/>
      <c r="AB431" s="265"/>
      <c r="AC431" s="265"/>
      <c r="AD431" s="265"/>
      <c r="AE431" s="265"/>
      <c r="AF431" s="265"/>
    </row>
    <row r="432" spans="1:32" ht="13.8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  <c r="AA432" s="265"/>
      <c r="AB432" s="265"/>
      <c r="AC432" s="265"/>
      <c r="AD432" s="265"/>
      <c r="AE432" s="265"/>
      <c r="AF432" s="265"/>
    </row>
    <row r="433" spans="1:32" ht="13.8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  <c r="AA433" s="265"/>
      <c r="AB433" s="265"/>
      <c r="AC433" s="265"/>
      <c r="AD433" s="265"/>
      <c r="AE433" s="265"/>
      <c r="AF433" s="265"/>
    </row>
    <row r="434" spans="1:32" ht="13.8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  <c r="AA434" s="265"/>
      <c r="AB434" s="265"/>
      <c r="AC434" s="265"/>
      <c r="AD434" s="265"/>
      <c r="AE434" s="265"/>
      <c r="AF434" s="265"/>
    </row>
    <row r="435" spans="1:32" ht="13.8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  <c r="AA435" s="265"/>
      <c r="AB435" s="265"/>
      <c r="AC435" s="265"/>
      <c r="AD435" s="265"/>
      <c r="AE435" s="265"/>
      <c r="AF435" s="265"/>
    </row>
    <row r="436" spans="1:32" ht="13.8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  <c r="AA436" s="265"/>
      <c r="AB436" s="265"/>
      <c r="AC436" s="265"/>
      <c r="AD436" s="265"/>
      <c r="AE436" s="265"/>
      <c r="AF436" s="265"/>
    </row>
    <row r="437" spans="1:32" ht="13.8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  <c r="AA437" s="265"/>
      <c r="AB437" s="265"/>
      <c r="AC437" s="265"/>
      <c r="AD437" s="265"/>
      <c r="AE437" s="265"/>
      <c r="AF437" s="265"/>
    </row>
    <row r="438" spans="1:32" ht="13.8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  <c r="AA438" s="265"/>
      <c r="AB438" s="265"/>
      <c r="AC438" s="265"/>
      <c r="AD438" s="265"/>
      <c r="AE438" s="265"/>
      <c r="AF438" s="265"/>
    </row>
    <row r="439" spans="1:32" ht="13.8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  <c r="AA439" s="265"/>
      <c r="AB439" s="265"/>
      <c r="AC439" s="265"/>
      <c r="AD439" s="265"/>
      <c r="AE439" s="265"/>
      <c r="AF439" s="265"/>
    </row>
    <row r="440" spans="1:32" ht="13.8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  <c r="AA440" s="265"/>
      <c r="AB440" s="265"/>
      <c r="AC440" s="265"/>
      <c r="AD440" s="265"/>
      <c r="AE440" s="265"/>
      <c r="AF440" s="265"/>
    </row>
    <row r="441" spans="1:32" ht="13.8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  <c r="AA441" s="265"/>
      <c r="AB441" s="265"/>
      <c r="AC441" s="265"/>
      <c r="AD441" s="265"/>
      <c r="AE441" s="265"/>
      <c r="AF441" s="265"/>
    </row>
    <row r="442" spans="1:32" ht="13.8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  <c r="AA442" s="265"/>
      <c r="AB442" s="265"/>
      <c r="AC442" s="265"/>
      <c r="AD442" s="265"/>
      <c r="AE442" s="265"/>
      <c r="AF442" s="265"/>
    </row>
    <row r="443" spans="1:32" ht="13.8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  <c r="AA443" s="265"/>
      <c r="AB443" s="265"/>
      <c r="AC443" s="265"/>
      <c r="AD443" s="265"/>
      <c r="AE443" s="265"/>
      <c r="AF443" s="265"/>
    </row>
    <row r="444" spans="1:32" ht="13.8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  <c r="AA444" s="265"/>
      <c r="AB444" s="265"/>
      <c r="AC444" s="265"/>
      <c r="AD444" s="265"/>
      <c r="AE444" s="265"/>
      <c r="AF444" s="265"/>
    </row>
    <row r="445" spans="1:32" ht="13.8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65"/>
      <c r="AB445" s="265"/>
      <c r="AC445" s="265"/>
      <c r="AD445" s="265"/>
      <c r="AE445" s="265"/>
      <c r="AF445" s="265"/>
    </row>
    <row r="446" spans="1:32" ht="13.8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65"/>
      <c r="AB446" s="265"/>
      <c r="AC446" s="265"/>
      <c r="AD446" s="265"/>
      <c r="AE446" s="265"/>
      <c r="AF446" s="265"/>
    </row>
    <row r="447" spans="1:32" ht="13.8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65"/>
      <c r="AB447" s="265"/>
      <c r="AC447" s="265"/>
      <c r="AD447" s="265"/>
      <c r="AE447" s="265"/>
      <c r="AF447" s="265"/>
    </row>
    <row r="448" spans="1:32" ht="13.8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65"/>
      <c r="AB448" s="265"/>
      <c r="AC448" s="265"/>
      <c r="AD448" s="265"/>
      <c r="AE448" s="265"/>
      <c r="AF448" s="265"/>
    </row>
    <row r="449" spans="1:32" ht="13.8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65"/>
      <c r="AB449" s="265"/>
      <c r="AC449" s="265"/>
      <c r="AD449" s="265"/>
      <c r="AE449" s="265"/>
      <c r="AF449" s="265"/>
    </row>
    <row r="450" spans="1:32" ht="13.8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  <c r="AA450" s="265"/>
      <c r="AB450" s="265"/>
      <c r="AC450" s="265"/>
      <c r="AD450" s="265"/>
      <c r="AE450" s="265"/>
      <c r="AF450" s="265"/>
    </row>
    <row r="451" spans="1:32" ht="13.8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  <c r="AA451" s="265"/>
      <c r="AB451" s="265"/>
      <c r="AC451" s="265"/>
      <c r="AD451" s="265"/>
      <c r="AE451" s="265"/>
      <c r="AF451" s="265"/>
    </row>
    <row r="452" spans="1:32" ht="13.8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  <c r="AA452" s="265"/>
      <c r="AB452" s="265"/>
      <c r="AC452" s="265"/>
      <c r="AD452" s="265"/>
      <c r="AE452" s="265"/>
      <c r="AF452" s="265"/>
    </row>
    <row r="453" spans="1:32" ht="13.8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  <c r="AA453" s="265"/>
      <c r="AB453" s="265"/>
      <c r="AC453" s="265"/>
      <c r="AD453" s="265"/>
      <c r="AE453" s="265"/>
      <c r="AF453" s="265"/>
    </row>
    <row r="454" spans="1:32" ht="13.8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  <c r="AA454" s="265"/>
      <c r="AB454" s="265"/>
      <c r="AC454" s="265"/>
      <c r="AD454" s="265"/>
      <c r="AE454" s="265"/>
      <c r="AF454" s="265"/>
    </row>
    <row r="455" spans="1:32" ht="13.8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  <c r="AA455" s="265"/>
      <c r="AB455" s="265"/>
      <c r="AC455" s="265"/>
      <c r="AD455" s="265"/>
      <c r="AE455" s="265"/>
      <c r="AF455" s="265"/>
    </row>
    <row r="456" spans="1:32" ht="13.8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  <c r="AA456" s="265"/>
      <c r="AB456" s="265"/>
      <c r="AC456" s="265"/>
      <c r="AD456" s="265"/>
      <c r="AE456" s="265"/>
      <c r="AF456" s="265"/>
    </row>
    <row r="457" spans="1:32" ht="13.8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  <c r="AA457" s="265"/>
      <c r="AB457" s="265"/>
      <c r="AC457" s="265"/>
      <c r="AD457" s="265"/>
      <c r="AE457" s="265"/>
      <c r="AF457" s="265"/>
    </row>
    <row r="458" spans="1:32" ht="13.8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  <c r="AA458" s="265"/>
      <c r="AB458" s="265"/>
      <c r="AC458" s="265"/>
      <c r="AD458" s="265"/>
      <c r="AE458" s="265"/>
      <c r="AF458" s="265"/>
    </row>
    <row r="459" spans="1:32" ht="13.8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  <c r="AA459" s="265"/>
      <c r="AB459" s="265"/>
      <c r="AC459" s="265"/>
      <c r="AD459" s="265"/>
      <c r="AE459" s="265"/>
      <c r="AF459" s="265"/>
    </row>
    <row r="460" spans="1:32" ht="13.8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  <c r="AA460" s="265"/>
      <c r="AB460" s="265"/>
      <c r="AC460" s="265"/>
      <c r="AD460" s="265"/>
      <c r="AE460" s="265"/>
      <c r="AF460" s="265"/>
    </row>
    <row r="461" spans="1:32" ht="13.8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  <c r="AA461" s="265"/>
      <c r="AB461" s="265"/>
      <c r="AC461" s="265"/>
      <c r="AD461" s="265"/>
      <c r="AE461" s="265"/>
      <c r="AF461" s="265"/>
    </row>
    <row r="462" spans="1:32" ht="13.8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  <c r="AA462" s="265"/>
      <c r="AB462" s="265"/>
      <c r="AC462" s="265"/>
      <c r="AD462" s="265"/>
      <c r="AE462" s="265"/>
      <c r="AF462" s="265"/>
    </row>
    <row r="463" spans="1:32" ht="13.8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  <c r="AA463" s="265"/>
      <c r="AB463" s="265"/>
      <c r="AC463" s="265"/>
      <c r="AD463" s="265"/>
      <c r="AE463" s="265"/>
      <c r="AF463" s="265"/>
    </row>
    <row r="464" spans="1:32" ht="13.8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  <c r="AA464" s="265"/>
      <c r="AB464" s="265"/>
      <c r="AC464" s="265"/>
      <c r="AD464" s="265"/>
      <c r="AE464" s="265"/>
      <c r="AF464" s="265"/>
    </row>
    <row r="465" spans="1:32" ht="13.8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  <c r="AA465" s="265"/>
      <c r="AB465" s="265"/>
      <c r="AC465" s="265"/>
      <c r="AD465" s="265"/>
      <c r="AE465" s="265"/>
      <c r="AF465" s="265"/>
    </row>
    <row r="466" spans="1:32" ht="13.8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  <c r="AA466" s="265"/>
      <c r="AB466" s="265"/>
      <c r="AC466" s="265"/>
      <c r="AD466" s="265"/>
      <c r="AE466" s="265"/>
      <c r="AF466" s="265"/>
    </row>
    <row r="467" spans="1:32" ht="13.8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  <c r="AA467" s="265"/>
      <c r="AB467" s="265"/>
      <c r="AC467" s="265"/>
      <c r="AD467" s="265"/>
      <c r="AE467" s="265"/>
      <c r="AF467" s="265"/>
    </row>
    <row r="468" spans="1:32" ht="13.8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  <c r="AA468" s="265"/>
      <c r="AB468" s="265"/>
      <c r="AC468" s="265"/>
      <c r="AD468" s="265"/>
      <c r="AE468" s="265"/>
      <c r="AF468" s="265"/>
    </row>
    <row r="469" spans="1:32" ht="13.8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5"/>
    </row>
    <row r="470" spans="1:32" ht="13.8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  <c r="AA470" s="265"/>
      <c r="AB470" s="265"/>
      <c r="AC470" s="265"/>
      <c r="AD470" s="265"/>
      <c r="AE470" s="265"/>
      <c r="AF470" s="265"/>
    </row>
    <row r="471" spans="1:32" ht="13.8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  <c r="AA471" s="265"/>
      <c r="AB471" s="265"/>
      <c r="AC471" s="265"/>
      <c r="AD471" s="265"/>
      <c r="AE471" s="265"/>
      <c r="AF471" s="265"/>
    </row>
    <row r="472" spans="1:32" ht="13.8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  <c r="AA472" s="265"/>
      <c r="AB472" s="265"/>
      <c r="AC472" s="265"/>
      <c r="AD472" s="265"/>
      <c r="AE472" s="265"/>
      <c r="AF472" s="265"/>
    </row>
    <row r="473" spans="1:32" ht="13.8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65"/>
      <c r="AB473" s="265"/>
      <c r="AC473" s="265"/>
      <c r="AD473" s="265"/>
      <c r="AE473" s="265"/>
      <c r="AF473" s="265"/>
    </row>
    <row r="474" spans="1:32" ht="13.8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65"/>
      <c r="AB474" s="265"/>
      <c r="AC474" s="265"/>
      <c r="AD474" s="265"/>
      <c r="AE474" s="265"/>
      <c r="AF474" s="265"/>
    </row>
    <row r="475" spans="1:32" ht="13.8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65"/>
      <c r="AB475" s="265"/>
      <c r="AC475" s="265"/>
      <c r="AD475" s="265"/>
      <c r="AE475" s="265"/>
      <c r="AF475" s="265"/>
    </row>
    <row r="476" spans="1:32" ht="13.8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65"/>
      <c r="AB476" s="265"/>
      <c r="AC476" s="265"/>
      <c r="AD476" s="265"/>
      <c r="AE476" s="265"/>
      <c r="AF476" s="265"/>
    </row>
    <row r="477" spans="1:32" ht="13.8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65"/>
      <c r="AB477" s="265"/>
      <c r="AC477" s="265"/>
      <c r="AD477" s="265"/>
      <c r="AE477" s="265"/>
      <c r="AF477" s="265"/>
    </row>
    <row r="478" spans="1:32" ht="13.8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  <c r="AA478" s="265"/>
      <c r="AB478" s="265"/>
      <c r="AC478" s="265"/>
      <c r="AD478" s="265"/>
      <c r="AE478" s="265"/>
      <c r="AF478" s="265"/>
    </row>
    <row r="479" spans="1:32" ht="13.8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  <c r="AA479" s="265"/>
      <c r="AB479" s="265"/>
      <c r="AC479" s="265"/>
      <c r="AD479" s="265"/>
      <c r="AE479" s="265"/>
      <c r="AF479" s="265"/>
    </row>
    <row r="480" spans="1:32" ht="13.8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  <c r="AA480" s="265"/>
      <c r="AB480" s="265"/>
      <c r="AC480" s="265"/>
      <c r="AD480" s="265"/>
      <c r="AE480" s="265"/>
      <c r="AF480" s="265"/>
    </row>
    <row r="481" spans="1:32" ht="13.8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  <c r="AA481" s="265"/>
      <c r="AB481" s="265"/>
      <c r="AC481" s="265"/>
      <c r="AD481" s="265"/>
      <c r="AE481" s="265"/>
      <c r="AF481" s="265"/>
    </row>
    <row r="482" spans="1:32" ht="13.8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  <c r="AA482" s="265"/>
      <c r="AB482" s="265"/>
      <c r="AC482" s="265"/>
      <c r="AD482" s="265"/>
      <c r="AE482" s="265"/>
      <c r="AF482" s="265"/>
    </row>
    <row r="483" spans="1:32" ht="13.8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  <c r="AA483" s="265"/>
      <c r="AB483" s="265"/>
      <c r="AC483" s="265"/>
      <c r="AD483" s="265"/>
      <c r="AE483" s="265"/>
      <c r="AF483" s="265"/>
    </row>
    <row r="484" spans="1:32" ht="13.8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  <c r="AA484" s="265"/>
      <c r="AB484" s="265"/>
      <c r="AC484" s="265"/>
      <c r="AD484" s="265"/>
      <c r="AE484" s="265"/>
      <c r="AF484" s="265"/>
    </row>
    <row r="485" spans="1:32" ht="13.8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  <c r="AA485" s="265"/>
      <c r="AB485" s="265"/>
      <c r="AC485" s="265"/>
      <c r="AD485" s="265"/>
      <c r="AE485" s="265"/>
      <c r="AF485" s="265"/>
    </row>
    <row r="486" spans="1:32" ht="13.8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  <c r="AA486" s="265"/>
      <c r="AB486" s="265"/>
      <c r="AC486" s="265"/>
      <c r="AD486" s="265"/>
      <c r="AE486" s="265"/>
      <c r="AF486" s="265"/>
    </row>
    <row r="487" spans="1:32" ht="13.8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  <c r="AA487" s="265"/>
      <c r="AB487" s="265"/>
      <c r="AC487" s="265"/>
      <c r="AD487" s="265"/>
      <c r="AE487" s="265"/>
      <c r="AF487" s="265"/>
    </row>
    <row r="488" spans="1:32" ht="13.8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  <c r="AA488" s="265"/>
      <c r="AB488" s="265"/>
      <c r="AC488" s="265"/>
      <c r="AD488" s="265"/>
      <c r="AE488" s="265"/>
      <c r="AF488" s="265"/>
    </row>
    <row r="489" spans="1:32" ht="13.8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  <c r="AA489" s="265"/>
      <c r="AB489" s="265"/>
      <c r="AC489" s="265"/>
      <c r="AD489" s="265"/>
      <c r="AE489" s="265"/>
      <c r="AF489" s="265"/>
    </row>
    <row r="490" spans="1:32" ht="13.8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  <c r="AA490" s="265"/>
      <c r="AB490" s="265"/>
      <c r="AC490" s="265"/>
      <c r="AD490" s="265"/>
      <c r="AE490" s="265"/>
      <c r="AF490" s="265"/>
    </row>
    <row r="491" spans="1:32" ht="13.8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  <c r="AA491" s="265"/>
      <c r="AB491" s="265"/>
      <c r="AC491" s="265"/>
      <c r="AD491" s="265"/>
      <c r="AE491" s="265"/>
      <c r="AF491" s="265"/>
    </row>
    <row r="492" spans="1:32" ht="13.8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  <c r="AA492" s="265"/>
      <c r="AB492" s="265"/>
      <c r="AC492" s="265"/>
      <c r="AD492" s="265"/>
      <c r="AE492" s="265"/>
      <c r="AF492" s="265"/>
    </row>
    <row r="493" spans="1:32" ht="13.8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  <c r="AA493" s="265"/>
      <c r="AB493" s="265"/>
      <c r="AC493" s="265"/>
      <c r="AD493" s="265"/>
      <c r="AE493" s="265"/>
      <c r="AF493" s="265"/>
    </row>
    <row r="494" spans="1:32" ht="13.8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  <c r="AA494" s="265"/>
      <c r="AB494" s="265"/>
      <c r="AC494" s="265"/>
      <c r="AD494" s="265"/>
      <c r="AE494" s="265"/>
      <c r="AF494" s="265"/>
    </row>
    <row r="495" spans="1:32" ht="13.8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  <c r="AA495" s="265"/>
      <c r="AB495" s="265"/>
      <c r="AC495" s="265"/>
      <c r="AD495" s="265"/>
      <c r="AE495" s="265"/>
      <c r="AF495" s="265"/>
    </row>
    <row r="496" spans="1:32" ht="13.8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  <c r="AA496" s="265"/>
      <c r="AB496" s="265"/>
      <c r="AC496" s="265"/>
      <c r="AD496" s="265"/>
      <c r="AE496" s="265"/>
      <c r="AF496" s="265"/>
    </row>
    <row r="497" spans="1:32" ht="13.8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  <c r="AA497" s="265"/>
      <c r="AB497" s="265"/>
      <c r="AC497" s="265"/>
      <c r="AD497" s="265"/>
      <c r="AE497" s="265"/>
      <c r="AF497" s="265"/>
    </row>
    <row r="498" spans="1:32" ht="13.8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  <c r="AA498" s="265"/>
      <c r="AB498" s="265"/>
      <c r="AC498" s="265"/>
      <c r="AD498" s="265"/>
      <c r="AE498" s="265"/>
      <c r="AF498" s="265"/>
    </row>
    <row r="499" spans="1:32" ht="13.8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  <c r="AA499" s="265"/>
      <c r="AB499" s="265"/>
      <c r="AC499" s="265"/>
      <c r="AD499" s="265"/>
      <c r="AE499" s="265"/>
      <c r="AF499" s="265"/>
    </row>
    <row r="500" spans="1:32" ht="13.8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  <c r="AA500" s="265"/>
      <c r="AB500" s="265"/>
      <c r="AC500" s="265"/>
      <c r="AD500" s="265"/>
      <c r="AE500" s="265"/>
      <c r="AF500" s="265"/>
    </row>
    <row r="501" spans="1:32" ht="13.8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65"/>
      <c r="AB501" s="265"/>
      <c r="AC501" s="265"/>
      <c r="AD501" s="265"/>
      <c r="AE501" s="265"/>
      <c r="AF501" s="265"/>
    </row>
    <row r="502" spans="1:32" ht="13.8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65"/>
      <c r="AB502" s="265"/>
      <c r="AC502" s="265"/>
      <c r="AD502" s="265"/>
      <c r="AE502" s="265"/>
      <c r="AF502" s="265"/>
    </row>
    <row r="503" spans="1:32" ht="13.8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  <c r="AA503" s="265"/>
      <c r="AB503" s="265"/>
      <c r="AC503" s="265"/>
      <c r="AD503" s="265"/>
      <c r="AE503" s="265"/>
      <c r="AF503" s="265"/>
    </row>
    <row r="504" spans="1:32" ht="13.8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  <c r="AA504" s="265"/>
      <c r="AB504" s="265"/>
      <c r="AC504" s="265"/>
      <c r="AD504" s="265"/>
      <c r="AE504" s="265"/>
      <c r="AF504" s="265"/>
    </row>
    <row r="505" spans="1:32" ht="13.8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  <c r="AA505" s="265"/>
      <c r="AB505" s="265"/>
      <c r="AC505" s="265"/>
      <c r="AD505" s="265"/>
      <c r="AE505" s="265"/>
      <c r="AF505" s="265"/>
    </row>
    <row r="506" spans="1:32" ht="13.8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  <c r="AA506" s="265"/>
      <c r="AB506" s="265"/>
      <c r="AC506" s="265"/>
      <c r="AD506" s="265"/>
      <c r="AE506" s="265"/>
      <c r="AF506" s="265"/>
    </row>
    <row r="507" spans="1:32" ht="13.8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  <c r="AA507" s="265"/>
      <c r="AB507" s="265"/>
      <c r="AC507" s="265"/>
      <c r="AD507" s="265"/>
      <c r="AE507" s="265"/>
      <c r="AF507" s="265"/>
    </row>
    <row r="508" spans="1:32" ht="13.8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  <c r="AA508" s="265"/>
      <c r="AB508" s="265"/>
      <c r="AC508" s="265"/>
      <c r="AD508" s="265"/>
      <c r="AE508" s="265"/>
      <c r="AF508" s="265"/>
    </row>
    <row r="509" spans="1:32" ht="13.8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  <c r="AA509" s="265"/>
      <c r="AB509" s="265"/>
      <c r="AC509" s="265"/>
      <c r="AD509" s="265"/>
      <c r="AE509" s="265"/>
      <c r="AF509" s="265"/>
    </row>
    <row r="510" spans="1:32" ht="13.8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  <c r="AA510" s="265"/>
      <c r="AB510" s="265"/>
      <c r="AC510" s="265"/>
      <c r="AD510" s="265"/>
      <c r="AE510" s="265"/>
      <c r="AF510" s="265"/>
    </row>
    <row r="511" spans="1:32" ht="13.8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  <c r="AA511" s="265"/>
      <c r="AB511" s="265"/>
      <c r="AC511" s="265"/>
      <c r="AD511" s="265"/>
      <c r="AE511" s="265"/>
      <c r="AF511" s="265"/>
    </row>
    <row r="512" spans="1:32" ht="13.8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  <c r="AA512" s="265"/>
      <c r="AB512" s="265"/>
      <c r="AC512" s="265"/>
      <c r="AD512" s="265"/>
      <c r="AE512" s="265"/>
      <c r="AF512" s="265"/>
    </row>
    <row r="513" spans="1:32" ht="13.8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  <c r="AA513" s="265"/>
      <c r="AB513" s="265"/>
      <c r="AC513" s="265"/>
      <c r="AD513" s="265"/>
      <c r="AE513" s="265"/>
      <c r="AF513" s="265"/>
    </row>
    <row r="514" spans="1:32" ht="13.8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  <c r="AA514" s="265"/>
      <c r="AB514" s="265"/>
      <c r="AC514" s="265"/>
      <c r="AD514" s="265"/>
      <c r="AE514" s="265"/>
      <c r="AF514" s="265"/>
    </row>
    <row r="515" spans="1:32" ht="13.8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  <c r="AA515" s="265"/>
      <c r="AB515" s="265"/>
      <c r="AC515" s="265"/>
      <c r="AD515" s="265"/>
      <c r="AE515" s="265"/>
      <c r="AF515" s="265"/>
    </row>
    <row r="516" spans="1:32" ht="13.8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  <c r="AA516" s="265"/>
      <c r="AB516" s="265"/>
      <c r="AC516" s="265"/>
      <c r="AD516" s="265"/>
      <c r="AE516" s="265"/>
      <c r="AF516" s="265"/>
    </row>
    <row r="517" spans="1:32" ht="13.8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  <c r="AA517" s="265"/>
      <c r="AB517" s="265"/>
      <c r="AC517" s="265"/>
      <c r="AD517" s="265"/>
      <c r="AE517" s="265"/>
      <c r="AF517" s="265"/>
    </row>
    <row r="518" spans="1:32" ht="13.8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  <c r="AA518" s="265"/>
      <c r="AB518" s="265"/>
      <c r="AC518" s="265"/>
      <c r="AD518" s="265"/>
      <c r="AE518" s="265"/>
      <c r="AF518" s="265"/>
    </row>
    <row r="519" spans="1:32" ht="13.8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  <c r="AA519" s="265"/>
      <c r="AB519" s="265"/>
      <c r="AC519" s="265"/>
      <c r="AD519" s="265"/>
      <c r="AE519" s="265"/>
      <c r="AF519" s="265"/>
    </row>
    <row r="520" spans="1:32" ht="13.8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  <c r="AA520" s="265"/>
      <c r="AB520" s="265"/>
      <c r="AC520" s="265"/>
      <c r="AD520" s="265"/>
      <c r="AE520" s="265"/>
      <c r="AF520" s="265"/>
    </row>
    <row r="521" spans="1:32" ht="13.8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5"/>
    </row>
    <row r="522" spans="1:32" ht="13.8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  <c r="AA522" s="265"/>
      <c r="AB522" s="265"/>
      <c r="AC522" s="265"/>
      <c r="AD522" s="265"/>
      <c r="AE522" s="265"/>
      <c r="AF522" s="265"/>
    </row>
    <row r="523" spans="1:32" ht="13.8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  <c r="AA523" s="265"/>
      <c r="AB523" s="265"/>
      <c r="AC523" s="265"/>
      <c r="AD523" s="265"/>
      <c r="AE523" s="265"/>
      <c r="AF523" s="265"/>
    </row>
    <row r="524" spans="1:32" ht="13.8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  <c r="AA524" s="265"/>
      <c r="AB524" s="265"/>
      <c r="AC524" s="265"/>
      <c r="AD524" s="265"/>
      <c r="AE524" s="265"/>
      <c r="AF524" s="265"/>
    </row>
    <row r="525" spans="1:32" ht="13.8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  <c r="AA525" s="265"/>
      <c r="AB525" s="265"/>
      <c r="AC525" s="265"/>
      <c r="AD525" s="265"/>
      <c r="AE525" s="265"/>
      <c r="AF525" s="265"/>
    </row>
    <row r="526" spans="1:32" ht="13.8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  <c r="AA526" s="265"/>
      <c r="AB526" s="265"/>
      <c r="AC526" s="265"/>
      <c r="AD526" s="265"/>
      <c r="AE526" s="265"/>
      <c r="AF526" s="265"/>
    </row>
    <row r="527" spans="1:32" ht="13.8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  <c r="AA527" s="265"/>
      <c r="AB527" s="265"/>
      <c r="AC527" s="265"/>
      <c r="AD527" s="265"/>
      <c r="AE527" s="265"/>
      <c r="AF527" s="265"/>
    </row>
    <row r="528" spans="1:32" ht="13.8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  <c r="AA528" s="265"/>
      <c r="AB528" s="265"/>
      <c r="AC528" s="265"/>
      <c r="AD528" s="265"/>
      <c r="AE528" s="265"/>
      <c r="AF528" s="265"/>
    </row>
    <row r="529" spans="1:32" ht="13.8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  <c r="AA529" s="265"/>
      <c r="AB529" s="265"/>
      <c r="AC529" s="265"/>
      <c r="AD529" s="265"/>
      <c r="AE529" s="265"/>
      <c r="AF529" s="265"/>
    </row>
    <row r="530" spans="1:32" ht="13.8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  <c r="AA530" s="265"/>
      <c r="AB530" s="265"/>
      <c r="AC530" s="265"/>
      <c r="AD530" s="265"/>
      <c r="AE530" s="265"/>
      <c r="AF530" s="265"/>
    </row>
    <row r="531" spans="1:32" ht="13.8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  <c r="AA531" s="265"/>
      <c r="AB531" s="265"/>
      <c r="AC531" s="265"/>
      <c r="AD531" s="265"/>
      <c r="AE531" s="265"/>
      <c r="AF531" s="265"/>
    </row>
    <row r="532" spans="1:32" ht="13.8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  <c r="AA532" s="265"/>
      <c r="AB532" s="265"/>
      <c r="AC532" s="265"/>
      <c r="AD532" s="265"/>
      <c r="AE532" s="265"/>
      <c r="AF532" s="265"/>
    </row>
    <row r="533" spans="1:32" ht="13.8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  <c r="AA533" s="265"/>
      <c r="AB533" s="265"/>
      <c r="AC533" s="265"/>
      <c r="AD533" s="265"/>
      <c r="AE533" s="265"/>
      <c r="AF533" s="265"/>
    </row>
    <row r="534" spans="1:32" ht="13.8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  <c r="AA534" s="265"/>
      <c r="AB534" s="265"/>
      <c r="AC534" s="265"/>
      <c r="AD534" s="265"/>
      <c r="AE534" s="265"/>
      <c r="AF534" s="265"/>
    </row>
    <row r="535" spans="1:32" ht="13.8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  <c r="AA535" s="265"/>
      <c r="AB535" s="265"/>
      <c r="AC535" s="265"/>
      <c r="AD535" s="265"/>
      <c r="AE535" s="265"/>
      <c r="AF535" s="265"/>
    </row>
    <row r="536" spans="1:32" ht="13.8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  <c r="AA536" s="265"/>
      <c r="AB536" s="265"/>
      <c r="AC536" s="265"/>
      <c r="AD536" s="265"/>
      <c r="AE536" s="265"/>
      <c r="AF536" s="265"/>
    </row>
    <row r="537" spans="1:32" ht="13.8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  <c r="AA537" s="265"/>
      <c r="AB537" s="265"/>
      <c r="AC537" s="265"/>
      <c r="AD537" s="265"/>
      <c r="AE537" s="265"/>
      <c r="AF537" s="265"/>
    </row>
    <row r="538" spans="1:32" ht="13.8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  <c r="AA538" s="265"/>
      <c r="AB538" s="265"/>
      <c r="AC538" s="265"/>
      <c r="AD538" s="265"/>
      <c r="AE538" s="265"/>
      <c r="AF538" s="265"/>
    </row>
    <row r="539" spans="1:32" ht="13.8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  <c r="AA539" s="265"/>
      <c r="AB539" s="265"/>
      <c r="AC539" s="265"/>
      <c r="AD539" s="265"/>
      <c r="AE539" s="265"/>
      <c r="AF539" s="265"/>
    </row>
    <row r="540" spans="1:32" ht="13.8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  <c r="AA540" s="265"/>
      <c r="AB540" s="265"/>
      <c r="AC540" s="265"/>
      <c r="AD540" s="265"/>
      <c r="AE540" s="265"/>
      <c r="AF540" s="265"/>
    </row>
    <row r="541" spans="1:32" ht="13.8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  <c r="AA541" s="265"/>
      <c r="AB541" s="265"/>
      <c r="AC541" s="265"/>
      <c r="AD541" s="265"/>
      <c r="AE541" s="265"/>
      <c r="AF541" s="265"/>
    </row>
    <row r="542" spans="1:32" ht="13.8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  <c r="AA542" s="265"/>
      <c r="AB542" s="265"/>
      <c r="AC542" s="265"/>
      <c r="AD542" s="265"/>
      <c r="AE542" s="265"/>
      <c r="AF542" s="265"/>
    </row>
    <row r="543" spans="1:32" ht="13.8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  <c r="AA543" s="265"/>
      <c r="AB543" s="265"/>
      <c r="AC543" s="265"/>
      <c r="AD543" s="265"/>
      <c r="AE543" s="265"/>
      <c r="AF543" s="265"/>
    </row>
    <row r="544" spans="1:32" ht="13.8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  <c r="AA544" s="265"/>
      <c r="AB544" s="265"/>
      <c r="AC544" s="265"/>
      <c r="AD544" s="265"/>
      <c r="AE544" s="265"/>
      <c r="AF544" s="265"/>
    </row>
    <row r="545" spans="1:32" ht="13.8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  <c r="AA545" s="265"/>
      <c r="AB545" s="265"/>
      <c r="AC545" s="265"/>
      <c r="AD545" s="265"/>
      <c r="AE545" s="265"/>
      <c r="AF545" s="265"/>
    </row>
    <row r="546" spans="1:32" ht="13.8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  <c r="AA546" s="265"/>
      <c r="AB546" s="265"/>
      <c r="AC546" s="265"/>
      <c r="AD546" s="265"/>
      <c r="AE546" s="265"/>
      <c r="AF546" s="265"/>
    </row>
    <row r="547" spans="1:32" ht="13.8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  <c r="AA547" s="265"/>
      <c r="AB547" s="265"/>
      <c r="AC547" s="265"/>
      <c r="AD547" s="265"/>
      <c r="AE547" s="265"/>
      <c r="AF547" s="265"/>
    </row>
    <row r="548" spans="1:32" ht="13.8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  <c r="AA548" s="265"/>
      <c r="AB548" s="265"/>
      <c r="AC548" s="265"/>
      <c r="AD548" s="265"/>
      <c r="AE548" s="265"/>
      <c r="AF548" s="265"/>
    </row>
    <row r="549" spans="1:32" ht="13.8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  <c r="AA549" s="265"/>
      <c r="AB549" s="265"/>
      <c r="AC549" s="265"/>
      <c r="AD549" s="265"/>
      <c r="AE549" s="265"/>
      <c r="AF549" s="265"/>
    </row>
    <row r="550" spans="1:32" ht="13.8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  <c r="AA550" s="265"/>
      <c r="AB550" s="265"/>
      <c r="AC550" s="265"/>
      <c r="AD550" s="265"/>
      <c r="AE550" s="265"/>
      <c r="AF550" s="265"/>
    </row>
    <row r="551" spans="1:32" ht="13.8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  <c r="AA551" s="265"/>
      <c r="AB551" s="265"/>
      <c r="AC551" s="265"/>
      <c r="AD551" s="265"/>
      <c r="AE551" s="265"/>
      <c r="AF551" s="265"/>
    </row>
    <row r="552" spans="1:32" ht="13.8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  <c r="AA552" s="265"/>
      <c r="AB552" s="265"/>
      <c r="AC552" s="265"/>
      <c r="AD552" s="265"/>
      <c r="AE552" s="265"/>
      <c r="AF552" s="265"/>
    </row>
    <row r="553" spans="1:32" ht="13.8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  <c r="AA553" s="265"/>
      <c r="AB553" s="265"/>
      <c r="AC553" s="265"/>
      <c r="AD553" s="265"/>
      <c r="AE553" s="265"/>
      <c r="AF553" s="265"/>
    </row>
    <row r="554" spans="1:32" ht="13.8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  <c r="AA554" s="265"/>
      <c r="AB554" s="265"/>
      <c r="AC554" s="265"/>
      <c r="AD554" s="265"/>
      <c r="AE554" s="265"/>
      <c r="AF554" s="265"/>
    </row>
    <row r="555" spans="1:32" ht="13.8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  <c r="AA555" s="265"/>
      <c r="AB555" s="265"/>
      <c r="AC555" s="265"/>
      <c r="AD555" s="265"/>
      <c r="AE555" s="265"/>
      <c r="AF555" s="265"/>
    </row>
    <row r="556" spans="1:32" ht="13.8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  <c r="AA556" s="265"/>
      <c r="AB556" s="265"/>
      <c r="AC556" s="265"/>
      <c r="AD556" s="265"/>
      <c r="AE556" s="265"/>
      <c r="AF556" s="265"/>
    </row>
    <row r="557" spans="1:32" ht="13.8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  <c r="AA557" s="265"/>
      <c r="AB557" s="265"/>
      <c r="AC557" s="265"/>
      <c r="AD557" s="265"/>
      <c r="AE557" s="265"/>
      <c r="AF557" s="265"/>
    </row>
    <row r="558" spans="1:32" ht="13.8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  <c r="AA558" s="265"/>
      <c r="AB558" s="265"/>
      <c r="AC558" s="265"/>
      <c r="AD558" s="265"/>
      <c r="AE558" s="265"/>
      <c r="AF558" s="265"/>
    </row>
    <row r="559" spans="1:32" ht="13.8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  <c r="AA559" s="265"/>
      <c r="AB559" s="265"/>
      <c r="AC559" s="265"/>
      <c r="AD559" s="265"/>
      <c r="AE559" s="265"/>
      <c r="AF559" s="265"/>
    </row>
    <row r="560" spans="1:32" ht="13.8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  <c r="AA560" s="265"/>
      <c r="AB560" s="265"/>
      <c r="AC560" s="265"/>
      <c r="AD560" s="265"/>
      <c r="AE560" s="265"/>
      <c r="AF560" s="265"/>
    </row>
    <row r="561" spans="1:32" ht="13.8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  <c r="AA561" s="265"/>
      <c r="AB561" s="265"/>
      <c r="AC561" s="265"/>
      <c r="AD561" s="265"/>
      <c r="AE561" s="265"/>
      <c r="AF561" s="265"/>
    </row>
    <row r="562" spans="1:32" ht="13.8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  <c r="AA562" s="265"/>
      <c r="AB562" s="265"/>
      <c r="AC562" s="265"/>
      <c r="AD562" s="265"/>
      <c r="AE562" s="265"/>
      <c r="AF562" s="265"/>
    </row>
    <row r="563" spans="1:32" ht="13.8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  <c r="AA563" s="265"/>
      <c r="AB563" s="265"/>
      <c r="AC563" s="265"/>
      <c r="AD563" s="265"/>
      <c r="AE563" s="265"/>
      <c r="AF563" s="265"/>
    </row>
    <row r="564" spans="1:32" ht="13.8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  <c r="AA564" s="265"/>
      <c r="AB564" s="265"/>
      <c r="AC564" s="265"/>
      <c r="AD564" s="265"/>
      <c r="AE564" s="265"/>
      <c r="AF564" s="265"/>
    </row>
    <row r="565" spans="1:32" ht="13.8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  <c r="AA565" s="265"/>
      <c r="AB565" s="265"/>
      <c r="AC565" s="265"/>
      <c r="AD565" s="265"/>
      <c r="AE565" s="265"/>
      <c r="AF565" s="265"/>
    </row>
    <row r="566" spans="1:32" ht="13.8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  <c r="AA566" s="265"/>
      <c r="AB566" s="265"/>
      <c r="AC566" s="265"/>
      <c r="AD566" s="265"/>
      <c r="AE566" s="265"/>
      <c r="AF566" s="265"/>
    </row>
    <row r="567" spans="1:32" ht="13.8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  <c r="AA567" s="265"/>
      <c r="AB567" s="265"/>
      <c r="AC567" s="265"/>
      <c r="AD567" s="265"/>
      <c r="AE567" s="265"/>
      <c r="AF567" s="265"/>
    </row>
    <row r="568" spans="1:32" ht="13.8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  <c r="AA568" s="265"/>
      <c r="AB568" s="265"/>
      <c r="AC568" s="265"/>
      <c r="AD568" s="265"/>
      <c r="AE568" s="265"/>
      <c r="AF568" s="265"/>
    </row>
    <row r="569" spans="1:32" ht="13.8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  <c r="AA569" s="265"/>
      <c r="AB569" s="265"/>
      <c r="AC569" s="265"/>
      <c r="AD569" s="265"/>
      <c r="AE569" s="265"/>
      <c r="AF569" s="265"/>
    </row>
    <row r="570" spans="1:32" ht="13.8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  <c r="AA570" s="265"/>
      <c r="AB570" s="265"/>
      <c r="AC570" s="265"/>
      <c r="AD570" s="265"/>
      <c r="AE570" s="265"/>
      <c r="AF570" s="265"/>
    </row>
    <row r="571" spans="1:32" ht="13.8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  <c r="AA571" s="265"/>
      <c r="AB571" s="265"/>
      <c r="AC571" s="265"/>
      <c r="AD571" s="265"/>
      <c r="AE571" s="265"/>
      <c r="AF571" s="265"/>
    </row>
    <row r="572" spans="1:32" ht="13.8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  <c r="AA572" s="265"/>
      <c r="AB572" s="265"/>
      <c r="AC572" s="265"/>
      <c r="AD572" s="265"/>
      <c r="AE572" s="265"/>
      <c r="AF572" s="265"/>
    </row>
    <row r="573" spans="1:32" ht="13.8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5"/>
    </row>
    <row r="574" spans="1:32" ht="13.8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  <c r="AA574" s="265"/>
      <c r="AB574" s="265"/>
      <c r="AC574" s="265"/>
      <c r="AD574" s="265"/>
      <c r="AE574" s="265"/>
      <c r="AF574" s="265"/>
    </row>
    <row r="575" spans="1:32" ht="13.8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  <c r="AA575" s="265"/>
      <c r="AB575" s="265"/>
      <c r="AC575" s="265"/>
      <c r="AD575" s="265"/>
      <c r="AE575" s="265"/>
      <c r="AF575" s="265"/>
    </row>
    <row r="576" spans="1:32" ht="13.8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  <c r="AA576" s="265"/>
      <c r="AB576" s="265"/>
      <c r="AC576" s="265"/>
      <c r="AD576" s="265"/>
      <c r="AE576" s="265"/>
      <c r="AF576" s="265"/>
    </row>
    <row r="577" spans="1:32" ht="13.8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  <c r="AA577" s="265"/>
      <c r="AB577" s="265"/>
      <c r="AC577" s="265"/>
      <c r="AD577" s="265"/>
      <c r="AE577" s="265"/>
      <c r="AF577" s="265"/>
    </row>
    <row r="578" spans="1:32" ht="13.8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  <c r="AA578" s="265"/>
      <c r="AB578" s="265"/>
      <c r="AC578" s="265"/>
      <c r="AD578" s="265"/>
      <c r="AE578" s="265"/>
      <c r="AF578" s="265"/>
    </row>
    <row r="579" spans="1:32" ht="13.8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  <c r="AA579" s="265"/>
      <c r="AB579" s="265"/>
      <c r="AC579" s="265"/>
      <c r="AD579" s="265"/>
      <c r="AE579" s="265"/>
      <c r="AF579" s="265"/>
    </row>
    <row r="580" spans="1:32" ht="13.8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  <c r="AA580" s="265"/>
      <c r="AB580" s="265"/>
      <c r="AC580" s="265"/>
      <c r="AD580" s="265"/>
      <c r="AE580" s="265"/>
      <c r="AF580" s="265"/>
    </row>
    <row r="581" spans="1:32" ht="13.8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  <c r="AA581" s="265"/>
      <c r="AB581" s="265"/>
      <c r="AC581" s="265"/>
      <c r="AD581" s="265"/>
      <c r="AE581" s="265"/>
      <c r="AF581" s="265"/>
    </row>
    <row r="582" spans="1:32" ht="13.8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  <c r="AA582" s="265"/>
      <c r="AB582" s="265"/>
      <c r="AC582" s="265"/>
      <c r="AD582" s="265"/>
      <c r="AE582" s="265"/>
      <c r="AF582" s="265"/>
    </row>
    <row r="583" spans="1:32" ht="13.8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  <c r="AA583" s="265"/>
      <c r="AB583" s="265"/>
      <c r="AC583" s="265"/>
      <c r="AD583" s="265"/>
      <c r="AE583" s="265"/>
      <c r="AF583" s="265"/>
    </row>
    <row r="584" spans="1:32" ht="13.8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  <c r="AA584" s="265"/>
      <c r="AB584" s="265"/>
      <c r="AC584" s="265"/>
      <c r="AD584" s="265"/>
      <c r="AE584" s="265"/>
      <c r="AF584" s="265"/>
    </row>
    <row r="585" spans="1:32" ht="13.8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  <c r="AA585" s="265"/>
      <c r="AB585" s="265"/>
      <c r="AC585" s="265"/>
      <c r="AD585" s="265"/>
      <c r="AE585" s="265"/>
      <c r="AF585" s="265"/>
    </row>
    <row r="586" spans="1:32" ht="13.8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  <c r="AA586" s="265"/>
      <c r="AB586" s="265"/>
      <c r="AC586" s="265"/>
      <c r="AD586" s="265"/>
      <c r="AE586" s="265"/>
      <c r="AF586" s="265"/>
    </row>
    <row r="587" spans="1:32" ht="13.8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  <c r="AA587" s="265"/>
      <c r="AB587" s="265"/>
      <c r="AC587" s="265"/>
      <c r="AD587" s="265"/>
      <c r="AE587" s="265"/>
      <c r="AF587" s="265"/>
    </row>
    <row r="588" spans="1:32" ht="13.8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  <c r="AA588" s="265"/>
      <c r="AB588" s="265"/>
      <c r="AC588" s="265"/>
      <c r="AD588" s="265"/>
      <c r="AE588" s="265"/>
      <c r="AF588" s="265"/>
    </row>
    <row r="589" spans="1:32" ht="13.8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  <c r="AA589" s="265"/>
      <c r="AB589" s="265"/>
      <c r="AC589" s="265"/>
      <c r="AD589" s="265"/>
      <c r="AE589" s="265"/>
      <c r="AF589" s="265"/>
    </row>
    <row r="590" spans="1:32" ht="13.8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  <c r="AA590" s="265"/>
      <c r="AB590" s="265"/>
      <c r="AC590" s="265"/>
      <c r="AD590" s="265"/>
      <c r="AE590" s="265"/>
      <c r="AF590" s="265"/>
    </row>
    <row r="591" spans="1:32" ht="13.8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  <c r="AA591" s="265"/>
      <c r="AB591" s="265"/>
      <c r="AC591" s="265"/>
      <c r="AD591" s="265"/>
      <c r="AE591" s="265"/>
      <c r="AF591" s="265"/>
    </row>
    <row r="592" spans="1:32" ht="13.8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  <c r="AA592" s="265"/>
      <c r="AB592" s="265"/>
      <c r="AC592" s="265"/>
      <c r="AD592" s="265"/>
      <c r="AE592" s="265"/>
      <c r="AF592" s="265"/>
    </row>
    <row r="593" spans="1:32" ht="13.8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  <c r="AA593" s="265"/>
      <c r="AB593" s="265"/>
      <c r="AC593" s="265"/>
      <c r="AD593" s="265"/>
      <c r="AE593" s="265"/>
      <c r="AF593" s="265"/>
    </row>
    <row r="594" spans="1:32" ht="13.8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  <c r="AA594" s="265"/>
      <c r="AB594" s="265"/>
      <c r="AC594" s="265"/>
      <c r="AD594" s="265"/>
      <c r="AE594" s="265"/>
      <c r="AF594" s="265"/>
    </row>
    <row r="595" spans="1:32" ht="13.8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  <c r="AA595" s="265"/>
      <c r="AB595" s="265"/>
      <c r="AC595" s="265"/>
      <c r="AD595" s="265"/>
      <c r="AE595" s="265"/>
      <c r="AF595" s="265"/>
    </row>
    <row r="596" spans="1:32" ht="13.8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  <c r="AA596" s="265"/>
      <c r="AB596" s="265"/>
      <c r="AC596" s="265"/>
      <c r="AD596" s="265"/>
      <c r="AE596" s="265"/>
      <c r="AF596" s="265"/>
    </row>
    <row r="597" spans="1:32" ht="13.8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  <c r="AA597" s="265"/>
      <c r="AB597" s="265"/>
      <c r="AC597" s="265"/>
      <c r="AD597" s="265"/>
      <c r="AE597" s="265"/>
      <c r="AF597" s="265"/>
    </row>
    <row r="598" spans="1:32" ht="13.8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  <c r="AA598" s="265"/>
      <c r="AB598" s="265"/>
      <c r="AC598" s="265"/>
      <c r="AD598" s="265"/>
      <c r="AE598" s="265"/>
      <c r="AF598" s="265"/>
    </row>
    <row r="599" spans="1:32" ht="13.8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  <c r="AA599" s="265"/>
      <c r="AB599" s="265"/>
      <c r="AC599" s="265"/>
      <c r="AD599" s="265"/>
      <c r="AE599" s="265"/>
      <c r="AF599" s="265"/>
    </row>
    <row r="600" spans="1:32" ht="13.8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  <c r="AA600" s="265"/>
      <c r="AB600" s="265"/>
      <c r="AC600" s="265"/>
      <c r="AD600" s="265"/>
      <c r="AE600" s="265"/>
      <c r="AF600" s="265"/>
    </row>
    <row r="601" spans="1:32" ht="13.8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  <c r="AA601" s="265"/>
      <c r="AB601" s="265"/>
      <c r="AC601" s="265"/>
      <c r="AD601" s="265"/>
      <c r="AE601" s="265"/>
      <c r="AF601" s="265"/>
    </row>
    <row r="602" spans="1:32" ht="13.8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  <c r="AA602" s="265"/>
      <c r="AB602" s="265"/>
      <c r="AC602" s="265"/>
      <c r="AD602" s="265"/>
      <c r="AE602" s="265"/>
      <c r="AF602" s="265"/>
    </row>
    <row r="603" spans="1:32" ht="13.8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  <c r="AA603" s="265"/>
      <c r="AB603" s="265"/>
      <c r="AC603" s="265"/>
      <c r="AD603" s="265"/>
      <c r="AE603" s="265"/>
      <c r="AF603" s="265"/>
    </row>
    <row r="604" spans="1:32" ht="13.8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  <c r="AA604" s="265"/>
      <c r="AB604" s="265"/>
      <c r="AC604" s="265"/>
      <c r="AD604" s="265"/>
      <c r="AE604" s="265"/>
      <c r="AF604" s="265"/>
    </row>
    <row r="605" spans="1:32" ht="13.8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  <c r="AA605" s="265"/>
      <c r="AB605" s="265"/>
      <c r="AC605" s="265"/>
      <c r="AD605" s="265"/>
      <c r="AE605" s="265"/>
      <c r="AF605" s="265"/>
    </row>
    <row r="606" spans="1:32" ht="13.8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  <c r="AA606" s="265"/>
      <c r="AB606" s="265"/>
      <c r="AC606" s="265"/>
      <c r="AD606" s="265"/>
      <c r="AE606" s="265"/>
      <c r="AF606" s="265"/>
    </row>
    <row r="607" spans="1:32" ht="13.8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  <c r="AA607" s="265"/>
      <c r="AB607" s="265"/>
      <c r="AC607" s="265"/>
      <c r="AD607" s="265"/>
      <c r="AE607" s="265"/>
      <c r="AF607" s="265"/>
    </row>
    <row r="608" spans="1:32" ht="13.8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  <c r="AA608" s="265"/>
      <c r="AB608" s="265"/>
      <c r="AC608" s="265"/>
      <c r="AD608" s="265"/>
      <c r="AE608" s="265"/>
      <c r="AF608" s="265"/>
    </row>
    <row r="609" spans="1:32" ht="13.8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  <c r="AA609" s="265"/>
      <c r="AB609" s="265"/>
      <c r="AC609" s="265"/>
      <c r="AD609" s="265"/>
      <c r="AE609" s="265"/>
      <c r="AF609" s="265"/>
    </row>
    <row r="610" spans="1:32" ht="13.8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  <c r="AA610" s="265"/>
      <c r="AB610" s="265"/>
      <c r="AC610" s="265"/>
      <c r="AD610" s="265"/>
      <c r="AE610" s="265"/>
      <c r="AF610" s="265"/>
    </row>
    <row r="611" spans="1:32" ht="13.8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  <c r="AA611" s="265"/>
      <c r="AB611" s="265"/>
      <c r="AC611" s="265"/>
      <c r="AD611" s="265"/>
      <c r="AE611" s="265"/>
      <c r="AF611" s="265"/>
    </row>
    <row r="612" spans="1:32" ht="13.8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  <c r="AA612" s="265"/>
      <c r="AB612" s="265"/>
      <c r="AC612" s="265"/>
      <c r="AD612" s="265"/>
      <c r="AE612" s="265"/>
      <c r="AF612" s="265"/>
    </row>
    <row r="613" spans="1:32" ht="13.8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  <c r="AA613" s="265"/>
      <c r="AB613" s="265"/>
      <c r="AC613" s="265"/>
      <c r="AD613" s="265"/>
      <c r="AE613" s="265"/>
      <c r="AF613" s="265"/>
    </row>
    <row r="614" spans="1:32" ht="13.8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  <c r="AA614" s="265"/>
      <c r="AB614" s="265"/>
      <c r="AC614" s="265"/>
      <c r="AD614" s="265"/>
      <c r="AE614" s="265"/>
      <c r="AF614" s="265"/>
    </row>
    <row r="615" spans="1:32" ht="13.8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  <c r="AA615" s="265"/>
      <c r="AB615" s="265"/>
      <c r="AC615" s="265"/>
      <c r="AD615" s="265"/>
      <c r="AE615" s="265"/>
      <c r="AF615" s="265"/>
    </row>
    <row r="616" spans="1:32" ht="13.8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  <c r="AA616" s="265"/>
      <c r="AB616" s="265"/>
      <c r="AC616" s="265"/>
      <c r="AD616" s="265"/>
      <c r="AE616" s="265"/>
      <c r="AF616" s="265"/>
    </row>
    <row r="617" spans="1:32" ht="13.8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  <c r="AA617" s="265"/>
      <c r="AB617" s="265"/>
      <c r="AC617" s="265"/>
      <c r="AD617" s="265"/>
      <c r="AE617" s="265"/>
      <c r="AF617" s="265"/>
    </row>
    <row r="618" spans="1:32" ht="13.8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  <c r="AA618" s="265"/>
      <c r="AB618" s="265"/>
      <c r="AC618" s="265"/>
      <c r="AD618" s="265"/>
      <c r="AE618" s="265"/>
      <c r="AF618" s="265"/>
    </row>
    <row r="619" spans="1:32" ht="13.8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  <c r="AA619" s="265"/>
      <c r="AB619" s="265"/>
      <c r="AC619" s="265"/>
      <c r="AD619" s="265"/>
      <c r="AE619" s="265"/>
      <c r="AF619" s="265"/>
    </row>
    <row r="620" spans="1:32" ht="13.8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  <c r="AA620" s="265"/>
      <c r="AB620" s="265"/>
      <c r="AC620" s="265"/>
      <c r="AD620" s="265"/>
      <c r="AE620" s="265"/>
      <c r="AF620" s="265"/>
    </row>
    <row r="621" spans="1:32" ht="13.8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  <c r="AA621" s="265"/>
      <c r="AB621" s="265"/>
      <c r="AC621" s="265"/>
      <c r="AD621" s="265"/>
      <c r="AE621" s="265"/>
      <c r="AF621" s="265"/>
    </row>
    <row r="622" spans="1:32" ht="13.8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  <c r="AA622" s="265"/>
      <c r="AB622" s="265"/>
      <c r="AC622" s="265"/>
      <c r="AD622" s="265"/>
      <c r="AE622" s="265"/>
      <c r="AF622" s="265"/>
    </row>
    <row r="623" spans="1:32" ht="13.8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  <c r="AA623" s="265"/>
      <c r="AB623" s="265"/>
      <c r="AC623" s="265"/>
      <c r="AD623" s="265"/>
      <c r="AE623" s="265"/>
      <c r="AF623" s="265"/>
    </row>
    <row r="624" spans="1:32" ht="13.8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  <c r="AA624" s="265"/>
      <c r="AB624" s="265"/>
      <c r="AC624" s="265"/>
      <c r="AD624" s="265"/>
      <c r="AE624" s="265"/>
      <c r="AF624" s="265"/>
    </row>
    <row r="625" spans="1:32" ht="13.8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5"/>
    </row>
    <row r="626" spans="1:32" ht="13.8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  <c r="AA626" s="265"/>
      <c r="AB626" s="265"/>
      <c r="AC626" s="265"/>
      <c r="AD626" s="265"/>
      <c r="AE626" s="265"/>
      <c r="AF626" s="265"/>
    </row>
    <row r="627" spans="1:32" ht="13.8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  <c r="AA627" s="265"/>
      <c r="AB627" s="265"/>
      <c r="AC627" s="265"/>
      <c r="AD627" s="265"/>
      <c r="AE627" s="265"/>
      <c r="AF627" s="265"/>
    </row>
    <row r="628" spans="1:32" ht="13.8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  <c r="AA628" s="265"/>
      <c r="AB628" s="265"/>
      <c r="AC628" s="265"/>
      <c r="AD628" s="265"/>
      <c r="AE628" s="265"/>
      <c r="AF628" s="265"/>
    </row>
    <row r="629" spans="1:32" ht="13.8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  <c r="AA629" s="265"/>
      <c r="AB629" s="265"/>
      <c r="AC629" s="265"/>
      <c r="AD629" s="265"/>
      <c r="AE629" s="265"/>
      <c r="AF629" s="265"/>
    </row>
    <row r="630" spans="1:32" ht="13.8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  <c r="AA630" s="265"/>
      <c r="AB630" s="265"/>
      <c r="AC630" s="265"/>
      <c r="AD630" s="265"/>
      <c r="AE630" s="265"/>
      <c r="AF630" s="265"/>
    </row>
    <row r="631" spans="1:32" ht="13.8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  <c r="AA631" s="265"/>
      <c r="AB631" s="265"/>
      <c r="AC631" s="265"/>
      <c r="AD631" s="265"/>
      <c r="AE631" s="265"/>
      <c r="AF631" s="265"/>
    </row>
    <row r="632" spans="1:32" ht="13.8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  <c r="AA632" s="265"/>
      <c r="AB632" s="265"/>
      <c r="AC632" s="265"/>
      <c r="AD632" s="265"/>
      <c r="AE632" s="265"/>
      <c r="AF632" s="265"/>
    </row>
    <row r="633" spans="1:32" ht="13.8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  <c r="AA633" s="265"/>
      <c r="AB633" s="265"/>
      <c r="AC633" s="265"/>
      <c r="AD633" s="265"/>
      <c r="AE633" s="265"/>
      <c r="AF633" s="265"/>
    </row>
    <row r="634" spans="1:32" ht="13.8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  <c r="AA634" s="265"/>
      <c r="AB634" s="265"/>
      <c r="AC634" s="265"/>
      <c r="AD634" s="265"/>
      <c r="AE634" s="265"/>
      <c r="AF634" s="265"/>
    </row>
    <row r="635" spans="1:32" ht="13.8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  <c r="AA635" s="265"/>
      <c r="AB635" s="265"/>
      <c r="AC635" s="265"/>
      <c r="AD635" s="265"/>
      <c r="AE635" s="265"/>
      <c r="AF635" s="265"/>
    </row>
    <row r="636" spans="1:32" ht="13.8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  <c r="AA636" s="265"/>
      <c r="AB636" s="265"/>
      <c r="AC636" s="265"/>
      <c r="AD636" s="265"/>
      <c r="AE636" s="265"/>
      <c r="AF636" s="265"/>
    </row>
    <row r="637" spans="1:32" ht="13.8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  <c r="AA637" s="265"/>
      <c r="AB637" s="265"/>
      <c r="AC637" s="265"/>
      <c r="AD637" s="265"/>
      <c r="AE637" s="265"/>
      <c r="AF637" s="265"/>
    </row>
    <row r="638" spans="1:32" ht="13.8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  <c r="AA638" s="265"/>
      <c r="AB638" s="265"/>
      <c r="AC638" s="265"/>
      <c r="AD638" s="265"/>
      <c r="AE638" s="265"/>
      <c r="AF638" s="265"/>
    </row>
    <row r="639" spans="1:32" ht="13.8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  <c r="AA639" s="265"/>
      <c r="AB639" s="265"/>
      <c r="AC639" s="265"/>
      <c r="AD639" s="265"/>
      <c r="AE639" s="265"/>
      <c r="AF639" s="265"/>
    </row>
    <row r="640" spans="1:32" ht="13.8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  <c r="AA640" s="265"/>
      <c r="AB640" s="265"/>
      <c r="AC640" s="265"/>
      <c r="AD640" s="265"/>
      <c r="AE640" s="265"/>
      <c r="AF640" s="265"/>
    </row>
    <row r="641" spans="1:32" ht="13.8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  <c r="AA641" s="265"/>
      <c r="AB641" s="265"/>
      <c r="AC641" s="265"/>
      <c r="AD641" s="265"/>
      <c r="AE641" s="265"/>
      <c r="AF641" s="265"/>
    </row>
    <row r="642" spans="1:32" ht="13.8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  <c r="AA642" s="265"/>
      <c r="AB642" s="265"/>
      <c r="AC642" s="265"/>
      <c r="AD642" s="265"/>
      <c r="AE642" s="265"/>
      <c r="AF642" s="265"/>
    </row>
    <row r="643" spans="1:32" ht="13.8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  <c r="AA643" s="265"/>
      <c r="AB643" s="265"/>
      <c r="AC643" s="265"/>
      <c r="AD643" s="265"/>
      <c r="AE643" s="265"/>
      <c r="AF643" s="265"/>
    </row>
    <row r="644" spans="1:32" ht="13.8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  <c r="AA644" s="265"/>
      <c r="AB644" s="265"/>
      <c r="AC644" s="265"/>
      <c r="AD644" s="265"/>
      <c r="AE644" s="265"/>
      <c r="AF644" s="265"/>
    </row>
    <row r="645" spans="1:32" ht="13.8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  <c r="AA645" s="265"/>
      <c r="AB645" s="265"/>
      <c r="AC645" s="265"/>
      <c r="AD645" s="265"/>
      <c r="AE645" s="265"/>
      <c r="AF645" s="265"/>
    </row>
    <row r="646" spans="1:32" ht="13.8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  <c r="AA646" s="265"/>
      <c r="AB646" s="265"/>
      <c r="AC646" s="265"/>
      <c r="AD646" s="265"/>
      <c r="AE646" s="265"/>
      <c r="AF646" s="265"/>
    </row>
    <row r="647" spans="1:32" ht="13.8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  <c r="AA647" s="265"/>
      <c r="AB647" s="265"/>
      <c r="AC647" s="265"/>
      <c r="AD647" s="265"/>
      <c r="AE647" s="265"/>
      <c r="AF647" s="265"/>
    </row>
    <row r="648" spans="1:32" ht="13.8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  <c r="AA648" s="265"/>
      <c r="AB648" s="265"/>
      <c r="AC648" s="265"/>
      <c r="AD648" s="265"/>
      <c r="AE648" s="265"/>
      <c r="AF648" s="265"/>
    </row>
    <row r="649" spans="1:32" ht="13.8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  <c r="AA649" s="265"/>
      <c r="AB649" s="265"/>
      <c r="AC649" s="265"/>
      <c r="AD649" s="265"/>
      <c r="AE649" s="265"/>
      <c r="AF649" s="265"/>
    </row>
    <row r="650" spans="1:32" ht="13.8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  <c r="AA650" s="265"/>
      <c r="AB650" s="265"/>
      <c r="AC650" s="265"/>
      <c r="AD650" s="265"/>
      <c r="AE650" s="265"/>
      <c r="AF650" s="265"/>
    </row>
    <row r="651" spans="1:32" ht="13.8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  <c r="AA651" s="265"/>
      <c r="AB651" s="265"/>
      <c r="AC651" s="265"/>
      <c r="AD651" s="265"/>
      <c r="AE651" s="265"/>
      <c r="AF651" s="265"/>
    </row>
    <row r="652" spans="1:32" ht="13.8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  <c r="AA652" s="265"/>
      <c r="AB652" s="265"/>
      <c r="AC652" s="265"/>
      <c r="AD652" s="265"/>
      <c r="AE652" s="265"/>
      <c r="AF652" s="265"/>
    </row>
    <row r="653" spans="1:32" ht="13.8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  <c r="AA653" s="265"/>
      <c r="AB653" s="265"/>
      <c r="AC653" s="265"/>
      <c r="AD653" s="265"/>
      <c r="AE653" s="265"/>
      <c r="AF653" s="265"/>
    </row>
    <row r="654" spans="1:32" ht="13.8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  <c r="AA654" s="265"/>
      <c r="AB654" s="265"/>
      <c r="AC654" s="265"/>
      <c r="AD654" s="265"/>
      <c r="AE654" s="265"/>
      <c r="AF654" s="265"/>
    </row>
    <row r="655" spans="1:32" ht="13.8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  <c r="AA655" s="265"/>
      <c r="AB655" s="265"/>
      <c r="AC655" s="265"/>
      <c r="AD655" s="265"/>
      <c r="AE655" s="265"/>
      <c r="AF655" s="265"/>
    </row>
    <row r="656" spans="1:32" ht="13.8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  <c r="AA656" s="265"/>
      <c r="AB656" s="265"/>
      <c r="AC656" s="265"/>
      <c r="AD656" s="265"/>
      <c r="AE656" s="265"/>
      <c r="AF656" s="265"/>
    </row>
    <row r="657" spans="1:32" ht="13.8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  <c r="AA657" s="265"/>
      <c r="AB657" s="265"/>
      <c r="AC657" s="265"/>
      <c r="AD657" s="265"/>
      <c r="AE657" s="265"/>
      <c r="AF657" s="265"/>
    </row>
    <row r="658" spans="1:32" ht="13.8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  <c r="AA658" s="265"/>
      <c r="AB658" s="265"/>
      <c r="AC658" s="265"/>
      <c r="AD658" s="265"/>
      <c r="AE658" s="265"/>
      <c r="AF658" s="265"/>
    </row>
    <row r="659" spans="1:32" ht="13.8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  <c r="AA659" s="265"/>
      <c r="AB659" s="265"/>
      <c r="AC659" s="265"/>
      <c r="AD659" s="265"/>
      <c r="AE659" s="265"/>
      <c r="AF659" s="265"/>
    </row>
    <row r="660" spans="1:32" ht="13.8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  <c r="AA660" s="265"/>
      <c r="AB660" s="265"/>
      <c r="AC660" s="265"/>
      <c r="AD660" s="265"/>
      <c r="AE660" s="265"/>
      <c r="AF660" s="265"/>
    </row>
    <row r="661" spans="1:32" ht="13.8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  <c r="AA661" s="265"/>
      <c r="AB661" s="265"/>
      <c r="AC661" s="265"/>
      <c r="AD661" s="265"/>
      <c r="AE661" s="265"/>
      <c r="AF661" s="265"/>
    </row>
    <row r="662" spans="1:32" ht="13.8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  <c r="AA662" s="265"/>
      <c r="AB662" s="265"/>
      <c r="AC662" s="265"/>
      <c r="AD662" s="265"/>
      <c r="AE662" s="265"/>
      <c r="AF662" s="265"/>
    </row>
    <row r="663" spans="1:32" ht="13.8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  <c r="AA663" s="265"/>
      <c r="AB663" s="265"/>
      <c r="AC663" s="265"/>
      <c r="AD663" s="265"/>
      <c r="AE663" s="265"/>
      <c r="AF663" s="265"/>
    </row>
    <row r="664" spans="1:32" ht="13.8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  <c r="AA664" s="265"/>
      <c r="AB664" s="265"/>
      <c r="AC664" s="265"/>
      <c r="AD664" s="265"/>
      <c r="AE664" s="265"/>
      <c r="AF664" s="265"/>
    </row>
    <row r="665" spans="1:32" ht="13.8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  <c r="AA665" s="265"/>
      <c r="AB665" s="265"/>
      <c r="AC665" s="265"/>
      <c r="AD665" s="265"/>
      <c r="AE665" s="265"/>
      <c r="AF665" s="265"/>
    </row>
    <row r="666" spans="1:32" ht="13.8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  <c r="AA666" s="265"/>
      <c r="AB666" s="265"/>
      <c r="AC666" s="265"/>
      <c r="AD666" s="265"/>
      <c r="AE666" s="265"/>
      <c r="AF666" s="265"/>
    </row>
    <row r="667" spans="1:32" ht="13.8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  <c r="AA667" s="265"/>
      <c r="AB667" s="265"/>
      <c r="AC667" s="265"/>
      <c r="AD667" s="265"/>
      <c r="AE667" s="265"/>
      <c r="AF667" s="265"/>
    </row>
    <row r="668" spans="1:32" ht="13.8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  <c r="AA668" s="265"/>
      <c r="AB668" s="265"/>
      <c r="AC668" s="265"/>
      <c r="AD668" s="265"/>
      <c r="AE668" s="265"/>
      <c r="AF668" s="265"/>
    </row>
    <row r="669" spans="1:32" ht="13.8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  <c r="AA669" s="265"/>
      <c r="AB669" s="265"/>
      <c r="AC669" s="265"/>
      <c r="AD669" s="265"/>
      <c r="AE669" s="265"/>
      <c r="AF669" s="265"/>
    </row>
    <row r="670" spans="1:32" ht="13.8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  <c r="AA670" s="265"/>
      <c r="AB670" s="265"/>
      <c r="AC670" s="265"/>
      <c r="AD670" s="265"/>
      <c r="AE670" s="265"/>
      <c r="AF670" s="265"/>
    </row>
    <row r="671" spans="1:32" ht="13.8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  <c r="AA671" s="265"/>
      <c r="AB671" s="265"/>
      <c r="AC671" s="265"/>
      <c r="AD671" s="265"/>
      <c r="AE671" s="265"/>
      <c r="AF671" s="265"/>
    </row>
    <row r="672" spans="1:32" ht="13.8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  <c r="AA672" s="265"/>
      <c r="AB672" s="265"/>
      <c r="AC672" s="265"/>
      <c r="AD672" s="265"/>
      <c r="AE672" s="265"/>
      <c r="AF672" s="265"/>
    </row>
    <row r="673" spans="1:32" ht="13.8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  <c r="AA673" s="265"/>
      <c r="AB673" s="265"/>
      <c r="AC673" s="265"/>
      <c r="AD673" s="265"/>
      <c r="AE673" s="265"/>
      <c r="AF673" s="265"/>
    </row>
    <row r="674" spans="1:32" ht="13.8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  <c r="AA674" s="265"/>
      <c r="AB674" s="265"/>
      <c r="AC674" s="265"/>
      <c r="AD674" s="265"/>
      <c r="AE674" s="265"/>
      <c r="AF674" s="265"/>
    </row>
    <row r="675" spans="1:32" ht="13.8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  <c r="AA675" s="265"/>
      <c r="AB675" s="265"/>
      <c r="AC675" s="265"/>
      <c r="AD675" s="265"/>
      <c r="AE675" s="265"/>
      <c r="AF675" s="265"/>
    </row>
    <row r="676" spans="1:32" ht="13.8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  <c r="AA676" s="265"/>
      <c r="AB676" s="265"/>
      <c r="AC676" s="265"/>
      <c r="AD676" s="265"/>
      <c r="AE676" s="265"/>
      <c r="AF676" s="265"/>
    </row>
    <row r="677" spans="1:32" ht="13.8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  <c r="AA677" s="265"/>
      <c r="AB677" s="265"/>
      <c r="AC677" s="265"/>
      <c r="AD677" s="265"/>
      <c r="AE677" s="265"/>
      <c r="AF677" s="265"/>
    </row>
    <row r="678" spans="1:32" ht="13.8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  <c r="AA678" s="265"/>
      <c r="AB678" s="265"/>
      <c r="AC678" s="265"/>
      <c r="AD678" s="265"/>
      <c r="AE678" s="265"/>
      <c r="AF678" s="265"/>
    </row>
    <row r="679" spans="1:32" ht="13.8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  <c r="AA679" s="265"/>
      <c r="AB679" s="265"/>
      <c r="AC679" s="265"/>
      <c r="AD679" s="265"/>
      <c r="AE679" s="265"/>
      <c r="AF679" s="265"/>
    </row>
    <row r="680" spans="1:32" ht="13.8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  <c r="AA680" s="265"/>
      <c r="AB680" s="265"/>
      <c r="AC680" s="265"/>
      <c r="AD680" s="265"/>
      <c r="AE680" s="265"/>
      <c r="AF680" s="265"/>
    </row>
    <row r="681" spans="1:32" ht="13.8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  <c r="AA681" s="265"/>
      <c r="AB681" s="265"/>
      <c r="AC681" s="265"/>
      <c r="AD681" s="265"/>
      <c r="AE681" s="265"/>
      <c r="AF681" s="265"/>
    </row>
    <row r="682" spans="1:32" ht="13.8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  <c r="AA682" s="265"/>
      <c r="AB682" s="265"/>
      <c r="AC682" s="265"/>
      <c r="AD682" s="265"/>
      <c r="AE682" s="265"/>
      <c r="AF682" s="265"/>
    </row>
    <row r="683" spans="1:32" ht="13.8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  <c r="AA683" s="265"/>
      <c r="AB683" s="265"/>
      <c r="AC683" s="265"/>
      <c r="AD683" s="265"/>
      <c r="AE683" s="265"/>
      <c r="AF683" s="265"/>
    </row>
    <row r="684" spans="1:32" ht="13.8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  <c r="AA684" s="265"/>
      <c r="AB684" s="265"/>
      <c r="AC684" s="265"/>
      <c r="AD684" s="265"/>
      <c r="AE684" s="265"/>
      <c r="AF684" s="265"/>
    </row>
    <row r="685" spans="1:32" ht="13.8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  <c r="AA685" s="265"/>
      <c r="AB685" s="265"/>
      <c r="AC685" s="265"/>
      <c r="AD685" s="265"/>
      <c r="AE685" s="265"/>
      <c r="AF685" s="265"/>
    </row>
    <row r="686" spans="1:32" ht="13.8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  <c r="AA686" s="265"/>
      <c r="AB686" s="265"/>
      <c r="AC686" s="265"/>
      <c r="AD686" s="265"/>
      <c r="AE686" s="265"/>
      <c r="AF686" s="265"/>
    </row>
    <row r="687" spans="1:32" ht="13.8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  <c r="AA687" s="265"/>
      <c r="AB687" s="265"/>
      <c r="AC687" s="265"/>
      <c r="AD687" s="265"/>
      <c r="AE687" s="265"/>
      <c r="AF687" s="265"/>
    </row>
    <row r="688" spans="1:32" ht="13.8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  <c r="AA688" s="265"/>
      <c r="AB688" s="265"/>
      <c r="AC688" s="265"/>
      <c r="AD688" s="265"/>
      <c r="AE688" s="265"/>
      <c r="AF688" s="265"/>
    </row>
    <row r="689" spans="1:32" ht="13.8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  <c r="AA689" s="265"/>
      <c r="AB689" s="265"/>
      <c r="AC689" s="265"/>
      <c r="AD689" s="265"/>
      <c r="AE689" s="265"/>
      <c r="AF689" s="265"/>
    </row>
    <row r="690" spans="1:32" ht="13.8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  <c r="AA690" s="265"/>
      <c r="AB690" s="265"/>
      <c r="AC690" s="265"/>
      <c r="AD690" s="265"/>
      <c r="AE690" s="265"/>
      <c r="AF690" s="265"/>
    </row>
    <row r="691" spans="1:32" ht="13.8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  <c r="AA691" s="265"/>
      <c r="AB691" s="265"/>
      <c r="AC691" s="265"/>
      <c r="AD691" s="265"/>
      <c r="AE691" s="265"/>
      <c r="AF691" s="265"/>
    </row>
    <row r="692" spans="1:32" ht="13.8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  <c r="AA692" s="265"/>
      <c r="AB692" s="265"/>
      <c r="AC692" s="265"/>
      <c r="AD692" s="265"/>
      <c r="AE692" s="265"/>
      <c r="AF692" s="265"/>
    </row>
    <row r="693" spans="1:32" ht="13.8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  <c r="AA693" s="265"/>
      <c r="AB693" s="265"/>
      <c r="AC693" s="265"/>
      <c r="AD693" s="265"/>
      <c r="AE693" s="265"/>
      <c r="AF693" s="265"/>
    </row>
    <row r="694" spans="1:32" ht="13.8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  <c r="AA694" s="265"/>
      <c r="AB694" s="265"/>
      <c r="AC694" s="265"/>
      <c r="AD694" s="265"/>
      <c r="AE694" s="265"/>
      <c r="AF694" s="265"/>
    </row>
    <row r="695" spans="1:32" ht="13.8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  <c r="AA695" s="265"/>
      <c r="AB695" s="265"/>
      <c r="AC695" s="265"/>
      <c r="AD695" s="265"/>
      <c r="AE695" s="265"/>
      <c r="AF695" s="265"/>
    </row>
    <row r="696" spans="1:32" ht="13.8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  <c r="AA696" s="265"/>
      <c r="AB696" s="265"/>
      <c r="AC696" s="265"/>
      <c r="AD696" s="265"/>
      <c r="AE696" s="265"/>
      <c r="AF696" s="265"/>
    </row>
    <row r="697" spans="1:32" ht="13.8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  <c r="AA697" s="265"/>
      <c r="AB697" s="265"/>
      <c r="AC697" s="265"/>
      <c r="AD697" s="265"/>
      <c r="AE697" s="265"/>
      <c r="AF697" s="265"/>
    </row>
    <row r="698" spans="1:32" ht="13.8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  <c r="AA698" s="265"/>
      <c r="AB698" s="265"/>
      <c r="AC698" s="265"/>
      <c r="AD698" s="265"/>
      <c r="AE698" s="265"/>
      <c r="AF698" s="265"/>
    </row>
    <row r="699" spans="1:32" ht="13.8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  <c r="AA699" s="265"/>
      <c r="AB699" s="265"/>
      <c r="AC699" s="265"/>
      <c r="AD699" s="265"/>
      <c r="AE699" s="265"/>
      <c r="AF699" s="265"/>
    </row>
    <row r="700" spans="1:32" ht="13.8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  <c r="AA700" s="265"/>
      <c r="AB700" s="265"/>
      <c r="AC700" s="265"/>
      <c r="AD700" s="265"/>
      <c r="AE700" s="265"/>
      <c r="AF700" s="265"/>
    </row>
    <row r="701" spans="1:32" ht="13.8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  <c r="AA701" s="265"/>
      <c r="AB701" s="265"/>
      <c r="AC701" s="265"/>
      <c r="AD701" s="265"/>
      <c r="AE701" s="265"/>
      <c r="AF701" s="265"/>
    </row>
    <row r="702" spans="1:32" ht="13.8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  <c r="AA702" s="265"/>
      <c r="AB702" s="265"/>
      <c r="AC702" s="265"/>
      <c r="AD702" s="265"/>
      <c r="AE702" s="265"/>
      <c r="AF702" s="265"/>
    </row>
    <row r="703" spans="1:32" ht="13.8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  <c r="AA703" s="265"/>
      <c r="AB703" s="265"/>
      <c r="AC703" s="265"/>
      <c r="AD703" s="265"/>
      <c r="AE703" s="265"/>
      <c r="AF703" s="265"/>
    </row>
    <row r="704" spans="1:32" ht="13.8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  <c r="AA704" s="265"/>
      <c r="AB704" s="265"/>
      <c r="AC704" s="265"/>
      <c r="AD704" s="265"/>
      <c r="AE704" s="265"/>
      <c r="AF704" s="265"/>
    </row>
    <row r="705" spans="1:32" ht="13.8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  <c r="AA705" s="265"/>
      <c r="AB705" s="265"/>
      <c r="AC705" s="265"/>
      <c r="AD705" s="265"/>
      <c r="AE705" s="265"/>
      <c r="AF705" s="265"/>
    </row>
    <row r="706" spans="1:32" ht="13.8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  <c r="AA706" s="265"/>
      <c r="AB706" s="265"/>
      <c r="AC706" s="265"/>
      <c r="AD706" s="265"/>
      <c r="AE706" s="265"/>
      <c r="AF706" s="265"/>
    </row>
    <row r="707" spans="1:32" ht="13.8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  <c r="AA707" s="265"/>
      <c r="AB707" s="265"/>
      <c r="AC707" s="265"/>
      <c r="AD707" s="265"/>
      <c r="AE707" s="265"/>
      <c r="AF707" s="265"/>
    </row>
    <row r="708" spans="1:32" ht="13.8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  <c r="AA708" s="265"/>
      <c r="AB708" s="265"/>
      <c r="AC708" s="265"/>
      <c r="AD708" s="265"/>
      <c r="AE708" s="265"/>
      <c r="AF708" s="265"/>
    </row>
    <row r="709" spans="1:32" ht="13.8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  <c r="AA709" s="265"/>
      <c r="AB709" s="265"/>
      <c r="AC709" s="265"/>
      <c r="AD709" s="265"/>
      <c r="AE709" s="265"/>
      <c r="AF709" s="265"/>
    </row>
    <row r="710" spans="1:32" ht="13.8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  <c r="AA710" s="265"/>
      <c r="AB710" s="265"/>
      <c r="AC710" s="265"/>
      <c r="AD710" s="265"/>
      <c r="AE710" s="265"/>
      <c r="AF710" s="265"/>
    </row>
    <row r="711" spans="1:32" ht="13.8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  <c r="AA711" s="265"/>
      <c r="AB711" s="265"/>
      <c r="AC711" s="265"/>
      <c r="AD711" s="265"/>
      <c r="AE711" s="265"/>
      <c r="AF711" s="265"/>
    </row>
    <row r="712" spans="1:32" ht="13.8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  <c r="AA712" s="265"/>
      <c r="AB712" s="265"/>
      <c r="AC712" s="265"/>
      <c r="AD712" s="265"/>
      <c r="AE712" s="265"/>
      <c r="AF712" s="265"/>
    </row>
    <row r="713" spans="1:32" ht="13.8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  <c r="AA713" s="265"/>
      <c r="AB713" s="265"/>
      <c r="AC713" s="265"/>
      <c r="AD713" s="265"/>
      <c r="AE713" s="265"/>
      <c r="AF713" s="265"/>
    </row>
    <row r="714" spans="1:32" ht="13.8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  <c r="AA714" s="265"/>
      <c r="AB714" s="265"/>
      <c r="AC714" s="265"/>
      <c r="AD714" s="265"/>
      <c r="AE714" s="265"/>
      <c r="AF714" s="265"/>
    </row>
    <row r="715" spans="1:32" ht="13.8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  <c r="AA715" s="265"/>
      <c r="AB715" s="265"/>
      <c r="AC715" s="265"/>
      <c r="AD715" s="265"/>
      <c r="AE715" s="265"/>
      <c r="AF715" s="265"/>
    </row>
    <row r="716" spans="1:32" ht="13.8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  <c r="AA716" s="265"/>
      <c r="AB716" s="265"/>
      <c r="AC716" s="265"/>
      <c r="AD716" s="265"/>
      <c r="AE716" s="265"/>
      <c r="AF716" s="265"/>
    </row>
    <row r="717" spans="1:32" ht="13.8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  <c r="AA717" s="265"/>
      <c r="AB717" s="265"/>
      <c r="AC717" s="265"/>
      <c r="AD717" s="265"/>
      <c r="AE717" s="265"/>
      <c r="AF717" s="265"/>
    </row>
    <row r="718" spans="1:32" ht="13.8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  <c r="AA718" s="265"/>
      <c r="AB718" s="265"/>
      <c r="AC718" s="265"/>
      <c r="AD718" s="265"/>
      <c r="AE718" s="265"/>
      <c r="AF718" s="265"/>
    </row>
    <row r="719" spans="1:32" ht="13.8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  <c r="AA719" s="265"/>
      <c r="AB719" s="265"/>
      <c r="AC719" s="265"/>
      <c r="AD719" s="265"/>
      <c r="AE719" s="265"/>
      <c r="AF719" s="265"/>
    </row>
    <row r="720" spans="1:32" ht="13.8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  <c r="AA720" s="265"/>
      <c r="AB720" s="265"/>
      <c r="AC720" s="265"/>
      <c r="AD720" s="265"/>
      <c r="AE720" s="265"/>
      <c r="AF720" s="265"/>
    </row>
    <row r="721" spans="1:32" ht="13.8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  <c r="AA721" s="265"/>
      <c r="AB721" s="265"/>
      <c r="AC721" s="265"/>
      <c r="AD721" s="265"/>
      <c r="AE721" s="265"/>
      <c r="AF721" s="265"/>
    </row>
    <row r="722" spans="1:32" ht="13.8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  <c r="AA722" s="265"/>
      <c r="AB722" s="265"/>
      <c r="AC722" s="265"/>
      <c r="AD722" s="265"/>
      <c r="AE722" s="265"/>
      <c r="AF722" s="265"/>
    </row>
    <row r="723" spans="1:32" ht="13.8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  <c r="AA723" s="265"/>
      <c r="AB723" s="265"/>
      <c r="AC723" s="265"/>
      <c r="AD723" s="265"/>
      <c r="AE723" s="265"/>
      <c r="AF723" s="265"/>
    </row>
    <row r="724" spans="1:32" ht="13.8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  <c r="AA724" s="265"/>
      <c r="AB724" s="265"/>
      <c r="AC724" s="265"/>
      <c r="AD724" s="265"/>
      <c r="AE724" s="265"/>
      <c r="AF724" s="265"/>
    </row>
    <row r="725" spans="1:32" ht="13.8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  <c r="AA725" s="265"/>
      <c r="AB725" s="265"/>
      <c r="AC725" s="265"/>
      <c r="AD725" s="265"/>
      <c r="AE725" s="265"/>
      <c r="AF725" s="265"/>
    </row>
    <row r="726" spans="1:32" ht="13.8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  <c r="AA726" s="265"/>
      <c r="AB726" s="265"/>
      <c r="AC726" s="265"/>
      <c r="AD726" s="265"/>
      <c r="AE726" s="265"/>
      <c r="AF726" s="265"/>
    </row>
    <row r="727" spans="1:32" ht="13.8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  <c r="AA727" s="265"/>
      <c r="AB727" s="265"/>
      <c r="AC727" s="265"/>
      <c r="AD727" s="265"/>
      <c r="AE727" s="265"/>
      <c r="AF727" s="265"/>
    </row>
    <row r="728" spans="1:32" ht="13.8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  <c r="AA728" s="265"/>
      <c r="AB728" s="265"/>
      <c r="AC728" s="265"/>
      <c r="AD728" s="265"/>
      <c r="AE728" s="265"/>
      <c r="AF728" s="265"/>
    </row>
    <row r="729" spans="1:32" ht="13.8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  <c r="AA729" s="265"/>
      <c r="AB729" s="265"/>
      <c r="AC729" s="265"/>
      <c r="AD729" s="265"/>
      <c r="AE729" s="265"/>
      <c r="AF729" s="265"/>
    </row>
    <row r="730" spans="1:32" ht="13.8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  <c r="AA730" s="265"/>
      <c r="AB730" s="265"/>
      <c r="AC730" s="265"/>
      <c r="AD730" s="265"/>
      <c r="AE730" s="265"/>
      <c r="AF730" s="265"/>
    </row>
    <row r="731" spans="1:32" ht="13.8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  <c r="AA731" s="265"/>
      <c r="AB731" s="265"/>
      <c r="AC731" s="265"/>
      <c r="AD731" s="265"/>
      <c r="AE731" s="265"/>
      <c r="AF731" s="265"/>
    </row>
    <row r="732" spans="1:32" ht="13.8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  <c r="AA732" s="265"/>
      <c r="AB732" s="265"/>
      <c r="AC732" s="265"/>
      <c r="AD732" s="265"/>
      <c r="AE732" s="265"/>
      <c r="AF732" s="265"/>
    </row>
    <row r="733" spans="1:32" ht="13.8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  <c r="AA733" s="265"/>
      <c r="AB733" s="265"/>
      <c r="AC733" s="265"/>
      <c r="AD733" s="265"/>
      <c r="AE733" s="265"/>
      <c r="AF733" s="265"/>
    </row>
    <row r="734" spans="1:32" ht="13.8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  <c r="AA734" s="265"/>
      <c r="AB734" s="265"/>
      <c r="AC734" s="265"/>
      <c r="AD734" s="265"/>
      <c r="AE734" s="265"/>
      <c r="AF734" s="265"/>
    </row>
    <row r="735" spans="1:32" ht="13.8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  <c r="AA735" s="265"/>
      <c r="AB735" s="265"/>
      <c r="AC735" s="265"/>
      <c r="AD735" s="265"/>
      <c r="AE735" s="265"/>
      <c r="AF735" s="265"/>
    </row>
    <row r="736" spans="1:32" ht="13.8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  <c r="AA736" s="265"/>
      <c r="AB736" s="265"/>
      <c r="AC736" s="265"/>
      <c r="AD736" s="265"/>
      <c r="AE736" s="265"/>
      <c r="AF736" s="265"/>
    </row>
    <row r="737" spans="1:32" ht="13.8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  <c r="AA737" s="265"/>
      <c r="AB737" s="265"/>
      <c r="AC737" s="265"/>
      <c r="AD737" s="265"/>
      <c r="AE737" s="265"/>
      <c r="AF737" s="265"/>
    </row>
    <row r="738" spans="1:32" ht="13.8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  <c r="AA738" s="265"/>
      <c r="AB738" s="265"/>
      <c r="AC738" s="265"/>
      <c r="AD738" s="265"/>
      <c r="AE738" s="265"/>
      <c r="AF738" s="265"/>
    </row>
    <row r="739" spans="1:32" ht="13.8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  <c r="AA739" s="265"/>
      <c r="AB739" s="265"/>
      <c r="AC739" s="265"/>
      <c r="AD739" s="265"/>
      <c r="AE739" s="265"/>
      <c r="AF739" s="265"/>
    </row>
    <row r="740" spans="1:32" ht="13.8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  <c r="AA740" s="265"/>
      <c r="AB740" s="265"/>
      <c r="AC740" s="265"/>
      <c r="AD740" s="265"/>
      <c r="AE740" s="265"/>
      <c r="AF740" s="265"/>
    </row>
    <row r="741" spans="1:32" ht="13.8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  <c r="AA741" s="265"/>
      <c r="AB741" s="265"/>
      <c r="AC741" s="265"/>
      <c r="AD741" s="265"/>
      <c r="AE741" s="265"/>
      <c r="AF741" s="265"/>
    </row>
    <row r="742" spans="1:32" ht="13.8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  <c r="AA742" s="265"/>
      <c r="AB742" s="265"/>
      <c r="AC742" s="265"/>
      <c r="AD742" s="265"/>
      <c r="AE742" s="265"/>
      <c r="AF742" s="265"/>
    </row>
    <row r="743" spans="1:32" ht="13.8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  <c r="AA743" s="265"/>
      <c r="AB743" s="265"/>
      <c r="AC743" s="265"/>
      <c r="AD743" s="265"/>
      <c r="AE743" s="265"/>
      <c r="AF743" s="265"/>
    </row>
    <row r="744" spans="1:32" ht="13.8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  <c r="AA744" s="265"/>
      <c r="AB744" s="265"/>
      <c r="AC744" s="265"/>
      <c r="AD744" s="265"/>
      <c r="AE744" s="265"/>
      <c r="AF744" s="265"/>
    </row>
    <row r="745" spans="1:32" ht="13.8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  <c r="AA745" s="265"/>
      <c r="AB745" s="265"/>
      <c r="AC745" s="265"/>
      <c r="AD745" s="265"/>
      <c r="AE745" s="265"/>
      <c r="AF745" s="265"/>
    </row>
    <row r="746" spans="1:32" ht="13.8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  <c r="AA746" s="265"/>
      <c r="AB746" s="265"/>
      <c r="AC746" s="265"/>
      <c r="AD746" s="265"/>
      <c r="AE746" s="265"/>
      <c r="AF746" s="265"/>
    </row>
    <row r="747" spans="1:32" ht="13.8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  <c r="AA747" s="265"/>
      <c r="AB747" s="265"/>
      <c r="AC747" s="265"/>
      <c r="AD747" s="265"/>
      <c r="AE747" s="265"/>
      <c r="AF747" s="265"/>
    </row>
    <row r="748" spans="1:32" ht="13.8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  <c r="AA748" s="265"/>
      <c r="AB748" s="265"/>
      <c r="AC748" s="265"/>
      <c r="AD748" s="265"/>
      <c r="AE748" s="265"/>
      <c r="AF748" s="265"/>
    </row>
    <row r="749" spans="1:32" ht="13.8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  <c r="AA749" s="265"/>
      <c r="AB749" s="265"/>
      <c r="AC749" s="265"/>
      <c r="AD749" s="265"/>
      <c r="AE749" s="265"/>
      <c r="AF749" s="265"/>
    </row>
    <row r="750" spans="1:32" ht="13.8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  <c r="AA750" s="265"/>
      <c r="AB750" s="265"/>
      <c r="AC750" s="265"/>
      <c r="AD750" s="265"/>
      <c r="AE750" s="265"/>
      <c r="AF750" s="265"/>
    </row>
    <row r="751" spans="1:32" ht="13.8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  <c r="AA751" s="265"/>
      <c r="AB751" s="265"/>
      <c r="AC751" s="265"/>
      <c r="AD751" s="265"/>
      <c r="AE751" s="265"/>
      <c r="AF751" s="265"/>
    </row>
    <row r="752" spans="1:32" ht="13.8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  <c r="AA752" s="265"/>
      <c r="AB752" s="265"/>
      <c r="AC752" s="265"/>
      <c r="AD752" s="265"/>
      <c r="AE752" s="265"/>
      <c r="AF752" s="265"/>
    </row>
    <row r="753" spans="1:32" ht="13.8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  <c r="AA753" s="265"/>
      <c r="AB753" s="265"/>
      <c r="AC753" s="265"/>
      <c r="AD753" s="265"/>
      <c r="AE753" s="265"/>
      <c r="AF753" s="265"/>
    </row>
    <row r="754" spans="1:32" ht="13.8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  <c r="AA754" s="265"/>
      <c r="AB754" s="265"/>
      <c r="AC754" s="265"/>
      <c r="AD754" s="265"/>
      <c r="AE754" s="265"/>
      <c r="AF754" s="265"/>
    </row>
    <row r="755" spans="1:32" ht="13.8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  <c r="AA755" s="265"/>
      <c r="AB755" s="265"/>
      <c r="AC755" s="265"/>
      <c r="AD755" s="265"/>
      <c r="AE755" s="265"/>
      <c r="AF755" s="265"/>
    </row>
    <row r="756" spans="1:32" ht="13.8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  <c r="AA756" s="265"/>
      <c r="AB756" s="265"/>
      <c r="AC756" s="265"/>
      <c r="AD756" s="265"/>
      <c r="AE756" s="265"/>
      <c r="AF756" s="265"/>
    </row>
    <row r="757" spans="1:32" ht="13.8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  <c r="AA757" s="265"/>
      <c r="AB757" s="265"/>
      <c r="AC757" s="265"/>
      <c r="AD757" s="265"/>
      <c r="AE757" s="265"/>
      <c r="AF757" s="265"/>
    </row>
    <row r="758" spans="1:32" ht="13.8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  <c r="AA758" s="265"/>
      <c r="AB758" s="265"/>
      <c r="AC758" s="265"/>
      <c r="AD758" s="265"/>
      <c r="AE758" s="265"/>
      <c r="AF758" s="265"/>
    </row>
    <row r="759" spans="1:32" ht="13.8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  <c r="AA759" s="265"/>
      <c r="AB759" s="265"/>
      <c r="AC759" s="265"/>
      <c r="AD759" s="265"/>
      <c r="AE759" s="265"/>
      <c r="AF759" s="265"/>
    </row>
    <row r="760" spans="1:32" ht="13.8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  <c r="AA760" s="265"/>
      <c r="AB760" s="265"/>
      <c r="AC760" s="265"/>
      <c r="AD760" s="265"/>
      <c r="AE760" s="265"/>
      <c r="AF760" s="265"/>
    </row>
    <row r="761" spans="1:32" ht="13.8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  <c r="AA761" s="265"/>
      <c r="AB761" s="265"/>
      <c r="AC761" s="265"/>
      <c r="AD761" s="265"/>
      <c r="AE761" s="265"/>
      <c r="AF761" s="265"/>
    </row>
    <row r="762" spans="1:32" ht="13.8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  <c r="AA762" s="265"/>
      <c r="AB762" s="265"/>
      <c r="AC762" s="265"/>
      <c r="AD762" s="265"/>
      <c r="AE762" s="265"/>
      <c r="AF762" s="265"/>
    </row>
    <row r="763" spans="1:32" ht="13.8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  <c r="AA763" s="265"/>
      <c r="AB763" s="265"/>
      <c r="AC763" s="265"/>
      <c r="AD763" s="265"/>
      <c r="AE763" s="265"/>
      <c r="AF763" s="265"/>
    </row>
    <row r="764" spans="1:32" ht="13.8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  <c r="AA764" s="265"/>
      <c r="AB764" s="265"/>
      <c r="AC764" s="265"/>
      <c r="AD764" s="265"/>
      <c r="AE764" s="265"/>
      <c r="AF764" s="265"/>
    </row>
    <row r="765" spans="1:32" ht="13.8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  <c r="AA765" s="265"/>
      <c r="AB765" s="265"/>
      <c r="AC765" s="265"/>
      <c r="AD765" s="265"/>
      <c r="AE765" s="265"/>
      <c r="AF765" s="265"/>
    </row>
    <row r="766" spans="1:32" ht="13.8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  <c r="AA766" s="265"/>
      <c r="AB766" s="265"/>
      <c r="AC766" s="265"/>
      <c r="AD766" s="265"/>
      <c r="AE766" s="265"/>
      <c r="AF766" s="265"/>
    </row>
    <row r="767" spans="1:32" ht="13.8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  <c r="AA767" s="265"/>
      <c r="AB767" s="265"/>
      <c r="AC767" s="265"/>
      <c r="AD767" s="265"/>
      <c r="AE767" s="265"/>
      <c r="AF767" s="265"/>
    </row>
    <row r="768" spans="1:32" ht="13.8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  <c r="AA768" s="265"/>
      <c r="AB768" s="265"/>
      <c r="AC768" s="265"/>
      <c r="AD768" s="265"/>
      <c r="AE768" s="265"/>
      <c r="AF768" s="265"/>
    </row>
    <row r="769" spans="1:32" ht="13.8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  <c r="AA769" s="265"/>
      <c r="AB769" s="265"/>
      <c r="AC769" s="265"/>
      <c r="AD769" s="265"/>
      <c r="AE769" s="265"/>
      <c r="AF769" s="265"/>
    </row>
    <row r="770" spans="1:32" ht="13.8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  <c r="AA770" s="265"/>
      <c r="AB770" s="265"/>
      <c r="AC770" s="265"/>
      <c r="AD770" s="265"/>
      <c r="AE770" s="265"/>
      <c r="AF770" s="265"/>
    </row>
    <row r="771" spans="1:32" ht="13.8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  <c r="AA771" s="265"/>
      <c r="AB771" s="265"/>
      <c r="AC771" s="265"/>
      <c r="AD771" s="265"/>
      <c r="AE771" s="265"/>
      <c r="AF771" s="265"/>
    </row>
    <row r="772" spans="1:32" ht="13.8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  <c r="AA772" s="265"/>
      <c r="AB772" s="265"/>
      <c r="AC772" s="265"/>
      <c r="AD772" s="265"/>
      <c r="AE772" s="265"/>
      <c r="AF772" s="265"/>
    </row>
    <row r="773" spans="1:32" ht="13.8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  <c r="AA773" s="265"/>
      <c r="AB773" s="265"/>
      <c r="AC773" s="265"/>
      <c r="AD773" s="265"/>
      <c r="AE773" s="265"/>
      <c r="AF773" s="265"/>
    </row>
    <row r="774" spans="1:32" ht="13.8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  <c r="AA774" s="265"/>
      <c r="AB774" s="265"/>
      <c r="AC774" s="265"/>
      <c r="AD774" s="265"/>
      <c r="AE774" s="265"/>
      <c r="AF774" s="265"/>
    </row>
    <row r="775" spans="1:32" ht="13.8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  <c r="AA775" s="265"/>
      <c r="AB775" s="265"/>
      <c r="AC775" s="265"/>
      <c r="AD775" s="265"/>
      <c r="AE775" s="265"/>
      <c r="AF775" s="265"/>
    </row>
    <row r="776" spans="1:32" ht="13.8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  <c r="AA776" s="265"/>
      <c r="AB776" s="265"/>
      <c r="AC776" s="265"/>
      <c r="AD776" s="265"/>
      <c r="AE776" s="265"/>
      <c r="AF776" s="265"/>
    </row>
    <row r="777" spans="1:32" ht="13.8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  <c r="AA777" s="265"/>
      <c r="AB777" s="265"/>
      <c r="AC777" s="265"/>
      <c r="AD777" s="265"/>
      <c r="AE777" s="265"/>
      <c r="AF777" s="265"/>
    </row>
    <row r="778" spans="1:32" ht="13.8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  <c r="AA778" s="265"/>
      <c r="AB778" s="265"/>
      <c r="AC778" s="265"/>
      <c r="AD778" s="265"/>
      <c r="AE778" s="265"/>
      <c r="AF778" s="265"/>
    </row>
    <row r="779" spans="1:32" ht="13.8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  <c r="AA779" s="265"/>
      <c r="AB779" s="265"/>
      <c r="AC779" s="265"/>
      <c r="AD779" s="265"/>
      <c r="AE779" s="265"/>
      <c r="AF779" s="265"/>
    </row>
    <row r="780" spans="1:32" ht="13.8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  <c r="AA780" s="265"/>
      <c r="AB780" s="265"/>
      <c r="AC780" s="265"/>
      <c r="AD780" s="265"/>
      <c r="AE780" s="265"/>
      <c r="AF780" s="265"/>
    </row>
    <row r="781" spans="1:32" ht="13.8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  <c r="AA781" s="265"/>
      <c r="AB781" s="265"/>
      <c r="AC781" s="265"/>
      <c r="AD781" s="265"/>
      <c r="AE781" s="265"/>
      <c r="AF781" s="265"/>
    </row>
    <row r="782" spans="1:32" ht="13.8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  <c r="AA782" s="265"/>
      <c r="AB782" s="265"/>
      <c r="AC782" s="265"/>
      <c r="AD782" s="265"/>
      <c r="AE782" s="265"/>
      <c r="AF782" s="265"/>
    </row>
    <row r="783" spans="1:32" ht="13.8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  <c r="AA783" s="265"/>
      <c r="AB783" s="265"/>
      <c r="AC783" s="265"/>
      <c r="AD783" s="265"/>
      <c r="AE783" s="265"/>
      <c r="AF783" s="265"/>
    </row>
    <row r="784" spans="1:32" ht="13.8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  <c r="AA784" s="265"/>
      <c r="AB784" s="265"/>
      <c r="AC784" s="265"/>
      <c r="AD784" s="265"/>
      <c r="AE784" s="265"/>
      <c r="AF784" s="265"/>
    </row>
    <row r="785" spans="1:32" ht="13.8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  <c r="AA785" s="265"/>
      <c r="AB785" s="265"/>
      <c r="AC785" s="265"/>
      <c r="AD785" s="265"/>
      <c r="AE785" s="265"/>
      <c r="AF785" s="265"/>
    </row>
    <row r="786" spans="1:32" ht="13.8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  <c r="AA786" s="265"/>
      <c r="AB786" s="265"/>
      <c r="AC786" s="265"/>
      <c r="AD786" s="265"/>
      <c r="AE786" s="265"/>
      <c r="AF786" s="265"/>
    </row>
    <row r="787" spans="1:32" ht="13.8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  <c r="AA787" s="265"/>
      <c r="AB787" s="265"/>
      <c r="AC787" s="265"/>
      <c r="AD787" s="265"/>
      <c r="AE787" s="265"/>
      <c r="AF787" s="265"/>
    </row>
    <row r="788" spans="1:32" ht="13.8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  <c r="AA788" s="265"/>
      <c r="AB788" s="265"/>
      <c r="AC788" s="265"/>
      <c r="AD788" s="265"/>
      <c r="AE788" s="265"/>
      <c r="AF788" s="265"/>
    </row>
    <row r="789" spans="1:32" ht="13.8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  <c r="AA789" s="265"/>
      <c r="AB789" s="265"/>
      <c r="AC789" s="265"/>
      <c r="AD789" s="265"/>
      <c r="AE789" s="265"/>
      <c r="AF789" s="265"/>
    </row>
    <row r="790" spans="1:32" ht="13.8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  <c r="AA790" s="265"/>
      <c r="AB790" s="265"/>
      <c r="AC790" s="265"/>
      <c r="AD790" s="265"/>
      <c r="AE790" s="265"/>
      <c r="AF790" s="265"/>
    </row>
    <row r="791" spans="1:32" ht="13.8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  <c r="AA791" s="265"/>
      <c r="AB791" s="265"/>
      <c r="AC791" s="265"/>
      <c r="AD791" s="265"/>
      <c r="AE791" s="265"/>
      <c r="AF791" s="265"/>
    </row>
    <row r="792" spans="1:32" ht="13.8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  <c r="AA792" s="265"/>
      <c r="AB792" s="265"/>
      <c r="AC792" s="265"/>
      <c r="AD792" s="265"/>
      <c r="AE792" s="265"/>
      <c r="AF792" s="265"/>
    </row>
    <row r="793" spans="1:32" ht="13.8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  <c r="AA793" s="265"/>
      <c r="AB793" s="265"/>
      <c r="AC793" s="265"/>
      <c r="AD793" s="265"/>
      <c r="AE793" s="265"/>
      <c r="AF793" s="265"/>
    </row>
    <row r="794" spans="1:32" ht="13.8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  <c r="AA794" s="265"/>
      <c r="AB794" s="265"/>
      <c r="AC794" s="265"/>
      <c r="AD794" s="265"/>
      <c r="AE794" s="265"/>
      <c r="AF794" s="265"/>
    </row>
    <row r="795" spans="1:32" ht="13.8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  <c r="AA795" s="265"/>
      <c r="AB795" s="265"/>
      <c r="AC795" s="265"/>
      <c r="AD795" s="265"/>
      <c r="AE795" s="265"/>
      <c r="AF795" s="265"/>
    </row>
    <row r="796" spans="1:32" ht="13.8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  <c r="AA796" s="265"/>
      <c r="AB796" s="265"/>
      <c r="AC796" s="265"/>
      <c r="AD796" s="265"/>
      <c r="AE796" s="265"/>
      <c r="AF796" s="265"/>
    </row>
    <row r="797" spans="1:32" ht="13.8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  <c r="AA797" s="265"/>
      <c r="AB797" s="265"/>
      <c r="AC797" s="265"/>
      <c r="AD797" s="265"/>
      <c r="AE797" s="265"/>
      <c r="AF797" s="265"/>
    </row>
    <row r="798" spans="1:32" ht="13.8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  <c r="AA798" s="265"/>
      <c r="AB798" s="265"/>
      <c r="AC798" s="265"/>
      <c r="AD798" s="265"/>
      <c r="AE798" s="265"/>
      <c r="AF798" s="265"/>
    </row>
    <row r="799" spans="1:32" ht="13.8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  <c r="AA799" s="265"/>
      <c r="AB799" s="265"/>
      <c r="AC799" s="265"/>
      <c r="AD799" s="265"/>
      <c r="AE799" s="265"/>
      <c r="AF799" s="265"/>
    </row>
    <row r="800" spans="1:32" ht="13.8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  <c r="AA800" s="265"/>
      <c r="AB800" s="265"/>
      <c r="AC800" s="265"/>
      <c r="AD800" s="265"/>
      <c r="AE800" s="265"/>
      <c r="AF800" s="265"/>
    </row>
    <row r="801" spans="1:32" ht="13.8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  <c r="AA801" s="265"/>
      <c r="AB801" s="265"/>
      <c r="AC801" s="265"/>
      <c r="AD801" s="265"/>
      <c r="AE801" s="265"/>
      <c r="AF801" s="265"/>
    </row>
    <row r="802" spans="1:32" ht="13.8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  <c r="AA802" s="265"/>
      <c r="AB802" s="265"/>
      <c r="AC802" s="265"/>
      <c r="AD802" s="265"/>
      <c r="AE802" s="265"/>
      <c r="AF802" s="265"/>
    </row>
    <row r="803" spans="1:32" ht="13.8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  <c r="AA803" s="265"/>
      <c r="AB803" s="265"/>
      <c r="AC803" s="265"/>
      <c r="AD803" s="265"/>
      <c r="AE803" s="265"/>
      <c r="AF803" s="265"/>
    </row>
    <row r="804" spans="1:32" ht="13.8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  <c r="AA804" s="265"/>
      <c r="AB804" s="265"/>
      <c r="AC804" s="265"/>
      <c r="AD804" s="265"/>
      <c r="AE804" s="265"/>
      <c r="AF804" s="265"/>
    </row>
    <row r="805" spans="1:32" ht="13.8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  <c r="AA805" s="265"/>
      <c r="AB805" s="265"/>
      <c r="AC805" s="265"/>
      <c r="AD805" s="265"/>
      <c r="AE805" s="265"/>
      <c r="AF805" s="265"/>
    </row>
    <row r="806" spans="1:32" ht="13.8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  <c r="AA806" s="265"/>
      <c r="AB806" s="265"/>
      <c r="AC806" s="265"/>
      <c r="AD806" s="265"/>
      <c r="AE806" s="265"/>
      <c r="AF806" s="265"/>
    </row>
    <row r="807" spans="1:32" ht="13.8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  <c r="AA807" s="265"/>
      <c r="AB807" s="265"/>
      <c r="AC807" s="265"/>
      <c r="AD807" s="265"/>
      <c r="AE807" s="265"/>
      <c r="AF807" s="265"/>
    </row>
    <row r="808" spans="1:32" ht="13.8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  <c r="AA808" s="265"/>
      <c r="AB808" s="265"/>
      <c r="AC808" s="265"/>
      <c r="AD808" s="265"/>
      <c r="AE808" s="265"/>
      <c r="AF808" s="265"/>
    </row>
    <row r="809" spans="1:32" ht="13.8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  <c r="AA809" s="265"/>
      <c r="AB809" s="265"/>
      <c r="AC809" s="265"/>
      <c r="AD809" s="265"/>
      <c r="AE809" s="265"/>
      <c r="AF809" s="265"/>
    </row>
    <row r="810" spans="1:32" ht="13.8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  <c r="AA810" s="265"/>
      <c r="AB810" s="265"/>
      <c r="AC810" s="265"/>
      <c r="AD810" s="265"/>
      <c r="AE810" s="265"/>
      <c r="AF810" s="265"/>
    </row>
    <row r="811" spans="1:32" ht="13.8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  <c r="AA811" s="265"/>
      <c r="AB811" s="265"/>
      <c r="AC811" s="265"/>
      <c r="AD811" s="265"/>
      <c r="AE811" s="265"/>
      <c r="AF811" s="265"/>
    </row>
    <row r="812" spans="1:32" ht="13.8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  <c r="AA812" s="265"/>
      <c r="AB812" s="265"/>
      <c r="AC812" s="265"/>
      <c r="AD812" s="265"/>
      <c r="AE812" s="265"/>
      <c r="AF812" s="265"/>
    </row>
    <row r="813" spans="1:32" ht="13.8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  <c r="AA813" s="265"/>
      <c r="AB813" s="265"/>
      <c r="AC813" s="265"/>
      <c r="AD813" s="265"/>
      <c r="AE813" s="265"/>
      <c r="AF813" s="265"/>
    </row>
    <row r="814" spans="1:32" ht="13.8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  <c r="AA814" s="265"/>
      <c r="AB814" s="265"/>
      <c r="AC814" s="265"/>
      <c r="AD814" s="265"/>
      <c r="AE814" s="265"/>
      <c r="AF814" s="265"/>
    </row>
    <row r="815" spans="1:32" ht="13.8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  <c r="AA815" s="265"/>
      <c r="AB815" s="265"/>
      <c r="AC815" s="265"/>
      <c r="AD815" s="265"/>
      <c r="AE815" s="265"/>
      <c r="AF815" s="265"/>
    </row>
    <row r="816" spans="1:32" ht="13.8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  <c r="AA816" s="265"/>
      <c r="AB816" s="265"/>
      <c r="AC816" s="265"/>
      <c r="AD816" s="265"/>
      <c r="AE816" s="265"/>
      <c r="AF816" s="265"/>
    </row>
    <row r="817" spans="1:32" ht="13.8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  <c r="AA817" s="265"/>
      <c r="AB817" s="265"/>
      <c r="AC817" s="265"/>
      <c r="AD817" s="265"/>
      <c r="AE817" s="265"/>
      <c r="AF817" s="265"/>
    </row>
    <row r="818" spans="1:32" ht="13.8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  <c r="AA818" s="265"/>
      <c r="AB818" s="265"/>
      <c r="AC818" s="265"/>
      <c r="AD818" s="265"/>
      <c r="AE818" s="265"/>
      <c r="AF818" s="265"/>
    </row>
    <row r="819" spans="1:32" ht="13.8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  <c r="AA819" s="265"/>
      <c r="AB819" s="265"/>
      <c r="AC819" s="265"/>
      <c r="AD819" s="265"/>
      <c r="AE819" s="265"/>
      <c r="AF819" s="265"/>
    </row>
    <row r="820" spans="1:32" ht="13.8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  <c r="AA820" s="265"/>
      <c r="AB820" s="265"/>
      <c r="AC820" s="265"/>
      <c r="AD820" s="265"/>
      <c r="AE820" s="265"/>
      <c r="AF820" s="265"/>
    </row>
    <row r="821" spans="1:32" ht="13.8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  <c r="AA821" s="265"/>
      <c r="AB821" s="265"/>
      <c r="AC821" s="265"/>
      <c r="AD821" s="265"/>
      <c r="AE821" s="265"/>
      <c r="AF821" s="265"/>
    </row>
    <row r="822" spans="1:32" ht="13.8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  <c r="AA822" s="265"/>
      <c r="AB822" s="265"/>
      <c r="AC822" s="265"/>
      <c r="AD822" s="265"/>
      <c r="AE822" s="265"/>
      <c r="AF822" s="265"/>
    </row>
    <row r="823" spans="1:32" ht="13.8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  <c r="AA823" s="265"/>
      <c r="AB823" s="265"/>
      <c r="AC823" s="265"/>
      <c r="AD823" s="265"/>
      <c r="AE823" s="265"/>
      <c r="AF823" s="265"/>
    </row>
    <row r="824" spans="1:32" ht="13.8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  <c r="AA824" s="265"/>
      <c r="AB824" s="265"/>
      <c r="AC824" s="265"/>
      <c r="AD824" s="265"/>
      <c r="AE824" s="265"/>
      <c r="AF824" s="265"/>
    </row>
    <row r="825" spans="1:32" ht="13.8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  <c r="AA825" s="265"/>
      <c r="AB825" s="265"/>
      <c r="AC825" s="265"/>
      <c r="AD825" s="265"/>
      <c r="AE825" s="265"/>
      <c r="AF825" s="265"/>
    </row>
    <row r="826" spans="1:32" ht="13.8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  <c r="AA826" s="265"/>
      <c r="AB826" s="265"/>
      <c r="AC826" s="265"/>
      <c r="AD826" s="265"/>
      <c r="AE826" s="265"/>
      <c r="AF826" s="265"/>
    </row>
    <row r="827" spans="1:32" ht="13.8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  <c r="AA827" s="265"/>
      <c r="AB827" s="265"/>
      <c r="AC827" s="265"/>
      <c r="AD827" s="265"/>
      <c r="AE827" s="265"/>
      <c r="AF827" s="265"/>
    </row>
    <row r="828" spans="1:32" ht="13.8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  <c r="AA828" s="265"/>
      <c r="AB828" s="265"/>
      <c r="AC828" s="265"/>
      <c r="AD828" s="265"/>
      <c r="AE828" s="265"/>
      <c r="AF828" s="265"/>
    </row>
    <row r="829" spans="1:32" ht="13.8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  <c r="AA829" s="265"/>
      <c r="AB829" s="265"/>
      <c r="AC829" s="265"/>
      <c r="AD829" s="265"/>
      <c r="AE829" s="265"/>
      <c r="AF829" s="265"/>
    </row>
    <row r="830" spans="1:32" ht="13.8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  <c r="AA830" s="265"/>
      <c r="AB830" s="265"/>
      <c r="AC830" s="265"/>
      <c r="AD830" s="265"/>
      <c r="AE830" s="265"/>
      <c r="AF830" s="265"/>
    </row>
  </sheetData>
  <mergeCells count="39">
    <mergeCell ref="B25:B27"/>
    <mergeCell ref="B41:B42"/>
    <mergeCell ref="C41:C42"/>
    <mergeCell ref="D41:D42"/>
    <mergeCell ref="F41:F42"/>
    <mergeCell ref="C25:C27"/>
    <mergeCell ref="D25:D27"/>
    <mergeCell ref="E25:E27"/>
    <mergeCell ref="F52:G52"/>
    <mergeCell ref="B57:F57"/>
    <mergeCell ref="G57:J57"/>
    <mergeCell ref="G58:J58"/>
    <mergeCell ref="B35:B36"/>
    <mergeCell ref="C35:C36"/>
    <mergeCell ref="H41:K42"/>
    <mergeCell ref="H43:K43"/>
    <mergeCell ref="J25:J26"/>
    <mergeCell ref="K27:P27"/>
    <mergeCell ref="G41:G42"/>
    <mergeCell ref="F46:G46"/>
    <mergeCell ref="F47:G47"/>
    <mergeCell ref="K35:K36"/>
    <mergeCell ref="O35:O36"/>
    <mergeCell ref="L35:L36"/>
    <mergeCell ref="M35:M36"/>
    <mergeCell ref="N35:N36"/>
    <mergeCell ref="P35:P36"/>
    <mergeCell ref="F25:F27"/>
    <mergeCell ref="G25:I26"/>
    <mergeCell ref="P3:Q3"/>
    <mergeCell ref="T3:AB3"/>
    <mergeCell ref="K3:N3"/>
    <mergeCell ref="B3:B4"/>
    <mergeCell ref="C3:C4"/>
    <mergeCell ref="D3:D4"/>
    <mergeCell ref="E3:E4"/>
    <mergeCell ref="F3:F4"/>
    <mergeCell ref="G3:J3"/>
    <mergeCell ref="O3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1000"/>
  <sheetViews>
    <sheetView tabSelected="1" workbookViewId="0"/>
  </sheetViews>
  <sheetFormatPr defaultColWidth="12.59765625" defaultRowHeight="15" customHeight="1"/>
  <cols>
    <col min="1" max="1" width="54.8984375" customWidth="1"/>
    <col min="2" max="2" width="59.09765625" customWidth="1"/>
    <col min="3" max="3" width="20" customWidth="1"/>
    <col min="4" max="26" width="8.59765625" customWidth="1"/>
  </cols>
  <sheetData>
    <row r="1" spans="1:3" ht="14.25" customHeight="1">
      <c r="A1" s="327" t="s">
        <v>336</v>
      </c>
      <c r="B1" s="328" t="s">
        <v>209</v>
      </c>
      <c r="C1" s="329" t="s">
        <v>337</v>
      </c>
    </row>
    <row r="2" spans="1:3" ht="14.25" customHeight="1">
      <c r="A2" s="330" t="s">
        <v>338</v>
      </c>
      <c r="B2" s="331"/>
      <c r="C2" s="332"/>
    </row>
    <row r="3" spans="1:3" ht="14.25" customHeight="1">
      <c r="A3" s="333" t="s">
        <v>339</v>
      </c>
      <c r="B3" s="331" t="s">
        <v>340</v>
      </c>
      <c r="C3" s="334">
        <v>7.8</v>
      </c>
    </row>
    <row r="4" spans="1:3" ht="14.25" customHeight="1">
      <c r="A4" s="333" t="s">
        <v>341</v>
      </c>
      <c r="B4" s="331" t="s">
        <v>342</v>
      </c>
      <c r="C4" s="335">
        <v>1</v>
      </c>
    </row>
    <row r="5" spans="1:3" ht="14.25" customHeight="1">
      <c r="A5" s="336" t="s">
        <v>343</v>
      </c>
      <c r="B5" s="331" t="s">
        <v>344</v>
      </c>
      <c r="C5" s="335">
        <v>2</v>
      </c>
    </row>
    <row r="6" spans="1:3" ht="14.25" customHeight="1">
      <c r="A6" s="333" t="s">
        <v>345</v>
      </c>
      <c r="B6" s="331" t="s">
        <v>344</v>
      </c>
      <c r="C6" s="335">
        <v>2</v>
      </c>
    </row>
    <row r="7" spans="1:3" ht="14.25" customHeight="1">
      <c r="A7" s="333" t="s">
        <v>346</v>
      </c>
      <c r="B7" s="331" t="s">
        <v>347</v>
      </c>
      <c r="C7" s="335">
        <v>1</v>
      </c>
    </row>
    <row r="8" spans="1:3" ht="14.25" customHeight="1">
      <c r="A8" s="333" t="s">
        <v>348</v>
      </c>
      <c r="B8" s="331" t="s">
        <v>347</v>
      </c>
      <c r="C8" s="335">
        <v>1</v>
      </c>
    </row>
    <row r="9" spans="1:3" ht="14.25" customHeight="1">
      <c r="A9" s="333" t="s">
        <v>349</v>
      </c>
      <c r="B9" s="331" t="s">
        <v>347</v>
      </c>
      <c r="C9" s="335">
        <v>1</v>
      </c>
    </row>
    <row r="10" spans="1:3" ht="14.25" customHeight="1">
      <c r="A10" s="333" t="s">
        <v>350</v>
      </c>
      <c r="B10" s="331" t="s">
        <v>347</v>
      </c>
      <c r="C10" s="335">
        <v>1</v>
      </c>
    </row>
    <row r="11" spans="1:3" ht="14.25" customHeight="1">
      <c r="A11" s="333"/>
      <c r="B11" s="331"/>
      <c r="C11" s="335"/>
    </row>
    <row r="12" spans="1:3" ht="14.25" customHeight="1">
      <c r="A12" s="330" t="s">
        <v>351</v>
      </c>
      <c r="B12" s="337"/>
      <c r="C12" s="334"/>
    </row>
    <row r="13" spans="1:3" ht="14.25" customHeight="1">
      <c r="A13" s="338" t="s">
        <v>94</v>
      </c>
      <c r="B13" s="331"/>
      <c r="C13" s="335"/>
    </row>
    <row r="14" spans="1:3" ht="14.25" customHeight="1">
      <c r="A14" s="339" t="s">
        <v>352</v>
      </c>
      <c r="B14" s="337" t="s">
        <v>353</v>
      </c>
      <c r="C14" s="335">
        <v>1</v>
      </c>
    </row>
    <row r="15" spans="1:3" ht="14.25" customHeight="1">
      <c r="A15" s="338" t="s">
        <v>107</v>
      </c>
      <c r="B15" s="331"/>
      <c r="C15" s="335"/>
    </row>
    <row r="16" spans="1:3" ht="14.25" customHeight="1">
      <c r="A16" s="340" t="s">
        <v>354</v>
      </c>
      <c r="B16" s="337" t="s">
        <v>353</v>
      </c>
      <c r="C16" s="335">
        <v>1</v>
      </c>
    </row>
    <row r="17" spans="1:3" ht="14.25" customHeight="1">
      <c r="A17" s="339" t="s">
        <v>355</v>
      </c>
      <c r="B17" s="337" t="s">
        <v>353</v>
      </c>
      <c r="C17" s="335">
        <v>2</v>
      </c>
    </row>
    <row r="18" spans="1:3" ht="14.25" customHeight="1">
      <c r="A18" s="339" t="s">
        <v>356</v>
      </c>
      <c r="B18" s="337" t="s">
        <v>353</v>
      </c>
      <c r="C18" s="335">
        <v>2</v>
      </c>
    </row>
    <row r="19" spans="1:3" ht="14.25" customHeight="1">
      <c r="A19" s="339"/>
      <c r="B19" s="337"/>
      <c r="C19" s="335"/>
    </row>
    <row r="20" spans="1:3" ht="14.25" customHeight="1">
      <c r="A20" s="330" t="s">
        <v>293</v>
      </c>
      <c r="B20" s="337"/>
      <c r="C20" s="334"/>
    </row>
    <row r="21" spans="1:3" ht="14.25" customHeight="1">
      <c r="A21" s="340" t="s">
        <v>357</v>
      </c>
      <c r="B21" s="337" t="s">
        <v>353</v>
      </c>
      <c r="C21" s="335">
        <v>1</v>
      </c>
    </row>
    <row r="22" spans="1:3" ht="14.25" customHeight="1">
      <c r="A22" s="339" t="s">
        <v>358</v>
      </c>
      <c r="B22" s="337" t="s">
        <v>353</v>
      </c>
      <c r="C22" s="335">
        <v>1</v>
      </c>
    </row>
    <row r="23" spans="1:3" ht="14.25" customHeight="1">
      <c r="A23" s="339"/>
      <c r="B23" s="337"/>
      <c r="C23" s="335"/>
    </row>
    <row r="24" spans="1:3" ht="14.25" customHeight="1"/>
    <row r="25" spans="1:3" ht="14.25" customHeight="1">
      <c r="A25" s="341" t="s">
        <v>359</v>
      </c>
      <c r="B25" s="342"/>
      <c r="C25" s="343"/>
    </row>
    <row r="26" spans="1:3" ht="14.25" customHeight="1">
      <c r="A26" s="344" t="s">
        <v>13</v>
      </c>
      <c r="C26" s="345"/>
    </row>
    <row r="27" spans="1:3" ht="14.25" customHeight="1">
      <c r="A27" s="344" t="s">
        <v>14</v>
      </c>
      <c r="C27" s="345"/>
    </row>
    <row r="28" spans="1:3" ht="14.25" customHeight="1">
      <c r="A28" s="344" t="s">
        <v>360</v>
      </c>
      <c r="C28" s="345"/>
    </row>
    <row r="29" spans="1:3" ht="14.25" customHeight="1">
      <c r="A29" s="346"/>
      <c r="C29" s="345"/>
    </row>
    <row r="30" spans="1:3" ht="14.25" customHeight="1">
      <c r="A30" s="346"/>
      <c r="C30" s="345"/>
    </row>
    <row r="31" spans="1:3" ht="14.25" customHeight="1">
      <c r="A31" s="346"/>
      <c r="C31" s="345"/>
    </row>
    <row r="32" spans="1:3" ht="14.25" customHeight="1">
      <c r="A32" s="346"/>
      <c r="C32" s="345"/>
    </row>
    <row r="33" spans="1:3" ht="14.25" customHeight="1">
      <c r="A33" s="347"/>
      <c r="B33" s="348"/>
      <c r="C33" s="349"/>
    </row>
    <row r="34" spans="1:3" ht="14.25" customHeight="1"/>
    <row r="35" spans="1:3" ht="14.25" customHeight="1"/>
    <row r="36" spans="1:3" ht="14.25" customHeight="1"/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N751"/>
  <sheetViews>
    <sheetView workbookViewId="0"/>
  </sheetViews>
  <sheetFormatPr defaultColWidth="12.59765625" defaultRowHeight="15" customHeight="1"/>
  <cols>
    <col min="1" max="1" width="3.09765625" customWidth="1"/>
    <col min="2" max="2" width="64" customWidth="1"/>
    <col min="3" max="3" width="79.5" customWidth="1"/>
    <col min="12" max="12" width="14.09765625" customWidth="1"/>
  </cols>
  <sheetData>
    <row r="1" spans="1:14" ht="13.8">
      <c r="A1" s="231"/>
      <c r="B1" s="231" t="s">
        <v>361</v>
      </c>
      <c r="C1" s="232"/>
      <c r="D1" s="233"/>
      <c r="E1" s="234"/>
      <c r="F1" s="234"/>
      <c r="G1" s="234"/>
      <c r="H1" s="235"/>
      <c r="I1" s="235"/>
      <c r="J1" s="235"/>
      <c r="K1" s="235"/>
      <c r="L1" s="235"/>
      <c r="M1" s="235"/>
      <c r="N1" s="235"/>
    </row>
    <row r="2" spans="1:14" ht="13.8">
      <c r="A2" s="237"/>
      <c r="B2" s="237"/>
      <c r="C2" s="237"/>
      <c r="D2" s="233"/>
      <c r="E2" s="234"/>
      <c r="F2" s="234"/>
      <c r="G2" s="234"/>
      <c r="H2" s="235"/>
      <c r="I2" s="235"/>
      <c r="J2" s="235"/>
      <c r="K2" s="235"/>
      <c r="L2" s="235"/>
      <c r="M2" s="235"/>
      <c r="N2" s="235"/>
    </row>
    <row r="3" spans="1:14" ht="21">
      <c r="A3" s="254"/>
      <c r="B3" s="255" t="s">
        <v>208</v>
      </c>
      <c r="C3" s="256"/>
      <c r="D3" s="257"/>
      <c r="E3" s="234"/>
      <c r="F3" s="234"/>
      <c r="G3" s="234"/>
      <c r="H3" s="235"/>
      <c r="I3" s="235"/>
      <c r="J3" s="235"/>
      <c r="K3" s="235"/>
      <c r="L3" s="235"/>
      <c r="M3" s="235"/>
      <c r="N3" s="235"/>
    </row>
    <row r="4" spans="1:14" ht="14.4">
      <c r="A4" s="254"/>
      <c r="B4" s="258" t="s">
        <v>362</v>
      </c>
      <c r="C4" s="23"/>
      <c r="D4" s="105"/>
      <c r="E4" s="234"/>
      <c r="F4" s="234"/>
      <c r="G4" s="234"/>
      <c r="H4" s="235"/>
      <c r="I4" s="235"/>
      <c r="J4" s="235"/>
      <c r="K4" s="235"/>
      <c r="L4" s="235"/>
      <c r="M4" s="235"/>
      <c r="N4" s="235"/>
    </row>
    <row r="5" spans="1:14" ht="14.4">
      <c r="A5" s="254"/>
      <c r="B5" s="259" t="s">
        <v>45</v>
      </c>
      <c r="C5" s="23"/>
      <c r="D5" s="105"/>
      <c r="E5" s="234"/>
      <c r="F5" s="234"/>
      <c r="G5" s="234"/>
      <c r="H5" s="235"/>
      <c r="I5" s="235"/>
      <c r="J5" s="235"/>
      <c r="K5" s="235"/>
      <c r="L5" s="235"/>
      <c r="M5" s="235"/>
      <c r="N5" s="235"/>
    </row>
    <row r="6" spans="1:14" ht="14.4">
      <c r="A6" s="254"/>
      <c r="B6" s="259" t="s">
        <v>46</v>
      </c>
      <c r="C6" s="23"/>
      <c r="D6" s="105"/>
      <c r="E6" s="234"/>
      <c r="F6" s="234"/>
      <c r="G6" s="234"/>
      <c r="H6" s="235"/>
      <c r="I6" s="235"/>
      <c r="J6" s="235"/>
      <c r="K6" s="235"/>
      <c r="L6" s="235"/>
      <c r="M6" s="235"/>
      <c r="N6" s="235"/>
    </row>
    <row r="7" spans="1:14" ht="14.4">
      <c r="A7" s="254"/>
      <c r="B7" s="259" t="s">
        <v>47</v>
      </c>
      <c r="C7" s="23"/>
      <c r="D7" s="105"/>
      <c r="E7" s="234"/>
      <c r="F7" s="234"/>
      <c r="G7" s="234"/>
      <c r="H7" s="235"/>
      <c r="I7" s="235"/>
      <c r="J7" s="235"/>
      <c r="K7" s="235"/>
      <c r="L7" s="235"/>
      <c r="M7" s="235"/>
      <c r="N7" s="235"/>
    </row>
    <row r="8" spans="1:14" ht="14.4">
      <c r="A8" s="254"/>
      <c r="B8" s="21" t="s">
        <v>48</v>
      </c>
      <c r="C8" s="23"/>
      <c r="D8" s="105"/>
      <c r="E8" s="234"/>
      <c r="F8" s="234"/>
      <c r="G8" s="234"/>
      <c r="H8" s="235"/>
      <c r="I8" s="235"/>
      <c r="J8" s="235"/>
      <c r="K8" s="235"/>
      <c r="L8" s="235"/>
      <c r="M8" s="235"/>
      <c r="N8" s="235"/>
    </row>
    <row r="9" spans="1:14" ht="14.4">
      <c r="A9" s="254"/>
      <c r="B9" s="260"/>
      <c r="C9" s="261"/>
      <c r="D9" s="262"/>
      <c r="E9" s="234"/>
      <c r="F9" s="234"/>
      <c r="G9" s="234"/>
      <c r="H9" s="235"/>
      <c r="I9" s="235"/>
      <c r="J9" s="235"/>
      <c r="K9" s="235"/>
      <c r="L9" s="235"/>
      <c r="M9" s="235"/>
      <c r="N9" s="235"/>
    </row>
    <row r="10" spans="1:14" ht="13.8">
      <c r="A10" s="254"/>
      <c r="B10" s="235"/>
      <c r="C10" s="235"/>
      <c r="D10" s="234"/>
      <c r="E10" s="234"/>
      <c r="F10" s="234"/>
      <c r="G10" s="234"/>
      <c r="H10" s="235"/>
      <c r="I10" s="235"/>
      <c r="J10" s="235"/>
      <c r="K10" s="235"/>
      <c r="L10" s="235"/>
      <c r="M10" s="235"/>
      <c r="N10" s="235"/>
    </row>
    <row r="11" spans="1:14" ht="13.8">
      <c r="A11" s="238"/>
      <c r="B11" s="238" t="s">
        <v>185</v>
      </c>
      <c r="C11" s="237"/>
      <c r="D11" s="233"/>
      <c r="E11" s="234"/>
      <c r="F11" s="234"/>
      <c r="G11" s="234"/>
      <c r="H11" s="235"/>
      <c r="I11" s="235"/>
      <c r="J11" s="235"/>
      <c r="K11" s="235"/>
      <c r="L11" s="235"/>
      <c r="M11" s="235"/>
      <c r="N11" s="235"/>
    </row>
    <row r="12" spans="1:14" ht="27.75" customHeight="1">
      <c r="A12" s="239"/>
      <c r="B12" s="542" t="s">
        <v>363</v>
      </c>
      <c r="C12" s="542" t="s">
        <v>209</v>
      </c>
      <c r="D12" s="240" t="s">
        <v>188</v>
      </c>
      <c r="E12" s="240" t="s">
        <v>364</v>
      </c>
      <c r="F12" s="240"/>
      <c r="G12" s="543" t="s">
        <v>189</v>
      </c>
      <c r="H12" s="532"/>
      <c r="I12" s="542" t="s">
        <v>91</v>
      </c>
      <c r="J12" s="542"/>
      <c r="K12" s="235"/>
      <c r="L12" s="542" t="s">
        <v>365</v>
      </c>
      <c r="M12" s="235"/>
      <c r="N12" s="235"/>
    </row>
    <row r="13" spans="1:14" ht="13.8">
      <c r="A13" s="239"/>
      <c r="B13" s="540"/>
      <c r="C13" s="540"/>
      <c r="D13" s="240" t="s">
        <v>191</v>
      </c>
      <c r="E13" s="240"/>
      <c r="F13" s="240"/>
      <c r="G13" s="240"/>
      <c r="H13" s="241"/>
      <c r="I13" s="540"/>
      <c r="J13" s="540"/>
      <c r="K13" s="235"/>
      <c r="L13" s="540"/>
      <c r="M13" s="235"/>
      <c r="N13" s="235"/>
    </row>
    <row r="14" spans="1:14" ht="14.4">
      <c r="A14" s="251"/>
      <c r="B14" s="350"/>
      <c r="C14" s="351"/>
      <c r="D14" s="352"/>
      <c r="E14" s="352"/>
      <c r="F14" s="352"/>
      <c r="G14" s="352"/>
      <c r="H14" s="353"/>
      <c r="I14" s="354"/>
      <c r="J14" s="353"/>
      <c r="K14" s="235"/>
      <c r="L14" s="354"/>
      <c r="M14" s="235"/>
      <c r="N14" s="235"/>
    </row>
    <row r="15" spans="1:14" ht="14.4">
      <c r="A15" s="242"/>
      <c r="B15" s="355" t="s">
        <v>366</v>
      </c>
      <c r="C15" s="244"/>
      <c r="D15" s="246"/>
      <c r="E15" s="246"/>
      <c r="F15" s="246"/>
      <c r="G15" s="246"/>
      <c r="H15" s="247"/>
      <c r="I15" s="244"/>
      <c r="J15" s="243"/>
      <c r="K15" s="235"/>
      <c r="L15" s="244"/>
      <c r="M15" s="235"/>
      <c r="N15" s="235"/>
    </row>
    <row r="16" spans="1:14" ht="14.4">
      <c r="A16" s="242"/>
      <c r="B16" s="356" t="s">
        <v>367</v>
      </c>
      <c r="C16" s="243"/>
      <c r="D16" s="357"/>
      <c r="E16" s="357"/>
      <c r="F16" s="357"/>
      <c r="G16" s="357"/>
      <c r="H16" s="247"/>
      <c r="I16" s="246"/>
      <c r="J16" s="243"/>
      <c r="K16" s="235"/>
      <c r="L16" s="246"/>
      <c r="M16" s="235"/>
      <c r="N16" s="235"/>
    </row>
    <row r="17" spans="1:14" ht="14.4">
      <c r="A17" s="242"/>
      <c r="B17" s="358" t="s">
        <v>368</v>
      </c>
      <c r="C17" s="243"/>
      <c r="D17" s="357">
        <v>1</v>
      </c>
      <c r="E17" s="357"/>
      <c r="F17" s="357"/>
      <c r="G17" s="357"/>
      <c r="H17" s="247"/>
      <c r="I17" s="357">
        <f>D17</f>
        <v>1</v>
      </c>
      <c r="J17" s="357" t="s">
        <v>97</v>
      </c>
      <c r="K17" s="359"/>
      <c r="L17" s="360">
        <v>0</v>
      </c>
      <c r="M17" s="235"/>
      <c r="N17" s="235"/>
    </row>
    <row r="18" spans="1:14" ht="14.4">
      <c r="A18" s="242"/>
      <c r="B18" s="358"/>
      <c r="C18" s="243"/>
      <c r="D18" s="357"/>
      <c r="E18" s="357"/>
      <c r="F18" s="357"/>
      <c r="G18" s="357"/>
      <c r="H18" s="247"/>
      <c r="I18" s="357"/>
      <c r="J18" s="357"/>
      <c r="K18" s="359"/>
      <c r="L18" s="360"/>
      <c r="M18" s="235"/>
      <c r="N18" s="235"/>
    </row>
    <row r="19" spans="1:14" ht="28.8">
      <c r="A19" s="242"/>
      <c r="B19" s="356" t="s">
        <v>369</v>
      </c>
      <c r="C19" s="243"/>
      <c r="D19" s="357"/>
      <c r="E19" s="357"/>
      <c r="F19" s="357"/>
      <c r="G19" s="357"/>
      <c r="H19" s="247"/>
      <c r="I19" s="357"/>
      <c r="J19" s="357"/>
      <c r="K19" s="359"/>
      <c r="L19" s="360"/>
      <c r="M19" s="235"/>
      <c r="N19" s="235"/>
    </row>
    <row r="20" spans="1:14" ht="14.4">
      <c r="A20" s="242"/>
      <c r="B20" s="358" t="s">
        <v>368</v>
      </c>
      <c r="C20" s="243"/>
      <c r="D20" s="357">
        <v>2</v>
      </c>
      <c r="E20" s="357"/>
      <c r="F20" s="357"/>
      <c r="G20" s="357"/>
      <c r="H20" s="247"/>
      <c r="I20" s="357">
        <f>D20</f>
        <v>2</v>
      </c>
      <c r="J20" s="357" t="s">
        <v>97</v>
      </c>
      <c r="K20" s="359"/>
      <c r="L20" s="360">
        <v>0</v>
      </c>
      <c r="M20" s="235"/>
      <c r="N20" s="235"/>
    </row>
    <row r="21" spans="1:14" ht="14.4">
      <c r="A21" s="242"/>
      <c r="B21" s="358"/>
      <c r="C21" s="243"/>
      <c r="D21" s="357"/>
      <c r="E21" s="357"/>
      <c r="F21" s="357"/>
      <c r="G21" s="357"/>
      <c r="H21" s="247"/>
      <c r="I21" s="357"/>
      <c r="J21" s="357"/>
      <c r="K21" s="359"/>
      <c r="L21" s="360"/>
      <c r="M21" s="235"/>
      <c r="N21" s="235"/>
    </row>
    <row r="22" spans="1:14" ht="14.4">
      <c r="A22" s="242"/>
      <c r="B22" s="356" t="s">
        <v>370</v>
      </c>
      <c r="C22" s="243"/>
      <c r="D22" s="357"/>
      <c r="E22" s="357"/>
      <c r="F22" s="357"/>
      <c r="G22" s="357"/>
      <c r="H22" s="247"/>
      <c r="I22" s="357"/>
      <c r="J22" s="357"/>
      <c r="K22" s="359"/>
      <c r="L22" s="360"/>
      <c r="M22" s="235"/>
      <c r="N22" s="235"/>
    </row>
    <row r="23" spans="1:14" ht="14.4">
      <c r="A23" s="242"/>
      <c r="B23" s="356" t="s">
        <v>371</v>
      </c>
      <c r="C23" s="243"/>
      <c r="D23" s="357"/>
      <c r="E23" s="357"/>
      <c r="F23" s="357"/>
      <c r="G23" s="357"/>
      <c r="H23" s="247"/>
      <c r="I23" s="357"/>
      <c r="J23" s="357"/>
      <c r="K23" s="359"/>
      <c r="L23" s="360"/>
      <c r="M23" s="235"/>
      <c r="N23" s="235"/>
    </row>
    <row r="24" spans="1:14" ht="14.4">
      <c r="A24" s="242"/>
      <c r="B24" s="358" t="s">
        <v>372</v>
      </c>
      <c r="C24" s="243" t="s">
        <v>373</v>
      </c>
      <c r="D24" s="357">
        <v>6</v>
      </c>
      <c r="E24" s="357"/>
      <c r="F24" s="357"/>
      <c r="G24" s="357"/>
      <c r="H24" s="247"/>
      <c r="I24" s="357">
        <f t="shared" ref="I24:I29" si="0">D24</f>
        <v>6</v>
      </c>
      <c r="J24" s="357" t="s">
        <v>97</v>
      </c>
      <c r="K24" s="359"/>
      <c r="L24" s="360">
        <v>0</v>
      </c>
      <c r="M24" s="235"/>
      <c r="N24" s="235"/>
    </row>
    <row r="25" spans="1:14" ht="14.4">
      <c r="A25" s="242"/>
      <c r="B25" s="358" t="s">
        <v>374</v>
      </c>
      <c r="C25" s="243" t="s">
        <v>375</v>
      </c>
      <c r="D25" s="357">
        <v>2</v>
      </c>
      <c r="E25" s="357"/>
      <c r="F25" s="357"/>
      <c r="G25" s="357"/>
      <c r="H25" s="247"/>
      <c r="I25" s="357">
        <f t="shared" si="0"/>
        <v>2</v>
      </c>
      <c r="J25" s="357" t="s">
        <v>97</v>
      </c>
      <c r="K25" s="359"/>
      <c r="L25" s="360">
        <v>0</v>
      </c>
      <c r="M25" s="235"/>
      <c r="N25" s="235"/>
    </row>
    <row r="26" spans="1:14" ht="14.4">
      <c r="A26" s="242"/>
      <c r="B26" s="358" t="s">
        <v>376</v>
      </c>
      <c r="C26" s="243" t="s">
        <v>377</v>
      </c>
      <c r="D26" s="357">
        <v>2</v>
      </c>
      <c r="E26" s="357"/>
      <c r="F26" s="357"/>
      <c r="G26" s="357"/>
      <c r="H26" s="247"/>
      <c r="I26" s="357">
        <f t="shared" si="0"/>
        <v>2</v>
      </c>
      <c r="J26" s="357" t="s">
        <v>97</v>
      </c>
      <c r="K26" s="359"/>
      <c r="L26" s="360">
        <v>0</v>
      </c>
      <c r="M26" s="235"/>
      <c r="N26" s="235"/>
    </row>
    <row r="27" spans="1:14" ht="14.4">
      <c r="A27" s="242"/>
      <c r="B27" s="358" t="s">
        <v>378</v>
      </c>
      <c r="C27" s="243" t="s">
        <v>379</v>
      </c>
      <c r="D27" s="357">
        <v>4</v>
      </c>
      <c r="E27" s="357"/>
      <c r="F27" s="357"/>
      <c r="G27" s="357"/>
      <c r="H27" s="247"/>
      <c r="I27" s="357">
        <f t="shared" si="0"/>
        <v>4</v>
      </c>
      <c r="J27" s="357" t="s">
        <v>97</v>
      </c>
      <c r="K27" s="359"/>
      <c r="L27" s="360">
        <v>0</v>
      </c>
      <c r="M27" s="235"/>
      <c r="N27" s="235"/>
    </row>
    <row r="28" spans="1:14" ht="14.4">
      <c r="A28" s="242"/>
      <c r="B28" s="358" t="s">
        <v>380</v>
      </c>
      <c r="C28" s="243" t="s">
        <v>381</v>
      </c>
      <c r="D28" s="357">
        <v>6</v>
      </c>
      <c r="E28" s="357"/>
      <c r="F28" s="357"/>
      <c r="G28" s="357"/>
      <c r="H28" s="247"/>
      <c r="I28" s="357">
        <f t="shared" si="0"/>
        <v>6</v>
      </c>
      <c r="J28" s="357" t="s">
        <v>97</v>
      </c>
      <c r="K28" s="359"/>
      <c r="L28" s="360">
        <v>0</v>
      </c>
      <c r="M28" s="235"/>
      <c r="N28" s="235"/>
    </row>
    <row r="29" spans="1:14" ht="14.4">
      <c r="A29" s="242"/>
      <c r="B29" s="358" t="s">
        <v>382</v>
      </c>
      <c r="C29" s="243" t="s">
        <v>383</v>
      </c>
      <c r="D29" s="357">
        <v>2</v>
      </c>
      <c r="E29" s="357"/>
      <c r="F29" s="357"/>
      <c r="G29" s="357"/>
      <c r="H29" s="247"/>
      <c r="I29" s="357">
        <f t="shared" si="0"/>
        <v>2</v>
      </c>
      <c r="J29" s="357" t="s">
        <v>97</v>
      </c>
      <c r="K29" s="359"/>
      <c r="L29" s="360">
        <v>0</v>
      </c>
      <c r="M29" s="235"/>
      <c r="N29" s="235"/>
    </row>
    <row r="30" spans="1:14" ht="14.4">
      <c r="A30" s="242"/>
      <c r="B30" s="358"/>
      <c r="C30" s="243"/>
      <c r="D30" s="357"/>
      <c r="E30" s="357"/>
      <c r="F30" s="357"/>
      <c r="G30" s="357"/>
      <c r="H30" s="247"/>
      <c r="I30" s="357"/>
      <c r="J30" s="357"/>
      <c r="K30" s="359"/>
      <c r="L30" s="360"/>
      <c r="M30" s="235"/>
      <c r="N30" s="235"/>
    </row>
    <row r="31" spans="1:14" ht="14.4">
      <c r="A31" s="242"/>
      <c r="B31" s="356" t="s">
        <v>384</v>
      </c>
      <c r="C31" s="243"/>
      <c r="D31" s="357"/>
      <c r="E31" s="357"/>
      <c r="F31" s="357"/>
      <c r="G31" s="357"/>
      <c r="H31" s="247"/>
      <c r="I31" s="357">
        <f t="shared" ref="I31:I32" si="1">D31</f>
        <v>0</v>
      </c>
      <c r="J31" s="357"/>
      <c r="K31" s="359"/>
      <c r="L31" s="360"/>
      <c r="M31" s="235"/>
      <c r="N31" s="235"/>
    </row>
    <row r="32" spans="1:14" ht="14.4">
      <c r="A32" s="242"/>
      <c r="B32" s="358" t="s">
        <v>385</v>
      </c>
      <c r="C32" s="243" t="s">
        <v>386</v>
      </c>
      <c r="D32" s="357">
        <v>2</v>
      </c>
      <c r="E32" s="357"/>
      <c r="F32" s="357"/>
      <c r="G32" s="357"/>
      <c r="H32" s="247"/>
      <c r="I32" s="357">
        <f t="shared" si="1"/>
        <v>2</v>
      </c>
      <c r="J32" s="357" t="s">
        <v>97</v>
      </c>
      <c r="K32" s="359"/>
      <c r="L32" s="360">
        <v>0</v>
      </c>
      <c r="M32" s="235"/>
      <c r="N32" s="235"/>
    </row>
    <row r="33" spans="1:14" ht="14.4">
      <c r="A33" s="242"/>
      <c r="B33" s="356"/>
      <c r="C33" s="243"/>
      <c r="D33" s="357"/>
      <c r="E33" s="357"/>
      <c r="F33" s="357"/>
      <c r="G33" s="357"/>
      <c r="H33" s="247"/>
      <c r="I33" s="357"/>
      <c r="J33" s="357"/>
      <c r="K33" s="359"/>
      <c r="L33" s="360"/>
      <c r="M33" s="235"/>
      <c r="N33" s="235"/>
    </row>
    <row r="34" spans="1:14" ht="14.4">
      <c r="A34" s="242"/>
      <c r="B34" s="356" t="s">
        <v>387</v>
      </c>
      <c r="C34" s="243"/>
      <c r="D34" s="357"/>
      <c r="E34" s="357"/>
      <c r="F34" s="357"/>
      <c r="G34" s="357"/>
      <c r="H34" s="247"/>
      <c r="I34" s="357"/>
      <c r="J34" s="357"/>
      <c r="K34" s="359"/>
      <c r="L34" s="360"/>
      <c r="M34" s="235"/>
      <c r="N34" s="235"/>
    </row>
    <row r="35" spans="1:14" ht="14.4">
      <c r="A35" s="242"/>
      <c r="B35" s="358" t="s">
        <v>388</v>
      </c>
      <c r="C35" s="243" t="s">
        <v>389</v>
      </c>
      <c r="D35" s="357">
        <v>3</v>
      </c>
      <c r="E35" s="357"/>
      <c r="F35" s="357"/>
      <c r="G35" s="357"/>
      <c r="H35" s="247"/>
      <c r="I35" s="357">
        <f t="shared" ref="I35:I41" si="2">D35</f>
        <v>3</v>
      </c>
      <c r="J35" s="357" t="s">
        <v>97</v>
      </c>
      <c r="K35" s="359"/>
      <c r="L35" s="360">
        <v>0</v>
      </c>
      <c r="M35" s="235"/>
      <c r="N35" s="235"/>
    </row>
    <row r="36" spans="1:14" ht="14.4">
      <c r="A36" s="242"/>
      <c r="B36" s="358" t="s">
        <v>374</v>
      </c>
      <c r="C36" s="243" t="s">
        <v>390</v>
      </c>
      <c r="D36" s="357">
        <v>1</v>
      </c>
      <c r="E36" s="357"/>
      <c r="F36" s="357"/>
      <c r="G36" s="357"/>
      <c r="H36" s="247"/>
      <c r="I36" s="357">
        <f t="shared" si="2"/>
        <v>1</v>
      </c>
      <c r="J36" s="357" t="s">
        <v>97</v>
      </c>
      <c r="K36" s="359"/>
      <c r="L36" s="360">
        <v>0</v>
      </c>
      <c r="M36" s="235"/>
      <c r="N36" s="235"/>
    </row>
    <row r="37" spans="1:14" ht="14.4">
      <c r="A37" s="242"/>
      <c r="B37" s="358" t="s">
        <v>374</v>
      </c>
      <c r="C37" s="243" t="s">
        <v>391</v>
      </c>
      <c r="D37" s="357">
        <v>1</v>
      </c>
      <c r="E37" s="357"/>
      <c r="F37" s="357"/>
      <c r="G37" s="357"/>
      <c r="H37" s="247"/>
      <c r="I37" s="357">
        <f t="shared" si="2"/>
        <v>1</v>
      </c>
      <c r="J37" s="357" t="s">
        <v>97</v>
      </c>
      <c r="K37" s="359"/>
      <c r="L37" s="360">
        <v>0</v>
      </c>
      <c r="M37" s="235"/>
      <c r="N37" s="235"/>
    </row>
    <row r="38" spans="1:14" ht="14.4">
      <c r="A38" s="242"/>
      <c r="B38" s="358" t="s">
        <v>376</v>
      </c>
      <c r="C38" s="243" t="s">
        <v>392</v>
      </c>
      <c r="D38" s="357">
        <v>1</v>
      </c>
      <c r="E38" s="357"/>
      <c r="F38" s="357"/>
      <c r="G38" s="357"/>
      <c r="H38" s="247"/>
      <c r="I38" s="357">
        <f t="shared" si="2"/>
        <v>1</v>
      </c>
      <c r="J38" s="357" t="s">
        <v>97</v>
      </c>
      <c r="K38" s="359"/>
      <c r="L38" s="360">
        <v>0</v>
      </c>
      <c r="M38" s="235"/>
      <c r="N38" s="235"/>
    </row>
    <row r="39" spans="1:14" ht="14.4">
      <c r="A39" s="242"/>
      <c r="B39" s="358" t="s">
        <v>378</v>
      </c>
      <c r="C39" s="243" t="s">
        <v>393</v>
      </c>
      <c r="D39" s="357">
        <v>1</v>
      </c>
      <c r="E39" s="357"/>
      <c r="F39" s="357"/>
      <c r="G39" s="357"/>
      <c r="H39" s="247"/>
      <c r="I39" s="357">
        <f t="shared" si="2"/>
        <v>1</v>
      </c>
      <c r="J39" s="357" t="s">
        <v>97</v>
      </c>
      <c r="K39" s="359"/>
      <c r="L39" s="360">
        <v>0</v>
      </c>
      <c r="M39" s="235"/>
      <c r="N39" s="235"/>
    </row>
    <row r="40" spans="1:14" ht="14.4">
      <c r="A40" s="242"/>
      <c r="B40" s="358" t="s">
        <v>380</v>
      </c>
      <c r="C40" s="243" t="s">
        <v>394</v>
      </c>
      <c r="D40" s="357">
        <v>1</v>
      </c>
      <c r="E40" s="357"/>
      <c r="F40" s="357"/>
      <c r="G40" s="357"/>
      <c r="H40" s="247"/>
      <c r="I40" s="357">
        <f t="shared" si="2"/>
        <v>1</v>
      </c>
      <c r="J40" s="357" t="s">
        <v>97</v>
      </c>
      <c r="K40" s="359"/>
      <c r="L40" s="360">
        <v>0</v>
      </c>
      <c r="M40" s="235"/>
      <c r="N40" s="235"/>
    </row>
    <row r="41" spans="1:14" ht="14.4">
      <c r="A41" s="242"/>
      <c r="B41" s="358" t="s">
        <v>382</v>
      </c>
      <c r="C41" s="243" t="s">
        <v>383</v>
      </c>
      <c r="D41" s="357">
        <v>1</v>
      </c>
      <c r="E41" s="357"/>
      <c r="F41" s="357"/>
      <c r="G41" s="357"/>
      <c r="H41" s="247"/>
      <c r="I41" s="357">
        <f t="shared" si="2"/>
        <v>1</v>
      </c>
      <c r="J41" s="357" t="s">
        <v>97</v>
      </c>
      <c r="K41" s="359"/>
      <c r="L41" s="360">
        <v>0</v>
      </c>
      <c r="M41" s="235"/>
      <c r="N41" s="235"/>
    </row>
    <row r="42" spans="1:14" ht="14.4">
      <c r="A42" s="242"/>
      <c r="B42" s="356"/>
      <c r="C42" s="243"/>
      <c r="D42" s="357"/>
      <c r="E42" s="357"/>
      <c r="F42" s="357"/>
      <c r="G42" s="357"/>
      <c r="H42" s="247"/>
      <c r="I42" s="357"/>
      <c r="J42" s="357"/>
      <c r="K42" s="359"/>
      <c r="L42" s="360"/>
      <c r="M42" s="235"/>
      <c r="N42" s="235"/>
    </row>
    <row r="43" spans="1:14" ht="14.4">
      <c r="A43" s="251"/>
      <c r="B43" s="252"/>
      <c r="C43" s="252"/>
      <c r="D43" s="252"/>
      <c r="E43" s="252"/>
      <c r="F43" s="252"/>
      <c r="G43" s="252"/>
      <c r="H43" s="252"/>
      <c r="I43" s="252"/>
      <c r="J43" s="252"/>
      <c r="K43" s="235"/>
      <c r="L43" s="252"/>
      <c r="M43" s="235"/>
      <c r="N43" s="235"/>
    </row>
    <row r="44" spans="1:14" ht="13.8">
      <c r="A44" s="235"/>
      <c r="B44" s="235"/>
      <c r="C44" s="235"/>
      <c r="D44" s="234"/>
      <c r="E44" s="234"/>
      <c r="F44" s="234"/>
      <c r="G44" s="234"/>
      <c r="H44" s="235"/>
      <c r="I44" s="235"/>
      <c r="J44" s="235"/>
      <c r="K44" s="235"/>
      <c r="L44" s="235"/>
      <c r="M44" s="235"/>
      <c r="N44" s="235"/>
    </row>
    <row r="45" spans="1:14" ht="21">
      <c r="A45" s="254"/>
      <c r="B45" s="255" t="s">
        <v>208</v>
      </c>
      <c r="C45" s="256"/>
      <c r="D45" s="257"/>
      <c r="E45" s="234"/>
      <c r="F45" s="234"/>
      <c r="G45" s="234"/>
      <c r="H45" s="235"/>
      <c r="I45" s="235"/>
      <c r="J45" s="235"/>
      <c r="K45" s="235"/>
      <c r="L45" s="235"/>
      <c r="M45" s="235"/>
      <c r="N45" s="235"/>
    </row>
    <row r="46" spans="1:14" ht="14.4">
      <c r="A46" s="254"/>
      <c r="B46" s="258" t="s">
        <v>395</v>
      </c>
      <c r="C46" s="23"/>
      <c r="D46" s="105"/>
      <c r="E46" s="234"/>
      <c r="F46" s="234"/>
      <c r="G46" s="234"/>
      <c r="H46" s="235"/>
      <c r="I46" s="235"/>
      <c r="J46" s="235"/>
      <c r="K46" s="235"/>
      <c r="L46" s="235"/>
      <c r="M46" s="235"/>
      <c r="N46" s="235"/>
    </row>
    <row r="47" spans="1:14" ht="14.4">
      <c r="A47" s="254"/>
      <c r="B47" s="259" t="s">
        <v>49</v>
      </c>
      <c r="C47" s="23"/>
      <c r="D47" s="105"/>
      <c r="E47" s="234"/>
      <c r="F47" s="234"/>
      <c r="G47" s="234"/>
      <c r="H47" s="235"/>
      <c r="I47" s="235"/>
      <c r="J47" s="235"/>
      <c r="K47" s="235"/>
      <c r="L47" s="235"/>
      <c r="M47" s="235"/>
      <c r="N47" s="235"/>
    </row>
    <row r="48" spans="1:14" ht="14.4">
      <c r="A48" s="254"/>
      <c r="B48" s="259"/>
      <c r="C48" s="23"/>
      <c r="D48" s="105"/>
      <c r="E48" s="234"/>
      <c r="F48" s="234"/>
      <c r="G48" s="234"/>
      <c r="H48" s="235"/>
      <c r="I48" s="235"/>
      <c r="J48" s="235"/>
      <c r="K48" s="235"/>
      <c r="L48" s="235"/>
      <c r="M48" s="235"/>
      <c r="N48" s="235"/>
    </row>
    <row r="49" spans="1:14" ht="14.4">
      <c r="A49" s="254"/>
      <c r="B49" s="259"/>
      <c r="C49" s="23"/>
      <c r="D49" s="105"/>
      <c r="E49" s="234"/>
      <c r="F49" s="234"/>
      <c r="G49" s="234"/>
      <c r="H49" s="235"/>
      <c r="I49" s="235"/>
      <c r="J49" s="235"/>
      <c r="K49" s="235"/>
      <c r="L49" s="235"/>
      <c r="M49" s="235"/>
      <c r="N49" s="235"/>
    </row>
    <row r="50" spans="1:14" ht="14.4">
      <c r="A50" s="254"/>
      <c r="B50" s="259"/>
      <c r="C50" s="23"/>
      <c r="D50" s="105"/>
      <c r="E50" s="234"/>
      <c r="F50" s="234"/>
      <c r="G50" s="234"/>
      <c r="H50" s="235"/>
      <c r="I50" s="235"/>
      <c r="J50" s="235"/>
      <c r="K50" s="235"/>
      <c r="L50" s="235"/>
      <c r="M50" s="235"/>
      <c r="N50" s="235"/>
    </row>
    <row r="51" spans="1:14" ht="14.4">
      <c r="A51" s="254"/>
      <c r="B51" s="259"/>
      <c r="C51" s="23"/>
      <c r="D51" s="105"/>
      <c r="E51" s="234"/>
      <c r="F51" s="234"/>
      <c r="G51" s="234"/>
      <c r="H51" s="235"/>
      <c r="I51" s="235"/>
      <c r="J51" s="235"/>
      <c r="K51" s="235"/>
      <c r="L51" s="235"/>
      <c r="M51" s="235"/>
      <c r="N51" s="235"/>
    </row>
    <row r="52" spans="1:14" ht="14.4">
      <c r="A52" s="254"/>
      <c r="B52" s="259"/>
      <c r="C52" s="23"/>
      <c r="D52" s="105"/>
      <c r="E52" s="234"/>
      <c r="F52" s="234"/>
      <c r="G52" s="234"/>
      <c r="H52" s="235"/>
      <c r="I52" s="235"/>
      <c r="J52" s="235"/>
      <c r="K52" s="235"/>
      <c r="L52" s="235"/>
      <c r="M52" s="235"/>
      <c r="N52" s="235"/>
    </row>
    <row r="53" spans="1:14" ht="14.4">
      <c r="A53" s="254"/>
      <c r="B53" s="260"/>
      <c r="C53" s="261"/>
      <c r="D53" s="262"/>
      <c r="E53" s="234"/>
      <c r="F53" s="234"/>
      <c r="G53" s="234"/>
      <c r="H53" s="235"/>
      <c r="I53" s="235"/>
      <c r="J53" s="235"/>
      <c r="K53" s="235"/>
      <c r="L53" s="235"/>
      <c r="M53" s="235"/>
      <c r="N53" s="235"/>
    </row>
    <row r="54" spans="1:14" ht="13.8">
      <c r="A54" s="235"/>
      <c r="B54" s="235"/>
      <c r="C54" s="235"/>
      <c r="D54" s="234"/>
      <c r="E54" s="234"/>
      <c r="F54" s="234"/>
      <c r="G54" s="234"/>
      <c r="H54" s="235"/>
      <c r="I54" s="235"/>
      <c r="J54" s="235"/>
      <c r="K54" s="235"/>
      <c r="L54" s="235"/>
      <c r="M54" s="235"/>
      <c r="N54" s="235"/>
    </row>
    <row r="55" spans="1:14" ht="13.8">
      <c r="A55" s="235"/>
      <c r="B55" s="235"/>
      <c r="C55" s="235"/>
      <c r="D55" s="234"/>
      <c r="E55" s="234"/>
      <c r="F55" s="234"/>
      <c r="G55" s="234"/>
      <c r="H55" s="235"/>
      <c r="I55" s="235"/>
      <c r="J55" s="235"/>
      <c r="K55" s="235"/>
      <c r="L55" s="235"/>
      <c r="M55" s="235"/>
      <c r="N55" s="235"/>
    </row>
    <row r="56" spans="1:14" ht="13.8">
      <c r="A56" s="235"/>
      <c r="B56" s="235"/>
      <c r="C56" s="235"/>
      <c r="D56" s="234"/>
      <c r="E56" s="234"/>
      <c r="F56" s="234"/>
      <c r="G56" s="234"/>
      <c r="H56" s="235"/>
      <c r="I56" s="235"/>
      <c r="J56" s="235"/>
      <c r="K56" s="235"/>
      <c r="L56" s="235"/>
      <c r="M56" s="235"/>
      <c r="N56" s="235"/>
    </row>
    <row r="57" spans="1:14" ht="13.8">
      <c r="A57" s="235"/>
      <c r="B57" s="235"/>
      <c r="C57" s="235"/>
      <c r="D57" s="234"/>
      <c r="E57" s="234"/>
      <c r="F57" s="234"/>
      <c r="G57" s="234"/>
      <c r="H57" s="235"/>
      <c r="I57" s="235"/>
      <c r="J57" s="235"/>
      <c r="K57" s="235"/>
      <c r="L57" s="235"/>
      <c r="M57" s="235"/>
      <c r="N57" s="235"/>
    </row>
    <row r="58" spans="1:14" ht="13.8">
      <c r="A58" s="235"/>
      <c r="B58" s="235"/>
      <c r="C58" s="235"/>
      <c r="D58" s="234"/>
      <c r="E58" s="234"/>
      <c r="F58" s="234"/>
      <c r="G58" s="234"/>
      <c r="H58" s="235"/>
      <c r="I58" s="235"/>
      <c r="J58" s="235"/>
      <c r="K58" s="235"/>
      <c r="L58" s="235"/>
      <c r="M58" s="235"/>
      <c r="N58" s="235"/>
    </row>
    <row r="59" spans="1:14" ht="13.8">
      <c r="A59" s="235"/>
      <c r="B59" s="235"/>
      <c r="C59" s="235"/>
      <c r="D59" s="234"/>
      <c r="E59" s="234"/>
      <c r="F59" s="234"/>
      <c r="G59" s="234"/>
      <c r="H59" s="235"/>
      <c r="I59" s="235"/>
      <c r="J59" s="235"/>
      <c r="K59" s="235"/>
      <c r="L59" s="235"/>
      <c r="M59" s="235"/>
      <c r="N59" s="235"/>
    </row>
    <row r="60" spans="1:14" ht="13.8">
      <c r="A60" s="235"/>
      <c r="B60" s="235"/>
      <c r="C60" s="235"/>
      <c r="D60" s="234"/>
      <c r="E60" s="234"/>
      <c r="F60" s="234"/>
      <c r="G60" s="234"/>
      <c r="H60" s="235"/>
      <c r="I60" s="235"/>
      <c r="J60" s="235"/>
      <c r="K60" s="235"/>
      <c r="L60" s="235"/>
      <c r="M60" s="235"/>
      <c r="N60" s="235"/>
    </row>
    <row r="61" spans="1:14" ht="13.8">
      <c r="A61" s="235"/>
      <c r="B61" s="235"/>
      <c r="C61" s="235"/>
      <c r="D61" s="234"/>
      <c r="E61" s="234"/>
      <c r="F61" s="234"/>
      <c r="G61" s="234"/>
      <c r="H61" s="235"/>
      <c r="I61" s="235"/>
      <c r="J61" s="235"/>
      <c r="K61" s="235"/>
      <c r="L61" s="235"/>
      <c r="M61" s="235"/>
      <c r="N61" s="235"/>
    </row>
    <row r="62" spans="1:14" ht="13.8">
      <c r="A62" s="235"/>
      <c r="B62" s="235"/>
      <c r="C62" s="235"/>
      <c r="D62" s="234"/>
      <c r="E62" s="234"/>
      <c r="F62" s="234"/>
      <c r="G62" s="234"/>
      <c r="H62" s="235"/>
      <c r="I62" s="235"/>
      <c r="J62" s="235"/>
      <c r="K62" s="235"/>
      <c r="L62" s="235"/>
      <c r="M62" s="235"/>
      <c r="N62" s="235"/>
    </row>
    <row r="63" spans="1:14" ht="13.8">
      <c r="A63" s="235"/>
      <c r="B63" s="235"/>
      <c r="C63" s="235"/>
      <c r="D63" s="234"/>
      <c r="E63" s="234"/>
      <c r="F63" s="234"/>
      <c r="G63" s="234"/>
      <c r="H63" s="235"/>
      <c r="I63" s="235"/>
      <c r="J63" s="235"/>
      <c r="K63" s="235"/>
      <c r="L63" s="235"/>
      <c r="M63" s="235"/>
      <c r="N63" s="235"/>
    </row>
    <row r="64" spans="1:14" ht="13.8">
      <c r="A64" s="235"/>
      <c r="B64" s="235"/>
      <c r="C64" s="235"/>
      <c r="D64" s="234"/>
      <c r="E64" s="234"/>
      <c r="F64" s="234"/>
      <c r="G64" s="234"/>
      <c r="H64" s="235"/>
      <c r="I64" s="235"/>
      <c r="J64" s="235"/>
      <c r="K64" s="235"/>
      <c r="L64" s="235"/>
      <c r="M64" s="235"/>
      <c r="N64" s="235"/>
    </row>
    <row r="65" spans="1:14" ht="13.8">
      <c r="A65" s="235"/>
      <c r="B65" s="235"/>
      <c r="C65" s="235"/>
      <c r="D65" s="234"/>
      <c r="E65" s="234"/>
      <c r="F65" s="234"/>
      <c r="G65" s="234"/>
      <c r="H65" s="235"/>
      <c r="I65" s="235"/>
      <c r="J65" s="235"/>
      <c r="K65" s="235"/>
      <c r="L65" s="235"/>
      <c r="M65" s="235"/>
      <c r="N65" s="235"/>
    </row>
    <row r="66" spans="1:14" ht="13.8">
      <c r="A66" s="235"/>
      <c r="B66" s="235"/>
      <c r="C66" s="235"/>
      <c r="D66" s="234"/>
      <c r="E66" s="234"/>
      <c r="F66" s="234"/>
      <c r="G66" s="234"/>
      <c r="H66" s="235"/>
      <c r="I66" s="235"/>
      <c r="J66" s="235"/>
      <c r="K66" s="235"/>
      <c r="L66" s="235"/>
      <c r="M66" s="235"/>
      <c r="N66" s="235"/>
    </row>
    <row r="67" spans="1:14" ht="13.8">
      <c r="A67" s="235"/>
      <c r="B67" s="235"/>
      <c r="C67" s="235"/>
      <c r="D67" s="234"/>
      <c r="E67" s="234"/>
      <c r="F67" s="234"/>
      <c r="G67" s="234"/>
      <c r="H67" s="235"/>
      <c r="I67" s="235"/>
      <c r="J67" s="235"/>
      <c r="K67" s="235"/>
      <c r="L67" s="235"/>
      <c r="M67" s="235"/>
      <c r="N67" s="235"/>
    </row>
    <row r="68" spans="1:14" ht="13.8">
      <c r="A68" s="235"/>
      <c r="B68" s="235"/>
      <c r="C68" s="235"/>
      <c r="D68" s="234"/>
      <c r="E68" s="234"/>
      <c r="F68" s="234"/>
      <c r="G68" s="234"/>
      <c r="H68" s="235"/>
      <c r="I68" s="235"/>
      <c r="J68" s="235"/>
      <c r="K68" s="235"/>
      <c r="L68" s="235"/>
      <c r="M68" s="235"/>
      <c r="N68" s="235"/>
    </row>
    <row r="69" spans="1:14" ht="13.8">
      <c r="A69" s="235"/>
      <c r="B69" s="235"/>
      <c r="C69" s="235"/>
      <c r="D69" s="234"/>
      <c r="E69" s="234"/>
      <c r="F69" s="234"/>
      <c r="G69" s="234"/>
      <c r="H69" s="235"/>
      <c r="I69" s="235"/>
      <c r="J69" s="235"/>
      <c r="K69" s="235"/>
      <c r="L69" s="235"/>
      <c r="M69" s="235"/>
      <c r="N69" s="235"/>
    </row>
    <row r="70" spans="1:14" ht="13.8">
      <c r="A70" s="235"/>
      <c r="B70" s="235"/>
      <c r="C70" s="235"/>
      <c r="D70" s="234"/>
      <c r="E70" s="234"/>
      <c r="F70" s="234"/>
      <c r="G70" s="234"/>
      <c r="H70" s="235"/>
      <c r="I70" s="235"/>
      <c r="J70" s="235"/>
      <c r="K70" s="235"/>
      <c r="L70" s="235"/>
      <c r="M70" s="235"/>
      <c r="N70" s="235"/>
    </row>
    <row r="71" spans="1:14" ht="13.8">
      <c r="A71" s="235"/>
      <c r="B71" s="235"/>
      <c r="C71" s="235"/>
      <c r="D71" s="234"/>
      <c r="E71" s="234"/>
      <c r="F71" s="234"/>
      <c r="G71" s="234"/>
      <c r="H71" s="235"/>
      <c r="I71" s="235"/>
      <c r="J71" s="235"/>
      <c r="K71" s="235"/>
      <c r="L71" s="235"/>
      <c r="M71" s="235"/>
      <c r="N71" s="235"/>
    </row>
    <row r="72" spans="1:14" ht="13.8">
      <c r="A72" s="235"/>
      <c r="B72" s="235"/>
      <c r="C72" s="235"/>
      <c r="D72" s="234"/>
      <c r="E72" s="234"/>
      <c r="F72" s="234"/>
      <c r="G72" s="234"/>
      <c r="H72" s="235"/>
      <c r="I72" s="235"/>
      <c r="J72" s="235"/>
      <c r="K72" s="235"/>
      <c r="L72" s="235"/>
      <c r="M72" s="235"/>
      <c r="N72" s="235"/>
    </row>
    <row r="73" spans="1:14" ht="13.8">
      <c r="A73" s="235"/>
      <c r="B73" s="235"/>
      <c r="C73" s="235"/>
      <c r="D73" s="234"/>
      <c r="E73" s="234"/>
      <c r="F73" s="234"/>
      <c r="G73" s="234"/>
      <c r="H73" s="235"/>
      <c r="I73" s="235"/>
      <c r="J73" s="235"/>
      <c r="K73" s="235"/>
      <c r="L73" s="235"/>
      <c r="M73" s="235"/>
      <c r="N73" s="235"/>
    </row>
    <row r="74" spans="1:14" ht="13.8">
      <c r="A74" s="235"/>
      <c r="B74" s="235"/>
      <c r="C74" s="235"/>
      <c r="D74" s="234"/>
      <c r="E74" s="234"/>
      <c r="F74" s="234"/>
      <c r="G74" s="234"/>
      <c r="H74" s="235"/>
      <c r="I74" s="235"/>
      <c r="J74" s="235"/>
      <c r="K74" s="235"/>
      <c r="L74" s="235"/>
      <c r="M74" s="235"/>
      <c r="N74" s="235"/>
    </row>
    <row r="75" spans="1:14" ht="13.8">
      <c r="A75" s="235"/>
      <c r="B75" s="235"/>
      <c r="C75" s="235"/>
      <c r="D75" s="234"/>
      <c r="E75" s="234"/>
      <c r="F75" s="234"/>
      <c r="G75" s="234"/>
      <c r="H75" s="235"/>
      <c r="I75" s="235"/>
      <c r="J75" s="235"/>
      <c r="K75" s="235"/>
      <c r="L75" s="235"/>
      <c r="M75" s="235"/>
      <c r="N75" s="235"/>
    </row>
    <row r="76" spans="1:14" ht="13.8">
      <c r="A76" s="235"/>
      <c r="B76" s="235"/>
      <c r="C76" s="235"/>
      <c r="D76" s="234"/>
      <c r="E76" s="234"/>
      <c r="F76" s="234"/>
      <c r="G76" s="234"/>
      <c r="H76" s="235"/>
      <c r="I76" s="235"/>
      <c r="J76" s="235"/>
      <c r="K76" s="235"/>
      <c r="L76" s="235"/>
      <c r="M76" s="235"/>
      <c r="N76" s="235"/>
    </row>
    <row r="77" spans="1:14" ht="13.8">
      <c r="A77" s="235"/>
      <c r="B77" s="235"/>
      <c r="C77" s="235"/>
      <c r="D77" s="234"/>
      <c r="E77" s="234"/>
      <c r="F77" s="234"/>
      <c r="G77" s="234"/>
      <c r="H77" s="235"/>
      <c r="I77" s="235"/>
      <c r="J77" s="235"/>
      <c r="K77" s="235"/>
      <c r="L77" s="235"/>
      <c r="M77" s="235"/>
      <c r="N77" s="235"/>
    </row>
    <row r="78" spans="1:14" ht="13.8">
      <c r="A78" s="235"/>
      <c r="B78" s="235"/>
      <c r="C78" s="235"/>
      <c r="D78" s="234"/>
      <c r="E78" s="234"/>
      <c r="F78" s="234"/>
      <c r="G78" s="234"/>
      <c r="H78" s="235"/>
      <c r="I78" s="235"/>
      <c r="J78" s="235"/>
      <c r="K78" s="235"/>
      <c r="L78" s="235"/>
      <c r="M78" s="235"/>
      <c r="N78" s="235"/>
    </row>
    <row r="79" spans="1:14" ht="13.8">
      <c r="A79" s="235"/>
      <c r="B79" s="235"/>
      <c r="C79" s="235"/>
      <c r="D79" s="234"/>
      <c r="E79" s="234"/>
      <c r="F79" s="234"/>
      <c r="G79" s="234"/>
      <c r="H79" s="235"/>
      <c r="I79" s="235"/>
      <c r="J79" s="235"/>
      <c r="K79" s="235"/>
      <c r="L79" s="235"/>
      <c r="M79" s="235"/>
      <c r="N79" s="235"/>
    </row>
    <row r="80" spans="1:14" ht="13.8">
      <c r="A80" s="235"/>
      <c r="B80" s="235"/>
      <c r="C80" s="235"/>
      <c r="D80" s="234"/>
      <c r="E80" s="234"/>
      <c r="F80" s="234"/>
      <c r="G80" s="234"/>
      <c r="H80" s="235"/>
      <c r="I80" s="235"/>
      <c r="J80" s="235"/>
      <c r="K80" s="235"/>
      <c r="L80" s="235"/>
      <c r="M80" s="235"/>
      <c r="N80" s="235"/>
    </row>
    <row r="81" spans="1:14" ht="13.8">
      <c r="A81" s="235"/>
      <c r="B81" s="235"/>
      <c r="C81" s="235"/>
      <c r="D81" s="234"/>
      <c r="E81" s="234"/>
      <c r="F81" s="234"/>
      <c r="G81" s="234"/>
      <c r="H81" s="235"/>
      <c r="I81" s="235"/>
      <c r="J81" s="235"/>
      <c r="K81" s="235"/>
      <c r="L81" s="235"/>
      <c r="M81" s="235"/>
      <c r="N81" s="235"/>
    </row>
    <row r="82" spans="1:14" ht="13.8">
      <c r="A82" s="235"/>
      <c r="B82" s="235"/>
      <c r="C82" s="235"/>
      <c r="D82" s="234"/>
      <c r="E82" s="234"/>
      <c r="F82" s="234"/>
      <c r="G82" s="234"/>
      <c r="H82" s="235"/>
      <c r="I82" s="235"/>
      <c r="J82" s="235"/>
      <c r="K82" s="235"/>
      <c r="L82" s="235"/>
      <c r="M82" s="235"/>
      <c r="N82" s="235"/>
    </row>
    <row r="83" spans="1:14" ht="13.8">
      <c r="A83" s="235"/>
      <c r="B83" s="235"/>
      <c r="C83" s="235"/>
      <c r="D83" s="234"/>
      <c r="E83" s="234"/>
      <c r="F83" s="234"/>
      <c r="G83" s="234"/>
      <c r="H83" s="235"/>
      <c r="I83" s="235"/>
      <c r="J83" s="235"/>
      <c r="K83" s="235"/>
      <c r="L83" s="235"/>
      <c r="M83" s="235"/>
      <c r="N83" s="235"/>
    </row>
    <row r="84" spans="1:14" ht="13.8">
      <c r="A84" s="235"/>
      <c r="B84" s="235"/>
      <c r="C84" s="235"/>
      <c r="D84" s="234"/>
      <c r="E84" s="234"/>
      <c r="F84" s="234"/>
      <c r="G84" s="234"/>
      <c r="H84" s="235"/>
      <c r="I84" s="235"/>
      <c r="J84" s="235"/>
      <c r="K84" s="235"/>
      <c r="L84" s="235"/>
      <c r="M84" s="235"/>
      <c r="N84" s="235"/>
    </row>
    <row r="85" spans="1:14" ht="13.8">
      <c r="A85" s="235"/>
      <c r="B85" s="235"/>
      <c r="C85" s="235"/>
      <c r="D85" s="234"/>
      <c r="E85" s="234"/>
      <c r="F85" s="234"/>
      <c r="G85" s="234"/>
      <c r="H85" s="235"/>
      <c r="I85" s="235"/>
      <c r="J85" s="235"/>
      <c r="K85" s="235"/>
      <c r="L85" s="235"/>
      <c r="M85" s="235"/>
      <c r="N85" s="235"/>
    </row>
    <row r="86" spans="1:14" ht="13.8">
      <c r="A86" s="235"/>
      <c r="B86" s="235"/>
      <c r="C86" s="235"/>
      <c r="D86" s="234"/>
      <c r="E86" s="234"/>
      <c r="F86" s="234"/>
      <c r="G86" s="234"/>
      <c r="H86" s="235"/>
      <c r="I86" s="235"/>
      <c r="J86" s="235"/>
      <c r="K86" s="235"/>
      <c r="L86" s="235"/>
      <c r="M86" s="235"/>
      <c r="N86" s="235"/>
    </row>
    <row r="87" spans="1:14" ht="13.8">
      <c r="A87" s="235"/>
      <c r="B87" s="235"/>
      <c r="C87" s="235"/>
      <c r="D87" s="234"/>
      <c r="E87" s="234"/>
      <c r="F87" s="234"/>
      <c r="G87" s="234"/>
      <c r="H87" s="235"/>
      <c r="I87" s="235"/>
      <c r="J87" s="235"/>
      <c r="K87" s="235"/>
      <c r="L87" s="235"/>
      <c r="M87" s="235"/>
      <c r="N87" s="235"/>
    </row>
    <row r="88" spans="1:14" ht="13.8">
      <c r="A88" s="235"/>
      <c r="B88" s="235"/>
      <c r="C88" s="235"/>
      <c r="D88" s="234"/>
      <c r="E88" s="234"/>
      <c r="F88" s="234"/>
      <c r="G88" s="234"/>
      <c r="H88" s="235"/>
      <c r="I88" s="235"/>
      <c r="J88" s="235"/>
      <c r="K88" s="235"/>
      <c r="L88" s="235"/>
      <c r="M88" s="235"/>
      <c r="N88" s="235"/>
    </row>
    <row r="89" spans="1:14" ht="13.8">
      <c r="A89" s="235"/>
      <c r="B89" s="235"/>
      <c r="C89" s="235"/>
      <c r="D89" s="234"/>
      <c r="E89" s="234"/>
      <c r="F89" s="234"/>
      <c r="G89" s="234"/>
      <c r="H89" s="235"/>
      <c r="I89" s="235"/>
      <c r="J89" s="235"/>
      <c r="K89" s="235"/>
      <c r="L89" s="235"/>
      <c r="M89" s="235"/>
      <c r="N89" s="235"/>
    </row>
    <row r="90" spans="1:14" ht="13.8">
      <c r="A90" s="235"/>
      <c r="B90" s="235"/>
      <c r="C90" s="235"/>
      <c r="D90" s="234"/>
      <c r="E90" s="234"/>
      <c r="F90" s="234"/>
      <c r="G90" s="234"/>
      <c r="H90" s="235"/>
      <c r="I90" s="235"/>
      <c r="J90" s="235"/>
      <c r="K90" s="235"/>
      <c r="L90" s="235"/>
      <c r="M90" s="235"/>
      <c r="N90" s="235"/>
    </row>
    <row r="91" spans="1:14" ht="13.8">
      <c r="A91" s="235"/>
      <c r="B91" s="235"/>
      <c r="C91" s="235"/>
      <c r="D91" s="234"/>
      <c r="E91" s="234"/>
      <c r="F91" s="234"/>
      <c r="G91" s="234"/>
      <c r="H91" s="235"/>
      <c r="I91" s="235"/>
      <c r="J91" s="235"/>
      <c r="K91" s="235"/>
      <c r="L91" s="235"/>
      <c r="M91" s="235"/>
      <c r="N91" s="235"/>
    </row>
    <row r="92" spans="1:14" ht="13.8">
      <c r="A92" s="235"/>
      <c r="B92" s="235"/>
      <c r="C92" s="235"/>
      <c r="D92" s="234"/>
      <c r="E92" s="234"/>
      <c r="F92" s="234"/>
      <c r="G92" s="234"/>
      <c r="H92" s="235"/>
      <c r="I92" s="235"/>
      <c r="J92" s="235"/>
      <c r="K92" s="235"/>
      <c r="L92" s="235"/>
      <c r="M92" s="235"/>
      <c r="N92" s="235"/>
    </row>
    <row r="93" spans="1:14" ht="13.8">
      <c r="A93" s="235"/>
      <c r="B93" s="235"/>
      <c r="C93" s="235"/>
      <c r="D93" s="234"/>
      <c r="E93" s="234"/>
      <c r="F93" s="234"/>
      <c r="G93" s="234"/>
      <c r="H93" s="235"/>
      <c r="I93" s="235"/>
      <c r="J93" s="235"/>
      <c r="K93" s="235"/>
      <c r="L93" s="235"/>
      <c r="M93" s="235"/>
      <c r="N93" s="235"/>
    </row>
    <row r="94" spans="1:14" ht="13.8">
      <c r="A94" s="235"/>
      <c r="B94" s="235"/>
      <c r="C94" s="235"/>
      <c r="D94" s="234"/>
      <c r="E94" s="234"/>
      <c r="F94" s="234"/>
      <c r="G94" s="234"/>
      <c r="H94" s="235"/>
      <c r="I94" s="235"/>
      <c r="J94" s="235"/>
      <c r="K94" s="235"/>
      <c r="L94" s="235"/>
      <c r="M94" s="235"/>
      <c r="N94" s="235"/>
    </row>
    <row r="95" spans="1:14" ht="13.8">
      <c r="A95" s="235"/>
      <c r="B95" s="235"/>
      <c r="C95" s="235"/>
      <c r="D95" s="234"/>
      <c r="E95" s="234"/>
      <c r="F95" s="234"/>
      <c r="G95" s="234"/>
      <c r="H95" s="235"/>
      <c r="I95" s="235"/>
      <c r="J95" s="235"/>
      <c r="K95" s="235"/>
      <c r="L95" s="235"/>
      <c r="M95" s="235"/>
      <c r="N95" s="235"/>
    </row>
    <row r="96" spans="1:14" ht="13.8">
      <c r="A96" s="235"/>
      <c r="B96" s="235"/>
      <c r="C96" s="235"/>
      <c r="D96" s="234"/>
      <c r="E96" s="234"/>
      <c r="F96" s="234"/>
      <c r="G96" s="234"/>
      <c r="H96" s="235"/>
      <c r="I96" s="235"/>
      <c r="J96" s="235"/>
      <c r="K96" s="235"/>
      <c r="L96" s="235"/>
      <c r="M96" s="235"/>
      <c r="N96" s="235"/>
    </row>
    <row r="97" spans="1:14" ht="13.8">
      <c r="A97" s="235"/>
      <c r="B97" s="235"/>
      <c r="C97" s="235"/>
      <c r="D97" s="234"/>
      <c r="E97" s="234"/>
      <c r="F97" s="234"/>
      <c r="G97" s="234"/>
      <c r="H97" s="235"/>
      <c r="I97" s="235"/>
      <c r="J97" s="235"/>
      <c r="K97" s="235"/>
      <c r="L97" s="235"/>
      <c r="M97" s="235"/>
      <c r="N97" s="235"/>
    </row>
    <row r="98" spans="1:14" ht="13.8">
      <c r="A98" s="235"/>
      <c r="B98" s="235"/>
      <c r="C98" s="235"/>
      <c r="D98" s="234"/>
      <c r="E98" s="234"/>
      <c r="F98" s="234"/>
      <c r="G98" s="234"/>
      <c r="H98" s="235"/>
      <c r="I98" s="235"/>
      <c r="J98" s="235"/>
      <c r="K98" s="235"/>
      <c r="L98" s="235"/>
      <c r="M98" s="235"/>
      <c r="N98" s="235"/>
    </row>
    <row r="99" spans="1:14" ht="13.8">
      <c r="A99" s="235"/>
      <c r="B99" s="235"/>
      <c r="C99" s="235"/>
      <c r="D99" s="234"/>
      <c r="E99" s="234"/>
      <c r="F99" s="234"/>
      <c r="G99" s="234"/>
      <c r="H99" s="235"/>
      <c r="I99" s="235"/>
      <c r="J99" s="235"/>
      <c r="K99" s="235"/>
      <c r="L99" s="235"/>
      <c r="M99" s="235"/>
      <c r="N99" s="235"/>
    </row>
    <row r="100" spans="1:14" ht="13.8">
      <c r="A100" s="235"/>
      <c r="B100" s="235"/>
      <c r="C100" s="235"/>
      <c r="D100" s="234"/>
      <c r="E100" s="234"/>
      <c r="F100" s="234"/>
      <c r="G100" s="234"/>
      <c r="H100" s="235"/>
      <c r="I100" s="235"/>
      <c r="J100" s="235"/>
      <c r="K100" s="235"/>
      <c r="L100" s="235"/>
      <c r="M100" s="235"/>
      <c r="N100" s="235"/>
    </row>
    <row r="101" spans="1:14" ht="13.8">
      <c r="A101" s="235"/>
      <c r="B101" s="235"/>
      <c r="C101" s="235"/>
      <c r="D101" s="234"/>
      <c r="E101" s="234"/>
      <c r="F101" s="234"/>
      <c r="G101" s="234"/>
      <c r="H101" s="235"/>
      <c r="I101" s="235"/>
      <c r="J101" s="235"/>
      <c r="K101" s="235"/>
      <c r="L101" s="235"/>
      <c r="M101" s="235"/>
      <c r="N101" s="235"/>
    </row>
    <row r="102" spans="1:14" ht="13.8">
      <c r="A102" s="235"/>
      <c r="B102" s="235"/>
      <c r="C102" s="235"/>
      <c r="D102" s="234"/>
      <c r="E102" s="234"/>
      <c r="F102" s="234"/>
      <c r="G102" s="234"/>
      <c r="H102" s="235"/>
      <c r="I102" s="235"/>
      <c r="J102" s="235"/>
      <c r="K102" s="235"/>
      <c r="L102" s="235"/>
      <c r="M102" s="235"/>
      <c r="N102" s="235"/>
    </row>
    <row r="103" spans="1:14" ht="13.8">
      <c r="A103" s="235"/>
      <c r="B103" s="235"/>
      <c r="C103" s="235"/>
      <c r="D103" s="234"/>
      <c r="E103" s="234"/>
      <c r="F103" s="234"/>
      <c r="G103" s="234"/>
      <c r="H103" s="235"/>
      <c r="I103" s="235"/>
      <c r="J103" s="235"/>
      <c r="K103" s="235"/>
      <c r="L103" s="235"/>
      <c r="M103" s="235"/>
      <c r="N103" s="235"/>
    </row>
    <row r="104" spans="1:14" ht="13.8">
      <c r="A104" s="235"/>
      <c r="B104" s="235"/>
      <c r="C104" s="235"/>
      <c r="D104" s="234"/>
      <c r="E104" s="234"/>
      <c r="F104" s="234"/>
      <c r="G104" s="234"/>
      <c r="H104" s="235"/>
      <c r="I104" s="235"/>
      <c r="J104" s="235"/>
      <c r="K104" s="235"/>
      <c r="L104" s="235"/>
      <c r="M104" s="235"/>
      <c r="N104" s="235"/>
    </row>
    <row r="105" spans="1:14" ht="13.8">
      <c r="A105" s="235"/>
      <c r="B105" s="235"/>
      <c r="C105" s="235"/>
      <c r="D105" s="234"/>
      <c r="E105" s="234"/>
      <c r="F105" s="234"/>
      <c r="G105" s="234"/>
      <c r="H105" s="235"/>
      <c r="I105" s="235"/>
      <c r="J105" s="235"/>
      <c r="K105" s="235"/>
      <c r="L105" s="235"/>
      <c r="M105" s="235"/>
      <c r="N105" s="235"/>
    </row>
    <row r="106" spans="1:14" ht="13.8">
      <c r="A106" s="235"/>
      <c r="B106" s="235"/>
      <c r="C106" s="235"/>
      <c r="D106" s="234"/>
      <c r="E106" s="234"/>
      <c r="F106" s="234"/>
      <c r="G106" s="234"/>
      <c r="H106" s="235"/>
      <c r="I106" s="235"/>
      <c r="J106" s="235"/>
      <c r="K106" s="235"/>
      <c r="L106" s="235"/>
      <c r="M106" s="235"/>
      <c r="N106" s="235"/>
    </row>
    <row r="107" spans="1:14" ht="13.8">
      <c r="A107" s="235"/>
      <c r="B107" s="235"/>
      <c r="C107" s="235"/>
      <c r="D107" s="234"/>
      <c r="E107" s="234"/>
      <c r="F107" s="234"/>
      <c r="G107" s="234"/>
      <c r="H107" s="235"/>
      <c r="I107" s="235"/>
      <c r="J107" s="235"/>
      <c r="K107" s="235"/>
      <c r="L107" s="235"/>
      <c r="M107" s="235"/>
      <c r="N107" s="235"/>
    </row>
    <row r="108" spans="1:14" ht="13.8">
      <c r="A108" s="235"/>
      <c r="B108" s="235"/>
      <c r="C108" s="235"/>
      <c r="D108" s="234"/>
      <c r="E108" s="234"/>
      <c r="F108" s="234"/>
      <c r="G108" s="234"/>
      <c r="H108" s="235"/>
      <c r="I108" s="235"/>
      <c r="J108" s="235"/>
      <c r="K108" s="235"/>
      <c r="L108" s="235"/>
      <c r="M108" s="235"/>
      <c r="N108" s="235"/>
    </row>
    <row r="109" spans="1:14" ht="13.8">
      <c r="A109" s="235"/>
      <c r="B109" s="235"/>
      <c r="C109" s="235"/>
      <c r="D109" s="234"/>
      <c r="E109" s="234"/>
      <c r="F109" s="234"/>
      <c r="G109" s="234"/>
      <c r="H109" s="235"/>
      <c r="I109" s="235"/>
      <c r="J109" s="235"/>
      <c r="K109" s="235"/>
      <c r="L109" s="235"/>
      <c r="M109" s="235"/>
      <c r="N109" s="235"/>
    </row>
    <row r="110" spans="1:14" ht="13.8">
      <c r="A110" s="235"/>
      <c r="B110" s="235"/>
      <c r="C110" s="235"/>
      <c r="D110" s="234"/>
      <c r="E110" s="234"/>
      <c r="F110" s="234"/>
      <c r="G110" s="234"/>
      <c r="H110" s="235"/>
      <c r="I110" s="235"/>
      <c r="J110" s="235"/>
      <c r="K110" s="235"/>
      <c r="L110" s="235"/>
      <c r="M110" s="235"/>
      <c r="N110" s="235"/>
    </row>
    <row r="111" spans="1:14" ht="13.8">
      <c r="A111" s="235"/>
      <c r="B111" s="235"/>
      <c r="C111" s="235"/>
      <c r="D111" s="234"/>
      <c r="E111" s="234"/>
      <c r="F111" s="234"/>
      <c r="G111" s="234"/>
      <c r="H111" s="235"/>
      <c r="I111" s="235"/>
      <c r="J111" s="235"/>
      <c r="K111" s="235"/>
      <c r="L111" s="235"/>
      <c r="M111" s="235"/>
      <c r="N111" s="235"/>
    </row>
    <row r="112" spans="1:14" ht="13.8">
      <c r="A112" s="235"/>
      <c r="B112" s="235"/>
      <c r="C112" s="235"/>
      <c r="D112" s="234"/>
      <c r="E112" s="234"/>
      <c r="F112" s="234"/>
      <c r="G112" s="234"/>
      <c r="H112" s="235"/>
      <c r="I112" s="235"/>
      <c r="J112" s="235"/>
      <c r="K112" s="235"/>
      <c r="L112" s="235"/>
      <c r="M112" s="235"/>
      <c r="N112" s="235"/>
    </row>
    <row r="113" spans="1:14" ht="13.8">
      <c r="A113" s="235"/>
      <c r="B113" s="235"/>
      <c r="C113" s="235"/>
      <c r="D113" s="234"/>
      <c r="E113" s="234"/>
      <c r="F113" s="234"/>
      <c r="G113" s="234"/>
      <c r="H113" s="235"/>
      <c r="I113" s="235"/>
      <c r="J113" s="235"/>
      <c r="K113" s="235"/>
      <c r="L113" s="235"/>
      <c r="M113" s="235"/>
      <c r="N113" s="235"/>
    </row>
    <row r="114" spans="1:14" ht="13.8">
      <c r="A114" s="235"/>
      <c r="B114" s="235"/>
      <c r="C114" s="235"/>
      <c r="D114" s="234"/>
      <c r="E114" s="234"/>
      <c r="F114" s="234"/>
      <c r="G114" s="234"/>
      <c r="H114" s="235"/>
      <c r="I114" s="235"/>
      <c r="J114" s="235"/>
      <c r="K114" s="235"/>
      <c r="L114" s="235"/>
      <c r="M114" s="235"/>
      <c r="N114" s="235"/>
    </row>
    <row r="115" spans="1:14" ht="13.8">
      <c r="A115" s="235"/>
      <c r="B115" s="235"/>
      <c r="C115" s="235"/>
      <c r="D115" s="234"/>
      <c r="E115" s="234"/>
      <c r="F115" s="234"/>
      <c r="G115" s="234"/>
      <c r="H115" s="235"/>
      <c r="I115" s="235"/>
      <c r="J115" s="235"/>
      <c r="K115" s="235"/>
      <c r="L115" s="235"/>
      <c r="M115" s="235"/>
      <c r="N115" s="235"/>
    </row>
    <row r="116" spans="1:14" ht="13.8">
      <c r="A116" s="235"/>
      <c r="B116" s="235"/>
      <c r="C116" s="235"/>
      <c r="D116" s="234"/>
      <c r="E116" s="234"/>
      <c r="F116" s="234"/>
      <c r="G116" s="234"/>
      <c r="H116" s="235"/>
      <c r="I116" s="235"/>
      <c r="J116" s="235"/>
      <c r="K116" s="235"/>
      <c r="L116" s="235"/>
      <c r="M116" s="235"/>
      <c r="N116" s="235"/>
    </row>
    <row r="117" spans="1:14" ht="13.8">
      <c r="A117" s="235"/>
      <c r="B117" s="235"/>
      <c r="C117" s="235"/>
      <c r="D117" s="234"/>
      <c r="E117" s="234"/>
      <c r="F117" s="234"/>
      <c r="G117" s="234"/>
      <c r="H117" s="235"/>
      <c r="I117" s="235"/>
      <c r="J117" s="235"/>
      <c r="K117" s="235"/>
      <c r="L117" s="235"/>
      <c r="M117" s="235"/>
      <c r="N117" s="235"/>
    </row>
    <row r="118" spans="1:14" ht="13.8">
      <c r="A118" s="235"/>
      <c r="B118" s="235"/>
      <c r="C118" s="235"/>
      <c r="D118" s="234"/>
      <c r="E118" s="234"/>
      <c r="F118" s="234"/>
      <c r="G118" s="234"/>
      <c r="H118" s="235"/>
      <c r="I118" s="235"/>
      <c r="J118" s="235"/>
      <c r="K118" s="235"/>
      <c r="L118" s="235"/>
      <c r="M118" s="235"/>
      <c r="N118" s="235"/>
    </row>
    <row r="119" spans="1:14" ht="13.8">
      <c r="A119" s="235"/>
      <c r="B119" s="235"/>
      <c r="C119" s="235"/>
      <c r="D119" s="234"/>
      <c r="E119" s="234"/>
      <c r="F119" s="234"/>
      <c r="G119" s="234"/>
      <c r="H119" s="235"/>
      <c r="I119" s="235"/>
      <c r="J119" s="235"/>
      <c r="K119" s="235"/>
      <c r="L119" s="235"/>
      <c r="M119" s="235"/>
      <c r="N119" s="235"/>
    </row>
    <row r="120" spans="1:14" ht="13.8">
      <c r="A120" s="235"/>
      <c r="B120" s="235"/>
      <c r="C120" s="235"/>
      <c r="D120" s="234"/>
      <c r="E120" s="234"/>
      <c r="F120" s="234"/>
      <c r="G120" s="234"/>
      <c r="H120" s="235"/>
      <c r="I120" s="235"/>
      <c r="J120" s="235"/>
      <c r="K120" s="235"/>
      <c r="L120" s="235"/>
      <c r="M120" s="235"/>
      <c r="N120" s="235"/>
    </row>
    <row r="121" spans="1:14" ht="13.8">
      <c r="A121" s="235"/>
      <c r="B121" s="235"/>
      <c r="C121" s="235"/>
      <c r="D121" s="234"/>
      <c r="E121" s="234"/>
      <c r="F121" s="234"/>
      <c r="G121" s="234"/>
      <c r="H121" s="235"/>
      <c r="I121" s="235"/>
      <c r="J121" s="235"/>
      <c r="K121" s="235"/>
      <c r="L121" s="235"/>
      <c r="M121" s="235"/>
      <c r="N121" s="235"/>
    </row>
    <row r="122" spans="1:14" ht="13.8">
      <c r="A122" s="235"/>
      <c r="B122" s="235"/>
      <c r="C122" s="235"/>
      <c r="D122" s="234"/>
      <c r="E122" s="234"/>
      <c r="F122" s="234"/>
      <c r="G122" s="234"/>
      <c r="H122" s="235"/>
      <c r="I122" s="235"/>
      <c r="J122" s="235"/>
      <c r="K122" s="235"/>
      <c r="L122" s="235"/>
      <c r="M122" s="235"/>
      <c r="N122" s="235"/>
    </row>
    <row r="123" spans="1:14" ht="13.8">
      <c r="A123" s="235"/>
      <c r="B123" s="235"/>
      <c r="C123" s="235"/>
      <c r="D123" s="234"/>
      <c r="E123" s="234"/>
      <c r="F123" s="234"/>
      <c r="G123" s="234"/>
      <c r="H123" s="235"/>
      <c r="I123" s="235"/>
      <c r="J123" s="235"/>
      <c r="K123" s="235"/>
      <c r="L123" s="235"/>
      <c r="M123" s="235"/>
      <c r="N123" s="235"/>
    </row>
    <row r="124" spans="1:14" ht="13.8">
      <c r="A124" s="235"/>
      <c r="B124" s="235"/>
      <c r="C124" s="235"/>
      <c r="D124" s="234"/>
      <c r="E124" s="234"/>
      <c r="F124" s="234"/>
      <c r="G124" s="234"/>
      <c r="H124" s="235"/>
      <c r="I124" s="235"/>
      <c r="J124" s="235"/>
      <c r="K124" s="235"/>
      <c r="L124" s="235"/>
      <c r="M124" s="235"/>
      <c r="N124" s="235"/>
    </row>
    <row r="125" spans="1:14" ht="13.8">
      <c r="A125" s="235"/>
      <c r="B125" s="235"/>
      <c r="C125" s="235"/>
      <c r="D125" s="234"/>
      <c r="E125" s="234"/>
      <c r="F125" s="234"/>
      <c r="G125" s="234"/>
      <c r="H125" s="235"/>
      <c r="I125" s="235"/>
      <c r="J125" s="235"/>
      <c r="K125" s="235"/>
      <c r="L125" s="235"/>
      <c r="M125" s="235"/>
      <c r="N125" s="235"/>
    </row>
    <row r="126" spans="1:14" ht="13.8">
      <c r="A126" s="235"/>
      <c r="B126" s="235"/>
      <c r="C126" s="235"/>
      <c r="D126" s="234"/>
      <c r="E126" s="234"/>
      <c r="F126" s="234"/>
      <c r="G126" s="234"/>
      <c r="H126" s="235"/>
      <c r="I126" s="235"/>
      <c r="J126" s="235"/>
      <c r="K126" s="235"/>
      <c r="L126" s="235"/>
      <c r="M126" s="235"/>
      <c r="N126" s="235"/>
    </row>
    <row r="127" spans="1:14" ht="13.8">
      <c r="A127" s="235"/>
      <c r="B127" s="235"/>
      <c r="C127" s="235"/>
      <c r="D127" s="234"/>
      <c r="E127" s="234"/>
      <c r="F127" s="234"/>
      <c r="G127" s="234"/>
      <c r="H127" s="235"/>
      <c r="I127" s="235"/>
      <c r="J127" s="235"/>
      <c r="K127" s="235"/>
      <c r="L127" s="235"/>
      <c r="M127" s="235"/>
      <c r="N127" s="235"/>
    </row>
    <row r="128" spans="1:14" ht="13.8">
      <c r="A128" s="235"/>
      <c r="B128" s="235"/>
      <c r="C128" s="235"/>
      <c r="D128" s="234"/>
      <c r="E128" s="234"/>
      <c r="F128" s="234"/>
      <c r="G128" s="234"/>
      <c r="H128" s="235"/>
      <c r="I128" s="235"/>
      <c r="J128" s="235"/>
      <c r="K128" s="235"/>
      <c r="L128" s="235"/>
      <c r="M128" s="235"/>
      <c r="N128" s="235"/>
    </row>
    <row r="129" spans="1:14" ht="13.8">
      <c r="A129" s="235"/>
      <c r="B129" s="235"/>
      <c r="C129" s="235"/>
      <c r="D129" s="234"/>
      <c r="E129" s="234"/>
      <c r="F129" s="234"/>
      <c r="G129" s="234"/>
      <c r="H129" s="235"/>
      <c r="I129" s="235"/>
      <c r="J129" s="235"/>
      <c r="K129" s="235"/>
      <c r="L129" s="235"/>
      <c r="M129" s="235"/>
      <c r="N129" s="235"/>
    </row>
    <row r="130" spans="1:14" ht="13.8">
      <c r="A130" s="235"/>
      <c r="B130" s="235"/>
      <c r="C130" s="235"/>
      <c r="D130" s="234"/>
      <c r="E130" s="234"/>
      <c r="F130" s="234"/>
      <c r="G130" s="234"/>
      <c r="H130" s="235"/>
      <c r="I130" s="235"/>
      <c r="J130" s="235"/>
      <c r="K130" s="235"/>
      <c r="L130" s="235"/>
      <c r="M130" s="235"/>
      <c r="N130" s="235"/>
    </row>
    <row r="131" spans="1:14" ht="13.8">
      <c r="A131" s="235"/>
      <c r="B131" s="235"/>
      <c r="C131" s="235"/>
      <c r="D131" s="234"/>
      <c r="E131" s="234"/>
      <c r="F131" s="234"/>
      <c r="G131" s="234"/>
      <c r="H131" s="235"/>
      <c r="I131" s="235"/>
      <c r="J131" s="235"/>
      <c r="K131" s="235"/>
      <c r="L131" s="235"/>
      <c r="M131" s="235"/>
      <c r="N131" s="235"/>
    </row>
    <row r="132" spans="1:14" ht="13.8">
      <c r="A132" s="235"/>
      <c r="B132" s="235"/>
      <c r="C132" s="235"/>
      <c r="D132" s="234"/>
      <c r="E132" s="234"/>
      <c r="F132" s="234"/>
      <c r="G132" s="234"/>
      <c r="H132" s="235"/>
      <c r="I132" s="235"/>
      <c r="J132" s="235"/>
      <c r="K132" s="235"/>
      <c r="L132" s="235"/>
      <c r="M132" s="235"/>
      <c r="N132" s="235"/>
    </row>
    <row r="133" spans="1:14" ht="13.8">
      <c r="A133" s="235"/>
      <c r="B133" s="235"/>
      <c r="C133" s="235"/>
      <c r="D133" s="234"/>
      <c r="E133" s="234"/>
      <c r="F133" s="234"/>
      <c r="G133" s="234"/>
      <c r="H133" s="235"/>
      <c r="I133" s="235"/>
      <c r="J133" s="235"/>
      <c r="K133" s="235"/>
      <c r="L133" s="235"/>
      <c r="M133" s="235"/>
      <c r="N133" s="235"/>
    </row>
    <row r="134" spans="1:14" ht="13.8">
      <c r="A134" s="235"/>
      <c r="B134" s="235"/>
      <c r="C134" s="235"/>
      <c r="D134" s="234"/>
      <c r="E134" s="234"/>
      <c r="F134" s="234"/>
      <c r="G134" s="234"/>
      <c r="H134" s="235"/>
      <c r="I134" s="235"/>
      <c r="J134" s="235"/>
      <c r="K134" s="235"/>
      <c r="L134" s="235"/>
      <c r="M134" s="235"/>
      <c r="N134" s="235"/>
    </row>
    <row r="135" spans="1:14" ht="13.8">
      <c r="A135" s="235"/>
      <c r="B135" s="235"/>
      <c r="C135" s="235"/>
      <c r="D135" s="234"/>
      <c r="E135" s="234"/>
      <c r="F135" s="234"/>
      <c r="G135" s="234"/>
      <c r="H135" s="235"/>
      <c r="I135" s="235"/>
      <c r="J135" s="235"/>
      <c r="K135" s="235"/>
      <c r="L135" s="235"/>
      <c r="M135" s="235"/>
      <c r="N135" s="235"/>
    </row>
    <row r="136" spans="1:14" ht="13.8">
      <c r="A136" s="235"/>
      <c r="B136" s="235"/>
      <c r="C136" s="235"/>
      <c r="D136" s="234"/>
      <c r="E136" s="234"/>
      <c r="F136" s="234"/>
      <c r="G136" s="234"/>
      <c r="H136" s="235"/>
      <c r="I136" s="235"/>
      <c r="J136" s="235"/>
      <c r="K136" s="235"/>
      <c r="L136" s="235"/>
      <c r="M136" s="235"/>
      <c r="N136" s="235"/>
    </row>
    <row r="137" spans="1:14" ht="13.8">
      <c r="A137" s="235"/>
      <c r="B137" s="235"/>
      <c r="C137" s="235"/>
      <c r="D137" s="234"/>
      <c r="E137" s="234"/>
      <c r="F137" s="234"/>
      <c r="G137" s="234"/>
      <c r="H137" s="235"/>
      <c r="I137" s="235"/>
      <c r="J137" s="235"/>
      <c r="K137" s="235"/>
      <c r="L137" s="235"/>
      <c r="M137" s="235"/>
      <c r="N137" s="235"/>
    </row>
    <row r="138" spans="1:14" ht="13.8">
      <c r="A138" s="235"/>
      <c r="B138" s="235"/>
      <c r="C138" s="235"/>
      <c r="D138" s="234"/>
      <c r="E138" s="234"/>
      <c r="F138" s="234"/>
      <c r="G138" s="234"/>
      <c r="H138" s="235"/>
      <c r="I138" s="235"/>
      <c r="J138" s="235"/>
      <c r="K138" s="235"/>
      <c r="L138" s="235"/>
      <c r="M138" s="235"/>
      <c r="N138" s="235"/>
    </row>
    <row r="139" spans="1:14" ht="13.8">
      <c r="A139" s="235"/>
      <c r="B139" s="235"/>
      <c r="C139" s="235"/>
      <c r="D139" s="234"/>
      <c r="E139" s="234"/>
      <c r="F139" s="234"/>
      <c r="G139" s="234"/>
      <c r="H139" s="235"/>
      <c r="I139" s="235"/>
      <c r="J139" s="235"/>
      <c r="K139" s="235"/>
      <c r="L139" s="235"/>
      <c r="M139" s="235"/>
      <c r="N139" s="235"/>
    </row>
    <row r="140" spans="1:14" ht="13.8">
      <c r="A140" s="235"/>
      <c r="B140" s="235"/>
      <c r="C140" s="235"/>
      <c r="D140" s="234"/>
      <c r="E140" s="234"/>
      <c r="F140" s="234"/>
      <c r="G140" s="234"/>
      <c r="H140" s="235"/>
      <c r="I140" s="235"/>
      <c r="J140" s="235"/>
      <c r="K140" s="235"/>
      <c r="L140" s="235"/>
      <c r="M140" s="235"/>
      <c r="N140" s="235"/>
    </row>
    <row r="141" spans="1:14" ht="13.8">
      <c r="A141" s="235"/>
      <c r="B141" s="235"/>
      <c r="C141" s="235"/>
      <c r="D141" s="234"/>
      <c r="E141" s="234"/>
      <c r="F141" s="234"/>
      <c r="G141" s="234"/>
      <c r="H141" s="235"/>
      <c r="I141" s="235"/>
      <c r="J141" s="235"/>
      <c r="K141" s="235"/>
      <c r="L141" s="235"/>
      <c r="M141" s="235"/>
      <c r="N141" s="235"/>
    </row>
    <row r="142" spans="1:14" ht="13.8">
      <c r="A142" s="235"/>
      <c r="B142" s="235"/>
      <c r="C142" s="235"/>
      <c r="D142" s="234"/>
      <c r="E142" s="234"/>
      <c r="F142" s="234"/>
      <c r="G142" s="234"/>
      <c r="H142" s="235"/>
      <c r="I142" s="235"/>
      <c r="J142" s="235"/>
      <c r="K142" s="235"/>
      <c r="L142" s="235"/>
      <c r="M142" s="235"/>
      <c r="N142" s="235"/>
    </row>
    <row r="143" spans="1:14" ht="13.8">
      <c r="A143" s="235"/>
      <c r="B143" s="235"/>
      <c r="C143" s="235"/>
      <c r="D143" s="234"/>
      <c r="E143" s="234"/>
      <c r="F143" s="234"/>
      <c r="G143" s="234"/>
      <c r="H143" s="235"/>
      <c r="I143" s="235"/>
      <c r="J143" s="235"/>
      <c r="K143" s="235"/>
      <c r="L143" s="235"/>
      <c r="M143" s="235"/>
      <c r="N143" s="235"/>
    </row>
    <row r="144" spans="1:14" ht="13.8">
      <c r="A144" s="235"/>
      <c r="B144" s="235"/>
      <c r="C144" s="235"/>
      <c r="D144" s="234"/>
      <c r="E144" s="234"/>
      <c r="F144" s="234"/>
      <c r="G144" s="234"/>
      <c r="H144" s="235"/>
      <c r="I144" s="235"/>
      <c r="J144" s="235"/>
      <c r="K144" s="235"/>
      <c r="L144" s="235"/>
      <c r="M144" s="235"/>
      <c r="N144" s="235"/>
    </row>
    <row r="145" spans="1:14" ht="13.8">
      <c r="A145" s="235"/>
      <c r="B145" s="235"/>
      <c r="C145" s="235"/>
      <c r="D145" s="234"/>
      <c r="E145" s="234"/>
      <c r="F145" s="234"/>
      <c r="G145" s="234"/>
      <c r="H145" s="235"/>
      <c r="I145" s="235"/>
      <c r="J145" s="235"/>
      <c r="K145" s="235"/>
      <c r="L145" s="235"/>
      <c r="M145" s="235"/>
      <c r="N145" s="235"/>
    </row>
    <row r="146" spans="1:14" ht="13.8">
      <c r="A146" s="235"/>
      <c r="B146" s="235"/>
      <c r="C146" s="235"/>
      <c r="D146" s="234"/>
      <c r="E146" s="234"/>
      <c r="F146" s="234"/>
      <c r="G146" s="234"/>
      <c r="H146" s="235"/>
      <c r="I146" s="235"/>
      <c r="J146" s="235"/>
      <c r="K146" s="235"/>
      <c r="L146" s="235"/>
      <c r="M146" s="235"/>
      <c r="N146" s="235"/>
    </row>
    <row r="147" spans="1:14" ht="13.8">
      <c r="A147" s="235"/>
      <c r="B147" s="235"/>
      <c r="C147" s="235"/>
      <c r="D147" s="234"/>
      <c r="E147" s="234"/>
      <c r="F147" s="234"/>
      <c r="G147" s="234"/>
      <c r="H147" s="235"/>
      <c r="I147" s="235"/>
      <c r="J147" s="235"/>
      <c r="K147" s="235"/>
      <c r="L147" s="235"/>
      <c r="M147" s="235"/>
      <c r="N147" s="235"/>
    </row>
    <row r="148" spans="1:14" ht="13.8">
      <c r="A148" s="235"/>
      <c r="B148" s="235"/>
      <c r="C148" s="235"/>
      <c r="D148" s="234"/>
      <c r="E148" s="234"/>
      <c r="F148" s="234"/>
      <c r="G148" s="234"/>
      <c r="H148" s="235"/>
      <c r="I148" s="235"/>
      <c r="J148" s="235"/>
      <c r="K148" s="235"/>
      <c r="L148" s="235"/>
      <c r="M148" s="235"/>
      <c r="N148" s="235"/>
    </row>
    <row r="149" spans="1:14" ht="13.8">
      <c r="A149" s="235"/>
      <c r="B149" s="235"/>
      <c r="C149" s="235"/>
      <c r="D149" s="234"/>
      <c r="E149" s="234"/>
      <c r="F149" s="234"/>
      <c r="G149" s="234"/>
      <c r="H149" s="235"/>
      <c r="I149" s="235"/>
      <c r="J149" s="235"/>
      <c r="K149" s="235"/>
      <c r="L149" s="235"/>
      <c r="M149" s="235"/>
      <c r="N149" s="235"/>
    </row>
    <row r="150" spans="1:14" ht="13.8">
      <c r="A150" s="235"/>
      <c r="B150" s="235"/>
      <c r="C150" s="235"/>
      <c r="D150" s="234"/>
      <c r="E150" s="234"/>
      <c r="F150" s="234"/>
      <c r="G150" s="234"/>
      <c r="H150" s="235"/>
      <c r="I150" s="235"/>
      <c r="J150" s="235"/>
      <c r="K150" s="235"/>
      <c r="L150" s="235"/>
      <c r="M150" s="235"/>
      <c r="N150" s="235"/>
    </row>
    <row r="151" spans="1:14" ht="13.8">
      <c r="A151" s="235"/>
      <c r="B151" s="235"/>
      <c r="C151" s="235"/>
      <c r="D151" s="234"/>
      <c r="E151" s="234"/>
      <c r="F151" s="234"/>
      <c r="G151" s="234"/>
      <c r="H151" s="235"/>
      <c r="I151" s="235"/>
      <c r="J151" s="235"/>
      <c r="K151" s="235"/>
      <c r="L151" s="235"/>
      <c r="M151" s="235"/>
      <c r="N151" s="235"/>
    </row>
    <row r="152" spans="1:14" ht="13.8">
      <c r="A152" s="235"/>
      <c r="B152" s="235"/>
      <c r="C152" s="235"/>
      <c r="D152" s="234"/>
      <c r="E152" s="234"/>
      <c r="F152" s="234"/>
      <c r="G152" s="234"/>
      <c r="H152" s="235"/>
      <c r="I152" s="235"/>
      <c r="J152" s="235"/>
      <c r="K152" s="235"/>
      <c r="L152" s="235"/>
      <c r="M152" s="235"/>
      <c r="N152" s="235"/>
    </row>
    <row r="153" spans="1:14" ht="13.8">
      <c r="A153" s="235"/>
      <c r="B153" s="235"/>
      <c r="C153" s="235"/>
      <c r="D153" s="234"/>
      <c r="E153" s="234"/>
      <c r="F153" s="234"/>
      <c r="G153" s="234"/>
      <c r="H153" s="235"/>
      <c r="I153" s="235"/>
      <c r="J153" s="235"/>
      <c r="K153" s="235"/>
      <c r="L153" s="235"/>
      <c r="M153" s="235"/>
      <c r="N153" s="235"/>
    </row>
    <row r="154" spans="1:14" ht="13.8">
      <c r="A154" s="235"/>
      <c r="B154" s="235"/>
      <c r="C154" s="235"/>
      <c r="D154" s="234"/>
      <c r="E154" s="234"/>
      <c r="F154" s="234"/>
      <c r="G154" s="234"/>
      <c r="H154" s="235"/>
      <c r="I154" s="235"/>
      <c r="J154" s="235"/>
      <c r="K154" s="235"/>
      <c r="L154" s="235"/>
      <c r="M154" s="235"/>
      <c r="N154" s="235"/>
    </row>
    <row r="155" spans="1:14" ht="13.8">
      <c r="A155" s="235"/>
      <c r="B155" s="235"/>
      <c r="C155" s="235"/>
      <c r="D155" s="234"/>
      <c r="E155" s="234"/>
      <c r="F155" s="234"/>
      <c r="G155" s="234"/>
      <c r="H155" s="235"/>
      <c r="I155" s="235"/>
      <c r="J155" s="235"/>
      <c r="K155" s="235"/>
      <c r="L155" s="235"/>
      <c r="M155" s="235"/>
      <c r="N155" s="235"/>
    </row>
    <row r="156" spans="1:14" ht="13.8">
      <c r="A156" s="235"/>
      <c r="B156" s="235"/>
      <c r="C156" s="235"/>
      <c r="D156" s="234"/>
      <c r="E156" s="234"/>
      <c r="F156" s="234"/>
      <c r="G156" s="234"/>
      <c r="H156" s="235"/>
      <c r="I156" s="235"/>
      <c r="J156" s="235"/>
      <c r="K156" s="235"/>
      <c r="L156" s="235"/>
      <c r="M156" s="235"/>
      <c r="N156" s="235"/>
    </row>
    <row r="157" spans="1:14" ht="13.8">
      <c r="A157" s="235"/>
      <c r="B157" s="235"/>
      <c r="C157" s="235"/>
      <c r="D157" s="234"/>
      <c r="E157" s="234"/>
      <c r="F157" s="234"/>
      <c r="G157" s="234"/>
      <c r="H157" s="235"/>
      <c r="I157" s="235"/>
      <c r="J157" s="235"/>
      <c r="K157" s="235"/>
      <c r="L157" s="235"/>
      <c r="M157" s="235"/>
      <c r="N157" s="235"/>
    </row>
    <row r="158" spans="1:14" ht="13.8">
      <c r="A158" s="235"/>
      <c r="B158" s="235"/>
      <c r="C158" s="235"/>
      <c r="D158" s="234"/>
      <c r="E158" s="234"/>
      <c r="F158" s="234"/>
      <c r="G158" s="234"/>
      <c r="H158" s="235"/>
      <c r="I158" s="235"/>
      <c r="J158" s="235"/>
      <c r="K158" s="235"/>
      <c r="L158" s="235"/>
      <c r="M158" s="235"/>
      <c r="N158" s="235"/>
    </row>
    <row r="159" spans="1:14" ht="13.8">
      <c r="A159" s="235"/>
      <c r="B159" s="235"/>
      <c r="C159" s="235"/>
      <c r="D159" s="234"/>
      <c r="E159" s="234"/>
      <c r="F159" s="234"/>
      <c r="G159" s="234"/>
      <c r="H159" s="235"/>
      <c r="I159" s="235"/>
      <c r="J159" s="235"/>
      <c r="K159" s="235"/>
      <c r="L159" s="235"/>
      <c r="M159" s="235"/>
      <c r="N159" s="235"/>
    </row>
    <row r="160" spans="1:14" ht="13.8">
      <c r="A160" s="235"/>
      <c r="B160" s="235"/>
      <c r="C160" s="235"/>
      <c r="D160" s="234"/>
      <c r="E160" s="234"/>
      <c r="F160" s="234"/>
      <c r="G160" s="234"/>
      <c r="H160" s="235"/>
      <c r="I160" s="235"/>
      <c r="J160" s="235"/>
      <c r="K160" s="235"/>
      <c r="L160" s="235"/>
      <c r="M160" s="235"/>
      <c r="N160" s="235"/>
    </row>
    <row r="161" spans="1:14" ht="13.8">
      <c r="A161" s="235"/>
      <c r="B161" s="235"/>
      <c r="C161" s="235"/>
      <c r="D161" s="234"/>
      <c r="E161" s="234"/>
      <c r="F161" s="234"/>
      <c r="G161" s="234"/>
      <c r="H161" s="235"/>
      <c r="I161" s="235"/>
      <c r="J161" s="235"/>
      <c r="K161" s="235"/>
      <c r="L161" s="235"/>
      <c r="M161" s="235"/>
      <c r="N161" s="235"/>
    </row>
    <row r="162" spans="1:14" ht="13.8">
      <c r="A162" s="235"/>
      <c r="B162" s="235"/>
      <c r="C162" s="235"/>
      <c r="D162" s="234"/>
      <c r="E162" s="234"/>
      <c r="F162" s="234"/>
      <c r="G162" s="234"/>
      <c r="H162" s="235"/>
      <c r="I162" s="235"/>
      <c r="J162" s="235"/>
      <c r="K162" s="235"/>
      <c r="L162" s="235"/>
      <c r="M162" s="235"/>
      <c r="N162" s="235"/>
    </row>
    <row r="163" spans="1:14" ht="13.8">
      <c r="A163" s="235"/>
      <c r="B163" s="235"/>
      <c r="C163" s="235"/>
      <c r="D163" s="234"/>
      <c r="E163" s="234"/>
      <c r="F163" s="234"/>
      <c r="G163" s="234"/>
      <c r="H163" s="235"/>
      <c r="I163" s="235"/>
      <c r="J163" s="235"/>
      <c r="K163" s="235"/>
      <c r="L163" s="235"/>
      <c r="M163" s="235"/>
      <c r="N163" s="235"/>
    </row>
    <row r="164" spans="1:14" ht="13.8">
      <c r="A164" s="235"/>
      <c r="B164" s="235"/>
      <c r="C164" s="235"/>
      <c r="D164" s="234"/>
      <c r="E164" s="234"/>
      <c r="F164" s="234"/>
      <c r="G164" s="234"/>
      <c r="H164" s="235"/>
      <c r="I164" s="235"/>
      <c r="J164" s="235"/>
      <c r="K164" s="235"/>
      <c r="L164" s="235"/>
      <c r="M164" s="235"/>
      <c r="N164" s="235"/>
    </row>
    <row r="165" spans="1:14" ht="13.8">
      <c r="A165" s="235"/>
      <c r="B165" s="235"/>
      <c r="C165" s="235"/>
      <c r="D165" s="234"/>
      <c r="E165" s="234"/>
      <c r="F165" s="234"/>
      <c r="G165" s="234"/>
      <c r="H165" s="235"/>
      <c r="I165" s="235"/>
      <c r="J165" s="235"/>
      <c r="K165" s="235"/>
      <c r="L165" s="235"/>
      <c r="M165" s="235"/>
      <c r="N165" s="235"/>
    </row>
    <row r="166" spans="1:14" ht="13.8">
      <c r="A166" s="235"/>
      <c r="B166" s="235"/>
      <c r="C166" s="235"/>
      <c r="D166" s="234"/>
      <c r="E166" s="234"/>
      <c r="F166" s="234"/>
      <c r="G166" s="234"/>
      <c r="H166" s="235"/>
      <c r="I166" s="235"/>
      <c r="J166" s="235"/>
      <c r="K166" s="235"/>
      <c r="L166" s="235"/>
      <c r="M166" s="235"/>
      <c r="N166" s="235"/>
    </row>
    <row r="167" spans="1:14" ht="13.8">
      <c r="A167" s="235"/>
      <c r="B167" s="235"/>
      <c r="C167" s="235"/>
      <c r="D167" s="234"/>
      <c r="E167" s="234"/>
      <c r="F167" s="234"/>
      <c r="G167" s="234"/>
      <c r="H167" s="235"/>
      <c r="I167" s="235"/>
      <c r="J167" s="235"/>
      <c r="K167" s="235"/>
      <c r="L167" s="235"/>
      <c r="M167" s="235"/>
      <c r="N167" s="235"/>
    </row>
    <row r="168" spans="1:14" ht="13.8">
      <c r="A168" s="235"/>
      <c r="B168" s="235"/>
      <c r="C168" s="235"/>
      <c r="D168" s="234"/>
      <c r="E168" s="234"/>
      <c r="F168" s="234"/>
      <c r="G168" s="234"/>
      <c r="H168" s="235"/>
      <c r="I168" s="235"/>
      <c r="J168" s="235"/>
      <c r="K168" s="235"/>
      <c r="L168" s="235"/>
      <c r="M168" s="235"/>
      <c r="N168" s="235"/>
    </row>
    <row r="169" spans="1:14" ht="13.8">
      <c r="A169" s="235"/>
      <c r="B169" s="235"/>
      <c r="C169" s="235"/>
      <c r="D169" s="234"/>
      <c r="E169" s="234"/>
      <c r="F169" s="234"/>
      <c r="G169" s="234"/>
      <c r="H169" s="235"/>
      <c r="I169" s="235"/>
      <c r="J169" s="235"/>
      <c r="K169" s="235"/>
      <c r="L169" s="235"/>
      <c r="M169" s="235"/>
      <c r="N169" s="235"/>
    </row>
    <row r="170" spans="1:14" ht="13.8">
      <c r="A170" s="235"/>
      <c r="B170" s="235"/>
      <c r="C170" s="235"/>
      <c r="D170" s="234"/>
      <c r="E170" s="234"/>
      <c r="F170" s="234"/>
      <c r="G170" s="234"/>
      <c r="H170" s="235"/>
      <c r="I170" s="235"/>
      <c r="J170" s="235"/>
      <c r="K170" s="235"/>
      <c r="L170" s="235"/>
      <c r="M170" s="235"/>
      <c r="N170" s="235"/>
    </row>
    <row r="171" spans="1:14" ht="13.8">
      <c r="A171" s="235"/>
      <c r="B171" s="235"/>
      <c r="C171" s="235"/>
      <c r="D171" s="234"/>
      <c r="E171" s="234"/>
      <c r="F171" s="234"/>
      <c r="G171" s="234"/>
      <c r="H171" s="235"/>
      <c r="I171" s="235"/>
      <c r="J171" s="235"/>
      <c r="K171" s="235"/>
      <c r="L171" s="235"/>
      <c r="M171" s="235"/>
      <c r="N171" s="235"/>
    </row>
    <row r="172" spans="1:14" ht="13.8">
      <c r="A172" s="235"/>
      <c r="B172" s="235"/>
      <c r="C172" s="235"/>
      <c r="D172" s="234"/>
      <c r="E172" s="234"/>
      <c r="F172" s="234"/>
      <c r="G172" s="234"/>
      <c r="H172" s="235"/>
      <c r="I172" s="235"/>
      <c r="J172" s="235"/>
      <c r="K172" s="235"/>
      <c r="L172" s="235"/>
      <c r="M172" s="235"/>
      <c r="N172" s="235"/>
    </row>
    <row r="173" spans="1:14" ht="13.8">
      <c r="A173" s="235"/>
      <c r="B173" s="235"/>
      <c r="C173" s="235"/>
      <c r="D173" s="234"/>
      <c r="E173" s="234"/>
      <c r="F173" s="234"/>
      <c r="G173" s="234"/>
      <c r="H173" s="235"/>
      <c r="I173" s="235"/>
      <c r="J173" s="235"/>
      <c r="K173" s="235"/>
      <c r="L173" s="235"/>
      <c r="M173" s="235"/>
      <c r="N173" s="235"/>
    </row>
    <row r="174" spans="1:14" ht="13.8">
      <c r="A174" s="235"/>
      <c r="B174" s="235"/>
      <c r="C174" s="235"/>
      <c r="D174" s="234"/>
      <c r="E174" s="234"/>
      <c r="F174" s="234"/>
      <c r="G174" s="234"/>
      <c r="H174" s="235"/>
      <c r="I174" s="235"/>
      <c r="J174" s="235"/>
      <c r="K174" s="235"/>
      <c r="L174" s="235"/>
      <c r="M174" s="235"/>
      <c r="N174" s="235"/>
    </row>
    <row r="175" spans="1:14" ht="13.8">
      <c r="A175" s="235"/>
      <c r="B175" s="235"/>
      <c r="C175" s="235"/>
      <c r="D175" s="234"/>
      <c r="E175" s="234"/>
      <c r="F175" s="234"/>
      <c r="G175" s="234"/>
      <c r="H175" s="235"/>
      <c r="I175" s="235"/>
      <c r="J175" s="235"/>
      <c r="K175" s="235"/>
      <c r="L175" s="235"/>
      <c r="M175" s="235"/>
      <c r="N175" s="235"/>
    </row>
    <row r="176" spans="1:14" ht="13.8">
      <c r="A176" s="235"/>
      <c r="B176" s="235"/>
      <c r="C176" s="235"/>
      <c r="D176" s="234"/>
      <c r="E176" s="234"/>
      <c r="F176" s="234"/>
      <c r="G176" s="234"/>
      <c r="H176" s="235"/>
      <c r="I176" s="235"/>
      <c r="J176" s="235"/>
      <c r="K176" s="235"/>
      <c r="L176" s="235"/>
      <c r="M176" s="235"/>
      <c r="N176" s="235"/>
    </row>
    <row r="177" spans="1:14" ht="13.8">
      <c r="A177" s="235"/>
      <c r="B177" s="235"/>
      <c r="C177" s="235"/>
      <c r="D177" s="234"/>
      <c r="E177" s="234"/>
      <c r="F177" s="234"/>
      <c r="G177" s="234"/>
      <c r="H177" s="235"/>
      <c r="I177" s="235"/>
      <c r="J177" s="235"/>
      <c r="K177" s="235"/>
      <c r="L177" s="235"/>
      <c r="M177" s="235"/>
      <c r="N177" s="235"/>
    </row>
    <row r="178" spans="1:14" ht="13.8">
      <c r="A178" s="235"/>
      <c r="B178" s="235"/>
      <c r="C178" s="235"/>
      <c r="D178" s="234"/>
      <c r="E178" s="234"/>
      <c r="F178" s="234"/>
      <c r="G178" s="234"/>
      <c r="H178" s="235"/>
      <c r="I178" s="235"/>
      <c r="J178" s="235"/>
      <c r="K178" s="235"/>
      <c r="L178" s="235"/>
      <c r="M178" s="235"/>
      <c r="N178" s="235"/>
    </row>
    <row r="179" spans="1:14" ht="13.8">
      <c r="A179" s="235"/>
      <c r="B179" s="235"/>
      <c r="C179" s="235"/>
      <c r="D179" s="234"/>
      <c r="E179" s="234"/>
      <c r="F179" s="234"/>
      <c r="G179" s="234"/>
      <c r="H179" s="235"/>
      <c r="I179" s="235"/>
      <c r="J179" s="235"/>
      <c r="K179" s="235"/>
      <c r="L179" s="235"/>
      <c r="M179" s="235"/>
      <c r="N179" s="235"/>
    </row>
    <row r="180" spans="1:14" ht="13.8">
      <c r="A180" s="235"/>
      <c r="B180" s="235"/>
      <c r="C180" s="235"/>
      <c r="D180" s="234"/>
      <c r="E180" s="234"/>
      <c r="F180" s="234"/>
      <c r="G180" s="234"/>
      <c r="H180" s="235"/>
      <c r="I180" s="235"/>
      <c r="J180" s="235"/>
      <c r="K180" s="235"/>
      <c r="L180" s="235"/>
      <c r="M180" s="235"/>
      <c r="N180" s="235"/>
    </row>
    <row r="181" spans="1:14" ht="13.8">
      <c r="A181" s="235"/>
      <c r="B181" s="235"/>
      <c r="C181" s="235"/>
      <c r="D181" s="234"/>
      <c r="E181" s="234"/>
      <c r="F181" s="234"/>
      <c r="G181" s="234"/>
      <c r="H181" s="235"/>
      <c r="I181" s="235"/>
      <c r="J181" s="235"/>
      <c r="K181" s="235"/>
      <c r="L181" s="235"/>
      <c r="M181" s="235"/>
      <c r="N181" s="235"/>
    </row>
    <row r="182" spans="1:14" ht="13.8">
      <c r="A182" s="235"/>
      <c r="B182" s="235"/>
      <c r="C182" s="235"/>
      <c r="D182" s="234"/>
      <c r="E182" s="234"/>
      <c r="F182" s="234"/>
      <c r="G182" s="234"/>
      <c r="H182" s="235"/>
      <c r="I182" s="235"/>
      <c r="J182" s="235"/>
      <c r="K182" s="235"/>
      <c r="L182" s="235"/>
      <c r="M182" s="235"/>
      <c r="N182" s="235"/>
    </row>
    <row r="183" spans="1:14" ht="13.8">
      <c r="A183" s="235"/>
      <c r="B183" s="235"/>
      <c r="C183" s="235"/>
      <c r="D183" s="234"/>
      <c r="E183" s="234"/>
      <c r="F183" s="234"/>
      <c r="G183" s="234"/>
      <c r="H183" s="235"/>
      <c r="I183" s="235"/>
      <c r="J183" s="235"/>
      <c r="K183" s="235"/>
      <c r="L183" s="235"/>
      <c r="M183" s="235"/>
      <c r="N183" s="235"/>
    </row>
    <row r="184" spans="1:14" ht="13.8">
      <c r="A184" s="235"/>
      <c r="B184" s="235"/>
      <c r="C184" s="235"/>
      <c r="D184" s="234"/>
      <c r="E184" s="234"/>
      <c r="F184" s="234"/>
      <c r="G184" s="234"/>
      <c r="H184" s="235"/>
      <c r="I184" s="235"/>
      <c r="J184" s="235"/>
      <c r="K184" s="235"/>
      <c r="L184" s="235"/>
      <c r="M184" s="235"/>
      <c r="N184" s="235"/>
    </row>
    <row r="185" spans="1:14" ht="13.8">
      <c r="A185" s="235"/>
      <c r="B185" s="235"/>
      <c r="C185" s="235"/>
      <c r="D185" s="234"/>
      <c r="E185" s="234"/>
      <c r="F185" s="234"/>
      <c r="G185" s="234"/>
      <c r="H185" s="235"/>
      <c r="I185" s="235"/>
      <c r="J185" s="235"/>
      <c r="K185" s="235"/>
      <c r="L185" s="235"/>
      <c r="M185" s="235"/>
      <c r="N185" s="235"/>
    </row>
    <row r="186" spans="1:14" ht="13.8">
      <c r="A186" s="235"/>
      <c r="B186" s="235"/>
      <c r="C186" s="235"/>
      <c r="D186" s="234"/>
      <c r="E186" s="234"/>
      <c r="F186" s="234"/>
      <c r="G186" s="234"/>
      <c r="H186" s="235"/>
      <c r="I186" s="235"/>
      <c r="J186" s="235"/>
      <c r="K186" s="235"/>
      <c r="L186" s="235"/>
      <c r="M186" s="235"/>
      <c r="N186" s="235"/>
    </row>
    <row r="187" spans="1:14" ht="13.8">
      <c r="A187" s="235"/>
      <c r="B187" s="235"/>
      <c r="C187" s="235"/>
      <c r="D187" s="234"/>
      <c r="E187" s="234"/>
      <c r="F187" s="234"/>
      <c r="G187" s="234"/>
      <c r="H187" s="235"/>
      <c r="I187" s="235"/>
      <c r="J187" s="235"/>
      <c r="K187" s="235"/>
      <c r="L187" s="235"/>
      <c r="M187" s="235"/>
      <c r="N187" s="235"/>
    </row>
    <row r="188" spans="1:14" ht="13.8">
      <c r="A188" s="235"/>
      <c r="B188" s="235"/>
      <c r="C188" s="235"/>
      <c r="D188" s="234"/>
      <c r="E188" s="234"/>
      <c r="F188" s="234"/>
      <c r="G188" s="234"/>
      <c r="H188" s="235"/>
      <c r="I188" s="235"/>
      <c r="J188" s="235"/>
      <c r="K188" s="235"/>
      <c r="L188" s="235"/>
      <c r="M188" s="235"/>
      <c r="N188" s="235"/>
    </row>
    <row r="189" spans="1:14" ht="13.8">
      <c r="A189" s="235"/>
      <c r="B189" s="235"/>
      <c r="C189" s="235"/>
      <c r="D189" s="234"/>
      <c r="E189" s="234"/>
      <c r="F189" s="234"/>
      <c r="G189" s="234"/>
      <c r="H189" s="235"/>
      <c r="I189" s="235"/>
      <c r="J189" s="235"/>
      <c r="K189" s="235"/>
      <c r="L189" s="235"/>
      <c r="M189" s="235"/>
      <c r="N189" s="235"/>
    </row>
    <row r="190" spans="1:14" ht="13.8">
      <c r="A190" s="235"/>
      <c r="B190" s="235"/>
      <c r="C190" s="235"/>
      <c r="D190" s="234"/>
      <c r="E190" s="234"/>
      <c r="F190" s="234"/>
      <c r="G190" s="234"/>
      <c r="H190" s="235"/>
      <c r="I190" s="235"/>
      <c r="J190" s="235"/>
      <c r="K190" s="235"/>
      <c r="L190" s="235"/>
      <c r="M190" s="235"/>
      <c r="N190" s="235"/>
    </row>
    <row r="191" spans="1:14" ht="13.8">
      <c r="A191" s="235"/>
      <c r="B191" s="235"/>
      <c r="C191" s="235"/>
      <c r="D191" s="234"/>
      <c r="E191" s="234"/>
      <c r="F191" s="234"/>
      <c r="G191" s="234"/>
      <c r="H191" s="235"/>
      <c r="I191" s="235"/>
      <c r="J191" s="235"/>
      <c r="K191" s="235"/>
      <c r="L191" s="235"/>
      <c r="M191" s="235"/>
      <c r="N191" s="235"/>
    </row>
    <row r="192" spans="1:14" ht="13.8">
      <c r="A192" s="235"/>
      <c r="B192" s="235"/>
      <c r="C192" s="235"/>
      <c r="D192" s="234"/>
      <c r="E192" s="234"/>
      <c r="F192" s="234"/>
      <c r="G192" s="234"/>
      <c r="H192" s="235"/>
      <c r="I192" s="235"/>
      <c r="J192" s="235"/>
      <c r="K192" s="235"/>
      <c r="L192" s="235"/>
      <c r="M192" s="235"/>
      <c r="N192" s="235"/>
    </row>
    <row r="193" spans="1:14" ht="13.8">
      <c r="A193" s="235"/>
      <c r="B193" s="235"/>
      <c r="C193" s="235"/>
      <c r="D193" s="234"/>
      <c r="E193" s="234"/>
      <c r="F193" s="234"/>
      <c r="G193" s="234"/>
      <c r="H193" s="235"/>
      <c r="I193" s="235"/>
      <c r="J193" s="235"/>
      <c r="K193" s="235"/>
      <c r="L193" s="235"/>
      <c r="M193" s="235"/>
      <c r="N193" s="235"/>
    </row>
    <row r="194" spans="1:14" ht="13.8">
      <c r="A194" s="235"/>
      <c r="B194" s="235"/>
      <c r="C194" s="235"/>
      <c r="D194" s="234"/>
      <c r="E194" s="234"/>
      <c r="F194" s="234"/>
      <c r="G194" s="234"/>
      <c r="H194" s="235"/>
      <c r="I194" s="235"/>
      <c r="J194" s="235"/>
      <c r="K194" s="235"/>
      <c r="L194" s="235"/>
      <c r="M194" s="235"/>
      <c r="N194" s="235"/>
    </row>
    <row r="195" spans="1:14" ht="13.8">
      <c r="A195" s="235"/>
      <c r="B195" s="235"/>
      <c r="C195" s="235"/>
      <c r="D195" s="234"/>
      <c r="E195" s="234"/>
      <c r="F195" s="234"/>
      <c r="G195" s="234"/>
      <c r="H195" s="235"/>
      <c r="I195" s="235"/>
      <c r="J195" s="235"/>
      <c r="K195" s="235"/>
      <c r="L195" s="235"/>
      <c r="M195" s="235"/>
      <c r="N195" s="235"/>
    </row>
    <row r="196" spans="1:14" ht="13.8">
      <c r="A196" s="235"/>
      <c r="B196" s="235"/>
      <c r="C196" s="235"/>
      <c r="D196" s="234"/>
      <c r="E196" s="234"/>
      <c r="F196" s="234"/>
      <c r="G196" s="234"/>
      <c r="H196" s="235"/>
      <c r="I196" s="235"/>
      <c r="J196" s="235"/>
      <c r="K196" s="235"/>
      <c r="L196" s="235"/>
      <c r="M196" s="235"/>
      <c r="N196" s="235"/>
    </row>
    <row r="197" spans="1:14" ht="13.8">
      <c r="A197" s="235"/>
      <c r="B197" s="235"/>
      <c r="C197" s="235"/>
      <c r="D197" s="234"/>
      <c r="E197" s="234"/>
      <c r="F197" s="234"/>
      <c r="G197" s="234"/>
      <c r="H197" s="235"/>
      <c r="I197" s="235"/>
      <c r="J197" s="235"/>
      <c r="K197" s="235"/>
      <c r="L197" s="235"/>
      <c r="M197" s="235"/>
      <c r="N197" s="235"/>
    </row>
    <row r="198" spans="1:14" ht="13.8">
      <c r="A198" s="235"/>
      <c r="B198" s="235"/>
      <c r="C198" s="235"/>
      <c r="D198" s="234"/>
      <c r="E198" s="234"/>
      <c r="F198" s="234"/>
      <c r="G198" s="234"/>
      <c r="H198" s="235"/>
      <c r="I198" s="235"/>
      <c r="J198" s="235"/>
      <c r="K198" s="235"/>
      <c r="L198" s="235"/>
      <c r="M198" s="235"/>
      <c r="N198" s="235"/>
    </row>
    <row r="199" spans="1:14" ht="13.8">
      <c r="A199" s="235"/>
      <c r="B199" s="235"/>
      <c r="C199" s="235"/>
      <c r="D199" s="234"/>
      <c r="E199" s="234"/>
      <c r="F199" s="234"/>
      <c r="G199" s="234"/>
      <c r="H199" s="235"/>
      <c r="I199" s="235"/>
      <c r="J199" s="235"/>
      <c r="K199" s="235"/>
      <c r="L199" s="235"/>
      <c r="M199" s="235"/>
      <c r="N199" s="235"/>
    </row>
    <row r="200" spans="1:14" ht="13.8">
      <c r="A200" s="235"/>
      <c r="B200" s="235"/>
      <c r="C200" s="235"/>
      <c r="D200" s="234"/>
      <c r="E200" s="234"/>
      <c r="F200" s="234"/>
      <c r="G200" s="234"/>
      <c r="H200" s="235"/>
      <c r="I200" s="235"/>
      <c r="J200" s="235"/>
      <c r="K200" s="235"/>
      <c r="L200" s="235"/>
      <c r="M200" s="235"/>
      <c r="N200" s="235"/>
    </row>
    <row r="201" spans="1:14" ht="13.8">
      <c r="A201" s="235"/>
      <c r="B201" s="235"/>
      <c r="C201" s="235"/>
      <c r="D201" s="234"/>
      <c r="E201" s="234"/>
      <c r="F201" s="234"/>
      <c r="G201" s="234"/>
      <c r="H201" s="235"/>
      <c r="I201" s="235"/>
      <c r="J201" s="235"/>
      <c r="K201" s="235"/>
      <c r="L201" s="235"/>
      <c r="M201" s="235"/>
      <c r="N201" s="235"/>
    </row>
    <row r="202" spans="1:14" ht="13.8">
      <c r="A202" s="235"/>
      <c r="B202" s="235"/>
      <c r="C202" s="235"/>
      <c r="D202" s="234"/>
      <c r="E202" s="234"/>
      <c r="F202" s="234"/>
      <c r="G202" s="234"/>
      <c r="H202" s="235"/>
      <c r="I202" s="235"/>
      <c r="J202" s="235"/>
      <c r="K202" s="235"/>
      <c r="L202" s="235"/>
      <c r="M202" s="235"/>
      <c r="N202" s="235"/>
    </row>
    <row r="203" spans="1:14" ht="13.8">
      <c r="A203" s="235"/>
      <c r="B203" s="235"/>
      <c r="C203" s="235"/>
      <c r="D203" s="234"/>
      <c r="E203" s="234"/>
      <c r="F203" s="234"/>
      <c r="G203" s="234"/>
      <c r="H203" s="235"/>
      <c r="I203" s="235"/>
      <c r="J203" s="235"/>
      <c r="K203" s="235"/>
      <c r="L203" s="235"/>
      <c r="M203" s="235"/>
      <c r="N203" s="235"/>
    </row>
    <row r="204" spans="1:14" ht="13.8">
      <c r="A204" s="235"/>
      <c r="B204" s="235"/>
      <c r="C204" s="235"/>
      <c r="D204" s="234"/>
      <c r="E204" s="234"/>
      <c r="F204" s="234"/>
      <c r="G204" s="234"/>
      <c r="H204" s="235"/>
      <c r="I204" s="235"/>
      <c r="J204" s="235"/>
      <c r="K204" s="235"/>
      <c r="L204" s="235"/>
      <c r="M204" s="235"/>
      <c r="N204" s="235"/>
    </row>
    <row r="205" spans="1:14" ht="13.8">
      <c r="A205" s="235"/>
      <c r="B205" s="235"/>
      <c r="C205" s="235"/>
      <c r="D205" s="234"/>
      <c r="E205" s="234"/>
      <c r="F205" s="234"/>
      <c r="G205" s="234"/>
      <c r="H205" s="235"/>
      <c r="I205" s="235"/>
      <c r="J205" s="235"/>
      <c r="K205" s="235"/>
      <c r="L205" s="235"/>
      <c r="M205" s="235"/>
      <c r="N205" s="235"/>
    </row>
    <row r="206" spans="1:14" ht="13.8">
      <c r="A206" s="235"/>
      <c r="B206" s="235"/>
      <c r="C206" s="235"/>
      <c r="D206" s="234"/>
      <c r="E206" s="234"/>
      <c r="F206" s="234"/>
      <c r="G206" s="234"/>
      <c r="H206" s="235"/>
      <c r="I206" s="235"/>
      <c r="J206" s="235"/>
      <c r="K206" s="235"/>
      <c r="L206" s="235"/>
      <c r="M206" s="235"/>
      <c r="N206" s="235"/>
    </row>
    <row r="207" spans="1:14" ht="13.8">
      <c r="A207" s="235"/>
      <c r="B207" s="235"/>
      <c r="C207" s="235"/>
      <c r="D207" s="234"/>
      <c r="E207" s="234"/>
      <c r="F207" s="234"/>
      <c r="G207" s="234"/>
      <c r="H207" s="235"/>
      <c r="I207" s="235"/>
      <c r="J207" s="235"/>
      <c r="K207" s="235"/>
      <c r="L207" s="235"/>
      <c r="M207" s="235"/>
      <c r="N207" s="235"/>
    </row>
    <row r="208" spans="1:14" ht="13.8">
      <c r="A208" s="235"/>
      <c r="B208" s="235"/>
      <c r="C208" s="235"/>
      <c r="D208" s="234"/>
      <c r="E208" s="234"/>
      <c r="F208" s="234"/>
      <c r="G208" s="234"/>
      <c r="H208" s="235"/>
      <c r="I208" s="235"/>
      <c r="J208" s="235"/>
      <c r="K208" s="235"/>
      <c r="L208" s="235"/>
      <c r="M208" s="235"/>
      <c r="N208" s="235"/>
    </row>
    <row r="209" spans="1:14" ht="13.8">
      <c r="A209" s="235"/>
      <c r="B209" s="235"/>
      <c r="C209" s="235"/>
      <c r="D209" s="234"/>
      <c r="E209" s="234"/>
      <c r="F209" s="234"/>
      <c r="G209" s="234"/>
      <c r="H209" s="235"/>
      <c r="I209" s="235"/>
      <c r="J209" s="235"/>
      <c r="K209" s="235"/>
      <c r="L209" s="235"/>
      <c r="M209" s="235"/>
      <c r="N209" s="235"/>
    </row>
    <row r="210" spans="1:14" ht="13.8">
      <c r="A210" s="235"/>
      <c r="B210" s="235"/>
      <c r="C210" s="235"/>
      <c r="D210" s="234"/>
      <c r="E210" s="234"/>
      <c r="F210" s="234"/>
      <c r="G210" s="234"/>
      <c r="H210" s="235"/>
      <c r="I210" s="235"/>
      <c r="J210" s="235"/>
      <c r="K210" s="235"/>
      <c r="L210" s="235"/>
      <c r="M210" s="235"/>
      <c r="N210" s="235"/>
    </row>
    <row r="211" spans="1:14" ht="13.8">
      <c r="A211" s="235"/>
      <c r="B211" s="235"/>
      <c r="C211" s="235"/>
      <c r="D211" s="234"/>
      <c r="E211" s="234"/>
      <c r="F211" s="234"/>
      <c r="G211" s="234"/>
      <c r="H211" s="235"/>
      <c r="I211" s="235"/>
      <c r="J211" s="235"/>
      <c r="K211" s="235"/>
      <c r="L211" s="235"/>
      <c r="M211" s="235"/>
      <c r="N211" s="235"/>
    </row>
    <row r="212" spans="1:14" ht="13.8">
      <c r="A212" s="235"/>
      <c r="B212" s="235"/>
      <c r="C212" s="235"/>
      <c r="D212" s="234"/>
      <c r="E212" s="234"/>
      <c r="F212" s="234"/>
      <c r="G212" s="234"/>
      <c r="H212" s="235"/>
      <c r="I212" s="235"/>
      <c r="J212" s="235"/>
      <c r="K212" s="235"/>
      <c r="L212" s="235"/>
      <c r="M212" s="235"/>
      <c r="N212" s="235"/>
    </row>
    <row r="213" spans="1:14" ht="13.8">
      <c r="A213" s="235"/>
      <c r="B213" s="235"/>
      <c r="C213" s="235"/>
      <c r="D213" s="234"/>
      <c r="E213" s="234"/>
      <c r="F213" s="234"/>
      <c r="G213" s="234"/>
      <c r="H213" s="235"/>
      <c r="I213" s="235"/>
      <c r="J213" s="235"/>
      <c r="K213" s="235"/>
      <c r="L213" s="235"/>
      <c r="M213" s="235"/>
      <c r="N213" s="235"/>
    </row>
    <row r="214" spans="1:14" ht="13.8">
      <c r="A214" s="235"/>
      <c r="B214" s="235"/>
      <c r="C214" s="235"/>
      <c r="D214" s="234"/>
      <c r="E214" s="234"/>
      <c r="F214" s="234"/>
      <c r="G214" s="234"/>
      <c r="H214" s="235"/>
      <c r="I214" s="235"/>
      <c r="J214" s="235"/>
      <c r="K214" s="235"/>
      <c r="L214" s="235"/>
      <c r="M214" s="235"/>
      <c r="N214" s="235"/>
    </row>
    <row r="215" spans="1:14" ht="13.8">
      <c r="A215" s="235"/>
      <c r="B215" s="235"/>
      <c r="C215" s="235"/>
      <c r="D215" s="234"/>
      <c r="E215" s="234"/>
      <c r="F215" s="234"/>
      <c r="G215" s="234"/>
      <c r="H215" s="235"/>
      <c r="I215" s="235"/>
      <c r="J215" s="235"/>
      <c r="K215" s="235"/>
      <c r="L215" s="235"/>
      <c r="M215" s="235"/>
      <c r="N215" s="235"/>
    </row>
    <row r="216" spans="1:14" ht="13.8">
      <c r="A216" s="235"/>
      <c r="B216" s="235"/>
      <c r="C216" s="235"/>
      <c r="D216" s="234"/>
      <c r="E216" s="234"/>
      <c r="F216" s="234"/>
      <c r="G216" s="234"/>
      <c r="H216" s="235"/>
      <c r="I216" s="235"/>
      <c r="J216" s="235"/>
      <c r="K216" s="235"/>
      <c r="L216" s="235"/>
      <c r="M216" s="235"/>
      <c r="N216" s="235"/>
    </row>
    <row r="217" spans="1:14" ht="13.8">
      <c r="A217" s="235"/>
      <c r="B217" s="235"/>
      <c r="C217" s="235"/>
      <c r="D217" s="234"/>
      <c r="E217" s="234"/>
      <c r="F217" s="234"/>
      <c r="G217" s="234"/>
      <c r="H217" s="235"/>
      <c r="I217" s="235"/>
      <c r="J217" s="235"/>
      <c r="K217" s="235"/>
      <c r="L217" s="235"/>
      <c r="M217" s="235"/>
      <c r="N217" s="235"/>
    </row>
    <row r="218" spans="1:14" ht="13.8">
      <c r="A218" s="235"/>
      <c r="B218" s="235"/>
      <c r="C218" s="235"/>
      <c r="D218" s="234"/>
      <c r="E218" s="234"/>
      <c r="F218" s="234"/>
      <c r="G218" s="234"/>
      <c r="H218" s="235"/>
      <c r="I218" s="235"/>
      <c r="J218" s="235"/>
      <c r="K218" s="235"/>
      <c r="L218" s="235"/>
      <c r="M218" s="235"/>
      <c r="N218" s="235"/>
    </row>
    <row r="219" spans="1:14" ht="13.8">
      <c r="A219" s="235"/>
      <c r="B219" s="235"/>
      <c r="C219" s="235"/>
      <c r="D219" s="234"/>
      <c r="E219" s="234"/>
      <c r="F219" s="234"/>
      <c r="G219" s="234"/>
      <c r="H219" s="235"/>
      <c r="I219" s="235"/>
      <c r="J219" s="235"/>
      <c r="K219" s="235"/>
      <c r="L219" s="235"/>
      <c r="M219" s="235"/>
      <c r="N219" s="235"/>
    </row>
    <row r="220" spans="1:14" ht="13.8">
      <c r="A220" s="235"/>
      <c r="B220" s="235"/>
      <c r="C220" s="235"/>
      <c r="D220" s="234"/>
      <c r="E220" s="234"/>
      <c r="F220" s="234"/>
      <c r="G220" s="234"/>
      <c r="H220" s="235"/>
      <c r="I220" s="235"/>
      <c r="J220" s="235"/>
      <c r="K220" s="235"/>
      <c r="L220" s="235"/>
      <c r="M220" s="235"/>
      <c r="N220" s="235"/>
    </row>
    <row r="221" spans="1:14" ht="13.8">
      <c r="A221" s="235"/>
      <c r="B221" s="235"/>
      <c r="C221" s="235"/>
      <c r="D221" s="234"/>
      <c r="E221" s="234"/>
      <c r="F221" s="234"/>
      <c r="G221" s="234"/>
      <c r="H221" s="235"/>
      <c r="I221" s="235"/>
      <c r="J221" s="235"/>
      <c r="K221" s="235"/>
      <c r="L221" s="235"/>
      <c r="M221" s="235"/>
      <c r="N221" s="235"/>
    </row>
    <row r="222" spans="1:14" ht="13.8">
      <c r="A222" s="235"/>
      <c r="B222" s="235"/>
      <c r="C222" s="235"/>
      <c r="D222" s="234"/>
      <c r="E222" s="234"/>
      <c r="F222" s="234"/>
      <c r="G222" s="234"/>
      <c r="H222" s="235"/>
      <c r="I222" s="235"/>
      <c r="J222" s="235"/>
      <c r="K222" s="235"/>
      <c r="L222" s="235"/>
      <c r="M222" s="235"/>
      <c r="N222" s="235"/>
    </row>
    <row r="223" spans="1:14" ht="13.8">
      <c r="A223" s="235"/>
      <c r="B223" s="235"/>
      <c r="C223" s="235"/>
      <c r="D223" s="234"/>
      <c r="E223" s="234"/>
      <c r="F223" s="234"/>
      <c r="G223" s="234"/>
      <c r="H223" s="235"/>
      <c r="I223" s="235"/>
      <c r="J223" s="235"/>
      <c r="K223" s="235"/>
      <c r="L223" s="235"/>
      <c r="M223" s="235"/>
      <c r="N223" s="235"/>
    </row>
    <row r="224" spans="1:14" ht="13.8">
      <c r="A224" s="235"/>
      <c r="B224" s="235"/>
      <c r="C224" s="235"/>
      <c r="D224" s="234"/>
      <c r="E224" s="234"/>
      <c r="F224" s="234"/>
      <c r="G224" s="234"/>
      <c r="H224" s="235"/>
      <c r="I224" s="235"/>
      <c r="J224" s="235"/>
      <c r="K224" s="235"/>
      <c r="L224" s="235"/>
      <c r="M224" s="235"/>
      <c r="N224" s="235"/>
    </row>
    <row r="225" spans="1:14" ht="13.8">
      <c r="A225" s="235"/>
      <c r="B225" s="235"/>
      <c r="C225" s="235"/>
      <c r="D225" s="234"/>
      <c r="E225" s="234"/>
      <c r="F225" s="234"/>
      <c r="G225" s="234"/>
      <c r="H225" s="235"/>
      <c r="I225" s="235"/>
      <c r="J225" s="235"/>
      <c r="K225" s="235"/>
      <c r="L225" s="235"/>
      <c r="M225" s="235"/>
      <c r="N225" s="235"/>
    </row>
    <row r="226" spans="1:14" ht="13.8">
      <c r="A226" s="235"/>
      <c r="B226" s="235"/>
      <c r="C226" s="235"/>
      <c r="D226" s="234"/>
      <c r="E226" s="234"/>
      <c r="F226" s="234"/>
      <c r="G226" s="234"/>
      <c r="H226" s="235"/>
      <c r="I226" s="235"/>
      <c r="J226" s="235"/>
      <c r="K226" s="235"/>
      <c r="L226" s="235"/>
      <c r="M226" s="235"/>
      <c r="N226" s="235"/>
    </row>
    <row r="227" spans="1:14" ht="13.8">
      <c r="A227" s="235"/>
      <c r="B227" s="235"/>
      <c r="C227" s="235"/>
      <c r="D227" s="234"/>
      <c r="E227" s="234"/>
      <c r="F227" s="234"/>
      <c r="G227" s="234"/>
      <c r="H227" s="235"/>
      <c r="I227" s="235"/>
      <c r="J227" s="235"/>
      <c r="K227" s="235"/>
      <c r="L227" s="235"/>
      <c r="M227" s="235"/>
      <c r="N227" s="235"/>
    </row>
    <row r="228" spans="1:14" ht="13.8">
      <c r="A228" s="235"/>
      <c r="B228" s="235"/>
      <c r="C228" s="235"/>
      <c r="D228" s="234"/>
      <c r="E228" s="234"/>
      <c r="F228" s="234"/>
      <c r="G228" s="234"/>
      <c r="H228" s="235"/>
      <c r="I228" s="235"/>
      <c r="J228" s="235"/>
      <c r="K228" s="235"/>
      <c r="L228" s="235"/>
      <c r="M228" s="235"/>
      <c r="N228" s="235"/>
    </row>
    <row r="229" spans="1:14" ht="13.8">
      <c r="A229" s="235"/>
      <c r="B229" s="235"/>
      <c r="C229" s="235"/>
      <c r="D229" s="234"/>
      <c r="E229" s="234"/>
      <c r="F229" s="234"/>
      <c r="G229" s="234"/>
      <c r="H229" s="235"/>
      <c r="I229" s="235"/>
      <c r="J229" s="235"/>
      <c r="K229" s="235"/>
      <c r="L229" s="235"/>
      <c r="M229" s="235"/>
      <c r="N229" s="235"/>
    </row>
    <row r="230" spans="1:14" ht="13.8">
      <c r="A230" s="235"/>
      <c r="B230" s="235"/>
      <c r="C230" s="235"/>
      <c r="D230" s="234"/>
      <c r="E230" s="234"/>
      <c r="F230" s="234"/>
      <c r="G230" s="234"/>
      <c r="H230" s="235"/>
      <c r="I230" s="235"/>
      <c r="J230" s="235"/>
      <c r="K230" s="235"/>
      <c r="L230" s="235"/>
      <c r="M230" s="235"/>
      <c r="N230" s="235"/>
    </row>
    <row r="231" spans="1:14" ht="13.8">
      <c r="A231" s="235"/>
      <c r="B231" s="235"/>
      <c r="C231" s="235"/>
      <c r="D231" s="234"/>
      <c r="E231" s="234"/>
      <c r="F231" s="234"/>
      <c r="G231" s="234"/>
      <c r="H231" s="235"/>
      <c r="I231" s="235"/>
      <c r="J231" s="235"/>
      <c r="K231" s="235"/>
      <c r="L231" s="235"/>
      <c r="M231" s="235"/>
      <c r="N231" s="235"/>
    </row>
    <row r="232" spans="1:14" ht="13.8">
      <c r="A232" s="235"/>
      <c r="B232" s="235"/>
      <c r="C232" s="235"/>
      <c r="D232" s="234"/>
      <c r="E232" s="234"/>
      <c r="F232" s="234"/>
      <c r="G232" s="234"/>
      <c r="H232" s="235"/>
      <c r="I232" s="235"/>
      <c r="J232" s="235"/>
      <c r="K232" s="235"/>
      <c r="L232" s="235"/>
      <c r="M232" s="235"/>
      <c r="N232" s="235"/>
    </row>
    <row r="233" spans="1:14" ht="13.8">
      <c r="A233" s="235"/>
      <c r="B233" s="235"/>
      <c r="C233" s="235"/>
      <c r="D233" s="234"/>
      <c r="E233" s="234"/>
      <c r="F233" s="234"/>
      <c r="G233" s="234"/>
      <c r="H233" s="235"/>
      <c r="I233" s="235"/>
      <c r="J233" s="235"/>
      <c r="K233" s="235"/>
      <c r="L233" s="235"/>
      <c r="M233" s="235"/>
      <c r="N233" s="235"/>
    </row>
    <row r="234" spans="1:14" ht="13.8">
      <c r="A234" s="235"/>
      <c r="B234" s="235"/>
      <c r="C234" s="235"/>
      <c r="D234" s="234"/>
      <c r="E234" s="234"/>
      <c r="F234" s="234"/>
      <c r="G234" s="234"/>
      <c r="H234" s="235"/>
      <c r="I234" s="235"/>
      <c r="J234" s="235"/>
      <c r="K234" s="235"/>
      <c r="L234" s="235"/>
      <c r="M234" s="235"/>
      <c r="N234" s="235"/>
    </row>
    <row r="235" spans="1:14" ht="13.8">
      <c r="A235" s="235"/>
      <c r="B235" s="235"/>
      <c r="C235" s="235"/>
      <c r="D235" s="234"/>
      <c r="E235" s="234"/>
      <c r="F235" s="234"/>
      <c r="G235" s="234"/>
      <c r="H235" s="235"/>
      <c r="I235" s="235"/>
      <c r="J235" s="235"/>
      <c r="K235" s="235"/>
      <c r="L235" s="235"/>
      <c r="M235" s="235"/>
      <c r="N235" s="235"/>
    </row>
    <row r="236" spans="1:14" ht="13.8">
      <c r="A236" s="235"/>
      <c r="B236" s="235"/>
      <c r="C236" s="235"/>
      <c r="D236" s="234"/>
      <c r="E236" s="234"/>
      <c r="F236" s="234"/>
      <c r="G236" s="234"/>
      <c r="H236" s="235"/>
      <c r="I236" s="235"/>
      <c r="J236" s="235"/>
      <c r="K236" s="235"/>
      <c r="L236" s="235"/>
      <c r="M236" s="235"/>
      <c r="N236" s="235"/>
    </row>
    <row r="237" spans="1:14" ht="13.8">
      <c r="A237" s="235"/>
      <c r="B237" s="235"/>
      <c r="C237" s="235"/>
      <c r="D237" s="234"/>
      <c r="E237" s="234"/>
      <c r="F237" s="234"/>
      <c r="G237" s="234"/>
      <c r="H237" s="235"/>
      <c r="I237" s="235"/>
      <c r="J237" s="235"/>
      <c r="K237" s="235"/>
      <c r="L237" s="235"/>
      <c r="M237" s="235"/>
      <c r="N237" s="235"/>
    </row>
    <row r="238" spans="1:14" ht="13.8">
      <c r="A238" s="235"/>
      <c r="B238" s="235"/>
      <c r="C238" s="235"/>
      <c r="D238" s="234"/>
      <c r="E238" s="234"/>
      <c r="F238" s="234"/>
      <c r="G238" s="234"/>
      <c r="H238" s="235"/>
      <c r="I238" s="235"/>
      <c r="J238" s="235"/>
      <c r="K238" s="235"/>
      <c r="L238" s="235"/>
      <c r="M238" s="235"/>
      <c r="N238" s="235"/>
    </row>
    <row r="239" spans="1:14" ht="13.8">
      <c r="A239" s="235"/>
      <c r="B239" s="235"/>
      <c r="C239" s="235"/>
      <c r="D239" s="234"/>
      <c r="E239" s="234"/>
      <c r="F239" s="234"/>
      <c r="G239" s="234"/>
      <c r="H239" s="235"/>
      <c r="I239" s="235"/>
      <c r="J239" s="235"/>
      <c r="K239" s="235"/>
      <c r="L239" s="235"/>
      <c r="M239" s="235"/>
      <c r="N239" s="235"/>
    </row>
    <row r="240" spans="1:14" ht="13.8">
      <c r="A240" s="235"/>
      <c r="B240" s="235"/>
      <c r="C240" s="235"/>
      <c r="D240" s="234"/>
      <c r="E240" s="234"/>
      <c r="F240" s="234"/>
      <c r="G240" s="234"/>
      <c r="H240" s="235"/>
      <c r="I240" s="235"/>
      <c r="J240" s="235"/>
      <c r="K240" s="235"/>
      <c r="L240" s="235"/>
      <c r="M240" s="235"/>
      <c r="N240" s="235"/>
    </row>
    <row r="241" spans="1:14" ht="13.8">
      <c r="A241" s="235"/>
      <c r="B241" s="235"/>
      <c r="C241" s="235"/>
      <c r="D241" s="234"/>
      <c r="E241" s="234"/>
      <c r="F241" s="234"/>
      <c r="G241" s="234"/>
      <c r="H241" s="235"/>
      <c r="I241" s="235"/>
      <c r="J241" s="235"/>
      <c r="K241" s="235"/>
      <c r="L241" s="235"/>
      <c r="M241" s="235"/>
      <c r="N241" s="235"/>
    </row>
    <row r="242" spans="1:14" ht="13.8">
      <c r="A242" s="235"/>
      <c r="B242" s="235"/>
      <c r="C242" s="235"/>
      <c r="D242" s="234"/>
      <c r="E242" s="234"/>
      <c r="F242" s="234"/>
      <c r="G242" s="234"/>
      <c r="H242" s="235"/>
      <c r="I242" s="235"/>
      <c r="J242" s="235"/>
      <c r="K242" s="235"/>
      <c r="L242" s="235"/>
      <c r="M242" s="235"/>
      <c r="N242" s="235"/>
    </row>
    <row r="243" spans="1:14" ht="13.8">
      <c r="A243" s="235"/>
      <c r="B243" s="235"/>
      <c r="C243" s="235"/>
      <c r="D243" s="234"/>
      <c r="E243" s="234"/>
      <c r="F243" s="234"/>
      <c r="G243" s="234"/>
      <c r="H243" s="235"/>
      <c r="I243" s="235"/>
      <c r="J243" s="235"/>
      <c r="K243" s="235"/>
      <c r="L243" s="235"/>
      <c r="M243" s="235"/>
      <c r="N243" s="235"/>
    </row>
    <row r="244" spans="1:14" ht="13.8">
      <c r="A244" s="235"/>
      <c r="B244" s="235"/>
      <c r="C244" s="235"/>
      <c r="D244" s="234"/>
      <c r="E244" s="234"/>
      <c r="F244" s="234"/>
      <c r="G244" s="234"/>
      <c r="H244" s="235"/>
      <c r="I244" s="235"/>
      <c r="J244" s="235"/>
      <c r="K244" s="235"/>
      <c r="L244" s="235"/>
      <c r="M244" s="235"/>
      <c r="N244" s="235"/>
    </row>
    <row r="245" spans="1:14" ht="13.8">
      <c r="A245" s="235"/>
      <c r="B245" s="235"/>
      <c r="C245" s="235"/>
      <c r="D245" s="234"/>
      <c r="E245" s="234"/>
      <c r="F245" s="234"/>
      <c r="G245" s="234"/>
      <c r="H245" s="235"/>
      <c r="I245" s="235"/>
      <c r="J245" s="235"/>
      <c r="K245" s="235"/>
      <c r="L245" s="235"/>
      <c r="M245" s="235"/>
      <c r="N245" s="235"/>
    </row>
    <row r="246" spans="1:14" ht="13.8">
      <c r="A246" s="235"/>
      <c r="B246" s="235"/>
      <c r="C246" s="235"/>
      <c r="D246" s="234"/>
      <c r="E246" s="234"/>
      <c r="F246" s="234"/>
      <c r="G246" s="234"/>
      <c r="H246" s="235"/>
      <c r="I246" s="235"/>
      <c r="J246" s="235"/>
      <c r="K246" s="235"/>
      <c r="L246" s="235"/>
      <c r="M246" s="235"/>
      <c r="N246" s="235"/>
    </row>
    <row r="247" spans="1:14" ht="13.8">
      <c r="A247" s="235"/>
      <c r="B247" s="235"/>
      <c r="C247" s="235"/>
      <c r="D247" s="234"/>
      <c r="E247" s="234"/>
      <c r="F247" s="234"/>
      <c r="G247" s="234"/>
      <c r="H247" s="235"/>
      <c r="I247" s="235"/>
      <c r="J247" s="235"/>
      <c r="K247" s="235"/>
      <c r="L247" s="235"/>
      <c r="M247" s="235"/>
      <c r="N247" s="235"/>
    </row>
    <row r="248" spans="1:14" ht="13.8">
      <c r="A248" s="235"/>
      <c r="B248" s="235"/>
      <c r="C248" s="235"/>
      <c r="D248" s="234"/>
      <c r="E248" s="234"/>
      <c r="F248" s="234"/>
      <c r="G248" s="234"/>
      <c r="H248" s="235"/>
      <c r="I248" s="235"/>
      <c r="J248" s="235"/>
      <c r="K248" s="235"/>
      <c r="L248" s="235"/>
      <c r="M248" s="235"/>
      <c r="N248" s="235"/>
    </row>
    <row r="249" spans="1:14" ht="13.8">
      <c r="A249" s="235"/>
      <c r="B249" s="235"/>
      <c r="C249" s="235"/>
      <c r="D249" s="234"/>
      <c r="E249" s="234"/>
      <c r="F249" s="234"/>
      <c r="G249" s="234"/>
      <c r="H249" s="235"/>
      <c r="I249" s="235"/>
      <c r="J249" s="235"/>
      <c r="K249" s="235"/>
      <c r="L249" s="235"/>
      <c r="M249" s="235"/>
      <c r="N249" s="235"/>
    </row>
    <row r="250" spans="1:14" ht="13.8">
      <c r="A250" s="235"/>
      <c r="B250" s="235"/>
      <c r="C250" s="235"/>
      <c r="D250" s="234"/>
      <c r="E250" s="234"/>
      <c r="F250" s="234"/>
      <c r="G250" s="234"/>
      <c r="H250" s="235"/>
      <c r="I250" s="235"/>
      <c r="J250" s="235"/>
      <c r="K250" s="235"/>
      <c r="L250" s="235"/>
      <c r="M250" s="235"/>
      <c r="N250" s="235"/>
    </row>
    <row r="251" spans="1:14" ht="13.8">
      <c r="A251" s="235"/>
      <c r="B251" s="235"/>
      <c r="C251" s="235"/>
      <c r="D251" s="234"/>
      <c r="E251" s="234"/>
      <c r="F251" s="234"/>
      <c r="G251" s="234"/>
      <c r="H251" s="235"/>
      <c r="I251" s="235"/>
      <c r="J251" s="235"/>
      <c r="K251" s="235"/>
      <c r="L251" s="235"/>
      <c r="M251" s="235"/>
      <c r="N251" s="235"/>
    </row>
    <row r="252" spans="1:14" ht="13.8">
      <c r="A252" s="235"/>
      <c r="B252" s="235"/>
      <c r="C252" s="235"/>
      <c r="D252" s="234"/>
      <c r="E252" s="234"/>
      <c r="F252" s="234"/>
      <c r="G252" s="234"/>
      <c r="H252" s="235"/>
      <c r="I252" s="235"/>
      <c r="J252" s="235"/>
      <c r="K252" s="235"/>
      <c r="L252" s="235"/>
      <c r="M252" s="235"/>
      <c r="N252" s="235"/>
    </row>
    <row r="253" spans="1:14" ht="13.8">
      <c r="A253" s="235"/>
      <c r="B253" s="235"/>
      <c r="C253" s="235"/>
      <c r="D253" s="234"/>
      <c r="E253" s="234"/>
      <c r="F253" s="234"/>
      <c r="G253" s="234"/>
      <c r="H253" s="235"/>
      <c r="I253" s="235"/>
      <c r="J253" s="235"/>
      <c r="K253" s="235"/>
      <c r="L253" s="235"/>
      <c r="M253" s="235"/>
      <c r="N253" s="235"/>
    </row>
    <row r="254" spans="1:14" ht="13.8">
      <c r="A254" s="235"/>
      <c r="B254" s="235"/>
      <c r="C254" s="235"/>
      <c r="D254" s="234"/>
      <c r="E254" s="234"/>
      <c r="F254" s="234"/>
      <c r="G254" s="234"/>
      <c r="H254" s="235"/>
      <c r="I254" s="235"/>
      <c r="J254" s="235"/>
      <c r="K254" s="235"/>
      <c r="L254" s="235"/>
      <c r="M254" s="235"/>
      <c r="N254" s="235"/>
    </row>
    <row r="255" spans="1:14" ht="13.8">
      <c r="A255" s="235"/>
      <c r="B255" s="235"/>
      <c r="C255" s="235"/>
      <c r="D255" s="234"/>
      <c r="E255" s="234"/>
      <c r="F255" s="234"/>
      <c r="G255" s="234"/>
      <c r="H255" s="235"/>
      <c r="I255" s="235"/>
      <c r="J255" s="235"/>
      <c r="K255" s="235"/>
      <c r="L255" s="235"/>
      <c r="M255" s="235"/>
      <c r="N255" s="235"/>
    </row>
    <row r="256" spans="1:14" ht="13.8">
      <c r="A256" s="235"/>
      <c r="B256" s="235"/>
      <c r="C256" s="235"/>
      <c r="D256" s="234"/>
      <c r="E256" s="234"/>
      <c r="F256" s="234"/>
      <c r="G256" s="234"/>
      <c r="H256" s="235"/>
      <c r="I256" s="235"/>
      <c r="J256" s="235"/>
      <c r="K256" s="235"/>
      <c r="L256" s="235"/>
      <c r="M256" s="235"/>
      <c r="N256" s="235"/>
    </row>
    <row r="257" spans="1:14" ht="13.8">
      <c r="A257" s="235"/>
      <c r="B257" s="235"/>
      <c r="C257" s="235"/>
      <c r="D257" s="234"/>
      <c r="E257" s="234"/>
      <c r="F257" s="234"/>
      <c r="G257" s="234"/>
      <c r="H257" s="235"/>
      <c r="I257" s="235"/>
      <c r="J257" s="235"/>
      <c r="K257" s="235"/>
      <c r="L257" s="235"/>
      <c r="M257" s="235"/>
      <c r="N257" s="235"/>
    </row>
    <row r="258" spans="1:14" ht="13.8">
      <c r="A258" s="235"/>
      <c r="B258" s="235"/>
      <c r="C258" s="235"/>
      <c r="D258" s="234"/>
      <c r="E258" s="234"/>
      <c r="F258" s="234"/>
      <c r="G258" s="234"/>
      <c r="H258" s="235"/>
      <c r="I258" s="235"/>
      <c r="J258" s="235"/>
      <c r="K258" s="235"/>
      <c r="L258" s="235"/>
      <c r="M258" s="235"/>
      <c r="N258" s="235"/>
    </row>
    <row r="259" spans="1:14" ht="13.8">
      <c r="A259" s="235"/>
      <c r="B259" s="235"/>
      <c r="C259" s="235"/>
      <c r="D259" s="234"/>
      <c r="E259" s="234"/>
      <c r="F259" s="234"/>
      <c r="G259" s="234"/>
      <c r="H259" s="235"/>
      <c r="I259" s="235"/>
      <c r="J259" s="235"/>
      <c r="K259" s="235"/>
      <c r="L259" s="235"/>
      <c r="M259" s="235"/>
      <c r="N259" s="235"/>
    </row>
    <row r="260" spans="1:14" ht="13.8">
      <c r="A260" s="235"/>
      <c r="B260" s="235"/>
      <c r="C260" s="235"/>
      <c r="D260" s="234"/>
      <c r="E260" s="234"/>
      <c r="F260" s="234"/>
      <c r="G260" s="234"/>
      <c r="H260" s="235"/>
      <c r="I260" s="235"/>
      <c r="J260" s="235"/>
      <c r="K260" s="235"/>
      <c r="L260" s="235"/>
      <c r="M260" s="235"/>
      <c r="N260" s="235"/>
    </row>
    <row r="261" spans="1:14" ht="13.8">
      <c r="A261" s="235"/>
      <c r="B261" s="235"/>
      <c r="C261" s="235"/>
      <c r="D261" s="234"/>
      <c r="E261" s="234"/>
      <c r="F261" s="234"/>
      <c r="G261" s="234"/>
      <c r="H261" s="235"/>
      <c r="I261" s="235"/>
      <c r="J261" s="235"/>
      <c r="K261" s="235"/>
      <c r="L261" s="235"/>
      <c r="M261" s="235"/>
      <c r="N261" s="235"/>
    </row>
    <row r="262" spans="1:14" ht="13.8">
      <c r="A262" s="235"/>
      <c r="B262" s="235"/>
      <c r="C262" s="235"/>
      <c r="D262" s="234"/>
      <c r="E262" s="234"/>
      <c r="F262" s="234"/>
      <c r="G262" s="234"/>
      <c r="H262" s="235"/>
      <c r="I262" s="235"/>
      <c r="J262" s="235"/>
      <c r="K262" s="235"/>
      <c r="L262" s="235"/>
      <c r="M262" s="235"/>
      <c r="N262" s="235"/>
    </row>
    <row r="263" spans="1:14" ht="13.8">
      <c r="A263" s="235"/>
      <c r="B263" s="235"/>
      <c r="C263" s="235"/>
      <c r="D263" s="234"/>
      <c r="E263" s="234"/>
      <c r="F263" s="234"/>
      <c r="G263" s="234"/>
      <c r="H263" s="235"/>
      <c r="I263" s="235"/>
      <c r="J263" s="235"/>
      <c r="K263" s="235"/>
      <c r="L263" s="235"/>
      <c r="M263" s="235"/>
      <c r="N263" s="235"/>
    </row>
    <row r="264" spans="1:14" ht="13.8">
      <c r="A264" s="235"/>
      <c r="B264" s="235"/>
      <c r="C264" s="235"/>
      <c r="D264" s="234"/>
      <c r="E264" s="234"/>
      <c r="F264" s="234"/>
      <c r="G264" s="234"/>
      <c r="H264" s="235"/>
      <c r="I264" s="235"/>
      <c r="J264" s="235"/>
      <c r="K264" s="235"/>
      <c r="L264" s="235"/>
      <c r="M264" s="235"/>
      <c r="N264" s="235"/>
    </row>
    <row r="265" spans="1:14" ht="13.8">
      <c r="A265" s="235"/>
      <c r="B265" s="235"/>
      <c r="C265" s="235"/>
      <c r="D265" s="234"/>
      <c r="E265" s="234"/>
      <c r="F265" s="234"/>
      <c r="G265" s="234"/>
      <c r="H265" s="235"/>
      <c r="I265" s="235"/>
      <c r="J265" s="235"/>
      <c r="K265" s="235"/>
      <c r="L265" s="235"/>
      <c r="M265" s="235"/>
      <c r="N265" s="235"/>
    </row>
    <row r="266" spans="1:14" ht="13.8">
      <c r="A266" s="235"/>
      <c r="B266" s="235"/>
      <c r="C266" s="235"/>
      <c r="D266" s="234"/>
      <c r="E266" s="234"/>
      <c r="F266" s="234"/>
      <c r="G266" s="234"/>
      <c r="H266" s="235"/>
      <c r="I266" s="235"/>
      <c r="J266" s="235"/>
      <c r="K266" s="235"/>
      <c r="L266" s="235"/>
      <c r="M266" s="235"/>
      <c r="N266" s="235"/>
    </row>
    <row r="267" spans="1:14" ht="13.8">
      <c r="A267" s="235"/>
      <c r="B267" s="235"/>
      <c r="C267" s="235"/>
      <c r="D267" s="234"/>
      <c r="E267" s="234"/>
      <c r="F267" s="234"/>
      <c r="G267" s="234"/>
      <c r="H267" s="235"/>
      <c r="I267" s="235"/>
      <c r="J267" s="235"/>
      <c r="K267" s="235"/>
      <c r="L267" s="235"/>
      <c r="M267" s="235"/>
      <c r="N267" s="235"/>
    </row>
    <row r="268" spans="1:14" ht="13.8">
      <c r="A268" s="235"/>
      <c r="B268" s="235"/>
      <c r="C268" s="235"/>
      <c r="D268" s="234"/>
      <c r="E268" s="234"/>
      <c r="F268" s="234"/>
      <c r="G268" s="234"/>
      <c r="H268" s="235"/>
      <c r="I268" s="235"/>
      <c r="J268" s="235"/>
      <c r="K268" s="235"/>
      <c r="L268" s="235"/>
      <c r="M268" s="235"/>
      <c r="N268" s="235"/>
    </row>
    <row r="269" spans="1:14" ht="13.8">
      <c r="A269" s="235"/>
      <c r="B269" s="235"/>
      <c r="C269" s="235"/>
      <c r="D269" s="234"/>
      <c r="E269" s="234"/>
      <c r="F269" s="234"/>
      <c r="G269" s="234"/>
      <c r="H269" s="235"/>
      <c r="I269" s="235"/>
      <c r="J269" s="235"/>
      <c r="K269" s="235"/>
      <c r="L269" s="235"/>
      <c r="M269" s="235"/>
      <c r="N269" s="235"/>
    </row>
    <row r="270" spans="1:14" ht="13.8">
      <c r="A270" s="235"/>
      <c r="B270" s="235"/>
      <c r="C270" s="235"/>
      <c r="D270" s="234"/>
      <c r="E270" s="234"/>
      <c r="F270" s="234"/>
      <c r="G270" s="234"/>
      <c r="H270" s="235"/>
      <c r="I270" s="235"/>
      <c r="J270" s="235"/>
      <c r="K270" s="235"/>
      <c r="L270" s="235"/>
      <c r="M270" s="235"/>
      <c r="N270" s="235"/>
    </row>
    <row r="271" spans="1:14" ht="13.8">
      <c r="A271" s="235"/>
      <c r="B271" s="235"/>
      <c r="C271" s="235"/>
      <c r="D271" s="234"/>
      <c r="E271" s="234"/>
      <c r="F271" s="234"/>
      <c r="G271" s="234"/>
      <c r="H271" s="235"/>
      <c r="I271" s="235"/>
      <c r="J271" s="235"/>
      <c r="K271" s="235"/>
      <c r="L271" s="235"/>
      <c r="M271" s="235"/>
      <c r="N271" s="235"/>
    </row>
    <row r="272" spans="1:14" ht="13.8">
      <c r="A272" s="235"/>
      <c r="B272" s="235"/>
      <c r="C272" s="235"/>
      <c r="D272" s="234"/>
      <c r="E272" s="234"/>
      <c r="F272" s="234"/>
      <c r="G272" s="234"/>
      <c r="H272" s="235"/>
      <c r="I272" s="235"/>
      <c r="J272" s="235"/>
      <c r="K272" s="235"/>
      <c r="L272" s="235"/>
      <c r="M272" s="235"/>
      <c r="N272" s="235"/>
    </row>
    <row r="273" spans="1:14" ht="13.8">
      <c r="A273" s="235"/>
      <c r="B273" s="235"/>
      <c r="C273" s="235"/>
      <c r="D273" s="234"/>
      <c r="E273" s="234"/>
      <c r="F273" s="234"/>
      <c r="G273" s="234"/>
      <c r="H273" s="235"/>
      <c r="I273" s="235"/>
      <c r="J273" s="235"/>
      <c r="K273" s="235"/>
      <c r="L273" s="235"/>
      <c r="M273" s="235"/>
      <c r="N273" s="235"/>
    </row>
    <row r="274" spans="1:14" ht="13.8">
      <c r="A274" s="235"/>
      <c r="B274" s="235"/>
      <c r="C274" s="235"/>
      <c r="D274" s="234"/>
      <c r="E274" s="234"/>
      <c r="F274" s="234"/>
      <c r="G274" s="234"/>
      <c r="H274" s="235"/>
      <c r="I274" s="235"/>
      <c r="J274" s="235"/>
      <c r="K274" s="235"/>
      <c r="L274" s="235"/>
      <c r="M274" s="235"/>
      <c r="N274" s="235"/>
    </row>
    <row r="275" spans="1:14" ht="13.8">
      <c r="A275" s="235"/>
      <c r="B275" s="235"/>
      <c r="C275" s="235"/>
      <c r="D275" s="234"/>
      <c r="E275" s="234"/>
      <c r="F275" s="234"/>
      <c r="G275" s="234"/>
      <c r="H275" s="235"/>
      <c r="I275" s="235"/>
      <c r="J275" s="235"/>
      <c r="K275" s="235"/>
      <c r="L275" s="235"/>
      <c r="M275" s="235"/>
      <c r="N275" s="235"/>
    </row>
    <row r="276" spans="1:14" ht="13.8">
      <c r="A276" s="235"/>
      <c r="B276" s="235"/>
      <c r="C276" s="235"/>
      <c r="D276" s="234"/>
      <c r="E276" s="234"/>
      <c r="F276" s="234"/>
      <c r="G276" s="234"/>
      <c r="H276" s="235"/>
      <c r="I276" s="235"/>
      <c r="J276" s="235"/>
      <c r="K276" s="235"/>
      <c r="L276" s="235"/>
      <c r="M276" s="235"/>
      <c r="N276" s="235"/>
    </row>
    <row r="277" spans="1:14" ht="13.8">
      <c r="A277" s="235"/>
      <c r="B277" s="235"/>
      <c r="C277" s="235"/>
      <c r="D277" s="234"/>
      <c r="E277" s="234"/>
      <c r="F277" s="234"/>
      <c r="G277" s="234"/>
      <c r="H277" s="235"/>
      <c r="I277" s="235"/>
      <c r="J277" s="235"/>
      <c r="K277" s="235"/>
      <c r="L277" s="235"/>
      <c r="M277" s="235"/>
      <c r="N277" s="235"/>
    </row>
    <row r="278" spans="1:14" ht="13.8">
      <c r="A278" s="235"/>
      <c r="B278" s="235"/>
      <c r="C278" s="235"/>
      <c r="D278" s="234"/>
      <c r="E278" s="234"/>
      <c r="F278" s="234"/>
      <c r="G278" s="234"/>
      <c r="H278" s="235"/>
      <c r="I278" s="235"/>
      <c r="J278" s="235"/>
      <c r="K278" s="235"/>
      <c r="L278" s="235"/>
      <c r="M278" s="235"/>
      <c r="N278" s="235"/>
    </row>
    <row r="279" spans="1:14" ht="13.8">
      <c r="A279" s="235"/>
      <c r="B279" s="235"/>
      <c r="C279" s="235"/>
      <c r="D279" s="234"/>
      <c r="E279" s="234"/>
      <c r="F279" s="234"/>
      <c r="G279" s="234"/>
      <c r="H279" s="235"/>
      <c r="I279" s="235"/>
      <c r="J279" s="235"/>
      <c r="K279" s="235"/>
      <c r="L279" s="235"/>
      <c r="M279" s="235"/>
      <c r="N279" s="235"/>
    </row>
    <row r="280" spans="1:14" ht="13.8">
      <c r="A280" s="235"/>
      <c r="B280" s="235"/>
      <c r="C280" s="235"/>
      <c r="D280" s="234"/>
      <c r="E280" s="234"/>
      <c r="F280" s="234"/>
      <c r="G280" s="234"/>
      <c r="H280" s="235"/>
      <c r="I280" s="235"/>
      <c r="J280" s="235"/>
      <c r="K280" s="235"/>
      <c r="L280" s="235"/>
      <c r="M280" s="235"/>
      <c r="N280" s="235"/>
    </row>
    <row r="281" spans="1:14" ht="13.8">
      <c r="A281" s="235"/>
      <c r="B281" s="235"/>
      <c r="C281" s="235"/>
      <c r="D281" s="234"/>
      <c r="E281" s="234"/>
      <c r="F281" s="234"/>
      <c r="G281" s="234"/>
      <c r="H281" s="235"/>
      <c r="I281" s="235"/>
      <c r="J281" s="235"/>
      <c r="K281" s="235"/>
      <c r="L281" s="235"/>
      <c r="M281" s="235"/>
      <c r="N281" s="235"/>
    </row>
    <row r="282" spans="1:14" ht="13.8">
      <c r="A282" s="235"/>
      <c r="B282" s="235"/>
      <c r="C282" s="235"/>
      <c r="D282" s="234"/>
      <c r="E282" s="234"/>
      <c r="F282" s="234"/>
      <c r="G282" s="234"/>
      <c r="H282" s="235"/>
      <c r="I282" s="235"/>
      <c r="J282" s="235"/>
      <c r="K282" s="235"/>
      <c r="L282" s="235"/>
      <c r="M282" s="235"/>
      <c r="N282" s="235"/>
    </row>
    <row r="283" spans="1:14" ht="13.8">
      <c r="A283" s="235"/>
      <c r="B283" s="235"/>
      <c r="C283" s="235"/>
      <c r="D283" s="234"/>
      <c r="E283" s="234"/>
      <c r="F283" s="234"/>
      <c r="G283" s="234"/>
      <c r="H283" s="235"/>
      <c r="I283" s="235"/>
      <c r="J283" s="235"/>
      <c r="K283" s="235"/>
      <c r="L283" s="235"/>
      <c r="M283" s="235"/>
      <c r="N283" s="235"/>
    </row>
    <row r="284" spans="1:14" ht="13.8">
      <c r="A284" s="235"/>
      <c r="B284" s="235"/>
      <c r="C284" s="235"/>
      <c r="D284" s="234"/>
      <c r="E284" s="234"/>
      <c r="F284" s="234"/>
      <c r="G284" s="234"/>
      <c r="H284" s="235"/>
      <c r="I284" s="235"/>
      <c r="J284" s="235"/>
      <c r="K284" s="235"/>
      <c r="L284" s="235"/>
      <c r="M284" s="235"/>
      <c r="N284" s="235"/>
    </row>
    <row r="285" spans="1:14" ht="13.8">
      <c r="A285" s="235"/>
      <c r="B285" s="235"/>
      <c r="C285" s="235"/>
      <c r="D285" s="234"/>
      <c r="E285" s="234"/>
      <c r="F285" s="234"/>
      <c r="G285" s="234"/>
      <c r="H285" s="235"/>
      <c r="I285" s="235"/>
      <c r="J285" s="235"/>
      <c r="K285" s="235"/>
      <c r="L285" s="235"/>
      <c r="M285" s="235"/>
      <c r="N285" s="235"/>
    </row>
    <row r="286" spans="1:14" ht="13.8">
      <c r="A286" s="235"/>
      <c r="B286" s="235"/>
      <c r="C286" s="235"/>
      <c r="D286" s="234"/>
      <c r="E286" s="234"/>
      <c r="F286" s="234"/>
      <c r="G286" s="234"/>
      <c r="H286" s="235"/>
      <c r="I286" s="235"/>
      <c r="J286" s="235"/>
      <c r="K286" s="235"/>
      <c r="L286" s="235"/>
      <c r="M286" s="235"/>
      <c r="N286" s="235"/>
    </row>
    <row r="287" spans="1:14" ht="13.8">
      <c r="A287" s="235"/>
      <c r="B287" s="235"/>
      <c r="C287" s="235"/>
      <c r="D287" s="234"/>
      <c r="E287" s="234"/>
      <c r="F287" s="234"/>
      <c r="G287" s="234"/>
      <c r="H287" s="235"/>
      <c r="I287" s="235"/>
      <c r="J287" s="235"/>
      <c r="K287" s="235"/>
      <c r="L287" s="235"/>
      <c r="M287" s="235"/>
      <c r="N287" s="235"/>
    </row>
    <row r="288" spans="1:14" ht="13.8">
      <c r="A288" s="235"/>
      <c r="B288" s="235"/>
      <c r="C288" s="235"/>
      <c r="D288" s="234"/>
      <c r="E288" s="234"/>
      <c r="F288" s="234"/>
      <c r="G288" s="234"/>
      <c r="H288" s="235"/>
      <c r="I288" s="235"/>
      <c r="J288" s="235"/>
      <c r="K288" s="235"/>
      <c r="L288" s="235"/>
      <c r="M288" s="235"/>
      <c r="N288" s="235"/>
    </row>
    <row r="289" spans="1:14" ht="13.8">
      <c r="A289" s="235"/>
      <c r="B289" s="235"/>
      <c r="C289" s="235"/>
      <c r="D289" s="234"/>
      <c r="E289" s="234"/>
      <c r="F289" s="234"/>
      <c r="G289" s="234"/>
      <c r="H289" s="235"/>
      <c r="I289" s="235"/>
      <c r="J289" s="235"/>
      <c r="K289" s="235"/>
      <c r="L289" s="235"/>
      <c r="M289" s="235"/>
      <c r="N289" s="235"/>
    </row>
    <row r="290" spans="1:14" ht="13.8">
      <c r="A290" s="235"/>
      <c r="B290" s="235"/>
      <c r="C290" s="235"/>
      <c r="D290" s="234"/>
      <c r="E290" s="234"/>
      <c r="F290" s="234"/>
      <c r="G290" s="234"/>
      <c r="H290" s="235"/>
      <c r="I290" s="235"/>
      <c r="J290" s="235"/>
      <c r="K290" s="235"/>
      <c r="L290" s="235"/>
      <c r="M290" s="235"/>
      <c r="N290" s="235"/>
    </row>
    <row r="291" spans="1:14" ht="13.8">
      <c r="A291" s="235"/>
      <c r="B291" s="235"/>
      <c r="C291" s="235"/>
      <c r="D291" s="234"/>
      <c r="E291" s="234"/>
      <c r="F291" s="234"/>
      <c r="G291" s="234"/>
      <c r="H291" s="235"/>
      <c r="I291" s="235"/>
      <c r="J291" s="235"/>
      <c r="K291" s="235"/>
      <c r="L291" s="235"/>
      <c r="M291" s="235"/>
      <c r="N291" s="235"/>
    </row>
    <row r="292" spans="1:14" ht="13.8">
      <c r="A292" s="235"/>
      <c r="B292" s="235"/>
      <c r="C292" s="235"/>
      <c r="D292" s="234"/>
      <c r="E292" s="234"/>
      <c r="F292" s="234"/>
      <c r="G292" s="234"/>
      <c r="H292" s="235"/>
      <c r="I292" s="235"/>
      <c r="J292" s="235"/>
      <c r="K292" s="235"/>
      <c r="L292" s="235"/>
      <c r="M292" s="235"/>
      <c r="N292" s="235"/>
    </row>
    <row r="293" spans="1:14" ht="13.8">
      <c r="A293" s="235"/>
      <c r="B293" s="235"/>
      <c r="C293" s="235"/>
      <c r="D293" s="234"/>
      <c r="E293" s="234"/>
      <c r="F293" s="234"/>
      <c r="G293" s="234"/>
      <c r="H293" s="235"/>
      <c r="I293" s="235"/>
      <c r="J293" s="235"/>
      <c r="K293" s="235"/>
      <c r="L293" s="235"/>
      <c r="M293" s="235"/>
      <c r="N293" s="235"/>
    </row>
    <row r="294" spans="1:14" ht="13.8">
      <c r="A294" s="235"/>
      <c r="B294" s="235"/>
      <c r="C294" s="235"/>
      <c r="D294" s="234"/>
      <c r="E294" s="234"/>
      <c r="F294" s="234"/>
      <c r="G294" s="234"/>
      <c r="H294" s="235"/>
      <c r="I294" s="235"/>
      <c r="J294" s="235"/>
      <c r="K294" s="235"/>
      <c r="L294" s="235"/>
      <c r="M294" s="235"/>
      <c r="N294" s="235"/>
    </row>
    <row r="295" spans="1:14" ht="13.8">
      <c r="A295" s="235"/>
      <c r="B295" s="235"/>
      <c r="C295" s="235"/>
      <c r="D295" s="234"/>
      <c r="E295" s="234"/>
      <c r="F295" s="234"/>
      <c r="G295" s="234"/>
      <c r="H295" s="235"/>
      <c r="I295" s="235"/>
      <c r="J295" s="235"/>
      <c r="K295" s="235"/>
      <c r="L295" s="235"/>
      <c r="M295" s="235"/>
      <c r="N295" s="235"/>
    </row>
    <row r="296" spans="1:14" ht="13.8">
      <c r="A296" s="235"/>
      <c r="B296" s="235"/>
      <c r="C296" s="235"/>
      <c r="D296" s="234"/>
      <c r="E296" s="234"/>
      <c r="F296" s="234"/>
      <c r="G296" s="234"/>
      <c r="H296" s="235"/>
      <c r="I296" s="235"/>
      <c r="J296" s="235"/>
      <c r="K296" s="235"/>
      <c r="L296" s="235"/>
      <c r="M296" s="235"/>
      <c r="N296" s="235"/>
    </row>
    <row r="297" spans="1:14" ht="13.8">
      <c r="A297" s="235"/>
      <c r="B297" s="235"/>
      <c r="C297" s="235"/>
      <c r="D297" s="234"/>
      <c r="E297" s="234"/>
      <c r="F297" s="234"/>
      <c r="G297" s="234"/>
      <c r="H297" s="235"/>
      <c r="I297" s="235"/>
      <c r="J297" s="235"/>
      <c r="K297" s="235"/>
      <c r="L297" s="235"/>
      <c r="M297" s="235"/>
      <c r="N297" s="235"/>
    </row>
    <row r="298" spans="1:14" ht="13.8">
      <c r="A298" s="235"/>
      <c r="B298" s="235"/>
      <c r="C298" s="235"/>
      <c r="D298" s="234"/>
      <c r="E298" s="234"/>
      <c r="F298" s="234"/>
      <c r="G298" s="234"/>
      <c r="H298" s="235"/>
      <c r="I298" s="235"/>
      <c r="J298" s="235"/>
      <c r="K298" s="235"/>
      <c r="L298" s="235"/>
      <c r="M298" s="235"/>
      <c r="N298" s="235"/>
    </row>
    <row r="299" spans="1:14" ht="13.8">
      <c r="A299" s="235"/>
      <c r="B299" s="235"/>
      <c r="C299" s="235"/>
      <c r="D299" s="234"/>
      <c r="E299" s="234"/>
      <c r="F299" s="234"/>
      <c r="G299" s="234"/>
      <c r="H299" s="235"/>
      <c r="I299" s="235"/>
      <c r="J299" s="235"/>
      <c r="K299" s="235"/>
      <c r="L299" s="235"/>
      <c r="M299" s="235"/>
      <c r="N299" s="235"/>
    </row>
    <row r="300" spans="1:14" ht="13.8">
      <c r="A300" s="235"/>
      <c r="B300" s="235"/>
      <c r="C300" s="235"/>
      <c r="D300" s="234"/>
      <c r="E300" s="234"/>
      <c r="F300" s="234"/>
      <c r="G300" s="234"/>
      <c r="H300" s="235"/>
      <c r="I300" s="235"/>
      <c r="J300" s="235"/>
      <c r="K300" s="235"/>
      <c r="L300" s="235"/>
      <c r="M300" s="235"/>
      <c r="N300" s="235"/>
    </row>
    <row r="301" spans="1:14" ht="13.8">
      <c r="A301" s="235"/>
      <c r="B301" s="235"/>
      <c r="C301" s="235"/>
      <c r="D301" s="234"/>
      <c r="E301" s="234"/>
      <c r="F301" s="234"/>
      <c r="G301" s="234"/>
      <c r="H301" s="235"/>
      <c r="I301" s="235"/>
      <c r="J301" s="235"/>
      <c r="K301" s="235"/>
      <c r="L301" s="235"/>
      <c r="M301" s="235"/>
      <c r="N301" s="235"/>
    </row>
    <row r="302" spans="1:14" ht="13.8">
      <c r="A302" s="235"/>
      <c r="B302" s="235"/>
      <c r="C302" s="235"/>
      <c r="D302" s="234"/>
      <c r="E302" s="234"/>
      <c r="F302" s="234"/>
      <c r="G302" s="234"/>
      <c r="H302" s="235"/>
      <c r="I302" s="235"/>
      <c r="J302" s="235"/>
      <c r="K302" s="235"/>
      <c r="L302" s="235"/>
      <c r="M302" s="235"/>
      <c r="N302" s="235"/>
    </row>
    <row r="303" spans="1:14" ht="13.8">
      <c r="A303" s="235"/>
      <c r="B303" s="235"/>
      <c r="C303" s="235"/>
      <c r="D303" s="234"/>
      <c r="E303" s="234"/>
      <c r="F303" s="234"/>
      <c r="G303" s="234"/>
      <c r="H303" s="235"/>
      <c r="I303" s="235"/>
      <c r="J303" s="235"/>
      <c r="K303" s="235"/>
      <c r="L303" s="235"/>
      <c r="M303" s="235"/>
      <c r="N303" s="235"/>
    </row>
    <row r="304" spans="1:14" ht="13.8">
      <c r="A304" s="235"/>
      <c r="B304" s="235"/>
      <c r="C304" s="235"/>
      <c r="D304" s="234"/>
      <c r="E304" s="234"/>
      <c r="F304" s="234"/>
      <c r="G304" s="234"/>
      <c r="H304" s="235"/>
      <c r="I304" s="235"/>
      <c r="J304" s="235"/>
      <c r="K304" s="235"/>
      <c r="L304" s="235"/>
      <c r="M304" s="235"/>
      <c r="N304" s="235"/>
    </row>
    <row r="305" spans="1:14" ht="13.8">
      <c r="A305" s="235"/>
      <c r="B305" s="235"/>
      <c r="C305" s="235"/>
      <c r="D305" s="234"/>
      <c r="E305" s="234"/>
      <c r="F305" s="234"/>
      <c r="G305" s="234"/>
      <c r="H305" s="235"/>
      <c r="I305" s="235"/>
      <c r="J305" s="235"/>
      <c r="K305" s="235"/>
      <c r="L305" s="235"/>
      <c r="M305" s="235"/>
      <c r="N305" s="235"/>
    </row>
    <row r="306" spans="1:14" ht="13.8">
      <c r="A306" s="235"/>
      <c r="B306" s="235"/>
      <c r="C306" s="235"/>
      <c r="D306" s="234"/>
      <c r="E306" s="234"/>
      <c r="F306" s="234"/>
      <c r="G306" s="234"/>
      <c r="H306" s="235"/>
      <c r="I306" s="235"/>
      <c r="J306" s="235"/>
      <c r="K306" s="235"/>
      <c r="L306" s="235"/>
      <c r="M306" s="235"/>
      <c r="N306" s="235"/>
    </row>
    <row r="307" spans="1:14" ht="13.8">
      <c r="A307" s="235"/>
      <c r="B307" s="235"/>
      <c r="C307" s="235"/>
      <c r="D307" s="234"/>
      <c r="E307" s="234"/>
      <c r="F307" s="234"/>
      <c r="G307" s="234"/>
      <c r="H307" s="235"/>
      <c r="I307" s="235"/>
      <c r="J307" s="235"/>
      <c r="K307" s="235"/>
      <c r="L307" s="235"/>
      <c r="M307" s="235"/>
      <c r="N307" s="235"/>
    </row>
    <row r="308" spans="1:14" ht="13.8">
      <c r="A308" s="235"/>
      <c r="B308" s="235"/>
      <c r="C308" s="235"/>
      <c r="D308" s="234"/>
      <c r="E308" s="234"/>
      <c r="F308" s="234"/>
      <c r="G308" s="234"/>
      <c r="H308" s="235"/>
      <c r="I308" s="235"/>
      <c r="J308" s="235"/>
      <c r="K308" s="235"/>
      <c r="L308" s="235"/>
      <c r="M308" s="235"/>
      <c r="N308" s="235"/>
    </row>
    <row r="309" spans="1:14" ht="13.8">
      <c r="A309" s="235"/>
      <c r="B309" s="235"/>
      <c r="C309" s="235"/>
      <c r="D309" s="234"/>
      <c r="E309" s="234"/>
      <c r="F309" s="234"/>
      <c r="G309" s="234"/>
      <c r="H309" s="235"/>
      <c r="I309" s="235"/>
      <c r="J309" s="235"/>
      <c r="K309" s="235"/>
      <c r="L309" s="235"/>
      <c r="M309" s="235"/>
      <c r="N309" s="235"/>
    </row>
    <row r="310" spans="1:14" ht="13.8">
      <c r="A310" s="235"/>
      <c r="B310" s="235"/>
      <c r="C310" s="235"/>
      <c r="D310" s="234"/>
      <c r="E310" s="234"/>
      <c r="F310" s="234"/>
      <c r="G310" s="234"/>
      <c r="H310" s="235"/>
      <c r="I310" s="235"/>
      <c r="J310" s="235"/>
      <c r="K310" s="235"/>
      <c r="L310" s="235"/>
      <c r="M310" s="235"/>
      <c r="N310" s="235"/>
    </row>
    <row r="311" spans="1:14" ht="13.8">
      <c r="A311" s="235"/>
      <c r="B311" s="235"/>
      <c r="C311" s="235"/>
      <c r="D311" s="234"/>
      <c r="E311" s="234"/>
      <c r="F311" s="234"/>
      <c r="G311" s="234"/>
      <c r="H311" s="235"/>
      <c r="I311" s="235"/>
      <c r="J311" s="235"/>
      <c r="K311" s="235"/>
      <c r="L311" s="235"/>
      <c r="M311" s="235"/>
      <c r="N311" s="235"/>
    </row>
    <row r="312" spans="1:14" ht="13.8">
      <c r="A312" s="235"/>
      <c r="B312" s="235"/>
      <c r="C312" s="235"/>
      <c r="D312" s="234"/>
      <c r="E312" s="234"/>
      <c r="F312" s="234"/>
      <c r="G312" s="234"/>
      <c r="H312" s="235"/>
      <c r="I312" s="235"/>
      <c r="J312" s="235"/>
      <c r="K312" s="235"/>
      <c r="L312" s="235"/>
      <c r="M312" s="235"/>
      <c r="N312" s="235"/>
    </row>
    <row r="313" spans="1:14" ht="13.8">
      <c r="A313" s="235"/>
      <c r="B313" s="235"/>
      <c r="C313" s="235"/>
      <c r="D313" s="234"/>
      <c r="E313" s="234"/>
      <c r="F313" s="234"/>
      <c r="G313" s="234"/>
      <c r="H313" s="235"/>
      <c r="I313" s="235"/>
      <c r="J313" s="235"/>
      <c r="K313" s="235"/>
      <c r="L313" s="235"/>
      <c r="M313" s="235"/>
      <c r="N313" s="235"/>
    </row>
    <row r="314" spans="1:14" ht="13.8">
      <c r="A314" s="235"/>
      <c r="B314" s="235"/>
      <c r="C314" s="235"/>
      <c r="D314" s="234"/>
      <c r="E314" s="234"/>
      <c r="F314" s="234"/>
      <c r="G314" s="234"/>
      <c r="H314" s="235"/>
      <c r="I314" s="235"/>
      <c r="J314" s="235"/>
      <c r="K314" s="235"/>
      <c r="L314" s="235"/>
      <c r="M314" s="235"/>
      <c r="N314" s="235"/>
    </row>
    <row r="315" spans="1:14" ht="13.8">
      <c r="A315" s="235"/>
      <c r="B315" s="235"/>
      <c r="C315" s="235"/>
      <c r="D315" s="234"/>
      <c r="E315" s="234"/>
      <c r="F315" s="234"/>
      <c r="G315" s="234"/>
      <c r="H315" s="235"/>
      <c r="I315" s="235"/>
      <c r="J315" s="235"/>
      <c r="K315" s="235"/>
      <c r="L315" s="235"/>
      <c r="M315" s="235"/>
      <c r="N315" s="235"/>
    </row>
    <row r="316" spans="1:14" ht="13.8">
      <c r="A316" s="235"/>
      <c r="B316" s="235"/>
      <c r="C316" s="235"/>
      <c r="D316" s="234"/>
      <c r="E316" s="234"/>
      <c r="F316" s="234"/>
      <c r="G316" s="234"/>
      <c r="H316" s="235"/>
      <c r="I316" s="235"/>
      <c r="J316" s="235"/>
      <c r="K316" s="235"/>
      <c r="L316" s="235"/>
      <c r="M316" s="235"/>
      <c r="N316" s="235"/>
    </row>
    <row r="317" spans="1:14" ht="13.8">
      <c r="A317" s="235"/>
      <c r="B317" s="235"/>
      <c r="C317" s="235"/>
      <c r="D317" s="234"/>
      <c r="E317" s="234"/>
      <c r="F317" s="234"/>
      <c r="G317" s="234"/>
      <c r="H317" s="235"/>
      <c r="I317" s="235"/>
      <c r="J317" s="235"/>
      <c r="K317" s="235"/>
      <c r="L317" s="235"/>
      <c r="M317" s="235"/>
      <c r="N317" s="235"/>
    </row>
    <row r="318" spans="1:14" ht="13.8">
      <c r="A318" s="235"/>
      <c r="B318" s="235"/>
      <c r="C318" s="235"/>
      <c r="D318" s="234"/>
      <c r="E318" s="234"/>
      <c r="F318" s="234"/>
      <c r="G318" s="234"/>
      <c r="H318" s="235"/>
      <c r="I318" s="235"/>
      <c r="J318" s="235"/>
      <c r="K318" s="235"/>
      <c r="L318" s="235"/>
      <c r="M318" s="235"/>
      <c r="N318" s="235"/>
    </row>
    <row r="319" spans="1:14" ht="13.8">
      <c r="A319" s="235"/>
      <c r="B319" s="235"/>
      <c r="C319" s="235"/>
      <c r="D319" s="234"/>
      <c r="E319" s="234"/>
      <c r="F319" s="234"/>
      <c r="G319" s="234"/>
      <c r="H319" s="235"/>
      <c r="I319" s="235"/>
      <c r="J319" s="235"/>
      <c r="K319" s="235"/>
      <c r="L319" s="235"/>
      <c r="M319" s="235"/>
      <c r="N319" s="235"/>
    </row>
    <row r="320" spans="1:14" ht="13.8">
      <c r="A320" s="235"/>
      <c r="B320" s="235"/>
      <c r="C320" s="235"/>
      <c r="D320" s="234"/>
      <c r="E320" s="234"/>
      <c r="F320" s="234"/>
      <c r="G320" s="234"/>
      <c r="H320" s="235"/>
      <c r="I320" s="235"/>
      <c r="J320" s="235"/>
      <c r="K320" s="235"/>
      <c r="L320" s="235"/>
      <c r="M320" s="235"/>
      <c r="N320" s="235"/>
    </row>
    <row r="321" spans="1:14" ht="13.8">
      <c r="A321" s="235"/>
      <c r="B321" s="235"/>
      <c r="C321" s="235"/>
      <c r="D321" s="234"/>
      <c r="E321" s="234"/>
      <c r="F321" s="234"/>
      <c r="G321" s="234"/>
      <c r="H321" s="235"/>
      <c r="I321" s="235"/>
      <c r="J321" s="235"/>
      <c r="K321" s="235"/>
      <c r="L321" s="235"/>
      <c r="M321" s="235"/>
      <c r="N321" s="235"/>
    </row>
    <row r="322" spans="1:14" ht="13.8">
      <c r="A322" s="235"/>
      <c r="B322" s="235"/>
      <c r="C322" s="235"/>
      <c r="D322" s="234"/>
      <c r="E322" s="234"/>
      <c r="F322" s="234"/>
      <c r="G322" s="234"/>
      <c r="H322" s="235"/>
      <c r="I322" s="235"/>
      <c r="J322" s="235"/>
      <c r="K322" s="235"/>
      <c r="L322" s="235"/>
      <c r="M322" s="235"/>
      <c r="N322" s="235"/>
    </row>
    <row r="323" spans="1:14" ht="13.8">
      <c r="A323" s="235"/>
      <c r="B323" s="235"/>
      <c r="C323" s="235"/>
      <c r="D323" s="234"/>
      <c r="E323" s="234"/>
      <c r="F323" s="234"/>
      <c r="G323" s="234"/>
      <c r="H323" s="235"/>
      <c r="I323" s="235"/>
      <c r="J323" s="235"/>
      <c r="K323" s="235"/>
      <c r="L323" s="235"/>
      <c r="M323" s="235"/>
      <c r="N323" s="235"/>
    </row>
    <row r="324" spans="1:14" ht="13.8">
      <c r="A324" s="235"/>
      <c r="B324" s="235"/>
      <c r="C324" s="235"/>
      <c r="D324" s="234"/>
      <c r="E324" s="234"/>
      <c r="F324" s="234"/>
      <c r="G324" s="234"/>
      <c r="H324" s="235"/>
      <c r="I324" s="235"/>
      <c r="J324" s="235"/>
      <c r="K324" s="235"/>
      <c r="L324" s="235"/>
      <c r="M324" s="235"/>
      <c r="N324" s="235"/>
    </row>
    <row r="325" spans="1:14" ht="13.8">
      <c r="A325" s="235"/>
      <c r="B325" s="235"/>
      <c r="C325" s="235"/>
      <c r="D325" s="234"/>
      <c r="E325" s="234"/>
      <c r="F325" s="234"/>
      <c r="G325" s="234"/>
      <c r="H325" s="235"/>
      <c r="I325" s="235"/>
      <c r="J325" s="235"/>
      <c r="K325" s="235"/>
      <c r="L325" s="235"/>
      <c r="M325" s="235"/>
      <c r="N325" s="235"/>
    </row>
    <row r="326" spans="1:14" ht="13.8">
      <c r="A326" s="235"/>
      <c r="B326" s="235"/>
      <c r="C326" s="235"/>
      <c r="D326" s="234"/>
      <c r="E326" s="234"/>
      <c r="F326" s="234"/>
      <c r="G326" s="234"/>
      <c r="H326" s="235"/>
      <c r="I326" s="235"/>
      <c r="J326" s="235"/>
      <c r="K326" s="235"/>
      <c r="L326" s="235"/>
      <c r="M326" s="235"/>
      <c r="N326" s="235"/>
    </row>
    <row r="327" spans="1:14" ht="13.8">
      <c r="A327" s="235"/>
      <c r="B327" s="235"/>
      <c r="C327" s="235"/>
      <c r="D327" s="234"/>
      <c r="E327" s="234"/>
      <c r="F327" s="234"/>
      <c r="G327" s="234"/>
      <c r="H327" s="235"/>
      <c r="I327" s="235"/>
      <c r="J327" s="235"/>
      <c r="K327" s="235"/>
      <c r="L327" s="235"/>
      <c r="M327" s="235"/>
      <c r="N327" s="235"/>
    </row>
    <row r="328" spans="1:14" ht="13.8">
      <c r="A328" s="235"/>
      <c r="B328" s="235"/>
      <c r="C328" s="235"/>
      <c r="D328" s="234"/>
      <c r="E328" s="234"/>
      <c r="F328" s="234"/>
      <c r="G328" s="234"/>
      <c r="H328" s="235"/>
      <c r="I328" s="235"/>
      <c r="J328" s="235"/>
      <c r="K328" s="235"/>
      <c r="L328" s="235"/>
      <c r="M328" s="235"/>
      <c r="N328" s="235"/>
    </row>
    <row r="329" spans="1:14" ht="13.8">
      <c r="A329" s="235"/>
      <c r="B329" s="235"/>
      <c r="C329" s="235"/>
      <c r="D329" s="234"/>
      <c r="E329" s="234"/>
      <c r="F329" s="234"/>
      <c r="G329" s="234"/>
      <c r="H329" s="235"/>
      <c r="I329" s="235"/>
      <c r="J329" s="235"/>
      <c r="K329" s="235"/>
      <c r="L329" s="235"/>
      <c r="M329" s="235"/>
      <c r="N329" s="235"/>
    </row>
    <row r="330" spans="1:14" ht="13.8">
      <c r="A330" s="235"/>
      <c r="B330" s="235"/>
      <c r="C330" s="235"/>
      <c r="D330" s="234"/>
      <c r="E330" s="234"/>
      <c r="F330" s="234"/>
      <c r="G330" s="234"/>
      <c r="H330" s="235"/>
      <c r="I330" s="235"/>
      <c r="J330" s="235"/>
      <c r="K330" s="235"/>
      <c r="L330" s="235"/>
      <c r="M330" s="235"/>
      <c r="N330" s="235"/>
    </row>
    <row r="331" spans="1:14" ht="13.8">
      <c r="A331" s="235"/>
      <c r="B331" s="235"/>
      <c r="C331" s="235"/>
      <c r="D331" s="234"/>
      <c r="E331" s="234"/>
      <c r="F331" s="234"/>
      <c r="G331" s="234"/>
      <c r="H331" s="235"/>
      <c r="I331" s="235"/>
      <c r="J331" s="235"/>
      <c r="K331" s="235"/>
      <c r="L331" s="235"/>
      <c r="M331" s="235"/>
      <c r="N331" s="235"/>
    </row>
    <row r="332" spans="1:14" ht="13.8">
      <c r="A332" s="235"/>
      <c r="B332" s="235"/>
      <c r="C332" s="235"/>
      <c r="D332" s="234"/>
      <c r="E332" s="234"/>
      <c r="F332" s="234"/>
      <c r="G332" s="234"/>
      <c r="H332" s="235"/>
      <c r="I332" s="235"/>
      <c r="J332" s="235"/>
      <c r="K332" s="235"/>
      <c r="L332" s="235"/>
      <c r="M332" s="235"/>
      <c r="N332" s="235"/>
    </row>
    <row r="333" spans="1:14" ht="13.8">
      <c r="A333" s="235"/>
      <c r="B333" s="235"/>
      <c r="C333" s="235"/>
      <c r="D333" s="234"/>
      <c r="E333" s="234"/>
      <c r="F333" s="234"/>
      <c r="G333" s="234"/>
      <c r="H333" s="235"/>
      <c r="I333" s="235"/>
      <c r="J333" s="235"/>
      <c r="K333" s="235"/>
      <c r="L333" s="235"/>
      <c r="M333" s="235"/>
      <c r="N333" s="235"/>
    </row>
    <row r="334" spans="1:14" ht="13.8">
      <c r="A334" s="235"/>
      <c r="B334" s="235"/>
      <c r="C334" s="235"/>
      <c r="D334" s="234"/>
      <c r="E334" s="234"/>
      <c r="F334" s="234"/>
      <c r="G334" s="234"/>
      <c r="H334" s="235"/>
      <c r="I334" s="235"/>
      <c r="J334" s="235"/>
      <c r="K334" s="235"/>
      <c r="L334" s="235"/>
      <c r="M334" s="235"/>
      <c r="N334" s="235"/>
    </row>
    <row r="335" spans="1:14" ht="13.8">
      <c r="A335" s="235"/>
      <c r="B335" s="235"/>
      <c r="C335" s="235"/>
      <c r="D335" s="234"/>
      <c r="E335" s="234"/>
      <c r="F335" s="234"/>
      <c r="G335" s="234"/>
      <c r="H335" s="235"/>
      <c r="I335" s="235"/>
      <c r="J335" s="235"/>
      <c r="K335" s="235"/>
      <c r="L335" s="235"/>
      <c r="M335" s="235"/>
      <c r="N335" s="235"/>
    </row>
    <row r="336" spans="1:14" ht="13.8">
      <c r="A336" s="235"/>
      <c r="B336" s="235"/>
      <c r="C336" s="235"/>
      <c r="D336" s="234"/>
      <c r="E336" s="234"/>
      <c r="F336" s="234"/>
      <c r="G336" s="234"/>
      <c r="H336" s="235"/>
      <c r="I336" s="235"/>
      <c r="J336" s="235"/>
      <c r="K336" s="235"/>
      <c r="L336" s="235"/>
      <c r="M336" s="235"/>
      <c r="N336" s="235"/>
    </row>
    <row r="337" spans="1:14" ht="13.8">
      <c r="A337" s="235"/>
      <c r="B337" s="235"/>
      <c r="C337" s="235"/>
      <c r="D337" s="234"/>
      <c r="E337" s="234"/>
      <c r="F337" s="234"/>
      <c r="G337" s="234"/>
      <c r="H337" s="235"/>
      <c r="I337" s="235"/>
      <c r="J337" s="235"/>
      <c r="K337" s="235"/>
      <c r="L337" s="235"/>
      <c r="M337" s="235"/>
      <c r="N337" s="235"/>
    </row>
    <row r="338" spans="1:14" ht="13.8">
      <c r="A338" s="235"/>
      <c r="B338" s="235"/>
      <c r="C338" s="235"/>
      <c r="D338" s="234"/>
      <c r="E338" s="234"/>
      <c r="F338" s="234"/>
      <c r="G338" s="234"/>
      <c r="H338" s="235"/>
      <c r="I338" s="235"/>
      <c r="J338" s="235"/>
      <c r="K338" s="235"/>
      <c r="L338" s="235"/>
      <c r="M338" s="235"/>
      <c r="N338" s="235"/>
    </row>
    <row r="339" spans="1:14" ht="13.8">
      <c r="A339" s="235"/>
      <c r="B339" s="235"/>
      <c r="C339" s="235"/>
      <c r="D339" s="234"/>
      <c r="E339" s="234"/>
      <c r="F339" s="234"/>
      <c r="G339" s="234"/>
      <c r="H339" s="235"/>
      <c r="I339" s="235"/>
      <c r="J339" s="235"/>
      <c r="K339" s="235"/>
      <c r="L339" s="235"/>
      <c r="M339" s="235"/>
      <c r="N339" s="235"/>
    </row>
    <row r="340" spans="1:14" ht="13.8">
      <c r="A340" s="235"/>
      <c r="B340" s="235"/>
      <c r="C340" s="235"/>
      <c r="D340" s="234"/>
      <c r="E340" s="234"/>
      <c r="F340" s="234"/>
      <c r="G340" s="234"/>
      <c r="H340" s="235"/>
      <c r="I340" s="235"/>
      <c r="J340" s="235"/>
      <c r="K340" s="235"/>
      <c r="L340" s="235"/>
      <c r="M340" s="235"/>
      <c r="N340" s="235"/>
    </row>
    <row r="341" spans="1:14" ht="13.8">
      <c r="A341" s="235"/>
      <c r="B341" s="235"/>
      <c r="C341" s="235"/>
      <c r="D341" s="234"/>
      <c r="E341" s="234"/>
      <c r="F341" s="234"/>
      <c r="G341" s="234"/>
      <c r="H341" s="235"/>
      <c r="I341" s="235"/>
      <c r="J341" s="235"/>
      <c r="K341" s="235"/>
      <c r="L341" s="235"/>
      <c r="M341" s="235"/>
      <c r="N341" s="235"/>
    </row>
    <row r="342" spans="1:14" ht="13.8">
      <c r="A342" s="235"/>
      <c r="B342" s="235"/>
      <c r="C342" s="235"/>
      <c r="D342" s="234"/>
      <c r="E342" s="234"/>
      <c r="F342" s="234"/>
      <c r="G342" s="234"/>
      <c r="H342" s="235"/>
      <c r="I342" s="235"/>
      <c r="J342" s="235"/>
      <c r="K342" s="235"/>
      <c r="L342" s="235"/>
      <c r="M342" s="235"/>
      <c r="N342" s="235"/>
    </row>
    <row r="343" spans="1:14" ht="13.8">
      <c r="A343" s="235"/>
      <c r="B343" s="235"/>
      <c r="C343" s="235"/>
      <c r="D343" s="234"/>
      <c r="E343" s="234"/>
      <c r="F343" s="234"/>
      <c r="G343" s="234"/>
      <c r="H343" s="235"/>
      <c r="I343" s="235"/>
      <c r="J343" s="235"/>
      <c r="K343" s="235"/>
      <c r="L343" s="235"/>
      <c r="M343" s="235"/>
      <c r="N343" s="235"/>
    </row>
    <row r="344" spans="1:14" ht="13.8">
      <c r="A344" s="235"/>
      <c r="B344" s="235"/>
      <c r="C344" s="235"/>
      <c r="D344" s="234"/>
      <c r="E344" s="234"/>
      <c r="F344" s="234"/>
      <c r="G344" s="234"/>
      <c r="H344" s="235"/>
      <c r="I344" s="235"/>
      <c r="J344" s="235"/>
      <c r="K344" s="235"/>
      <c r="L344" s="235"/>
      <c r="M344" s="235"/>
      <c r="N344" s="235"/>
    </row>
    <row r="345" spans="1:14" ht="13.8">
      <c r="A345" s="235"/>
      <c r="B345" s="235"/>
      <c r="C345" s="235"/>
      <c r="D345" s="234"/>
      <c r="E345" s="234"/>
      <c r="F345" s="234"/>
      <c r="G345" s="234"/>
      <c r="H345" s="235"/>
      <c r="I345" s="235"/>
      <c r="J345" s="235"/>
      <c r="K345" s="235"/>
      <c r="L345" s="235"/>
      <c r="M345" s="235"/>
      <c r="N345" s="235"/>
    </row>
    <row r="346" spans="1:14" ht="13.8">
      <c r="A346" s="235"/>
      <c r="B346" s="235"/>
      <c r="C346" s="235"/>
      <c r="D346" s="234"/>
      <c r="E346" s="234"/>
      <c r="F346" s="234"/>
      <c r="G346" s="234"/>
      <c r="H346" s="235"/>
      <c r="I346" s="235"/>
      <c r="J346" s="235"/>
      <c r="K346" s="235"/>
      <c r="L346" s="235"/>
      <c r="M346" s="235"/>
      <c r="N346" s="235"/>
    </row>
    <row r="347" spans="1:14" ht="13.8">
      <c r="A347" s="235"/>
      <c r="B347" s="235"/>
      <c r="C347" s="235"/>
      <c r="D347" s="234"/>
      <c r="E347" s="234"/>
      <c r="F347" s="234"/>
      <c r="G347" s="234"/>
      <c r="H347" s="235"/>
      <c r="I347" s="235"/>
      <c r="J347" s="235"/>
      <c r="K347" s="235"/>
      <c r="L347" s="235"/>
      <c r="M347" s="235"/>
      <c r="N347" s="235"/>
    </row>
    <row r="348" spans="1:14" ht="13.8">
      <c r="A348" s="235"/>
      <c r="B348" s="235"/>
      <c r="C348" s="235"/>
      <c r="D348" s="234"/>
      <c r="E348" s="234"/>
      <c r="F348" s="234"/>
      <c r="G348" s="234"/>
      <c r="H348" s="235"/>
      <c r="I348" s="235"/>
      <c r="J348" s="235"/>
      <c r="K348" s="235"/>
      <c r="L348" s="235"/>
      <c r="M348" s="235"/>
      <c r="N348" s="235"/>
    </row>
    <row r="349" spans="1:14" ht="13.8">
      <c r="A349" s="235"/>
      <c r="B349" s="235"/>
      <c r="C349" s="235"/>
      <c r="D349" s="234"/>
      <c r="E349" s="234"/>
      <c r="F349" s="234"/>
      <c r="G349" s="234"/>
      <c r="H349" s="235"/>
      <c r="I349" s="235"/>
      <c r="J349" s="235"/>
      <c r="K349" s="235"/>
      <c r="L349" s="235"/>
      <c r="M349" s="235"/>
      <c r="N349" s="235"/>
    </row>
    <row r="350" spans="1:14" ht="13.8">
      <c r="A350" s="235"/>
      <c r="B350" s="235"/>
      <c r="C350" s="235"/>
      <c r="D350" s="234"/>
      <c r="E350" s="234"/>
      <c r="F350" s="234"/>
      <c r="G350" s="234"/>
      <c r="H350" s="235"/>
      <c r="I350" s="235"/>
      <c r="J350" s="235"/>
      <c r="K350" s="235"/>
      <c r="L350" s="235"/>
      <c r="M350" s="235"/>
      <c r="N350" s="235"/>
    </row>
    <row r="351" spans="1:14" ht="13.8">
      <c r="A351" s="235"/>
      <c r="B351" s="235"/>
      <c r="C351" s="235"/>
      <c r="D351" s="234"/>
      <c r="E351" s="234"/>
      <c r="F351" s="234"/>
      <c r="G351" s="234"/>
      <c r="H351" s="235"/>
      <c r="I351" s="235"/>
      <c r="J351" s="235"/>
      <c r="K351" s="235"/>
      <c r="L351" s="235"/>
      <c r="M351" s="235"/>
      <c r="N351" s="235"/>
    </row>
    <row r="352" spans="1:14" ht="13.8">
      <c r="A352" s="235"/>
      <c r="B352" s="235"/>
      <c r="C352" s="235"/>
      <c r="D352" s="234"/>
      <c r="E352" s="234"/>
      <c r="F352" s="234"/>
      <c r="G352" s="234"/>
      <c r="H352" s="235"/>
      <c r="I352" s="235"/>
      <c r="J352" s="235"/>
      <c r="K352" s="235"/>
      <c r="L352" s="235"/>
      <c r="M352" s="235"/>
      <c r="N352" s="235"/>
    </row>
    <row r="353" spans="1:14" ht="13.8">
      <c r="A353" s="235"/>
      <c r="B353" s="235"/>
      <c r="C353" s="235"/>
      <c r="D353" s="234"/>
      <c r="E353" s="234"/>
      <c r="F353" s="234"/>
      <c r="G353" s="234"/>
      <c r="H353" s="235"/>
      <c r="I353" s="235"/>
      <c r="J353" s="235"/>
      <c r="K353" s="235"/>
      <c r="L353" s="235"/>
      <c r="M353" s="235"/>
      <c r="N353" s="235"/>
    </row>
    <row r="354" spans="1:14" ht="13.8">
      <c r="A354" s="235"/>
      <c r="B354" s="235"/>
      <c r="C354" s="235"/>
      <c r="D354" s="234"/>
      <c r="E354" s="234"/>
      <c r="F354" s="234"/>
      <c r="G354" s="234"/>
      <c r="H354" s="235"/>
      <c r="I354" s="235"/>
      <c r="J354" s="235"/>
      <c r="K354" s="235"/>
      <c r="L354" s="235"/>
      <c r="M354" s="235"/>
      <c r="N354" s="235"/>
    </row>
    <row r="355" spans="1:14" ht="13.8">
      <c r="A355" s="235"/>
      <c r="B355" s="235"/>
      <c r="C355" s="235"/>
      <c r="D355" s="234"/>
      <c r="E355" s="234"/>
      <c r="F355" s="234"/>
      <c r="G355" s="234"/>
      <c r="H355" s="235"/>
      <c r="I355" s="235"/>
      <c r="J355" s="235"/>
      <c r="K355" s="235"/>
      <c r="L355" s="235"/>
      <c r="M355" s="235"/>
      <c r="N355" s="235"/>
    </row>
    <row r="356" spans="1:14" ht="13.8">
      <c r="A356" s="235"/>
      <c r="B356" s="235"/>
      <c r="C356" s="235"/>
      <c r="D356" s="234"/>
      <c r="E356" s="234"/>
      <c r="F356" s="234"/>
      <c r="G356" s="234"/>
      <c r="H356" s="235"/>
      <c r="I356" s="235"/>
      <c r="J356" s="235"/>
      <c r="K356" s="235"/>
      <c r="L356" s="235"/>
      <c r="M356" s="235"/>
      <c r="N356" s="235"/>
    </row>
    <row r="357" spans="1:14" ht="13.8">
      <c r="A357" s="235"/>
      <c r="B357" s="235"/>
      <c r="C357" s="235"/>
      <c r="D357" s="234"/>
      <c r="E357" s="234"/>
      <c r="F357" s="234"/>
      <c r="G357" s="234"/>
      <c r="H357" s="235"/>
      <c r="I357" s="235"/>
      <c r="J357" s="235"/>
      <c r="K357" s="235"/>
      <c r="L357" s="235"/>
      <c r="M357" s="235"/>
      <c r="N357" s="235"/>
    </row>
    <row r="358" spans="1:14" ht="13.8">
      <c r="A358" s="235"/>
      <c r="B358" s="235"/>
      <c r="C358" s="235"/>
      <c r="D358" s="234"/>
      <c r="E358" s="234"/>
      <c r="F358" s="234"/>
      <c r="G358" s="234"/>
      <c r="H358" s="235"/>
      <c r="I358" s="235"/>
      <c r="J358" s="235"/>
      <c r="K358" s="235"/>
      <c r="L358" s="235"/>
      <c r="M358" s="235"/>
      <c r="N358" s="235"/>
    </row>
    <row r="359" spans="1:14" ht="13.8">
      <c r="A359" s="235"/>
      <c r="B359" s="235"/>
      <c r="C359" s="235"/>
      <c r="D359" s="234"/>
      <c r="E359" s="234"/>
      <c r="F359" s="234"/>
      <c r="G359" s="234"/>
      <c r="H359" s="235"/>
      <c r="I359" s="235"/>
      <c r="J359" s="235"/>
      <c r="K359" s="235"/>
      <c r="L359" s="235"/>
      <c r="M359" s="235"/>
      <c r="N359" s="235"/>
    </row>
    <row r="360" spans="1:14" ht="13.8">
      <c r="A360" s="235"/>
      <c r="B360" s="235"/>
      <c r="C360" s="235"/>
      <c r="D360" s="234"/>
      <c r="E360" s="234"/>
      <c r="F360" s="234"/>
      <c r="G360" s="234"/>
      <c r="H360" s="235"/>
      <c r="I360" s="235"/>
      <c r="J360" s="235"/>
      <c r="K360" s="235"/>
      <c r="L360" s="235"/>
      <c r="M360" s="235"/>
      <c r="N360" s="235"/>
    </row>
    <row r="361" spans="1:14" ht="13.8">
      <c r="A361" s="235"/>
      <c r="B361" s="235"/>
      <c r="C361" s="235"/>
      <c r="D361" s="234"/>
      <c r="E361" s="234"/>
      <c r="F361" s="234"/>
      <c r="G361" s="234"/>
      <c r="H361" s="235"/>
      <c r="I361" s="235"/>
      <c r="J361" s="235"/>
      <c r="K361" s="235"/>
      <c r="L361" s="235"/>
      <c r="M361" s="235"/>
      <c r="N361" s="235"/>
    </row>
    <row r="362" spans="1:14" ht="13.8">
      <c r="A362" s="235"/>
      <c r="B362" s="235"/>
      <c r="C362" s="235"/>
      <c r="D362" s="234"/>
      <c r="E362" s="234"/>
      <c r="F362" s="234"/>
      <c r="G362" s="234"/>
      <c r="H362" s="235"/>
      <c r="I362" s="235"/>
      <c r="J362" s="235"/>
      <c r="K362" s="235"/>
      <c r="L362" s="235"/>
      <c r="M362" s="235"/>
      <c r="N362" s="235"/>
    </row>
    <row r="363" spans="1:14" ht="13.8">
      <c r="A363" s="235"/>
      <c r="B363" s="235"/>
      <c r="C363" s="235"/>
      <c r="D363" s="234"/>
      <c r="E363" s="234"/>
      <c r="F363" s="234"/>
      <c r="G363" s="234"/>
      <c r="H363" s="235"/>
      <c r="I363" s="235"/>
      <c r="J363" s="235"/>
      <c r="K363" s="235"/>
      <c r="L363" s="235"/>
      <c r="M363" s="235"/>
      <c r="N363" s="235"/>
    </row>
    <row r="364" spans="1:14" ht="13.8">
      <c r="A364" s="235"/>
      <c r="B364" s="235"/>
      <c r="C364" s="235"/>
      <c r="D364" s="234"/>
      <c r="E364" s="234"/>
      <c r="F364" s="234"/>
      <c r="G364" s="234"/>
      <c r="H364" s="235"/>
      <c r="I364" s="235"/>
      <c r="J364" s="235"/>
      <c r="K364" s="235"/>
      <c r="L364" s="235"/>
      <c r="M364" s="235"/>
      <c r="N364" s="235"/>
    </row>
    <row r="365" spans="1:14" ht="13.8">
      <c r="A365" s="235"/>
      <c r="B365" s="235"/>
      <c r="C365" s="235"/>
      <c r="D365" s="234"/>
      <c r="E365" s="234"/>
      <c r="F365" s="234"/>
      <c r="G365" s="234"/>
      <c r="H365" s="235"/>
      <c r="I365" s="235"/>
      <c r="J365" s="235"/>
      <c r="K365" s="235"/>
      <c r="L365" s="235"/>
      <c r="M365" s="235"/>
      <c r="N365" s="235"/>
    </row>
    <row r="366" spans="1:14" ht="13.8">
      <c r="A366" s="235"/>
      <c r="B366" s="235"/>
      <c r="C366" s="235"/>
      <c r="D366" s="234"/>
      <c r="E366" s="234"/>
      <c r="F366" s="234"/>
      <c r="G366" s="234"/>
      <c r="H366" s="235"/>
      <c r="I366" s="235"/>
      <c r="J366" s="235"/>
      <c r="K366" s="235"/>
      <c r="L366" s="235"/>
      <c r="M366" s="235"/>
      <c r="N366" s="235"/>
    </row>
    <row r="367" spans="1:14" ht="13.8">
      <c r="A367" s="235"/>
      <c r="B367" s="235"/>
      <c r="C367" s="235"/>
      <c r="D367" s="234"/>
      <c r="E367" s="234"/>
      <c r="F367" s="234"/>
      <c r="G367" s="234"/>
      <c r="H367" s="235"/>
      <c r="I367" s="235"/>
      <c r="J367" s="235"/>
      <c r="K367" s="235"/>
      <c r="L367" s="235"/>
      <c r="M367" s="235"/>
      <c r="N367" s="235"/>
    </row>
    <row r="368" spans="1:14" ht="13.8">
      <c r="A368" s="235"/>
      <c r="B368" s="235"/>
      <c r="C368" s="235"/>
      <c r="D368" s="234"/>
      <c r="E368" s="234"/>
      <c r="F368" s="234"/>
      <c r="G368" s="234"/>
      <c r="H368" s="235"/>
      <c r="I368" s="235"/>
      <c r="J368" s="235"/>
      <c r="K368" s="235"/>
      <c r="L368" s="235"/>
      <c r="M368" s="235"/>
      <c r="N368" s="235"/>
    </row>
    <row r="369" spans="1:14" ht="13.8">
      <c r="A369" s="235"/>
      <c r="B369" s="235"/>
      <c r="C369" s="235"/>
      <c r="D369" s="234"/>
      <c r="E369" s="234"/>
      <c r="F369" s="234"/>
      <c r="G369" s="234"/>
      <c r="H369" s="235"/>
      <c r="I369" s="235"/>
      <c r="J369" s="235"/>
      <c r="K369" s="235"/>
      <c r="L369" s="235"/>
      <c r="M369" s="235"/>
      <c r="N369" s="235"/>
    </row>
    <row r="370" spans="1:14" ht="13.8">
      <c r="A370" s="235"/>
      <c r="B370" s="235"/>
      <c r="C370" s="235"/>
      <c r="D370" s="234"/>
      <c r="E370" s="234"/>
      <c r="F370" s="234"/>
      <c r="G370" s="234"/>
      <c r="H370" s="235"/>
      <c r="I370" s="235"/>
      <c r="J370" s="235"/>
      <c r="K370" s="235"/>
      <c r="L370" s="235"/>
      <c r="M370" s="235"/>
      <c r="N370" s="235"/>
    </row>
    <row r="371" spans="1:14" ht="13.8">
      <c r="A371" s="235"/>
      <c r="B371" s="235"/>
      <c r="C371" s="235"/>
      <c r="D371" s="234"/>
      <c r="E371" s="234"/>
      <c r="F371" s="234"/>
      <c r="G371" s="234"/>
      <c r="H371" s="235"/>
      <c r="I371" s="235"/>
      <c r="J371" s="235"/>
      <c r="K371" s="235"/>
      <c r="L371" s="235"/>
      <c r="M371" s="235"/>
      <c r="N371" s="235"/>
    </row>
    <row r="372" spans="1:14" ht="13.8">
      <c r="A372" s="235"/>
      <c r="B372" s="235"/>
      <c r="C372" s="235"/>
      <c r="D372" s="234"/>
      <c r="E372" s="234"/>
      <c r="F372" s="234"/>
      <c r="G372" s="234"/>
      <c r="H372" s="235"/>
      <c r="I372" s="235"/>
      <c r="J372" s="235"/>
      <c r="K372" s="235"/>
      <c r="L372" s="235"/>
      <c r="M372" s="235"/>
      <c r="N372" s="235"/>
    </row>
    <row r="373" spans="1:14" ht="13.8">
      <c r="A373" s="235"/>
      <c r="B373" s="235"/>
      <c r="C373" s="235"/>
      <c r="D373" s="234"/>
      <c r="E373" s="234"/>
      <c r="F373" s="234"/>
      <c r="G373" s="234"/>
      <c r="H373" s="235"/>
      <c r="I373" s="235"/>
      <c r="J373" s="235"/>
      <c r="K373" s="235"/>
      <c r="L373" s="235"/>
      <c r="M373" s="235"/>
      <c r="N373" s="235"/>
    </row>
    <row r="374" spans="1:14" ht="13.8">
      <c r="A374" s="235"/>
      <c r="B374" s="235"/>
      <c r="C374" s="235"/>
      <c r="D374" s="234"/>
      <c r="E374" s="234"/>
      <c r="F374" s="234"/>
      <c r="G374" s="234"/>
      <c r="H374" s="235"/>
      <c r="I374" s="235"/>
      <c r="J374" s="235"/>
      <c r="K374" s="235"/>
      <c r="L374" s="235"/>
      <c r="M374" s="235"/>
      <c r="N374" s="235"/>
    </row>
    <row r="375" spans="1:14" ht="13.8">
      <c r="A375" s="235"/>
      <c r="B375" s="235"/>
      <c r="C375" s="235"/>
      <c r="D375" s="234"/>
      <c r="E375" s="234"/>
      <c r="F375" s="234"/>
      <c r="G375" s="234"/>
      <c r="H375" s="235"/>
      <c r="I375" s="235"/>
      <c r="J375" s="235"/>
      <c r="K375" s="235"/>
      <c r="L375" s="235"/>
      <c r="M375" s="235"/>
      <c r="N375" s="235"/>
    </row>
    <row r="376" spans="1:14" ht="13.8">
      <c r="A376" s="235"/>
      <c r="B376" s="235"/>
      <c r="C376" s="235"/>
      <c r="D376" s="234"/>
      <c r="E376" s="234"/>
      <c r="F376" s="234"/>
      <c r="G376" s="234"/>
      <c r="H376" s="235"/>
      <c r="I376" s="235"/>
      <c r="J376" s="235"/>
      <c r="K376" s="235"/>
      <c r="L376" s="235"/>
      <c r="M376" s="235"/>
      <c r="N376" s="235"/>
    </row>
    <row r="377" spans="1:14" ht="13.8">
      <c r="A377" s="235"/>
      <c r="B377" s="235"/>
      <c r="C377" s="235"/>
      <c r="D377" s="234"/>
      <c r="E377" s="234"/>
      <c r="F377" s="234"/>
      <c r="G377" s="234"/>
      <c r="H377" s="235"/>
      <c r="I377" s="235"/>
      <c r="J377" s="235"/>
      <c r="K377" s="235"/>
      <c r="L377" s="235"/>
      <c r="M377" s="235"/>
      <c r="N377" s="235"/>
    </row>
    <row r="378" spans="1:14" ht="13.8">
      <c r="A378" s="235"/>
      <c r="B378" s="235"/>
      <c r="C378" s="235"/>
      <c r="D378" s="234"/>
      <c r="E378" s="234"/>
      <c r="F378" s="234"/>
      <c r="G378" s="234"/>
      <c r="H378" s="235"/>
      <c r="I378" s="235"/>
      <c r="J378" s="235"/>
      <c r="K378" s="235"/>
      <c r="L378" s="235"/>
      <c r="M378" s="235"/>
      <c r="N378" s="235"/>
    </row>
    <row r="379" spans="1:14" ht="13.8">
      <c r="A379" s="235"/>
      <c r="B379" s="235"/>
      <c r="C379" s="235"/>
      <c r="D379" s="234"/>
      <c r="E379" s="234"/>
      <c r="F379" s="234"/>
      <c r="G379" s="234"/>
      <c r="H379" s="235"/>
      <c r="I379" s="235"/>
      <c r="J379" s="235"/>
      <c r="K379" s="235"/>
      <c r="L379" s="235"/>
      <c r="M379" s="235"/>
      <c r="N379" s="235"/>
    </row>
    <row r="380" spans="1:14" ht="13.8">
      <c r="A380" s="235"/>
      <c r="B380" s="235"/>
      <c r="C380" s="235"/>
      <c r="D380" s="234"/>
      <c r="E380" s="234"/>
      <c r="F380" s="234"/>
      <c r="G380" s="234"/>
      <c r="H380" s="235"/>
      <c r="I380" s="235"/>
      <c r="J380" s="235"/>
      <c r="K380" s="235"/>
      <c r="L380" s="235"/>
      <c r="M380" s="235"/>
      <c r="N380" s="235"/>
    </row>
    <row r="381" spans="1:14" ht="13.8">
      <c r="A381" s="235"/>
      <c r="B381" s="235"/>
      <c r="C381" s="235"/>
      <c r="D381" s="234"/>
      <c r="E381" s="234"/>
      <c r="F381" s="234"/>
      <c r="G381" s="234"/>
      <c r="H381" s="235"/>
      <c r="I381" s="235"/>
      <c r="J381" s="235"/>
      <c r="K381" s="235"/>
      <c r="L381" s="235"/>
      <c r="M381" s="235"/>
      <c r="N381" s="235"/>
    </row>
    <row r="382" spans="1:14" ht="13.8">
      <c r="A382" s="235"/>
      <c r="B382" s="235"/>
      <c r="C382" s="235"/>
      <c r="D382" s="234"/>
      <c r="E382" s="234"/>
      <c r="F382" s="234"/>
      <c r="G382" s="234"/>
      <c r="H382" s="235"/>
      <c r="I382" s="235"/>
      <c r="J382" s="235"/>
      <c r="K382" s="235"/>
      <c r="L382" s="235"/>
      <c r="M382" s="235"/>
      <c r="N382" s="235"/>
    </row>
    <row r="383" spans="1:14" ht="13.8">
      <c r="A383" s="235"/>
      <c r="B383" s="235"/>
      <c r="C383" s="235"/>
      <c r="D383" s="234"/>
      <c r="E383" s="234"/>
      <c r="F383" s="234"/>
      <c r="G383" s="234"/>
      <c r="H383" s="235"/>
      <c r="I383" s="235"/>
      <c r="J383" s="235"/>
      <c r="K383" s="235"/>
      <c r="L383" s="235"/>
      <c r="M383" s="235"/>
      <c r="N383" s="235"/>
    </row>
    <row r="384" spans="1:14" ht="13.8">
      <c r="A384" s="235"/>
      <c r="B384" s="235"/>
      <c r="C384" s="235"/>
      <c r="D384" s="234"/>
      <c r="E384" s="234"/>
      <c r="F384" s="234"/>
      <c r="G384" s="234"/>
      <c r="H384" s="235"/>
      <c r="I384" s="235"/>
      <c r="J384" s="235"/>
      <c r="K384" s="235"/>
      <c r="L384" s="235"/>
      <c r="M384" s="235"/>
      <c r="N384" s="235"/>
    </row>
    <row r="385" spans="1:14" ht="13.8">
      <c r="A385" s="235"/>
      <c r="B385" s="235"/>
      <c r="C385" s="235"/>
      <c r="D385" s="234"/>
      <c r="E385" s="234"/>
      <c r="F385" s="234"/>
      <c r="G385" s="234"/>
      <c r="H385" s="235"/>
      <c r="I385" s="235"/>
      <c r="J385" s="235"/>
      <c r="K385" s="235"/>
      <c r="L385" s="235"/>
      <c r="M385" s="235"/>
      <c r="N385" s="235"/>
    </row>
    <row r="386" spans="1:14" ht="13.8">
      <c r="A386" s="235"/>
      <c r="B386" s="235"/>
      <c r="C386" s="235"/>
      <c r="D386" s="234"/>
      <c r="E386" s="234"/>
      <c r="F386" s="234"/>
      <c r="G386" s="234"/>
      <c r="H386" s="235"/>
      <c r="I386" s="235"/>
      <c r="J386" s="235"/>
      <c r="K386" s="235"/>
      <c r="L386" s="235"/>
      <c r="M386" s="235"/>
      <c r="N386" s="235"/>
    </row>
    <row r="387" spans="1:14" ht="13.8">
      <c r="A387" s="235"/>
      <c r="B387" s="235"/>
      <c r="C387" s="235"/>
      <c r="D387" s="234"/>
      <c r="E387" s="234"/>
      <c r="F387" s="234"/>
      <c r="G387" s="234"/>
      <c r="H387" s="235"/>
      <c r="I387" s="235"/>
      <c r="J387" s="235"/>
      <c r="K387" s="235"/>
      <c r="L387" s="235"/>
      <c r="M387" s="235"/>
      <c r="N387" s="235"/>
    </row>
    <row r="388" spans="1:14" ht="13.8">
      <c r="A388" s="235"/>
      <c r="B388" s="235"/>
      <c r="C388" s="235"/>
      <c r="D388" s="234"/>
      <c r="E388" s="234"/>
      <c r="F388" s="234"/>
      <c r="G388" s="234"/>
      <c r="H388" s="235"/>
      <c r="I388" s="235"/>
      <c r="J388" s="235"/>
      <c r="K388" s="235"/>
      <c r="L388" s="235"/>
      <c r="M388" s="235"/>
      <c r="N388" s="235"/>
    </row>
    <row r="389" spans="1:14" ht="13.8">
      <c r="A389" s="235"/>
      <c r="B389" s="235"/>
      <c r="C389" s="235"/>
      <c r="D389" s="234"/>
      <c r="E389" s="234"/>
      <c r="F389" s="234"/>
      <c r="G389" s="234"/>
      <c r="H389" s="235"/>
      <c r="I389" s="235"/>
      <c r="J389" s="235"/>
      <c r="K389" s="235"/>
      <c r="L389" s="235"/>
      <c r="M389" s="235"/>
      <c r="N389" s="235"/>
    </row>
    <row r="390" spans="1:14" ht="13.8">
      <c r="A390" s="235"/>
      <c r="B390" s="235"/>
      <c r="C390" s="235"/>
      <c r="D390" s="234"/>
      <c r="E390" s="234"/>
      <c r="F390" s="234"/>
      <c r="G390" s="234"/>
      <c r="H390" s="235"/>
      <c r="I390" s="235"/>
      <c r="J390" s="235"/>
      <c r="K390" s="235"/>
      <c r="L390" s="235"/>
      <c r="M390" s="235"/>
      <c r="N390" s="235"/>
    </row>
    <row r="391" spans="1:14" ht="13.8">
      <c r="A391" s="235"/>
      <c r="B391" s="235"/>
      <c r="C391" s="235"/>
      <c r="D391" s="234"/>
      <c r="E391" s="234"/>
      <c r="F391" s="234"/>
      <c r="G391" s="234"/>
      <c r="H391" s="235"/>
      <c r="I391" s="235"/>
      <c r="J391" s="235"/>
      <c r="K391" s="235"/>
      <c r="L391" s="235"/>
      <c r="M391" s="235"/>
      <c r="N391" s="235"/>
    </row>
    <row r="392" spans="1:14" ht="13.8">
      <c r="A392" s="235"/>
      <c r="B392" s="235"/>
      <c r="C392" s="235"/>
      <c r="D392" s="234"/>
      <c r="E392" s="234"/>
      <c r="F392" s="234"/>
      <c r="G392" s="234"/>
      <c r="H392" s="235"/>
      <c r="I392" s="235"/>
      <c r="J392" s="235"/>
      <c r="K392" s="235"/>
      <c r="L392" s="235"/>
      <c r="M392" s="235"/>
      <c r="N392" s="235"/>
    </row>
    <row r="393" spans="1:14" ht="13.8">
      <c r="A393" s="235"/>
      <c r="B393" s="235"/>
      <c r="C393" s="235"/>
      <c r="D393" s="234"/>
      <c r="E393" s="234"/>
      <c r="F393" s="234"/>
      <c r="G393" s="234"/>
      <c r="H393" s="235"/>
      <c r="I393" s="235"/>
      <c r="J393" s="235"/>
      <c r="K393" s="235"/>
      <c r="L393" s="235"/>
      <c r="M393" s="235"/>
      <c r="N393" s="235"/>
    </row>
    <row r="394" spans="1:14" ht="13.8">
      <c r="A394" s="235"/>
      <c r="B394" s="235"/>
      <c r="C394" s="235"/>
      <c r="D394" s="234"/>
      <c r="E394" s="234"/>
      <c r="F394" s="234"/>
      <c r="G394" s="234"/>
      <c r="H394" s="235"/>
      <c r="I394" s="235"/>
      <c r="J394" s="235"/>
      <c r="K394" s="235"/>
      <c r="L394" s="235"/>
      <c r="M394" s="235"/>
      <c r="N394" s="235"/>
    </row>
    <row r="395" spans="1:14" ht="13.8">
      <c r="A395" s="235"/>
      <c r="B395" s="235"/>
      <c r="C395" s="235"/>
      <c r="D395" s="234"/>
      <c r="E395" s="234"/>
      <c r="F395" s="234"/>
      <c r="G395" s="234"/>
      <c r="H395" s="235"/>
      <c r="I395" s="235"/>
      <c r="J395" s="235"/>
      <c r="K395" s="235"/>
      <c r="L395" s="235"/>
      <c r="M395" s="235"/>
      <c r="N395" s="235"/>
    </row>
    <row r="396" spans="1:14" ht="13.8">
      <c r="A396" s="235"/>
      <c r="B396" s="235"/>
      <c r="C396" s="235"/>
      <c r="D396" s="234"/>
      <c r="E396" s="234"/>
      <c r="F396" s="234"/>
      <c r="G396" s="234"/>
      <c r="H396" s="235"/>
      <c r="I396" s="235"/>
      <c r="J396" s="235"/>
      <c r="K396" s="235"/>
      <c r="L396" s="235"/>
      <c r="M396" s="235"/>
      <c r="N396" s="235"/>
    </row>
    <row r="397" spans="1:14" ht="13.8">
      <c r="A397" s="235"/>
      <c r="B397" s="235"/>
      <c r="C397" s="235"/>
      <c r="D397" s="234"/>
      <c r="E397" s="234"/>
      <c r="F397" s="234"/>
      <c r="G397" s="234"/>
      <c r="H397" s="235"/>
      <c r="I397" s="235"/>
      <c r="J397" s="235"/>
      <c r="K397" s="235"/>
      <c r="L397" s="235"/>
      <c r="M397" s="235"/>
      <c r="N397" s="235"/>
    </row>
    <row r="398" spans="1:14" ht="13.8">
      <c r="A398" s="235"/>
      <c r="B398" s="235"/>
      <c r="C398" s="235"/>
      <c r="D398" s="234"/>
      <c r="E398" s="234"/>
      <c r="F398" s="234"/>
      <c r="G398" s="234"/>
      <c r="H398" s="235"/>
      <c r="I398" s="235"/>
      <c r="J398" s="235"/>
      <c r="K398" s="235"/>
      <c r="L398" s="235"/>
      <c r="M398" s="235"/>
      <c r="N398" s="235"/>
    </row>
    <row r="399" spans="1:14" ht="13.8">
      <c r="A399" s="235"/>
      <c r="B399" s="235"/>
      <c r="C399" s="235"/>
      <c r="D399" s="234"/>
      <c r="E399" s="234"/>
      <c r="F399" s="234"/>
      <c r="G399" s="234"/>
      <c r="H399" s="235"/>
      <c r="I399" s="235"/>
      <c r="J399" s="235"/>
      <c r="K399" s="235"/>
      <c r="L399" s="235"/>
      <c r="M399" s="235"/>
      <c r="N399" s="235"/>
    </row>
    <row r="400" spans="1:14" ht="13.8">
      <c r="A400" s="235"/>
      <c r="B400" s="235"/>
      <c r="C400" s="235"/>
      <c r="D400" s="234"/>
      <c r="E400" s="234"/>
      <c r="F400" s="234"/>
      <c r="G400" s="234"/>
      <c r="H400" s="235"/>
      <c r="I400" s="235"/>
      <c r="J400" s="235"/>
      <c r="K400" s="235"/>
      <c r="L400" s="235"/>
      <c r="M400" s="235"/>
      <c r="N400" s="235"/>
    </row>
    <row r="401" spans="1:14" ht="13.8">
      <c r="A401" s="235"/>
      <c r="B401" s="235"/>
      <c r="C401" s="235"/>
      <c r="D401" s="234"/>
      <c r="E401" s="234"/>
      <c r="F401" s="234"/>
      <c r="G401" s="234"/>
      <c r="H401" s="235"/>
      <c r="I401" s="235"/>
      <c r="J401" s="235"/>
      <c r="K401" s="235"/>
      <c r="L401" s="235"/>
      <c r="M401" s="235"/>
      <c r="N401" s="235"/>
    </row>
    <row r="402" spans="1:14" ht="13.8">
      <c r="A402" s="235"/>
      <c r="B402" s="235"/>
      <c r="C402" s="235"/>
      <c r="D402" s="234"/>
      <c r="E402" s="234"/>
      <c r="F402" s="234"/>
      <c r="G402" s="234"/>
      <c r="H402" s="235"/>
      <c r="I402" s="235"/>
      <c r="J402" s="235"/>
      <c r="K402" s="235"/>
      <c r="L402" s="235"/>
      <c r="M402" s="235"/>
      <c r="N402" s="235"/>
    </row>
    <row r="403" spans="1:14" ht="13.8">
      <c r="A403" s="235"/>
      <c r="B403" s="235"/>
      <c r="C403" s="235"/>
      <c r="D403" s="234"/>
      <c r="E403" s="234"/>
      <c r="F403" s="234"/>
      <c r="G403" s="234"/>
      <c r="H403" s="235"/>
      <c r="I403" s="235"/>
      <c r="J403" s="235"/>
      <c r="K403" s="235"/>
      <c r="L403" s="235"/>
      <c r="M403" s="235"/>
      <c r="N403" s="235"/>
    </row>
    <row r="404" spans="1:14" ht="13.8">
      <c r="A404" s="235"/>
      <c r="B404" s="235"/>
      <c r="C404" s="235"/>
      <c r="D404" s="234"/>
      <c r="E404" s="234"/>
      <c r="F404" s="234"/>
      <c r="G404" s="234"/>
      <c r="H404" s="235"/>
      <c r="I404" s="235"/>
      <c r="J404" s="235"/>
      <c r="K404" s="235"/>
      <c r="L404" s="235"/>
      <c r="M404" s="235"/>
      <c r="N404" s="235"/>
    </row>
    <row r="405" spans="1:14" ht="13.8">
      <c r="A405" s="235"/>
      <c r="B405" s="235"/>
      <c r="C405" s="235"/>
      <c r="D405" s="234"/>
      <c r="E405" s="234"/>
      <c r="F405" s="234"/>
      <c r="G405" s="234"/>
      <c r="H405" s="235"/>
      <c r="I405" s="235"/>
      <c r="J405" s="235"/>
      <c r="K405" s="235"/>
      <c r="L405" s="235"/>
      <c r="M405" s="235"/>
      <c r="N405" s="235"/>
    </row>
    <row r="406" spans="1:14" ht="13.8">
      <c r="A406" s="235"/>
      <c r="B406" s="235"/>
      <c r="C406" s="235"/>
      <c r="D406" s="234"/>
      <c r="E406" s="234"/>
      <c r="F406" s="234"/>
      <c r="G406" s="234"/>
      <c r="H406" s="235"/>
      <c r="I406" s="235"/>
      <c r="J406" s="235"/>
      <c r="K406" s="235"/>
      <c r="L406" s="235"/>
      <c r="M406" s="235"/>
      <c r="N406" s="235"/>
    </row>
    <row r="407" spans="1:14" ht="13.8">
      <c r="A407" s="235"/>
      <c r="B407" s="235"/>
      <c r="C407" s="235"/>
      <c r="D407" s="234"/>
      <c r="E407" s="234"/>
      <c r="F407" s="234"/>
      <c r="G407" s="234"/>
      <c r="H407" s="235"/>
      <c r="I407" s="235"/>
      <c r="J407" s="235"/>
      <c r="K407" s="235"/>
      <c r="L407" s="235"/>
      <c r="M407" s="235"/>
      <c r="N407" s="235"/>
    </row>
    <row r="408" spans="1:14" ht="13.8">
      <c r="A408" s="235"/>
      <c r="B408" s="235"/>
      <c r="C408" s="235"/>
      <c r="D408" s="234"/>
      <c r="E408" s="234"/>
      <c r="F408" s="234"/>
      <c r="G408" s="234"/>
      <c r="H408" s="235"/>
      <c r="I408" s="235"/>
      <c r="J408" s="235"/>
      <c r="K408" s="235"/>
      <c r="L408" s="235"/>
      <c r="M408" s="235"/>
      <c r="N408" s="235"/>
    </row>
    <row r="409" spans="1:14" ht="13.8">
      <c r="A409" s="235"/>
      <c r="B409" s="235"/>
      <c r="C409" s="235"/>
      <c r="D409" s="234"/>
      <c r="E409" s="234"/>
      <c r="F409" s="234"/>
      <c r="G409" s="234"/>
      <c r="H409" s="235"/>
      <c r="I409" s="235"/>
      <c r="J409" s="235"/>
      <c r="K409" s="235"/>
      <c r="L409" s="235"/>
      <c r="M409" s="235"/>
      <c r="N409" s="235"/>
    </row>
    <row r="410" spans="1:14" ht="13.8">
      <c r="A410" s="235"/>
      <c r="B410" s="235"/>
      <c r="C410" s="235"/>
      <c r="D410" s="234"/>
      <c r="E410" s="234"/>
      <c r="F410" s="234"/>
      <c r="G410" s="234"/>
      <c r="H410" s="235"/>
      <c r="I410" s="235"/>
      <c r="J410" s="235"/>
      <c r="K410" s="235"/>
      <c r="L410" s="235"/>
      <c r="M410" s="235"/>
      <c r="N410" s="235"/>
    </row>
    <row r="411" spans="1:14" ht="13.8">
      <c r="A411" s="235"/>
      <c r="B411" s="235"/>
      <c r="C411" s="235"/>
      <c r="D411" s="234"/>
      <c r="E411" s="234"/>
      <c r="F411" s="234"/>
      <c r="G411" s="234"/>
      <c r="H411" s="235"/>
      <c r="I411" s="235"/>
      <c r="J411" s="235"/>
      <c r="K411" s="235"/>
      <c r="L411" s="235"/>
      <c r="M411" s="235"/>
      <c r="N411" s="235"/>
    </row>
    <row r="412" spans="1:14" ht="13.8">
      <c r="A412" s="235"/>
      <c r="B412" s="235"/>
      <c r="C412" s="235"/>
      <c r="D412" s="234"/>
      <c r="E412" s="234"/>
      <c r="F412" s="234"/>
      <c r="G412" s="234"/>
      <c r="H412" s="235"/>
      <c r="I412" s="235"/>
      <c r="J412" s="235"/>
      <c r="K412" s="235"/>
      <c r="L412" s="235"/>
      <c r="M412" s="235"/>
      <c r="N412" s="235"/>
    </row>
    <row r="413" spans="1:14" ht="13.8">
      <c r="A413" s="235"/>
      <c r="B413" s="235"/>
      <c r="C413" s="235"/>
      <c r="D413" s="234"/>
      <c r="E413" s="234"/>
      <c r="F413" s="234"/>
      <c r="G413" s="234"/>
      <c r="H413" s="235"/>
      <c r="I413" s="235"/>
      <c r="J413" s="235"/>
      <c r="K413" s="235"/>
      <c r="L413" s="235"/>
      <c r="M413" s="235"/>
      <c r="N413" s="235"/>
    </row>
    <row r="414" spans="1:14" ht="13.8">
      <c r="A414" s="235"/>
      <c r="B414" s="235"/>
      <c r="C414" s="235"/>
      <c r="D414" s="234"/>
      <c r="E414" s="234"/>
      <c r="F414" s="234"/>
      <c r="G414" s="234"/>
      <c r="H414" s="235"/>
      <c r="I414" s="235"/>
      <c r="J414" s="235"/>
      <c r="K414" s="235"/>
      <c r="L414" s="235"/>
      <c r="M414" s="235"/>
      <c r="N414" s="235"/>
    </row>
    <row r="415" spans="1:14" ht="13.8">
      <c r="A415" s="235"/>
      <c r="B415" s="235"/>
      <c r="C415" s="235"/>
      <c r="D415" s="234"/>
      <c r="E415" s="234"/>
      <c r="F415" s="234"/>
      <c r="G415" s="234"/>
      <c r="H415" s="235"/>
      <c r="I415" s="235"/>
      <c r="J415" s="235"/>
      <c r="K415" s="235"/>
      <c r="L415" s="235"/>
      <c r="M415" s="235"/>
      <c r="N415" s="235"/>
    </row>
    <row r="416" spans="1:14" ht="13.8">
      <c r="A416" s="235"/>
      <c r="B416" s="235"/>
      <c r="C416" s="235"/>
      <c r="D416" s="234"/>
      <c r="E416" s="234"/>
      <c r="F416" s="234"/>
      <c r="G416" s="234"/>
      <c r="H416" s="235"/>
      <c r="I416" s="235"/>
      <c r="J416" s="235"/>
      <c r="K416" s="235"/>
      <c r="L416" s="235"/>
      <c r="M416" s="235"/>
      <c r="N416" s="235"/>
    </row>
    <row r="417" spans="1:14" ht="13.8">
      <c r="A417" s="235"/>
      <c r="B417" s="235"/>
      <c r="C417" s="235"/>
      <c r="D417" s="234"/>
      <c r="E417" s="234"/>
      <c r="F417" s="234"/>
      <c r="G417" s="234"/>
      <c r="H417" s="235"/>
      <c r="I417" s="235"/>
      <c r="J417" s="235"/>
      <c r="K417" s="235"/>
      <c r="L417" s="235"/>
      <c r="M417" s="235"/>
      <c r="N417" s="235"/>
    </row>
    <row r="418" spans="1:14" ht="13.8">
      <c r="A418" s="235"/>
      <c r="B418" s="235"/>
      <c r="C418" s="235"/>
      <c r="D418" s="234"/>
      <c r="E418" s="234"/>
      <c r="F418" s="234"/>
      <c r="G418" s="234"/>
      <c r="H418" s="235"/>
      <c r="I418" s="235"/>
      <c r="J418" s="235"/>
      <c r="K418" s="235"/>
      <c r="L418" s="235"/>
      <c r="M418" s="235"/>
      <c r="N418" s="235"/>
    </row>
    <row r="419" spans="1:14" ht="13.8">
      <c r="A419" s="235"/>
      <c r="B419" s="235"/>
      <c r="C419" s="235"/>
      <c r="D419" s="234"/>
      <c r="E419" s="234"/>
      <c r="F419" s="234"/>
      <c r="G419" s="234"/>
      <c r="H419" s="235"/>
      <c r="I419" s="235"/>
      <c r="J419" s="235"/>
      <c r="K419" s="235"/>
      <c r="L419" s="235"/>
      <c r="M419" s="235"/>
      <c r="N419" s="235"/>
    </row>
    <row r="420" spans="1:14" ht="13.8">
      <c r="A420" s="235"/>
      <c r="B420" s="235"/>
      <c r="C420" s="235"/>
      <c r="D420" s="234"/>
      <c r="E420" s="234"/>
      <c r="F420" s="234"/>
      <c r="G420" s="234"/>
      <c r="H420" s="235"/>
      <c r="I420" s="235"/>
      <c r="J420" s="235"/>
      <c r="K420" s="235"/>
      <c r="L420" s="235"/>
      <c r="M420" s="235"/>
      <c r="N420" s="235"/>
    </row>
    <row r="421" spans="1:14" ht="13.8">
      <c r="A421" s="235"/>
      <c r="B421" s="235"/>
      <c r="C421" s="235"/>
      <c r="D421" s="234"/>
      <c r="E421" s="234"/>
      <c r="F421" s="234"/>
      <c r="G421" s="234"/>
      <c r="H421" s="235"/>
      <c r="I421" s="235"/>
      <c r="J421" s="235"/>
      <c r="K421" s="235"/>
      <c r="L421" s="235"/>
      <c r="M421" s="235"/>
      <c r="N421" s="235"/>
    </row>
    <row r="422" spans="1:14" ht="13.8">
      <c r="A422" s="235"/>
      <c r="B422" s="235"/>
      <c r="C422" s="235"/>
      <c r="D422" s="234"/>
      <c r="E422" s="234"/>
      <c r="F422" s="234"/>
      <c r="G422" s="234"/>
      <c r="H422" s="235"/>
      <c r="I422" s="235"/>
      <c r="J422" s="235"/>
      <c r="K422" s="235"/>
      <c r="L422" s="235"/>
      <c r="M422" s="235"/>
      <c r="N422" s="235"/>
    </row>
    <row r="423" spans="1:14" ht="13.8">
      <c r="A423" s="235"/>
      <c r="B423" s="235"/>
      <c r="C423" s="235"/>
      <c r="D423" s="234"/>
      <c r="E423" s="234"/>
      <c r="F423" s="234"/>
      <c r="G423" s="234"/>
      <c r="H423" s="235"/>
      <c r="I423" s="235"/>
      <c r="J423" s="235"/>
      <c r="K423" s="235"/>
      <c r="L423" s="235"/>
      <c r="M423" s="235"/>
      <c r="N423" s="235"/>
    </row>
    <row r="424" spans="1:14" ht="13.8">
      <c r="A424" s="235"/>
      <c r="B424" s="235"/>
      <c r="C424" s="235"/>
      <c r="D424" s="234"/>
      <c r="E424" s="234"/>
      <c r="F424" s="234"/>
      <c r="G424" s="234"/>
      <c r="H424" s="235"/>
      <c r="I424" s="235"/>
      <c r="J424" s="235"/>
      <c r="K424" s="235"/>
      <c r="L424" s="235"/>
      <c r="M424" s="235"/>
      <c r="N424" s="235"/>
    </row>
    <row r="425" spans="1:14" ht="13.8">
      <c r="A425" s="235"/>
      <c r="B425" s="235"/>
      <c r="C425" s="235"/>
      <c r="D425" s="234"/>
      <c r="E425" s="234"/>
      <c r="F425" s="234"/>
      <c r="G425" s="234"/>
      <c r="H425" s="235"/>
      <c r="I425" s="235"/>
      <c r="J425" s="235"/>
      <c r="K425" s="235"/>
      <c r="L425" s="235"/>
      <c r="M425" s="235"/>
      <c r="N425" s="235"/>
    </row>
    <row r="426" spans="1:14" ht="13.8">
      <c r="A426" s="235"/>
      <c r="B426" s="235"/>
      <c r="C426" s="235"/>
      <c r="D426" s="234"/>
      <c r="E426" s="234"/>
      <c r="F426" s="234"/>
      <c r="G426" s="234"/>
      <c r="H426" s="235"/>
      <c r="I426" s="235"/>
      <c r="J426" s="235"/>
      <c r="K426" s="235"/>
      <c r="L426" s="235"/>
      <c r="M426" s="235"/>
      <c r="N426" s="235"/>
    </row>
    <row r="427" spans="1:14" ht="13.8">
      <c r="A427" s="235"/>
      <c r="B427" s="235"/>
      <c r="C427" s="235"/>
      <c r="D427" s="234"/>
      <c r="E427" s="234"/>
      <c r="F427" s="234"/>
      <c r="G427" s="234"/>
      <c r="H427" s="235"/>
      <c r="I427" s="235"/>
      <c r="J427" s="235"/>
      <c r="K427" s="235"/>
      <c r="L427" s="235"/>
      <c r="M427" s="235"/>
      <c r="N427" s="235"/>
    </row>
    <row r="428" spans="1:14" ht="13.8">
      <c r="A428" s="235"/>
      <c r="B428" s="235"/>
      <c r="C428" s="235"/>
      <c r="D428" s="234"/>
      <c r="E428" s="234"/>
      <c r="F428" s="234"/>
      <c r="G428" s="234"/>
      <c r="H428" s="235"/>
      <c r="I428" s="235"/>
      <c r="J428" s="235"/>
      <c r="K428" s="235"/>
      <c r="L428" s="235"/>
      <c r="M428" s="235"/>
      <c r="N428" s="235"/>
    </row>
    <row r="429" spans="1:14" ht="13.8">
      <c r="A429" s="235"/>
      <c r="B429" s="235"/>
      <c r="C429" s="235"/>
      <c r="D429" s="234"/>
      <c r="E429" s="234"/>
      <c r="F429" s="234"/>
      <c r="G429" s="234"/>
      <c r="H429" s="235"/>
      <c r="I429" s="235"/>
      <c r="J429" s="235"/>
      <c r="K429" s="235"/>
      <c r="L429" s="235"/>
      <c r="M429" s="235"/>
      <c r="N429" s="235"/>
    </row>
    <row r="430" spans="1:14" ht="13.8">
      <c r="A430" s="235"/>
      <c r="B430" s="235"/>
      <c r="C430" s="235"/>
      <c r="D430" s="234"/>
      <c r="E430" s="234"/>
      <c r="F430" s="234"/>
      <c r="G430" s="234"/>
      <c r="H430" s="235"/>
      <c r="I430" s="235"/>
      <c r="J430" s="235"/>
      <c r="K430" s="235"/>
      <c r="L430" s="235"/>
      <c r="M430" s="235"/>
      <c r="N430" s="235"/>
    </row>
    <row r="431" spans="1:14" ht="13.8">
      <c r="A431" s="235"/>
      <c r="B431" s="235"/>
      <c r="C431" s="235"/>
      <c r="D431" s="234"/>
      <c r="E431" s="234"/>
      <c r="F431" s="234"/>
      <c r="G431" s="234"/>
      <c r="H431" s="235"/>
      <c r="I431" s="235"/>
      <c r="J431" s="235"/>
      <c r="K431" s="235"/>
      <c r="L431" s="235"/>
      <c r="M431" s="235"/>
      <c r="N431" s="235"/>
    </row>
    <row r="432" spans="1:14" ht="13.8">
      <c r="A432" s="235"/>
      <c r="B432" s="235"/>
      <c r="C432" s="235"/>
      <c r="D432" s="234"/>
      <c r="E432" s="234"/>
      <c r="F432" s="234"/>
      <c r="G432" s="234"/>
      <c r="H432" s="235"/>
      <c r="I432" s="235"/>
      <c r="J432" s="235"/>
      <c r="K432" s="235"/>
      <c r="L432" s="235"/>
      <c r="M432" s="235"/>
      <c r="N432" s="235"/>
    </row>
    <row r="433" spans="1:14" ht="13.8">
      <c r="A433" s="235"/>
      <c r="B433" s="235"/>
      <c r="C433" s="235"/>
      <c r="D433" s="234"/>
      <c r="E433" s="234"/>
      <c r="F433" s="234"/>
      <c r="G433" s="234"/>
      <c r="H433" s="235"/>
      <c r="I433" s="235"/>
      <c r="J433" s="235"/>
      <c r="K433" s="235"/>
      <c r="L433" s="235"/>
      <c r="M433" s="235"/>
      <c r="N433" s="235"/>
    </row>
    <row r="434" spans="1:14" ht="13.8">
      <c r="A434" s="235"/>
      <c r="B434" s="235"/>
      <c r="C434" s="235"/>
      <c r="D434" s="234"/>
      <c r="E434" s="234"/>
      <c r="F434" s="234"/>
      <c r="G434" s="234"/>
      <c r="H434" s="235"/>
      <c r="I434" s="235"/>
      <c r="J434" s="235"/>
      <c r="K434" s="235"/>
      <c r="L434" s="235"/>
      <c r="M434" s="235"/>
      <c r="N434" s="235"/>
    </row>
    <row r="435" spans="1:14" ht="13.8">
      <c r="A435" s="235"/>
      <c r="B435" s="235"/>
      <c r="C435" s="235"/>
      <c r="D435" s="234"/>
      <c r="E435" s="234"/>
      <c r="F435" s="234"/>
      <c r="G435" s="234"/>
      <c r="H435" s="235"/>
      <c r="I435" s="235"/>
      <c r="J435" s="235"/>
      <c r="K435" s="235"/>
      <c r="L435" s="235"/>
      <c r="M435" s="235"/>
      <c r="N435" s="235"/>
    </row>
    <row r="436" spans="1:14" ht="13.8">
      <c r="A436" s="235"/>
      <c r="B436" s="235"/>
      <c r="C436" s="235"/>
      <c r="D436" s="234"/>
      <c r="E436" s="234"/>
      <c r="F436" s="234"/>
      <c r="G436" s="234"/>
      <c r="H436" s="235"/>
      <c r="I436" s="235"/>
      <c r="J436" s="235"/>
      <c r="K436" s="235"/>
      <c r="L436" s="235"/>
      <c r="M436" s="235"/>
      <c r="N436" s="235"/>
    </row>
    <row r="437" spans="1:14" ht="13.8">
      <c r="A437" s="235"/>
      <c r="B437" s="235"/>
      <c r="C437" s="235"/>
      <c r="D437" s="234"/>
      <c r="E437" s="234"/>
      <c r="F437" s="234"/>
      <c r="G437" s="234"/>
      <c r="H437" s="235"/>
      <c r="I437" s="235"/>
      <c r="J437" s="235"/>
      <c r="K437" s="235"/>
      <c r="L437" s="235"/>
      <c r="M437" s="235"/>
      <c r="N437" s="235"/>
    </row>
    <row r="438" spans="1:14" ht="13.8">
      <c r="A438" s="235"/>
      <c r="B438" s="235"/>
      <c r="C438" s="235"/>
      <c r="D438" s="234"/>
      <c r="E438" s="234"/>
      <c r="F438" s="234"/>
      <c r="G438" s="234"/>
      <c r="H438" s="235"/>
      <c r="I438" s="235"/>
      <c r="J438" s="235"/>
      <c r="K438" s="235"/>
      <c r="L438" s="235"/>
      <c r="M438" s="235"/>
      <c r="N438" s="235"/>
    </row>
    <row r="439" spans="1:14" ht="13.8">
      <c r="A439" s="235"/>
      <c r="B439" s="235"/>
      <c r="C439" s="235"/>
      <c r="D439" s="234"/>
      <c r="E439" s="234"/>
      <c r="F439" s="234"/>
      <c r="G439" s="234"/>
      <c r="H439" s="235"/>
      <c r="I439" s="235"/>
      <c r="J439" s="235"/>
      <c r="K439" s="235"/>
      <c r="L439" s="235"/>
      <c r="M439" s="235"/>
      <c r="N439" s="235"/>
    </row>
    <row r="440" spans="1:14" ht="13.8">
      <c r="A440" s="235"/>
      <c r="B440" s="235"/>
      <c r="C440" s="235"/>
      <c r="D440" s="234"/>
      <c r="E440" s="234"/>
      <c r="F440" s="234"/>
      <c r="G440" s="234"/>
      <c r="H440" s="235"/>
      <c r="I440" s="235"/>
      <c r="J440" s="235"/>
      <c r="K440" s="235"/>
      <c r="L440" s="235"/>
      <c r="M440" s="235"/>
      <c r="N440" s="235"/>
    </row>
    <row r="441" spans="1:14" ht="13.8">
      <c r="A441" s="235"/>
      <c r="B441" s="235"/>
      <c r="C441" s="235"/>
      <c r="D441" s="234"/>
      <c r="E441" s="234"/>
      <c r="F441" s="234"/>
      <c r="G441" s="234"/>
      <c r="H441" s="235"/>
      <c r="I441" s="235"/>
      <c r="J441" s="235"/>
      <c r="K441" s="235"/>
      <c r="L441" s="235"/>
      <c r="M441" s="235"/>
      <c r="N441" s="235"/>
    </row>
    <row r="442" spans="1:14" ht="13.8">
      <c r="A442" s="235"/>
      <c r="B442" s="235"/>
      <c r="C442" s="235"/>
      <c r="D442" s="234"/>
      <c r="E442" s="234"/>
      <c r="F442" s="234"/>
      <c r="G442" s="234"/>
      <c r="H442" s="235"/>
      <c r="I442" s="235"/>
      <c r="J442" s="235"/>
      <c r="K442" s="235"/>
      <c r="L442" s="235"/>
      <c r="M442" s="235"/>
      <c r="N442" s="235"/>
    </row>
    <row r="443" spans="1:14" ht="13.8">
      <c r="A443" s="235"/>
      <c r="B443" s="235"/>
      <c r="C443" s="235"/>
      <c r="D443" s="234"/>
      <c r="E443" s="234"/>
      <c r="F443" s="234"/>
      <c r="G443" s="234"/>
      <c r="H443" s="235"/>
      <c r="I443" s="235"/>
      <c r="J443" s="235"/>
      <c r="K443" s="235"/>
      <c r="L443" s="235"/>
      <c r="M443" s="235"/>
      <c r="N443" s="235"/>
    </row>
    <row r="444" spans="1:14" ht="13.8">
      <c r="A444" s="235"/>
      <c r="B444" s="235"/>
      <c r="C444" s="235"/>
      <c r="D444" s="234"/>
      <c r="E444" s="234"/>
      <c r="F444" s="234"/>
      <c r="G444" s="234"/>
      <c r="H444" s="235"/>
      <c r="I444" s="235"/>
      <c r="J444" s="235"/>
      <c r="K444" s="235"/>
      <c r="L444" s="235"/>
      <c r="M444" s="235"/>
      <c r="N444" s="235"/>
    </row>
    <row r="445" spans="1:14" ht="13.8">
      <c r="A445" s="235"/>
      <c r="B445" s="235"/>
      <c r="C445" s="235"/>
      <c r="D445" s="234"/>
      <c r="E445" s="234"/>
      <c r="F445" s="234"/>
      <c r="G445" s="234"/>
      <c r="H445" s="235"/>
      <c r="I445" s="235"/>
      <c r="J445" s="235"/>
      <c r="K445" s="235"/>
      <c r="L445" s="235"/>
      <c r="M445" s="235"/>
      <c r="N445" s="235"/>
    </row>
    <row r="446" spans="1:14" ht="13.8">
      <c r="A446" s="235"/>
      <c r="B446" s="235"/>
      <c r="C446" s="235"/>
      <c r="D446" s="234"/>
      <c r="E446" s="234"/>
      <c r="F446" s="234"/>
      <c r="G446" s="234"/>
      <c r="H446" s="235"/>
      <c r="I446" s="235"/>
      <c r="J446" s="235"/>
      <c r="K446" s="235"/>
      <c r="L446" s="235"/>
      <c r="M446" s="235"/>
      <c r="N446" s="235"/>
    </row>
    <row r="447" spans="1:14" ht="13.8">
      <c r="A447" s="235"/>
      <c r="B447" s="235"/>
      <c r="C447" s="235"/>
      <c r="D447" s="234"/>
      <c r="E447" s="234"/>
      <c r="F447" s="234"/>
      <c r="G447" s="234"/>
      <c r="H447" s="235"/>
      <c r="I447" s="235"/>
      <c r="J447" s="235"/>
      <c r="K447" s="235"/>
      <c r="L447" s="235"/>
      <c r="M447" s="235"/>
      <c r="N447" s="235"/>
    </row>
    <row r="448" spans="1:14" ht="13.8">
      <c r="A448" s="235"/>
      <c r="B448" s="235"/>
      <c r="C448" s="235"/>
      <c r="D448" s="234"/>
      <c r="E448" s="234"/>
      <c r="F448" s="234"/>
      <c r="G448" s="234"/>
      <c r="H448" s="235"/>
      <c r="I448" s="235"/>
      <c r="J448" s="235"/>
      <c r="K448" s="235"/>
      <c r="L448" s="235"/>
      <c r="M448" s="235"/>
      <c r="N448" s="235"/>
    </row>
    <row r="449" spans="1:14" ht="13.8">
      <c r="A449" s="235"/>
      <c r="B449" s="235"/>
      <c r="C449" s="235"/>
      <c r="D449" s="234"/>
      <c r="E449" s="234"/>
      <c r="F449" s="234"/>
      <c r="G449" s="234"/>
      <c r="H449" s="235"/>
      <c r="I449" s="235"/>
      <c r="J449" s="235"/>
      <c r="K449" s="235"/>
      <c r="L449" s="235"/>
      <c r="M449" s="235"/>
      <c r="N449" s="235"/>
    </row>
    <row r="450" spans="1:14" ht="13.8">
      <c r="A450" s="235"/>
      <c r="B450" s="235"/>
      <c r="C450" s="235"/>
      <c r="D450" s="234"/>
      <c r="E450" s="234"/>
      <c r="F450" s="234"/>
      <c r="G450" s="234"/>
      <c r="H450" s="235"/>
      <c r="I450" s="235"/>
      <c r="J450" s="235"/>
      <c r="K450" s="235"/>
      <c r="L450" s="235"/>
      <c r="M450" s="235"/>
      <c r="N450" s="235"/>
    </row>
    <row r="451" spans="1:14" ht="13.8">
      <c r="A451" s="235"/>
      <c r="B451" s="235"/>
      <c r="C451" s="235"/>
      <c r="D451" s="234"/>
      <c r="E451" s="234"/>
      <c r="F451" s="234"/>
      <c r="G451" s="234"/>
      <c r="H451" s="235"/>
      <c r="I451" s="235"/>
      <c r="J451" s="235"/>
      <c r="K451" s="235"/>
      <c r="L451" s="235"/>
      <c r="M451" s="235"/>
      <c r="N451" s="235"/>
    </row>
    <row r="452" spans="1:14" ht="13.8">
      <c r="A452" s="235"/>
      <c r="B452" s="235"/>
      <c r="C452" s="235"/>
      <c r="D452" s="234"/>
      <c r="E452" s="234"/>
      <c r="F452" s="234"/>
      <c r="G452" s="234"/>
      <c r="H452" s="235"/>
      <c r="I452" s="235"/>
      <c r="J452" s="235"/>
      <c r="K452" s="235"/>
      <c r="L452" s="235"/>
      <c r="M452" s="235"/>
      <c r="N452" s="235"/>
    </row>
    <row r="453" spans="1:14" ht="13.8">
      <c r="A453" s="235"/>
      <c r="B453" s="235"/>
      <c r="C453" s="235"/>
      <c r="D453" s="234"/>
      <c r="E453" s="234"/>
      <c r="F453" s="234"/>
      <c r="G453" s="234"/>
      <c r="H453" s="235"/>
      <c r="I453" s="235"/>
      <c r="J453" s="235"/>
      <c r="K453" s="235"/>
      <c r="L453" s="235"/>
      <c r="M453" s="235"/>
      <c r="N453" s="235"/>
    </row>
    <row r="454" spans="1:14" ht="13.8">
      <c r="A454" s="235"/>
      <c r="B454" s="235"/>
      <c r="C454" s="235"/>
      <c r="D454" s="234"/>
      <c r="E454" s="234"/>
      <c r="F454" s="234"/>
      <c r="G454" s="234"/>
      <c r="H454" s="235"/>
      <c r="I454" s="235"/>
      <c r="J454" s="235"/>
      <c r="K454" s="235"/>
      <c r="L454" s="235"/>
      <c r="M454" s="235"/>
      <c r="N454" s="235"/>
    </row>
    <row r="455" spans="1:14" ht="13.8">
      <c r="A455" s="235"/>
      <c r="B455" s="235"/>
      <c r="C455" s="235"/>
      <c r="D455" s="234"/>
      <c r="E455" s="234"/>
      <c r="F455" s="234"/>
      <c r="G455" s="234"/>
      <c r="H455" s="235"/>
      <c r="I455" s="235"/>
      <c r="J455" s="235"/>
      <c r="K455" s="235"/>
      <c r="L455" s="235"/>
      <c r="M455" s="235"/>
      <c r="N455" s="235"/>
    </row>
    <row r="456" spans="1:14" ht="13.8">
      <c r="A456" s="235"/>
      <c r="B456" s="235"/>
      <c r="C456" s="235"/>
      <c r="D456" s="234"/>
      <c r="E456" s="234"/>
      <c r="F456" s="234"/>
      <c r="G456" s="234"/>
      <c r="H456" s="235"/>
      <c r="I456" s="235"/>
      <c r="J456" s="235"/>
      <c r="K456" s="235"/>
      <c r="L456" s="235"/>
      <c r="M456" s="235"/>
      <c r="N456" s="235"/>
    </row>
    <row r="457" spans="1:14" ht="13.8">
      <c r="A457" s="235"/>
      <c r="B457" s="235"/>
      <c r="C457" s="235"/>
      <c r="D457" s="234"/>
      <c r="E457" s="234"/>
      <c r="F457" s="234"/>
      <c r="G457" s="234"/>
      <c r="H457" s="235"/>
      <c r="I457" s="235"/>
      <c r="J457" s="235"/>
      <c r="K457" s="235"/>
      <c r="L457" s="235"/>
      <c r="M457" s="235"/>
      <c r="N457" s="235"/>
    </row>
    <row r="458" spans="1:14" ht="13.8">
      <c r="A458" s="235"/>
      <c r="B458" s="235"/>
      <c r="C458" s="235"/>
      <c r="D458" s="234"/>
      <c r="E458" s="234"/>
      <c r="F458" s="234"/>
      <c r="G458" s="234"/>
      <c r="H458" s="235"/>
      <c r="I458" s="235"/>
      <c r="J458" s="235"/>
      <c r="K458" s="235"/>
      <c r="L458" s="235"/>
      <c r="M458" s="235"/>
      <c r="N458" s="235"/>
    </row>
    <row r="459" spans="1:14" ht="13.8">
      <c r="A459" s="235"/>
      <c r="B459" s="235"/>
      <c r="C459" s="235"/>
      <c r="D459" s="234"/>
      <c r="E459" s="234"/>
      <c r="F459" s="234"/>
      <c r="G459" s="234"/>
      <c r="H459" s="235"/>
      <c r="I459" s="235"/>
      <c r="J459" s="235"/>
      <c r="K459" s="235"/>
      <c r="L459" s="235"/>
      <c r="M459" s="235"/>
      <c r="N459" s="235"/>
    </row>
    <row r="460" spans="1:14" ht="13.8">
      <c r="A460" s="235"/>
      <c r="B460" s="235"/>
      <c r="C460" s="235"/>
      <c r="D460" s="234"/>
      <c r="E460" s="234"/>
      <c r="F460" s="234"/>
      <c r="G460" s="234"/>
      <c r="H460" s="235"/>
      <c r="I460" s="235"/>
      <c r="J460" s="235"/>
      <c r="K460" s="235"/>
      <c r="L460" s="235"/>
      <c r="M460" s="235"/>
      <c r="N460" s="235"/>
    </row>
    <row r="461" spans="1:14" ht="13.8">
      <c r="A461" s="235"/>
      <c r="B461" s="235"/>
      <c r="C461" s="235"/>
      <c r="D461" s="234"/>
      <c r="E461" s="234"/>
      <c r="F461" s="234"/>
      <c r="G461" s="234"/>
      <c r="H461" s="235"/>
      <c r="I461" s="235"/>
      <c r="J461" s="235"/>
      <c r="K461" s="235"/>
      <c r="L461" s="235"/>
      <c r="M461" s="235"/>
      <c r="N461" s="235"/>
    </row>
    <row r="462" spans="1:14" ht="13.8">
      <c r="A462" s="235"/>
      <c r="B462" s="235"/>
      <c r="C462" s="235"/>
      <c r="D462" s="234"/>
      <c r="E462" s="234"/>
      <c r="F462" s="234"/>
      <c r="G462" s="234"/>
      <c r="H462" s="235"/>
      <c r="I462" s="235"/>
      <c r="J462" s="235"/>
      <c r="K462" s="235"/>
      <c r="L462" s="235"/>
      <c r="M462" s="235"/>
      <c r="N462" s="235"/>
    </row>
    <row r="463" spans="1:14" ht="13.8">
      <c r="A463" s="235"/>
      <c r="B463" s="235"/>
      <c r="C463" s="235"/>
      <c r="D463" s="234"/>
      <c r="E463" s="234"/>
      <c r="F463" s="234"/>
      <c r="G463" s="234"/>
      <c r="H463" s="235"/>
      <c r="I463" s="235"/>
      <c r="J463" s="235"/>
      <c r="K463" s="235"/>
      <c r="L463" s="235"/>
      <c r="M463" s="235"/>
      <c r="N463" s="235"/>
    </row>
    <row r="464" spans="1:14" ht="13.8">
      <c r="A464" s="235"/>
      <c r="B464" s="235"/>
      <c r="C464" s="235"/>
      <c r="D464" s="234"/>
      <c r="E464" s="234"/>
      <c r="F464" s="234"/>
      <c r="G464" s="234"/>
      <c r="H464" s="235"/>
      <c r="I464" s="235"/>
      <c r="J464" s="235"/>
      <c r="K464" s="235"/>
      <c r="L464" s="235"/>
      <c r="M464" s="235"/>
      <c r="N464" s="235"/>
    </row>
    <row r="465" spans="1:14" ht="13.8">
      <c r="A465" s="235"/>
      <c r="B465" s="235"/>
      <c r="C465" s="235"/>
      <c r="D465" s="234"/>
      <c r="E465" s="234"/>
      <c r="F465" s="234"/>
      <c r="G465" s="234"/>
      <c r="H465" s="235"/>
      <c r="I465" s="235"/>
      <c r="J465" s="235"/>
      <c r="K465" s="235"/>
      <c r="L465" s="235"/>
      <c r="M465" s="235"/>
      <c r="N465" s="235"/>
    </row>
    <row r="466" spans="1:14" ht="13.8">
      <c r="A466" s="235"/>
      <c r="B466" s="235"/>
      <c r="C466" s="235"/>
      <c r="D466" s="234"/>
      <c r="E466" s="234"/>
      <c r="F466" s="234"/>
      <c r="G466" s="234"/>
      <c r="H466" s="235"/>
      <c r="I466" s="235"/>
      <c r="J466" s="235"/>
      <c r="K466" s="235"/>
      <c r="L466" s="235"/>
      <c r="M466" s="235"/>
      <c r="N466" s="235"/>
    </row>
    <row r="467" spans="1:14" ht="13.8">
      <c r="A467" s="235"/>
      <c r="B467" s="235"/>
      <c r="C467" s="235"/>
      <c r="D467" s="234"/>
      <c r="E467" s="234"/>
      <c r="F467" s="234"/>
      <c r="G467" s="234"/>
      <c r="H467" s="235"/>
      <c r="I467" s="235"/>
      <c r="J467" s="235"/>
      <c r="K467" s="235"/>
      <c r="L467" s="235"/>
      <c r="M467" s="235"/>
      <c r="N467" s="235"/>
    </row>
    <row r="468" spans="1:14" ht="13.8">
      <c r="A468" s="235"/>
      <c r="B468" s="235"/>
      <c r="C468" s="235"/>
      <c r="D468" s="234"/>
      <c r="E468" s="234"/>
      <c r="F468" s="234"/>
      <c r="G468" s="234"/>
      <c r="H468" s="235"/>
      <c r="I468" s="235"/>
      <c r="J468" s="235"/>
      <c r="K468" s="235"/>
      <c r="L468" s="235"/>
      <c r="M468" s="235"/>
      <c r="N468" s="235"/>
    </row>
    <row r="469" spans="1:14" ht="13.8">
      <c r="A469" s="235"/>
      <c r="B469" s="235"/>
      <c r="C469" s="235"/>
      <c r="D469" s="234"/>
      <c r="E469" s="234"/>
      <c r="F469" s="234"/>
      <c r="G469" s="234"/>
      <c r="H469" s="235"/>
      <c r="I469" s="235"/>
      <c r="J469" s="235"/>
      <c r="K469" s="235"/>
      <c r="L469" s="235"/>
      <c r="M469" s="235"/>
      <c r="N469" s="235"/>
    </row>
    <row r="470" spans="1:14" ht="13.8">
      <c r="A470" s="235"/>
      <c r="B470" s="235"/>
      <c r="C470" s="235"/>
      <c r="D470" s="234"/>
      <c r="E470" s="234"/>
      <c r="F470" s="234"/>
      <c r="G470" s="234"/>
      <c r="H470" s="235"/>
      <c r="I470" s="235"/>
      <c r="J470" s="235"/>
      <c r="K470" s="235"/>
      <c r="L470" s="235"/>
      <c r="M470" s="235"/>
      <c r="N470" s="235"/>
    </row>
    <row r="471" spans="1:14" ht="13.8">
      <c r="A471" s="235"/>
      <c r="B471" s="235"/>
      <c r="C471" s="235"/>
      <c r="D471" s="234"/>
      <c r="E471" s="234"/>
      <c r="F471" s="234"/>
      <c r="G471" s="234"/>
      <c r="H471" s="235"/>
      <c r="I471" s="235"/>
      <c r="J471" s="235"/>
      <c r="K471" s="235"/>
      <c r="L471" s="235"/>
      <c r="M471" s="235"/>
      <c r="N471" s="235"/>
    </row>
    <row r="472" spans="1:14" ht="13.8">
      <c r="A472" s="235"/>
      <c r="B472" s="235"/>
      <c r="C472" s="235"/>
      <c r="D472" s="234"/>
      <c r="E472" s="234"/>
      <c r="F472" s="234"/>
      <c r="G472" s="234"/>
      <c r="H472" s="235"/>
      <c r="I472" s="235"/>
      <c r="J472" s="235"/>
      <c r="K472" s="235"/>
      <c r="L472" s="235"/>
      <c r="M472" s="235"/>
      <c r="N472" s="235"/>
    </row>
    <row r="473" spans="1:14" ht="13.8">
      <c r="A473" s="235"/>
      <c r="B473" s="235"/>
      <c r="C473" s="235"/>
      <c r="D473" s="234"/>
      <c r="E473" s="234"/>
      <c r="F473" s="234"/>
      <c r="G473" s="234"/>
      <c r="H473" s="235"/>
      <c r="I473" s="235"/>
      <c r="J473" s="235"/>
      <c r="K473" s="235"/>
      <c r="L473" s="235"/>
      <c r="M473" s="235"/>
      <c r="N473" s="235"/>
    </row>
    <row r="474" spans="1:14" ht="13.8">
      <c r="A474" s="235"/>
      <c r="B474" s="235"/>
      <c r="C474" s="235"/>
      <c r="D474" s="234"/>
      <c r="E474" s="234"/>
      <c r="F474" s="234"/>
      <c r="G474" s="234"/>
      <c r="H474" s="235"/>
      <c r="I474" s="235"/>
      <c r="J474" s="235"/>
      <c r="K474" s="235"/>
      <c r="L474" s="235"/>
      <c r="M474" s="235"/>
      <c r="N474" s="235"/>
    </row>
    <row r="475" spans="1:14" ht="13.8">
      <c r="A475" s="235"/>
      <c r="B475" s="235"/>
      <c r="C475" s="235"/>
      <c r="D475" s="234"/>
      <c r="E475" s="234"/>
      <c r="F475" s="234"/>
      <c r="G475" s="234"/>
      <c r="H475" s="235"/>
      <c r="I475" s="235"/>
      <c r="J475" s="235"/>
      <c r="K475" s="235"/>
      <c r="L475" s="235"/>
      <c r="M475" s="235"/>
      <c r="N475" s="235"/>
    </row>
    <row r="476" spans="1:14" ht="13.8">
      <c r="A476" s="235"/>
      <c r="B476" s="235"/>
      <c r="C476" s="235"/>
      <c r="D476" s="234"/>
      <c r="E476" s="234"/>
      <c r="F476" s="234"/>
      <c r="G476" s="234"/>
      <c r="H476" s="235"/>
      <c r="I476" s="235"/>
      <c r="J476" s="235"/>
      <c r="K476" s="235"/>
      <c r="L476" s="235"/>
      <c r="M476" s="235"/>
      <c r="N476" s="235"/>
    </row>
    <row r="477" spans="1:14" ht="13.8">
      <c r="A477" s="235"/>
      <c r="B477" s="235"/>
      <c r="C477" s="235"/>
      <c r="D477" s="234"/>
      <c r="E477" s="234"/>
      <c r="F477" s="234"/>
      <c r="G477" s="234"/>
      <c r="H477" s="235"/>
      <c r="I477" s="235"/>
      <c r="J477" s="235"/>
      <c r="K477" s="235"/>
      <c r="L477" s="235"/>
      <c r="M477" s="235"/>
      <c r="N477" s="235"/>
    </row>
    <row r="478" spans="1:14" ht="13.8">
      <c r="A478" s="235"/>
      <c r="B478" s="235"/>
      <c r="C478" s="235"/>
      <c r="D478" s="234"/>
      <c r="E478" s="234"/>
      <c r="F478" s="234"/>
      <c r="G478" s="234"/>
      <c r="H478" s="235"/>
      <c r="I478" s="235"/>
      <c r="J478" s="235"/>
      <c r="K478" s="235"/>
      <c r="L478" s="235"/>
      <c r="M478" s="235"/>
      <c r="N478" s="235"/>
    </row>
    <row r="479" spans="1:14" ht="13.8">
      <c r="A479" s="235"/>
      <c r="B479" s="235"/>
      <c r="C479" s="235"/>
      <c r="D479" s="234"/>
      <c r="E479" s="234"/>
      <c r="F479" s="234"/>
      <c r="G479" s="234"/>
      <c r="H479" s="235"/>
      <c r="I479" s="235"/>
      <c r="J479" s="235"/>
      <c r="K479" s="235"/>
      <c r="L479" s="235"/>
      <c r="M479" s="235"/>
      <c r="N479" s="235"/>
    </row>
    <row r="480" spans="1:14" ht="13.8">
      <c r="A480" s="235"/>
      <c r="B480" s="235"/>
      <c r="C480" s="235"/>
      <c r="D480" s="234"/>
      <c r="E480" s="234"/>
      <c r="F480" s="234"/>
      <c r="G480" s="234"/>
      <c r="H480" s="235"/>
      <c r="I480" s="235"/>
      <c r="J480" s="235"/>
      <c r="K480" s="235"/>
      <c r="L480" s="235"/>
      <c r="M480" s="235"/>
      <c r="N480" s="235"/>
    </row>
    <row r="481" spans="1:14" ht="13.8">
      <c r="A481" s="235"/>
      <c r="B481" s="235"/>
      <c r="C481" s="235"/>
      <c r="D481" s="234"/>
      <c r="E481" s="234"/>
      <c r="F481" s="234"/>
      <c r="G481" s="234"/>
      <c r="H481" s="235"/>
      <c r="I481" s="235"/>
      <c r="J481" s="235"/>
      <c r="K481" s="235"/>
      <c r="L481" s="235"/>
      <c r="M481" s="235"/>
      <c r="N481" s="235"/>
    </row>
    <row r="482" spans="1:14" ht="13.8">
      <c r="A482" s="235"/>
      <c r="B482" s="235"/>
      <c r="C482" s="235"/>
      <c r="D482" s="234"/>
      <c r="E482" s="234"/>
      <c r="F482" s="234"/>
      <c r="G482" s="234"/>
      <c r="H482" s="235"/>
      <c r="I482" s="235"/>
      <c r="J482" s="235"/>
      <c r="K482" s="235"/>
      <c r="L482" s="235"/>
      <c r="M482" s="235"/>
      <c r="N482" s="235"/>
    </row>
    <row r="483" spans="1:14" ht="13.8">
      <c r="A483" s="235"/>
      <c r="B483" s="235"/>
      <c r="C483" s="235"/>
      <c r="D483" s="234"/>
      <c r="E483" s="234"/>
      <c r="F483" s="234"/>
      <c r="G483" s="234"/>
      <c r="H483" s="235"/>
      <c r="I483" s="235"/>
      <c r="J483" s="235"/>
      <c r="K483" s="235"/>
      <c r="L483" s="235"/>
      <c r="M483" s="235"/>
      <c r="N483" s="235"/>
    </row>
    <row r="484" spans="1:14" ht="13.8">
      <c r="A484" s="235"/>
      <c r="B484" s="235"/>
      <c r="C484" s="235"/>
      <c r="D484" s="234"/>
      <c r="E484" s="234"/>
      <c r="F484" s="234"/>
      <c r="G484" s="234"/>
      <c r="H484" s="235"/>
      <c r="I484" s="235"/>
      <c r="J484" s="235"/>
      <c r="K484" s="235"/>
      <c r="L484" s="235"/>
      <c r="M484" s="235"/>
      <c r="N484" s="235"/>
    </row>
    <row r="485" spans="1:14" ht="13.8">
      <c r="A485" s="235"/>
      <c r="B485" s="235"/>
      <c r="C485" s="235"/>
      <c r="D485" s="234"/>
      <c r="E485" s="234"/>
      <c r="F485" s="234"/>
      <c r="G485" s="234"/>
      <c r="H485" s="235"/>
      <c r="I485" s="235"/>
      <c r="J485" s="235"/>
      <c r="K485" s="235"/>
      <c r="L485" s="235"/>
      <c r="M485" s="235"/>
      <c r="N485" s="235"/>
    </row>
    <row r="486" spans="1:14" ht="13.8">
      <c r="A486" s="235"/>
      <c r="B486" s="235"/>
      <c r="C486" s="235"/>
      <c r="D486" s="234"/>
      <c r="E486" s="234"/>
      <c r="F486" s="234"/>
      <c r="G486" s="234"/>
      <c r="H486" s="235"/>
      <c r="I486" s="235"/>
      <c r="J486" s="235"/>
      <c r="K486" s="235"/>
      <c r="L486" s="235"/>
      <c r="M486" s="235"/>
      <c r="N486" s="235"/>
    </row>
    <row r="487" spans="1:14" ht="13.8">
      <c r="A487" s="235"/>
      <c r="B487" s="235"/>
      <c r="C487" s="235"/>
      <c r="D487" s="234"/>
      <c r="E487" s="234"/>
      <c r="F487" s="234"/>
      <c r="G487" s="234"/>
      <c r="H487" s="235"/>
      <c r="I487" s="235"/>
      <c r="J487" s="235"/>
      <c r="K487" s="235"/>
      <c r="L487" s="235"/>
      <c r="M487" s="235"/>
      <c r="N487" s="235"/>
    </row>
    <row r="488" spans="1:14" ht="13.8">
      <c r="A488" s="235"/>
      <c r="B488" s="235"/>
      <c r="C488" s="235"/>
      <c r="D488" s="234"/>
      <c r="E488" s="234"/>
      <c r="F488" s="234"/>
      <c r="G488" s="234"/>
      <c r="H488" s="235"/>
      <c r="I488" s="235"/>
      <c r="J488" s="235"/>
      <c r="K488" s="235"/>
      <c r="L488" s="235"/>
      <c r="M488" s="235"/>
      <c r="N488" s="235"/>
    </row>
    <row r="489" spans="1:14" ht="13.8">
      <c r="A489" s="235"/>
      <c r="B489" s="235"/>
      <c r="C489" s="235"/>
      <c r="D489" s="234"/>
      <c r="E489" s="234"/>
      <c r="F489" s="234"/>
      <c r="G489" s="234"/>
      <c r="H489" s="235"/>
      <c r="I489" s="235"/>
      <c r="J489" s="235"/>
      <c r="K489" s="235"/>
      <c r="L489" s="235"/>
      <c r="M489" s="235"/>
      <c r="N489" s="235"/>
    </row>
    <row r="490" spans="1:14" ht="13.8">
      <c r="A490" s="235"/>
      <c r="B490" s="235"/>
      <c r="C490" s="235"/>
      <c r="D490" s="234"/>
      <c r="E490" s="234"/>
      <c r="F490" s="234"/>
      <c r="G490" s="234"/>
      <c r="H490" s="235"/>
      <c r="I490" s="235"/>
      <c r="J490" s="235"/>
      <c r="K490" s="235"/>
      <c r="L490" s="235"/>
      <c r="M490" s="235"/>
      <c r="N490" s="235"/>
    </row>
    <row r="491" spans="1:14" ht="13.8">
      <c r="A491" s="235"/>
      <c r="B491" s="235"/>
      <c r="C491" s="235"/>
      <c r="D491" s="234"/>
      <c r="E491" s="234"/>
      <c r="F491" s="234"/>
      <c r="G491" s="234"/>
      <c r="H491" s="235"/>
      <c r="I491" s="235"/>
      <c r="J491" s="235"/>
      <c r="K491" s="235"/>
      <c r="L491" s="235"/>
      <c r="M491" s="235"/>
      <c r="N491" s="235"/>
    </row>
    <row r="492" spans="1:14" ht="13.8">
      <c r="A492" s="235"/>
      <c r="B492" s="235"/>
      <c r="C492" s="235"/>
      <c r="D492" s="234"/>
      <c r="E492" s="234"/>
      <c r="F492" s="234"/>
      <c r="G492" s="234"/>
      <c r="H492" s="235"/>
      <c r="I492" s="235"/>
      <c r="J492" s="235"/>
      <c r="K492" s="235"/>
      <c r="L492" s="235"/>
      <c r="M492" s="235"/>
      <c r="N492" s="235"/>
    </row>
    <row r="493" spans="1:14" ht="13.8">
      <c r="A493" s="235"/>
      <c r="B493" s="235"/>
      <c r="C493" s="235"/>
      <c r="D493" s="234"/>
      <c r="E493" s="234"/>
      <c r="F493" s="234"/>
      <c r="G493" s="234"/>
      <c r="H493" s="235"/>
      <c r="I493" s="235"/>
      <c r="J493" s="235"/>
      <c r="K493" s="235"/>
      <c r="L493" s="235"/>
      <c r="M493" s="235"/>
      <c r="N493" s="235"/>
    </row>
    <row r="494" spans="1:14" ht="13.8">
      <c r="A494" s="235"/>
      <c r="B494" s="235"/>
      <c r="C494" s="235"/>
      <c r="D494" s="234"/>
      <c r="E494" s="234"/>
      <c r="F494" s="234"/>
      <c r="G494" s="234"/>
      <c r="H494" s="235"/>
      <c r="I494" s="235"/>
      <c r="J494" s="235"/>
      <c r="K494" s="235"/>
      <c r="L494" s="235"/>
      <c r="M494" s="235"/>
      <c r="N494" s="235"/>
    </row>
    <row r="495" spans="1:14" ht="13.8">
      <c r="A495" s="235"/>
      <c r="B495" s="235"/>
      <c r="C495" s="235"/>
      <c r="D495" s="234"/>
      <c r="E495" s="234"/>
      <c r="F495" s="234"/>
      <c r="G495" s="234"/>
      <c r="H495" s="235"/>
      <c r="I495" s="235"/>
      <c r="J495" s="235"/>
      <c r="K495" s="235"/>
      <c r="L495" s="235"/>
      <c r="M495" s="235"/>
      <c r="N495" s="235"/>
    </row>
    <row r="496" spans="1:14" ht="13.8">
      <c r="A496" s="235"/>
      <c r="B496" s="235"/>
      <c r="C496" s="235"/>
      <c r="D496" s="234"/>
      <c r="E496" s="234"/>
      <c r="F496" s="234"/>
      <c r="G496" s="234"/>
      <c r="H496" s="235"/>
      <c r="I496" s="235"/>
      <c r="J496" s="235"/>
      <c r="K496" s="235"/>
      <c r="L496" s="235"/>
      <c r="M496" s="235"/>
      <c r="N496" s="235"/>
    </row>
    <row r="497" spans="1:14" ht="13.8">
      <c r="A497" s="235"/>
      <c r="B497" s="235"/>
      <c r="C497" s="235"/>
      <c r="D497" s="234"/>
      <c r="E497" s="234"/>
      <c r="F497" s="234"/>
      <c r="G497" s="234"/>
      <c r="H497" s="235"/>
      <c r="I497" s="235"/>
      <c r="J497" s="235"/>
      <c r="K497" s="235"/>
      <c r="L497" s="235"/>
      <c r="M497" s="235"/>
      <c r="N497" s="235"/>
    </row>
    <row r="498" spans="1:14" ht="13.8">
      <c r="A498" s="235"/>
      <c r="B498" s="235"/>
      <c r="C498" s="235"/>
      <c r="D498" s="234"/>
      <c r="E498" s="234"/>
      <c r="F498" s="234"/>
      <c r="G498" s="234"/>
      <c r="H498" s="235"/>
      <c r="I498" s="235"/>
      <c r="J498" s="235"/>
      <c r="K498" s="235"/>
      <c r="L498" s="235"/>
      <c r="M498" s="235"/>
      <c r="N498" s="235"/>
    </row>
    <row r="499" spans="1:14" ht="13.8">
      <c r="A499" s="235"/>
      <c r="B499" s="235"/>
      <c r="C499" s="235"/>
      <c r="D499" s="234"/>
      <c r="E499" s="234"/>
      <c r="F499" s="234"/>
      <c r="G499" s="234"/>
      <c r="H499" s="235"/>
      <c r="I499" s="235"/>
      <c r="J499" s="235"/>
      <c r="K499" s="235"/>
      <c r="L499" s="235"/>
      <c r="M499" s="235"/>
      <c r="N499" s="235"/>
    </row>
    <row r="500" spans="1:14" ht="13.8">
      <c r="A500" s="235"/>
      <c r="B500" s="235"/>
      <c r="C500" s="235"/>
      <c r="D500" s="234"/>
      <c r="E500" s="234"/>
      <c r="F500" s="234"/>
      <c r="G500" s="234"/>
      <c r="H500" s="235"/>
      <c r="I500" s="235"/>
      <c r="J500" s="235"/>
      <c r="K500" s="235"/>
      <c r="L500" s="235"/>
      <c r="M500" s="235"/>
      <c r="N500" s="235"/>
    </row>
    <row r="501" spans="1:14" ht="13.8">
      <c r="A501" s="235"/>
      <c r="B501" s="235"/>
      <c r="C501" s="235"/>
      <c r="D501" s="234"/>
      <c r="E501" s="234"/>
      <c r="F501" s="234"/>
      <c r="G501" s="234"/>
      <c r="H501" s="235"/>
      <c r="I501" s="235"/>
      <c r="J501" s="235"/>
      <c r="K501" s="235"/>
      <c r="L501" s="235"/>
      <c r="M501" s="235"/>
      <c r="N501" s="235"/>
    </row>
    <row r="502" spans="1:14" ht="13.8">
      <c r="A502" s="235"/>
      <c r="B502" s="235"/>
      <c r="C502" s="235"/>
      <c r="D502" s="234"/>
      <c r="E502" s="234"/>
      <c r="F502" s="234"/>
      <c r="G502" s="234"/>
      <c r="H502" s="235"/>
      <c r="I502" s="235"/>
      <c r="J502" s="235"/>
      <c r="K502" s="235"/>
      <c r="L502" s="235"/>
      <c r="M502" s="235"/>
      <c r="N502" s="235"/>
    </row>
    <row r="503" spans="1:14" ht="13.8">
      <c r="A503" s="235"/>
      <c r="B503" s="235"/>
      <c r="C503" s="235"/>
      <c r="D503" s="234"/>
      <c r="E503" s="234"/>
      <c r="F503" s="234"/>
      <c r="G503" s="234"/>
      <c r="H503" s="235"/>
      <c r="I503" s="235"/>
      <c r="J503" s="235"/>
      <c r="K503" s="235"/>
      <c r="L503" s="235"/>
      <c r="M503" s="235"/>
      <c r="N503" s="235"/>
    </row>
    <row r="504" spans="1:14" ht="13.8">
      <c r="A504" s="235"/>
      <c r="B504" s="235"/>
      <c r="C504" s="235"/>
      <c r="D504" s="234"/>
      <c r="E504" s="234"/>
      <c r="F504" s="234"/>
      <c r="G504" s="234"/>
      <c r="H504" s="235"/>
      <c r="I504" s="235"/>
      <c r="J504" s="235"/>
      <c r="K504" s="235"/>
      <c r="L504" s="235"/>
      <c r="M504" s="235"/>
      <c r="N504" s="235"/>
    </row>
    <row r="505" spans="1:14" ht="13.8">
      <c r="A505" s="235"/>
      <c r="B505" s="235"/>
      <c r="C505" s="235"/>
      <c r="D505" s="234"/>
      <c r="E505" s="234"/>
      <c r="F505" s="234"/>
      <c r="G505" s="234"/>
      <c r="H505" s="235"/>
      <c r="I505" s="235"/>
      <c r="J505" s="235"/>
      <c r="K505" s="235"/>
      <c r="L505" s="235"/>
      <c r="M505" s="235"/>
      <c r="N505" s="235"/>
    </row>
    <row r="506" spans="1:14" ht="13.8">
      <c r="A506" s="235"/>
      <c r="B506" s="235"/>
      <c r="C506" s="235"/>
      <c r="D506" s="234"/>
      <c r="E506" s="234"/>
      <c r="F506" s="234"/>
      <c r="G506" s="234"/>
      <c r="H506" s="235"/>
      <c r="I506" s="235"/>
      <c r="J506" s="235"/>
      <c r="K506" s="235"/>
      <c r="L506" s="235"/>
      <c r="M506" s="235"/>
      <c r="N506" s="235"/>
    </row>
    <row r="507" spans="1:14" ht="13.8">
      <c r="A507" s="235"/>
      <c r="B507" s="235"/>
      <c r="C507" s="235"/>
      <c r="D507" s="234"/>
      <c r="E507" s="234"/>
      <c r="F507" s="234"/>
      <c r="G507" s="234"/>
      <c r="H507" s="235"/>
      <c r="I507" s="235"/>
      <c r="J507" s="235"/>
      <c r="K507" s="235"/>
      <c r="L507" s="235"/>
      <c r="M507" s="235"/>
      <c r="N507" s="235"/>
    </row>
    <row r="508" spans="1:14" ht="13.8">
      <c r="A508" s="235"/>
      <c r="B508" s="235"/>
      <c r="C508" s="235"/>
      <c r="D508" s="234"/>
      <c r="E508" s="234"/>
      <c r="F508" s="234"/>
      <c r="G508" s="234"/>
      <c r="H508" s="235"/>
      <c r="I508" s="235"/>
      <c r="J508" s="235"/>
      <c r="K508" s="235"/>
      <c r="L508" s="235"/>
      <c r="M508" s="235"/>
      <c r="N508" s="235"/>
    </row>
    <row r="509" spans="1:14" ht="13.8">
      <c r="A509" s="235"/>
      <c r="B509" s="235"/>
      <c r="C509" s="235"/>
      <c r="D509" s="234"/>
      <c r="E509" s="234"/>
      <c r="F509" s="234"/>
      <c r="G509" s="234"/>
      <c r="H509" s="235"/>
      <c r="I509" s="235"/>
      <c r="J509" s="235"/>
      <c r="K509" s="235"/>
      <c r="L509" s="235"/>
      <c r="M509" s="235"/>
      <c r="N509" s="235"/>
    </row>
    <row r="510" spans="1:14" ht="13.8">
      <c r="A510" s="235"/>
      <c r="B510" s="235"/>
      <c r="C510" s="235"/>
      <c r="D510" s="234"/>
      <c r="E510" s="234"/>
      <c r="F510" s="234"/>
      <c r="G510" s="234"/>
      <c r="H510" s="235"/>
      <c r="I510" s="235"/>
      <c r="J510" s="235"/>
      <c r="K510" s="235"/>
      <c r="L510" s="235"/>
      <c r="M510" s="235"/>
      <c r="N510" s="235"/>
    </row>
    <row r="511" spans="1:14" ht="13.8">
      <c r="A511" s="235"/>
      <c r="B511" s="235"/>
      <c r="C511" s="235"/>
      <c r="D511" s="234"/>
      <c r="E511" s="234"/>
      <c r="F511" s="234"/>
      <c r="G511" s="234"/>
      <c r="H511" s="235"/>
      <c r="I511" s="235"/>
      <c r="J511" s="235"/>
      <c r="K511" s="235"/>
      <c r="L511" s="235"/>
      <c r="M511" s="235"/>
      <c r="N511" s="235"/>
    </row>
    <row r="512" spans="1:14" ht="13.8">
      <c r="A512" s="235"/>
      <c r="B512" s="235"/>
      <c r="C512" s="235"/>
      <c r="D512" s="234"/>
      <c r="E512" s="234"/>
      <c r="F512" s="234"/>
      <c r="G512" s="234"/>
      <c r="H512" s="235"/>
      <c r="I512" s="235"/>
      <c r="J512" s="235"/>
      <c r="K512" s="235"/>
      <c r="L512" s="235"/>
      <c r="M512" s="235"/>
      <c r="N512" s="235"/>
    </row>
    <row r="513" spans="1:14" ht="13.8">
      <c r="A513" s="235"/>
      <c r="B513" s="235"/>
      <c r="C513" s="235"/>
      <c r="D513" s="234"/>
      <c r="E513" s="234"/>
      <c r="F513" s="234"/>
      <c r="G513" s="234"/>
      <c r="H513" s="235"/>
      <c r="I513" s="235"/>
      <c r="J513" s="235"/>
      <c r="K513" s="235"/>
      <c r="L513" s="235"/>
      <c r="M513" s="235"/>
      <c r="N513" s="235"/>
    </row>
    <row r="514" spans="1:14" ht="13.8">
      <c r="A514" s="235"/>
      <c r="B514" s="235"/>
      <c r="C514" s="235"/>
      <c r="D514" s="234"/>
      <c r="E514" s="234"/>
      <c r="F514" s="234"/>
      <c r="G514" s="234"/>
      <c r="H514" s="235"/>
      <c r="I514" s="235"/>
      <c r="J514" s="235"/>
      <c r="K514" s="235"/>
      <c r="L514" s="235"/>
      <c r="M514" s="235"/>
      <c r="N514" s="235"/>
    </row>
    <row r="515" spans="1:14" ht="13.8">
      <c r="A515" s="235"/>
      <c r="B515" s="235"/>
      <c r="C515" s="235"/>
      <c r="D515" s="234"/>
      <c r="E515" s="234"/>
      <c r="F515" s="234"/>
      <c r="G515" s="234"/>
      <c r="H515" s="235"/>
      <c r="I515" s="235"/>
      <c r="J515" s="235"/>
      <c r="K515" s="235"/>
      <c r="L515" s="235"/>
      <c r="M515" s="235"/>
      <c r="N515" s="235"/>
    </row>
    <row r="516" spans="1:14" ht="13.8">
      <c r="A516" s="235"/>
      <c r="B516" s="235"/>
      <c r="C516" s="235"/>
      <c r="D516" s="234"/>
      <c r="E516" s="234"/>
      <c r="F516" s="234"/>
      <c r="G516" s="234"/>
      <c r="H516" s="235"/>
      <c r="I516" s="235"/>
      <c r="J516" s="235"/>
      <c r="K516" s="235"/>
      <c r="L516" s="235"/>
      <c r="M516" s="235"/>
      <c r="N516" s="235"/>
    </row>
    <row r="517" spans="1:14" ht="13.8">
      <c r="A517" s="235"/>
      <c r="B517" s="235"/>
      <c r="C517" s="235"/>
      <c r="D517" s="234"/>
      <c r="E517" s="234"/>
      <c r="F517" s="234"/>
      <c r="G517" s="234"/>
      <c r="H517" s="235"/>
      <c r="I517" s="235"/>
      <c r="J517" s="235"/>
      <c r="K517" s="235"/>
      <c r="L517" s="235"/>
      <c r="M517" s="235"/>
      <c r="N517" s="235"/>
    </row>
    <row r="518" spans="1:14" ht="13.8">
      <c r="A518" s="235"/>
      <c r="B518" s="235"/>
      <c r="C518" s="235"/>
      <c r="D518" s="234"/>
      <c r="E518" s="234"/>
      <c r="F518" s="234"/>
      <c r="G518" s="234"/>
      <c r="H518" s="235"/>
      <c r="I518" s="235"/>
      <c r="J518" s="235"/>
      <c r="K518" s="235"/>
      <c r="L518" s="235"/>
      <c r="M518" s="235"/>
      <c r="N518" s="235"/>
    </row>
    <row r="519" spans="1:14" ht="13.8">
      <c r="A519" s="235"/>
      <c r="B519" s="235"/>
      <c r="C519" s="235"/>
      <c r="D519" s="234"/>
      <c r="E519" s="234"/>
      <c r="F519" s="234"/>
      <c r="G519" s="234"/>
      <c r="H519" s="235"/>
      <c r="I519" s="235"/>
      <c r="J519" s="235"/>
      <c r="K519" s="235"/>
      <c r="L519" s="235"/>
      <c r="M519" s="235"/>
      <c r="N519" s="235"/>
    </row>
    <row r="520" spans="1:14" ht="13.8">
      <c r="A520" s="235"/>
      <c r="B520" s="235"/>
      <c r="C520" s="235"/>
      <c r="D520" s="234"/>
      <c r="E520" s="234"/>
      <c r="F520" s="234"/>
      <c r="G520" s="234"/>
      <c r="H520" s="235"/>
      <c r="I520" s="235"/>
      <c r="J520" s="235"/>
      <c r="K520" s="235"/>
      <c r="L520" s="235"/>
      <c r="M520" s="235"/>
      <c r="N520" s="235"/>
    </row>
    <row r="521" spans="1:14" ht="13.8">
      <c r="A521" s="235"/>
      <c r="B521" s="235"/>
      <c r="C521" s="235"/>
      <c r="D521" s="234"/>
      <c r="E521" s="234"/>
      <c r="F521" s="234"/>
      <c r="G521" s="234"/>
      <c r="H521" s="235"/>
      <c r="I521" s="235"/>
      <c r="J521" s="235"/>
      <c r="K521" s="235"/>
      <c r="L521" s="235"/>
      <c r="M521" s="235"/>
      <c r="N521" s="235"/>
    </row>
    <row r="522" spans="1:14" ht="13.8">
      <c r="A522" s="235"/>
      <c r="B522" s="235"/>
      <c r="C522" s="235"/>
      <c r="D522" s="234"/>
      <c r="E522" s="234"/>
      <c r="F522" s="234"/>
      <c r="G522" s="234"/>
      <c r="H522" s="235"/>
      <c r="I522" s="235"/>
      <c r="J522" s="235"/>
      <c r="K522" s="235"/>
      <c r="L522" s="235"/>
      <c r="M522" s="235"/>
      <c r="N522" s="235"/>
    </row>
    <row r="523" spans="1:14" ht="13.8">
      <c r="A523" s="235"/>
      <c r="B523" s="235"/>
      <c r="C523" s="235"/>
      <c r="D523" s="234"/>
      <c r="E523" s="234"/>
      <c r="F523" s="234"/>
      <c r="G523" s="234"/>
      <c r="H523" s="235"/>
      <c r="I523" s="235"/>
      <c r="J523" s="235"/>
      <c r="K523" s="235"/>
      <c r="L523" s="235"/>
      <c r="M523" s="235"/>
      <c r="N523" s="235"/>
    </row>
    <row r="524" spans="1:14" ht="13.8">
      <c r="A524" s="235"/>
      <c r="B524" s="235"/>
      <c r="C524" s="235"/>
      <c r="D524" s="234"/>
      <c r="E524" s="234"/>
      <c r="F524" s="234"/>
      <c r="G524" s="234"/>
      <c r="H524" s="235"/>
      <c r="I524" s="235"/>
      <c r="J524" s="235"/>
      <c r="K524" s="235"/>
      <c r="L524" s="235"/>
      <c r="M524" s="235"/>
      <c r="N524" s="235"/>
    </row>
    <row r="525" spans="1:14" ht="13.8">
      <c r="A525" s="235"/>
      <c r="B525" s="235"/>
      <c r="C525" s="235"/>
      <c r="D525" s="234"/>
      <c r="E525" s="234"/>
      <c r="F525" s="234"/>
      <c r="G525" s="234"/>
      <c r="H525" s="235"/>
      <c r="I525" s="235"/>
      <c r="J525" s="235"/>
      <c r="K525" s="235"/>
      <c r="L525" s="235"/>
      <c r="M525" s="235"/>
      <c r="N525" s="235"/>
    </row>
    <row r="526" spans="1:14" ht="13.8">
      <c r="A526" s="235"/>
      <c r="B526" s="235"/>
      <c r="C526" s="235"/>
      <c r="D526" s="234"/>
      <c r="E526" s="234"/>
      <c r="F526" s="234"/>
      <c r="G526" s="234"/>
      <c r="H526" s="235"/>
      <c r="I526" s="235"/>
      <c r="J526" s="235"/>
      <c r="K526" s="235"/>
      <c r="L526" s="235"/>
      <c r="M526" s="235"/>
      <c r="N526" s="235"/>
    </row>
    <row r="527" spans="1:14" ht="13.8">
      <c r="A527" s="235"/>
      <c r="B527" s="235"/>
      <c r="C527" s="235"/>
      <c r="D527" s="234"/>
      <c r="E527" s="234"/>
      <c r="F527" s="234"/>
      <c r="G527" s="234"/>
      <c r="H527" s="235"/>
      <c r="I527" s="235"/>
      <c r="J527" s="235"/>
      <c r="K527" s="235"/>
      <c r="L527" s="235"/>
      <c r="M527" s="235"/>
      <c r="N527" s="235"/>
    </row>
    <row r="528" spans="1:14" ht="13.8">
      <c r="A528" s="235"/>
      <c r="B528" s="235"/>
      <c r="C528" s="235"/>
      <c r="D528" s="234"/>
      <c r="E528" s="234"/>
      <c r="F528" s="234"/>
      <c r="G528" s="234"/>
      <c r="H528" s="235"/>
      <c r="I528" s="235"/>
      <c r="J528" s="235"/>
      <c r="K528" s="235"/>
      <c r="L528" s="235"/>
      <c r="M528" s="235"/>
      <c r="N528" s="235"/>
    </row>
    <row r="529" spans="1:14" ht="13.8">
      <c r="A529" s="235"/>
      <c r="B529" s="235"/>
      <c r="C529" s="235"/>
      <c r="D529" s="234"/>
      <c r="E529" s="234"/>
      <c r="F529" s="234"/>
      <c r="G529" s="234"/>
      <c r="H529" s="235"/>
      <c r="I529" s="235"/>
      <c r="J529" s="235"/>
      <c r="K529" s="235"/>
      <c r="L529" s="235"/>
      <c r="M529" s="235"/>
      <c r="N529" s="235"/>
    </row>
    <row r="530" spans="1:14" ht="13.8">
      <c r="A530" s="235"/>
      <c r="B530" s="235"/>
      <c r="C530" s="235"/>
      <c r="D530" s="234"/>
      <c r="E530" s="234"/>
      <c r="F530" s="234"/>
      <c r="G530" s="234"/>
      <c r="H530" s="235"/>
      <c r="I530" s="235"/>
      <c r="J530" s="235"/>
      <c r="K530" s="235"/>
      <c r="L530" s="235"/>
      <c r="M530" s="235"/>
      <c r="N530" s="235"/>
    </row>
    <row r="531" spans="1:14" ht="13.8">
      <c r="A531" s="235"/>
      <c r="B531" s="235"/>
      <c r="C531" s="235"/>
      <c r="D531" s="234"/>
      <c r="E531" s="234"/>
      <c r="F531" s="234"/>
      <c r="G531" s="234"/>
      <c r="H531" s="235"/>
      <c r="I531" s="235"/>
      <c r="J531" s="235"/>
      <c r="K531" s="235"/>
      <c r="L531" s="235"/>
      <c r="M531" s="235"/>
      <c r="N531" s="235"/>
    </row>
    <row r="532" spans="1:14" ht="13.8">
      <c r="A532" s="235"/>
      <c r="B532" s="235"/>
      <c r="C532" s="235"/>
      <c r="D532" s="234"/>
      <c r="E532" s="234"/>
      <c r="F532" s="234"/>
      <c r="G532" s="234"/>
      <c r="H532" s="235"/>
      <c r="I532" s="235"/>
      <c r="J532" s="235"/>
      <c r="K532" s="235"/>
      <c r="L532" s="235"/>
      <c r="M532" s="235"/>
      <c r="N532" s="235"/>
    </row>
    <row r="533" spans="1:14" ht="13.8">
      <c r="A533" s="235"/>
      <c r="B533" s="235"/>
      <c r="C533" s="235"/>
      <c r="D533" s="234"/>
      <c r="E533" s="234"/>
      <c r="F533" s="234"/>
      <c r="G533" s="234"/>
      <c r="H533" s="235"/>
      <c r="I533" s="235"/>
      <c r="J533" s="235"/>
      <c r="K533" s="235"/>
      <c r="L533" s="235"/>
      <c r="M533" s="235"/>
      <c r="N533" s="235"/>
    </row>
    <row r="534" spans="1:14" ht="13.8">
      <c r="A534" s="235"/>
      <c r="B534" s="235"/>
      <c r="C534" s="235"/>
      <c r="D534" s="234"/>
      <c r="E534" s="234"/>
      <c r="F534" s="234"/>
      <c r="G534" s="234"/>
      <c r="H534" s="235"/>
      <c r="I534" s="235"/>
      <c r="J534" s="235"/>
      <c r="K534" s="235"/>
      <c r="L534" s="235"/>
      <c r="M534" s="235"/>
      <c r="N534" s="235"/>
    </row>
    <row r="535" spans="1:14" ht="13.8">
      <c r="A535" s="235"/>
      <c r="B535" s="235"/>
      <c r="C535" s="235"/>
      <c r="D535" s="234"/>
      <c r="E535" s="234"/>
      <c r="F535" s="234"/>
      <c r="G535" s="234"/>
      <c r="H535" s="235"/>
      <c r="I535" s="235"/>
      <c r="J535" s="235"/>
      <c r="K535" s="235"/>
      <c r="L535" s="235"/>
      <c r="M535" s="235"/>
      <c r="N535" s="235"/>
    </row>
    <row r="536" spans="1:14" ht="13.8">
      <c r="A536" s="235"/>
      <c r="B536" s="235"/>
      <c r="C536" s="235"/>
      <c r="D536" s="234"/>
      <c r="E536" s="234"/>
      <c r="F536" s="234"/>
      <c r="G536" s="234"/>
      <c r="H536" s="235"/>
      <c r="I536" s="235"/>
      <c r="J536" s="235"/>
      <c r="K536" s="235"/>
      <c r="L536" s="235"/>
      <c r="M536" s="235"/>
      <c r="N536" s="235"/>
    </row>
    <row r="537" spans="1:14" ht="13.8">
      <c r="A537" s="235"/>
      <c r="B537" s="235"/>
      <c r="C537" s="235"/>
      <c r="D537" s="234"/>
      <c r="E537" s="234"/>
      <c r="F537" s="234"/>
      <c r="G537" s="234"/>
      <c r="H537" s="235"/>
      <c r="I537" s="235"/>
      <c r="J537" s="235"/>
      <c r="K537" s="235"/>
      <c r="L537" s="235"/>
      <c r="M537" s="235"/>
      <c r="N537" s="235"/>
    </row>
    <row r="538" spans="1:14" ht="13.8">
      <c r="A538" s="235"/>
      <c r="B538" s="235"/>
      <c r="C538" s="235"/>
      <c r="D538" s="234"/>
      <c r="E538" s="234"/>
      <c r="F538" s="234"/>
      <c r="G538" s="234"/>
      <c r="H538" s="235"/>
      <c r="I538" s="235"/>
      <c r="J538" s="235"/>
      <c r="K538" s="235"/>
      <c r="L538" s="235"/>
      <c r="M538" s="235"/>
      <c r="N538" s="235"/>
    </row>
    <row r="539" spans="1:14" ht="13.8">
      <c r="A539" s="235"/>
      <c r="B539" s="235"/>
      <c r="C539" s="235"/>
      <c r="D539" s="234"/>
      <c r="E539" s="234"/>
      <c r="F539" s="234"/>
      <c r="G539" s="234"/>
      <c r="H539" s="235"/>
      <c r="I539" s="235"/>
      <c r="J539" s="235"/>
      <c r="K539" s="235"/>
      <c r="L539" s="235"/>
      <c r="M539" s="235"/>
      <c r="N539" s="235"/>
    </row>
    <row r="540" spans="1:14" ht="13.8">
      <c r="A540" s="235"/>
      <c r="B540" s="235"/>
      <c r="C540" s="235"/>
      <c r="D540" s="234"/>
      <c r="E540" s="234"/>
      <c r="F540" s="234"/>
      <c r="G540" s="234"/>
      <c r="H540" s="235"/>
      <c r="I540" s="235"/>
      <c r="J540" s="235"/>
      <c r="K540" s="235"/>
      <c r="L540" s="235"/>
      <c r="M540" s="235"/>
      <c r="N540" s="235"/>
    </row>
    <row r="541" spans="1:14" ht="13.8">
      <c r="A541" s="235"/>
      <c r="B541" s="235"/>
      <c r="C541" s="235"/>
      <c r="D541" s="234"/>
      <c r="E541" s="234"/>
      <c r="F541" s="234"/>
      <c r="G541" s="234"/>
      <c r="H541" s="235"/>
      <c r="I541" s="235"/>
      <c r="J541" s="235"/>
      <c r="K541" s="235"/>
      <c r="L541" s="235"/>
      <c r="M541" s="235"/>
      <c r="N541" s="235"/>
    </row>
    <row r="542" spans="1:14" ht="13.8">
      <c r="A542" s="235"/>
      <c r="B542" s="235"/>
      <c r="C542" s="235"/>
      <c r="D542" s="234"/>
      <c r="E542" s="234"/>
      <c r="F542" s="234"/>
      <c r="G542" s="234"/>
      <c r="H542" s="235"/>
      <c r="I542" s="235"/>
      <c r="J542" s="235"/>
      <c r="K542" s="235"/>
      <c r="L542" s="235"/>
      <c r="M542" s="235"/>
      <c r="N542" s="235"/>
    </row>
    <row r="543" spans="1:14" ht="13.8">
      <c r="A543" s="235"/>
      <c r="B543" s="235"/>
      <c r="C543" s="235"/>
      <c r="D543" s="234"/>
      <c r="E543" s="234"/>
      <c r="F543" s="234"/>
      <c r="G543" s="234"/>
      <c r="H543" s="235"/>
      <c r="I543" s="235"/>
      <c r="J543" s="235"/>
      <c r="K543" s="235"/>
      <c r="L543" s="235"/>
      <c r="M543" s="235"/>
      <c r="N543" s="235"/>
    </row>
    <row r="544" spans="1:14" ht="13.8">
      <c r="A544" s="235"/>
      <c r="B544" s="235"/>
      <c r="C544" s="235"/>
      <c r="D544" s="234"/>
      <c r="E544" s="234"/>
      <c r="F544" s="234"/>
      <c r="G544" s="234"/>
      <c r="H544" s="235"/>
      <c r="I544" s="235"/>
      <c r="J544" s="235"/>
      <c r="K544" s="235"/>
      <c r="L544" s="235"/>
      <c r="M544" s="235"/>
      <c r="N544" s="235"/>
    </row>
    <row r="545" spans="1:14" ht="13.8">
      <c r="A545" s="235"/>
      <c r="B545" s="235"/>
      <c r="C545" s="235"/>
      <c r="D545" s="234"/>
      <c r="E545" s="234"/>
      <c r="F545" s="234"/>
      <c r="G545" s="234"/>
      <c r="H545" s="235"/>
      <c r="I545" s="235"/>
      <c r="J545" s="235"/>
      <c r="K545" s="235"/>
      <c r="L545" s="235"/>
      <c r="M545" s="235"/>
      <c r="N545" s="235"/>
    </row>
    <row r="546" spans="1:14" ht="13.8">
      <c r="A546" s="235"/>
      <c r="B546" s="235"/>
      <c r="C546" s="235"/>
      <c r="D546" s="234"/>
      <c r="E546" s="234"/>
      <c r="F546" s="234"/>
      <c r="G546" s="234"/>
      <c r="H546" s="235"/>
      <c r="I546" s="235"/>
      <c r="J546" s="235"/>
      <c r="K546" s="235"/>
      <c r="L546" s="235"/>
      <c r="M546" s="235"/>
      <c r="N546" s="235"/>
    </row>
    <row r="547" spans="1:14" ht="13.8">
      <c r="A547" s="235"/>
      <c r="B547" s="235"/>
      <c r="C547" s="235"/>
      <c r="D547" s="234"/>
      <c r="E547" s="234"/>
      <c r="F547" s="234"/>
      <c r="G547" s="234"/>
      <c r="H547" s="235"/>
      <c r="I547" s="235"/>
      <c r="J547" s="235"/>
      <c r="K547" s="235"/>
      <c r="L547" s="235"/>
      <c r="M547" s="235"/>
      <c r="N547" s="235"/>
    </row>
    <row r="548" spans="1:14" ht="13.8">
      <c r="A548" s="235"/>
      <c r="B548" s="235"/>
      <c r="C548" s="235"/>
      <c r="D548" s="234"/>
      <c r="E548" s="234"/>
      <c r="F548" s="234"/>
      <c r="G548" s="234"/>
      <c r="H548" s="235"/>
      <c r="I548" s="235"/>
      <c r="J548" s="235"/>
      <c r="K548" s="235"/>
      <c r="L548" s="235"/>
      <c r="M548" s="235"/>
      <c r="N548" s="235"/>
    </row>
    <row r="549" spans="1:14" ht="13.8">
      <c r="A549" s="235"/>
      <c r="B549" s="235"/>
      <c r="C549" s="235"/>
      <c r="D549" s="234"/>
      <c r="E549" s="234"/>
      <c r="F549" s="234"/>
      <c r="G549" s="234"/>
      <c r="H549" s="235"/>
      <c r="I549" s="235"/>
      <c r="J549" s="235"/>
      <c r="K549" s="235"/>
      <c r="L549" s="235"/>
      <c r="M549" s="235"/>
      <c r="N549" s="235"/>
    </row>
    <row r="550" spans="1:14" ht="13.8">
      <c r="A550" s="235"/>
      <c r="B550" s="235"/>
      <c r="C550" s="235"/>
      <c r="D550" s="234"/>
      <c r="E550" s="234"/>
      <c r="F550" s="234"/>
      <c r="G550" s="234"/>
      <c r="H550" s="235"/>
      <c r="I550" s="235"/>
      <c r="J550" s="235"/>
      <c r="K550" s="235"/>
      <c r="L550" s="235"/>
      <c r="M550" s="235"/>
      <c r="N550" s="235"/>
    </row>
    <row r="551" spans="1:14" ht="13.8">
      <c r="A551" s="235"/>
      <c r="B551" s="235"/>
      <c r="C551" s="235"/>
      <c r="D551" s="234"/>
      <c r="E551" s="234"/>
      <c r="F551" s="234"/>
      <c r="G551" s="234"/>
      <c r="H551" s="235"/>
      <c r="I551" s="235"/>
      <c r="J551" s="235"/>
      <c r="K551" s="235"/>
      <c r="L551" s="235"/>
      <c r="M551" s="235"/>
      <c r="N551" s="235"/>
    </row>
    <row r="552" spans="1:14" ht="13.8">
      <c r="A552" s="235"/>
      <c r="B552" s="235"/>
      <c r="C552" s="235"/>
      <c r="D552" s="234"/>
      <c r="E552" s="234"/>
      <c r="F552" s="234"/>
      <c r="G552" s="234"/>
      <c r="H552" s="235"/>
      <c r="I552" s="235"/>
      <c r="J552" s="235"/>
      <c r="K552" s="235"/>
      <c r="L552" s="235"/>
      <c r="M552" s="235"/>
      <c r="N552" s="235"/>
    </row>
    <row r="553" spans="1:14" ht="13.8">
      <c r="A553" s="235"/>
      <c r="B553" s="235"/>
      <c r="C553" s="235"/>
      <c r="D553" s="234"/>
      <c r="E553" s="234"/>
      <c r="F553" s="234"/>
      <c r="G553" s="234"/>
      <c r="H553" s="235"/>
      <c r="I553" s="235"/>
      <c r="J553" s="235"/>
      <c r="K553" s="235"/>
      <c r="L553" s="235"/>
      <c r="M553" s="235"/>
      <c r="N553" s="235"/>
    </row>
    <row r="554" spans="1:14" ht="13.8">
      <c r="A554" s="235"/>
      <c r="B554" s="235"/>
      <c r="C554" s="235"/>
      <c r="D554" s="234"/>
      <c r="E554" s="234"/>
      <c r="F554" s="234"/>
      <c r="G554" s="234"/>
      <c r="H554" s="235"/>
      <c r="I554" s="235"/>
      <c r="J554" s="235"/>
      <c r="K554" s="235"/>
      <c r="L554" s="235"/>
      <c r="M554" s="235"/>
      <c r="N554" s="235"/>
    </row>
    <row r="555" spans="1:14" ht="13.8">
      <c r="A555" s="235"/>
      <c r="B555" s="235"/>
      <c r="C555" s="235"/>
      <c r="D555" s="234"/>
      <c r="E555" s="234"/>
      <c r="F555" s="234"/>
      <c r="G555" s="234"/>
      <c r="H555" s="235"/>
      <c r="I555" s="235"/>
      <c r="J555" s="235"/>
      <c r="K555" s="235"/>
      <c r="L555" s="235"/>
      <c r="M555" s="235"/>
      <c r="N555" s="235"/>
    </row>
    <row r="556" spans="1:14" ht="13.8">
      <c r="A556" s="235"/>
      <c r="B556" s="235"/>
      <c r="C556" s="235"/>
      <c r="D556" s="234"/>
      <c r="E556" s="234"/>
      <c r="F556" s="234"/>
      <c r="G556" s="234"/>
      <c r="H556" s="235"/>
      <c r="I556" s="235"/>
      <c r="J556" s="235"/>
      <c r="K556" s="235"/>
      <c r="L556" s="235"/>
      <c r="M556" s="235"/>
      <c r="N556" s="235"/>
    </row>
    <row r="557" spans="1:14" ht="13.8">
      <c r="A557" s="235"/>
      <c r="B557" s="235"/>
      <c r="C557" s="235"/>
      <c r="D557" s="234"/>
      <c r="E557" s="234"/>
      <c r="F557" s="234"/>
      <c r="G557" s="234"/>
      <c r="H557" s="235"/>
      <c r="I557" s="235"/>
      <c r="J557" s="235"/>
      <c r="K557" s="235"/>
      <c r="L557" s="235"/>
      <c r="M557" s="235"/>
      <c r="N557" s="235"/>
    </row>
    <row r="558" spans="1:14" ht="13.8">
      <c r="A558" s="235"/>
      <c r="B558" s="235"/>
      <c r="C558" s="235"/>
      <c r="D558" s="234"/>
      <c r="E558" s="234"/>
      <c r="F558" s="234"/>
      <c r="G558" s="234"/>
      <c r="H558" s="235"/>
      <c r="I558" s="235"/>
      <c r="J558" s="235"/>
      <c r="K558" s="235"/>
      <c r="L558" s="235"/>
      <c r="M558" s="235"/>
      <c r="N558" s="235"/>
    </row>
    <row r="559" spans="1:14" ht="13.8">
      <c r="A559" s="235"/>
      <c r="B559" s="235"/>
      <c r="C559" s="235"/>
      <c r="D559" s="234"/>
      <c r="E559" s="234"/>
      <c r="F559" s="234"/>
      <c r="G559" s="234"/>
      <c r="H559" s="235"/>
      <c r="I559" s="235"/>
      <c r="J559" s="235"/>
      <c r="K559" s="235"/>
      <c r="L559" s="235"/>
      <c r="M559" s="235"/>
      <c r="N559" s="235"/>
    </row>
    <row r="560" spans="1:14" ht="13.8">
      <c r="A560" s="235"/>
      <c r="B560" s="235"/>
      <c r="C560" s="235"/>
      <c r="D560" s="234"/>
      <c r="E560" s="234"/>
      <c r="F560" s="234"/>
      <c r="G560" s="234"/>
      <c r="H560" s="235"/>
      <c r="I560" s="235"/>
      <c r="J560" s="235"/>
      <c r="K560" s="235"/>
      <c r="L560" s="235"/>
      <c r="M560" s="235"/>
      <c r="N560" s="235"/>
    </row>
    <row r="561" spans="1:14" ht="13.8">
      <c r="A561" s="235"/>
      <c r="B561" s="235"/>
      <c r="C561" s="235"/>
      <c r="D561" s="234"/>
      <c r="E561" s="234"/>
      <c r="F561" s="234"/>
      <c r="G561" s="234"/>
      <c r="H561" s="235"/>
      <c r="I561" s="235"/>
      <c r="J561" s="235"/>
      <c r="K561" s="235"/>
      <c r="L561" s="235"/>
      <c r="M561" s="235"/>
      <c r="N561" s="235"/>
    </row>
    <row r="562" spans="1:14" ht="13.8">
      <c r="A562" s="235"/>
      <c r="B562" s="235"/>
      <c r="C562" s="235"/>
      <c r="D562" s="234"/>
      <c r="E562" s="234"/>
      <c r="F562" s="234"/>
      <c r="G562" s="234"/>
      <c r="H562" s="235"/>
      <c r="I562" s="235"/>
      <c r="J562" s="235"/>
      <c r="K562" s="235"/>
      <c r="L562" s="235"/>
      <c r="M562" s="235"/>
      <c r="N562" s="235"/>
    </row>
    <row r="563" spans="1:14" ht="13.8">
      <c r="A563" s="235"/>
      <c r="B563" s="235"/>
      <c r="C563" s="235"/>
      <c r="D563" s="234"/>
      <c r="E563" s="234"/>
      <c r="F563" s="234"/>
      <c r="G563" s="234"/>
      <c r="H563" s="235"/>
      <c r="I563" s="235"/>
      <c r="J563" s="235"/>
      <c r="K563" s="235"/>
      <c r="L563" s="235"/>
      <c r="M563" s="235"/>
      <c r="N563" s="235"/>
    </row>
    <row r="564" spans="1:14" ht="13.8">
      <c r="A564" s="235"/>
      <c r="B564" s="235"/>
      <c r="C564" s="235"/>
      <c r="D564" s="234"/>
      <c r="E564" s="234"/>
      <c r="F564" s="234"/>
      <c r="G564" s="234"/>
      <c r="H564" s="235"/>
      <c r="I564" s="235"/>
      <c r="J564" s="235"/>
      <c r="K564" s="235"/>
      <c r="L564" s="235"/>
      <c r="M564" s="235"/>
      <c r="N564" s="235"/>
    </row>
    <row r="565" spans="1:14" ht="13.8">
      <c r="A565" s="235"/>
      <c r="B565" s="235"/>
      <c r="C565" s="235"/>
      <c r="D565" s="234"/>
      <c r="E565" s="234"/>
      <c r="F565" s="234"/>
      <c r="G565" s="234"/>
      <c r="H565" s="235"/>
      <c r="I565" s="235"/>
      <c r="J565" s="235"/>
      <c r="K565" s="235"/>
      <c r="L565" s="235"/>
      <c r="M565" s="235"/>
      <c r="N565" s="235"/>
    </row>
    <row r="566" spans="1:14" ht="13.8">
      <c r="A566" s="235"/>
      <c r="B566" s="235"/>
      <c r="C566" s="235"/>
      <c r="D566" s="234"/>
      <c r="E566" s="234"/>
      <c r="F566" s="234"/>
      <c r="G566" s="234"/>
      <c r="H566" s="235"/>
      <c r="I566" s="235"/>
      <c r="J566" s="235"/>
      <c r="K566" s="235"/>
      <c r="L566" s="235"/>
      <c r="M566" s="235"/>
      <c r="N566" s="235"/>
    </row>
    <row r="567" spans="1:14" ht="13.8">
      <c r="A567" s="235"/>
      <c r="B567" s="235"/>
      <c r="C567" s="235"/>
      <c r="D567" s="234"/>
      <c r="E567" s="234"/>
      <c r="F567" s="234"/>
      <c r="G567" s="234"/>
      <c r="H567" s="235"/>
      <c r="I567" s="235"/>
      <c r="J567" s="235"/>
      <c r="K567" s="235"/>
      <c r="L567" s="235"/>
      <c r="M567" s="235"/>
      <c r="N567" s="235"/>
    </row>
    <row r="568" spans="1:14" ht="13.8">
      <c r="A568" s="235"/>
      <c r="B568" s="235"/>
      <c r="C568" s="235"/>
      <c r="D568" s="234"/>
      <c r="E568" s="234"/>
      <c r="F568" s="234"/>
      <c r="G568" s="234"/>
      <c r="H568" s="235"/>
      <c r="I568" s="235"/>
      <c r="J568" s="235"/>
      <c r="K568" s="235"/>
      <c r="L568" s="235"/>
      <c r="M568" s="235"/>
      <c r="N568" s="235"/>
    </row>
    <row r="569" spans="1:14" ht="13.8">
      <c r="A569" s="235"/>
      <c r="B569" s="235"/>
      <c r="C569" s="235"/>
      <c r="D569" s="234"/>
      <c r="E569" s="234"/>
      <c r="F569" s="234"/>
      <c r="G569" s="234"/>
      <c r="H569" s="235"/>
      <c r="I569" s="235"/>
      <c r="J569" s="235"/>
      <c r="K569" s="235"/>
      <c r="L569" s="235"/>
      <c r="M569" s="235"/>
      <c r="N569" s="235"/>
    </row>
    <row r="570" spans="1:14" ht="13.8">
      <c r="A570" s="235"/>
      <c r="B570" s="235"/>
      <c r="C570" s="235"/>
      <c r="D570" s="234"/>
      <c r="E570" s="234"/>
      <c r="F570" s="234"/>
      <c r="G570" s="234"/>
      <c r="H570" s="235"/>
      <c r="I570" s="235"/>
      <c r="J570" s="235"/>
      <c r="K570" s="235"/>
      <c r="L570" s="235"/>
      <c r="M570" s="235"/>
      <c r="N570" s="235"/>
    </row>
    <row r="571" spans="1:14" ht="13.8">
      <c r="A571" s="235"/>
      <c r="B571" s="235"/>
      <c r="C571" s="235"/>
      <c r="D571" s="234"/>
      <c r="E571" s="234"/>
      <c r="F571" s="234"/>
      <c r="G571" s="234"/>
      <c r="H571" s="235"/>
      <c r="I571" s="235"/>
      <c r="J571" s="235"/>
      <c r="K571" s="235"/>
      <c r="L571" s="235"/>
      <c r="M571" s="235"/>
      <c r="N571" s="235"/>
    </row>
    <row r="572" spans="1:14" ht="13.8">
      <c r="A572" s="235"/>
      <c r="B572" s="235"/>
      <c r="C572" s="235"/>
      <c r="D572" s="234"/>
      <c r="E572" s="234"/>
      <c r="F572" s="234"/>
      <c r="G572" s="234"/>
      <c r="H572" s="235"/>
      <c r="I572" s="235"/>
      <c r="J572" s="235"/>
      <c r="K572" s="235"/>
      <c r="L572" s="235"/>
      <c r="M572" s="235"/>
      <c r="N572" s="235"/>
    </row>
    <row r="573" spans="1:14" ht="13.8">
      <c r="A573" s="235"/>
      <c r="B573" s="235"/>
      <c r="C573" s="235"/>
      <c r="D573" s="234"/>
      <c r="E573" s="234"/>
      <c r="F573" s="234"/>
      <c r="G573" s="234"/>
      <c r="H573" s="235"/>
      <c r="I573" s="235"/>
      <c r="J573" s="235"/>
      <c r="K573" s="235"/>
      <c r="L573" s="235"/>
      <c r="M573" s="235"/>
      <c r="N573" s="235"/>
    </row>
    <row r="574" spans="1:14" ht="13.8">
      <c r="A574" s="235"/>
      <c r="B574" s="235"/>
      <c r="C574" s="235"/>
      <c r="D574" s="234"/>
      <c r="E574" s="234"/>
      <c r="F574" s="234"/>
      <c r="G574" s="234"/>
      <c r="H574" s="235"/>
      <c r="I574" s="235"/>
      <c r="J574" s="235"/>
      <c r="K574" s="235"/>
      <c r="L574" s="235"/>
      <c r="M574" s="235"/>
      <c r="N574" s="235"/>
    </row>
    <row r="575" spans="1:14" ht="13.8">
      <c r="A575" s="235"/>
      <c r="B575" s="235"/>
      <c r="C575" s="235"/>
      <c r="D575" s="234"/>
      <c r="E575" s="234"/>
      <c r="F575" s="234"/>
      <c r="G575" s="234"/>
      <c r="H575" s="235"/>
      <c r="I575" s="235"/>
      <c r="J575" s="235"/>
      <c r="K575" s="235"/>
      <c r="L575" s="235"/>
      <c r="M575" s="235"/>
      <c r="N575" s="235"/>
    </row>
    <row r="576" spans="1:14" ht="13.8">
      <c r="A576" s="235"/>
      <c r="B576" s="235"/>
      <c r="C576" s="235"/>
      <c r="D576" s="234"/>
      <c r="E576" s="234"/>
      <c r="F576" s="234"/>
      <c r="G576" s="234"/>
      <c r="H576" s="235"/>
      <c r="I576" s="235"/>
      <c r="J576" s="235"/>
      <c r="K576" s="235"/>
      <c r="L576" s="235"/>
      <c r="M576" s="235"/>
      <c r="N576" s="235"/>
    </row>
    <row r="577" spans="1:14" ht="13.8">
      <c r="A577" s="235"/>
      <c r="B577" s="235"/>
      <c r="C577" s="235"/>
      <c r="D577" s="234"/>
      <c r="E577" s="234"/>
      <c r="F577" s="234"/>
      <c r="G577" s="234"/>
      <c r="H577" s="235"/>
      <c r="I577" s="235"/>
      <c r="J577" s="235"/>
      <c r="K577" s="235"/>
      <c r="L577" s="235"/>
      <c r="M577" s="235"/>
      <c r="N577" s="235"/>
    </row>
    <row r="578" spans="1:14" ht="13.8">
      <c r="A578" s="235"/>
      <c r="B578" s="235"/>
      <c r="C578" s="235"/>
      <c r="D578" s="234"/>
      <c r="E578" s="234"/>
      <c r="F578" s="234"/>
      <c r="G578" s="234"/>
      <c r="H578" s="235"/>
      <c r="I578" s="235"/>
      <c r="J578" s="235"/>
      <c r="K578" s="235"/>
      <c r="L578" s="235"/>
      <c r="M578" s="235"/>
      <c r="N578" s="235"/>
    </row>
    <row r="579" spans="1:14" ht="13.8">
      <c r="A579" s="235"/>
      <c r="B579" s="235"/>
      <c r="C579" s="235"/>
      <c r="D579" s="234"/>
      <c r="E579" s="234"/>
      <c r="F579" s="234"/>
      <c r="G579" s="234"/>
      <c r="H579" s="235"/>
      <c r="I579" s="235"/>
      <c r="J579" s="235"/>
      <c r="K579" s="235"/>
      <c r="L579" s="235"/>
      <c r="M579" s="235"/>
      <c r="N579" s="235"/>
    </row>
    <row r="580" spans="1:14" ht="13.8">
      <c r="A580" s="235"/>
      <c r="B580" s="235"/>
      <c r="C580" s="235"/>
      <c r="D580" s="234"/>
      <c r="E580" s="234"/>
      <c r="F580" s="234"/>
      <c r="G580" s="234"/>
      <c r="H580" s="235"/>
      <c r="I580" s="235"/>
      <c r="J580" s="235"/>
      <c r="K580" s="235"/>
      <c r="L580" s="235"/>
      <c r="M580" s="235"/>
      <c r="N580" s="235"/>
    </row>
    <row r="581" spans="1:14" ht="13.8">
      <c r="A581" s="235"/>
      <c r="B581" s="235"/>
      <c r="C581" s="235"/>
      <c r="D581" s="234"/>
      <c r="E581" s="234"/>
      <c r="F581" s="234"/>
      <c r="G581" s="234"/>
      <c r="H581" s="235"/>
      <c r="I581" s="235"/>
      <c r="J581" s="235"/>
      <c r="K581" s="235"/>
      <c r="L581" s="235"/>
      <c r="M581" s="235"/>
      <c r="N581" s="235"/>
    </row>
    <row r="582" spans="1:14" ht="13.8">
      <c r="A582" s="235"/>
      <c r="B582" s="235"/>
      <c r="C582" s="235"/>
      <c r="D582" s="234"/>
      <c r="E582" s="234"/>
      <c r="F582" s="234"/>
      <c r="G582" s="234"/>
      <c r="H582" s="235"/>
      <c r="I582" s="235"/>
      <c r="J582" s="235"/>
      <c r="K582" s="235"/>
      <c r="L582" s="235"/>
      <c r="M582" s="235"/>
      <c r="N582" s="235"/>
    </row>
    <row r="583" spans="1:14" ht="13.8">
      <c r="A583" s="235"/>
      <c r="B583" s="235"/>
      <c r="C583" s="235"/>
      <c r="D583" s="234"/>
      <c r="E583" s="234"/>
      <c r="F583" s="234"/>
      <c r="G583" s="234"/>
      <c r="H583" s="235"/>
      <c r="I583" s="235"/>
      <c r="J583" s="235"/>
      <c r="K583" s="235"/>
      <c r="L583" s="235"/>
      <c r="M583" s="235"/>
      <c r="N583" s="235"/>
    </row>
    <row r="584" spans="1:14" ht="13.8">
      <c r="A584" s="235"/>
      <c r="B584" s="235"/>
      <c r="C584" s="235"/>
      <c r="D584" s="234"/>
      <c r="E584" s="234"/>
      <c r="F584" s="234"/>
      <c r="G584" s="234"/>
      <c r="H584" s="235"/>
      <c r="I584" s="235"/>
      <c r="J584" s="235"/>
      <c r="K584" s="235"/>
      <c r="L584" s="235"/>
      <c r="M584" s="235"/>
      <c r="N584" s="235"/>
    </row>
    <row r="585" spans="1:14" ht="13.8">
      <c r="A585" s="235"/>
      <c r="B585" s="235"/>
      <c r="C585" s="235"/>
      <c r="D585" s="234"/>
      <c r="E585" s="234"/>
      <c r="F585" s="234"/>
      <c r="G585" s="234"/>
      <c r="H585" s="235"/>
      <c r="I585" s="235"/>
      <c r="J585" s="235"/>
      <c r="K585" s="235"/>
      <c r="L585" s="235"/>
      <c r="M585" s="235"/>
      <c r="N585" s="235"/>
    </row>
    <row r="586" spans="1:14" ht="13.8">
      <c r="A586" s="235"/>
      <c r="B586" s="235"/>
      <c r="C586" s="235"/>
      <c r="D586" s="234"/>
      <c r="E586" s="234"/>
      <c r="F586" s="234"/>
      <c r="G586" s="234"/>
      <c r="H586" s="235"/>
      <c r="I586" s="235"/>
      <c r="J586" s="235"/>
      <c r="K586" s="235"/>
      <c r="L586" s="235"/>
      <c r="M586" s="235"/>
      <c r="N586" s="235"/>
    </row>
    <row r="587" spans="1:14" ht="13.8">
      <c r="A587" s="235"/>
      <c r="B587" s="235"/>
      <c r="C587" s="235"/>
      <c r="D587" s="234"/>
      <c r="E587" s="234"/>
      <c r="F587" s="234"/>
      <c r="G587" s="234"/>
      <c r="H587" s="235"/>
      <c r="I587" s="235"/>
      <c r="J587" s="235"/>
      <c r="K587" s="235"/>
      <c r="L587" s="235"/>
      <c r="M587" s="235"/>
      <c r="N587" s="235"/>
    </row>
    <row r="588" spans="1:14" ht="13.8">
      <c r="A588" s="235"/>
      <c r="B588" s="235"/>
      <c r="C588" s="235"/>
      <c r="D588" s="234"/>
      <c r="E588" s="234"/>
      <c r="F588" s="234"/>
      <c r="G588" s="234"/>
      <c r="H588" s="235"/>
      <c r="I588" s="235"/>
      <c r="J588" s="235"/>
      <c r="K588" s="235"/>
      <c r="L588" s="235"/>
      <c r="M588" s="235"/>
      <c r="N588" s="235"/>
    </row>
    <row r="589" spans="1:14" ht="13.8">
      <c r="A589" s="235"/>
      <c r="B589" s="235"/>
      <c r="C589" s="235"/>
      <c r="D589" s="234"/>
      <c r="E589" s="234"/>
      <c r="F589" s="234"/>
      <c r="G589" s="234"/>
      <c r="H589" s="235"/>
      <c r="I589" s="235"/>
      <c r="J589" s="235"/>
      <c r="K589" s="235"/>
      <c r="L589" s="235"/>
      <c r="M589" s="235"/>
      <c r="N589" s="235"/>
    </row>
    <row r="590" spans="1:14" ht="13.8">
      <c r="A590" s="235"/>
      <c r="B590" s="235"/>
      <c r="C590" s="235"/>
      <c r="D590" s="234"/>
      <c r="E590" s="234"/>
      <c r="F590" s="234"/>
      <c r="G590" s="234"/>
      <c r="H590" s="235"/>
      <c r="I590" s="235"/>
      <c r="J590" s="235"/>
      <c r="K590" s="235"/>
      <c r="L590" s="235"/>
      <c r="M590" s="235"/>
      <c r="N590" s="235"/>
    </row>
    <row r="591" spans="1:14" ht="13.8">
      <c r="A591" s="235"/>
      <c r="B591" s="235"/>
      <c r="C591" s="235"/>
      <c r="D591" s="234"/>
      <c r="E591" s="234"/>
      <c r="F591" s="234"/>
      <c r="G591" s="234"/>
      <c r="H591" s="235"/>
      <c r="I591" s="235"/>
      <c r="J591" s="235"/>
      <c r="K591" s="235"/>
      <c r="L591" s="235"/>
      <c r="M591" s="235"/>
      <c r="N591" s="235"/>
    </row>
    <row r="592" spans="1:14" ht="13.8">
      <c r="A592" s="235"/>
      <c r="B592" s="235"/>
      <c r="C592" s="235"/>
      <c r="D592" s="234"/>
      <c r="E592" s="234"/>
      <c r="F592" s="234"/>
      <c r="G592" s="234"/>
      <c r="H592" s="235"/>
      <c r="I592" s="235"/>
      <c r="J592" s="235"/>
      <c r="K592" s="235"/>
      <c r="L592" s="235"/>
      <c r="M592" s="235"/>
      <c r="N592" s="235"/>
    </row>
    <row r="593" spans="1:14" ht="13.8">
      <c r="A593" s="235"/>
      <c r="B593" s="235"/>
      <c r="C593" s="235"/>
      <c r="D593" s="234"/>
      <c r="E593" s="234"/>
      <c r="F593" s="234"/>
      <c r="G593" s="234"/>
      <c r="H593" s="235"/>
      <c r="I593" s="235"/>
      <c r="J593" s="235"/>
      <c r="K593" s="235"/>
      <c r="L593" s="235"/>
      <c r="M593" s="235"/>
      <c r="N593" s="235"/>
    </row>
    <row r="594" spans="1:14" ht="13.8">
      <c r="A594" s="235"/>
      <c r="B594" s="235"/>
      <c r="C594" s="235"/>
      <c r="D594" s="234"/>
      <c r="E594" s="234"/>
      <c r="F594" s="234"/>
      <c r="G594" s="234"/>
      <c r="H594" s="235"/>
      <c r="I594" s="235"/>
      <c r="J594" s="235"/>
      <c r="K594" s="235"/>
      <c r="L594" s="235"/>
      <c r="M594" s="235"/>
      <c r="N594" s="235"/>
    </row>
    <row r="595" spans="1:14" ht="13.8">
      <c r="A595" s="235"/>
      <c r="B595" s="235"/>
      <c r="C595" s="235"/>
      <c r="D595" s="234"/>
      <c r="E595" s="234"/>
      <c r="F595" s="234"/>
      <c r="G595" s="234"/>
      <c r="H595" s="235"/>
      <c r="I595" s="235"/>
      <c r="J595" s="235"/>
      <c r="K595" s="235"/>
      <c r="L595" s="235"/>
      <c r="M595" s="235"/>
      <c r="N595" s="235"/>
    </row>
    <row r="596" spans="1:14" ht="13.8">
      <c r="A596" s="235"/>
      <c r="B596" s="235"/>
      <c r="C596" s="235"/>
      <c r="D596" s="234"/>
      <c r="E596" s="234"/>
      <c r="F596" s="234"/>
      <c r="G596" s="234"/>
      <c r="H596" s="235"/>
      <c r="I596" s="235"/>
      <c r="J596" s="235"/>
      <c r="K596" s="235"/>
      <c r="L596" s="235"/>
      <c r="M596" s="235"/>
      <c r="N596" s="235"/>
    </row>
    <row r="597" spans="1:14" ht="13.8">
      <c r="A597" s="235"/>
      <c r="B597" s="235"/>
      <c r="C597" s="235"/>
      <c r="D597" s="234"/>
      <c r="E597" s="234"/>
      <c r="F597" s="234"/>
      <c r="G597" s="234"/>
      <c r="H597" s="235"/>
      <c r="I597" s="235"/>
      <c r="J597" s="235"/>
      <c r="K597" s="235"/>
      <c r="L597" s="235"/>
      <c r="M597" s="235"/>
      <c r="N597" s="235"/>
    </row>
    <row r="598" spans="1:14" ht="13.8">
      <c r="A598" s="235"/>
      <c r="B598" s="235"/>
      <c r="C598" s="235"/>
      <c r="D598" s="234"/>
      <c r="E598" s="234"/>
      <c r="F598" s="234"/>
      <c r="G598" s="234"/>
      <c r="H598" s="235"/>
      <c r="I598" s="235"/>
      <c r="J598" s="235"/>
      <c r="K598" s="235"/>
      <c r="L598" s="235"/>
      <c r="M598" s="235"/>
      <c r="N598" s="235"/>
    </row>
    <row r="599" spans="1:14" ht="13.8">
      <c r="A599" s="235"/>
      <c r="B599" s="235"/>
      <c r="C599" s="235"/>
      <c r="D599" s="234"/>
      <c r="E599" s="234"/>
      <c r="F599" s="234"/>
      <c r="G599" s="234"/>
      <c r="H599" s="235"/>
      <c r="I599" s="235"/>
      <c r="J599" s="235"/>
      <c r="K599" s="235"/>
      <c r="L599" s="235"/>
      <c r="M599" s="235"/>
      <c r="N599" s="235"/>
    </row>
    <row r="600" spans="1:14" ht="13.8">
      <c r="A600" s="235"/>
      <c r="B600" s="235"/>
      <c r="C600" s="235"/>
      <c r="D600" s="234"/>
      <c r="E600" s="234"/>
      <c r="F600" s="234"/>
      <c r="G600" s="234"/>
      <c r="H600" s="235"/>
      <c r="I600" s="235"/>
      <c r="J600" s="235"/>
      <c r="K600" s="235"/>
      <c r="L600" s="235"/>
      <c r="M600" s="235"/>
      <c r="N600" s="235"/>
    </row>
    <row r="601" spans="1:14" ht="13.8">
      <c r="A601" s="235"/>
      <c r="B601" s="235"/>
      <c r="C601" s="235"/>
      <c r="D601" s="234"/>
      <c r="E601" s="234"/>
      <c r="F601" s="234"/>
      <c r="G601" s="234"/>
      <c r="H601" s="235"/>
      <c r="I601" s="235"/>
      <c r="J601" s="235"/>
      <c r="K601" s="235"/>
      <c r="L601" s="235"/>
      <c r="M601" s="235"/>
      <c r="N601" s="235"/>
    </row>
    <row r="602" spans="1:14" ht="13.8">
      <c r="A602" s="235"/>
      <c r="B602" s="235"/>
      <c r="C602" s="235"/>
      <c r="D602" s="234"/>
      <c r="E602" s="234"/>
      <c r="F602" s="234"/>
      <c r="G602" s="234"/>
      <c r="H602" s="235"/>
      <c r="I602" s="235"/>
      <c r="J602" s="235"/>
      <c r="K602" s="235"/>
      <c r="L602" s="235"/>
      <c r="M602" s="235"/>
      <c r="N602" s="235"/>
    </row>
    <row r="603" spans="1:14" ht="13.8">
      <c r="A603" s="235"/>
      <c r="B603" s="235"/>
      <c r="C603" s="235"/>
      <c r="D603" s="234"/>
      <c r="E603" s="234"/>
      <c r="F603" s="234"/>
      <c r="G603" s="234"/>
      <c r="H603" s="235"/>
      <c r="I603" s="235"/>
      <c r="J603" s="235"/>
      <c r="K603" s="235"/>
      <c r="L603" s="235"/>
      <c r="M603" s="235"/>
      <c r="N603" s="235"/>
    </row>
    <row r="604" spans="1:14" ht="13.8">
      <c r="A604" s="235"/>
      <c r="B604" s="235"/>
      <c r="C604" s="235"/>
      <c r="D604" s="234"/>
      <c r="E604" s="234"/>
      <c r="F604" s="234"/>
      <c r="G604" s="234"/>
      <c r="H604" s="235"/>
      <c r="I604" s="235"/>
      <c r="J604" s="235"/>
      <c r="K604" s="235"/>
      <c r="L604" s="235"/>
      <c r="M604" s="235"/>
      <c r="N604" s="235"/>
    </row>
    <row r="605" spans="1:14" ht="13.8">
      <c r="A605" s="235"/>
      <c r="B605" s="235"/>
      <c r="C605" s="235"/>
      <c r="D605" s="234"/>
      <c r="E605" s="234"/>
      <c r="F605" s="234"/>
      <c r="G605" s="234"/>
      <c r="H605" s="235"/>
      <c r="I605" s="235"/>
      <c r="J605" s="235"/>
      <c r="K605" s="235"/>
      <c r="L605" s="235"/>
      <c r="M605" s="235"/>
      <c r="N605" s="235"/>
    </row>
    <row r="606" spans="1:14" ht="13.8">
      <c r="A606" s="235"/>
      <c r="B606" s="235"/>
      <c r="C606" s="235"/>
      <c r="D606" s="234"/>
      <c r="E606" s="234"/>
      <c r="F606" s="234"/>
      <c r="G606" s="234"/>
      <c r="H606" s="235"/>
      <c r="I606" s="235"/>
      <c r="J606" s="235"/>
      <c r="K606" s="235"/>
      <c r="L606" s="235"/>
      <c r="M606" s="235"/>
      <c r="N606" s="235"/>
    </row>
    <row r="607" spans="1:14" ht="13.8">
      <c r="A607" s="235"/>
      <c r="B607" s="235"/>
      <c r="C607" s="235"/>
      <c r="D607" s="234"/>
      <c r="E607" s="234"/>
      <c r="F607" s="234"/>
      <c r="G607" s="234"/>
      <c r="H607" s="235"/>
      <c r="I607" s="235"/>
      <c r="J607" s="235"/>
      <c r="K607" s="235"/>
      <c r="L607" s="235"/>
      <c r="M607" s="235"/>
      <c r="N607" s="235"/>
    </row>
    <row r="608" spans="1:14" ht="13.8">
      <c r="A608" s="235"/>
      <c r="B608" s="235"/>
      <c r="C608" s="235"/>
      <c r="D608" s="234"/>
      <c r="E608" s="234"/>
      <c r="F608" s="234"/>
      <c r="G608" s="234"/>
      <c r="H608" s="235"/>
      <c r="I608" s="235"/>
      <c r="J608" s="235"/>
      <c r="K608" s="235"/>
      <c r="L608" s="235"/>
      <c r="M608" s="235"/>
      <c r="N608" s="235"/>
    </row>
    <row r="609" spans="1:14" ht="13.8">
      <c r="A609" s="235"/>
      <c r="B609" s="235"/>
      <c r="C609" s="235"/>
      <c r="D609" s="234"/>
      <c r="E609" s="234"/>
      <c r="F609" s="234"/>
      <c r="G609" s="234"/>
      <c r="H609" s="235"/>
      <c r="I609" s="235"/>
      <c r="J609" s="235"/>
      <c r="K609" s="235"/>
      <c r="L609" s="235"/>
      <c r="M609" s="235"/>
      <c r="N609" s="235"/>
    </row>
    <row r="610" spans="1:14" ht="13.8">
      <c r="A610" s="235"/>
      <c r="B610" s="235"/>
      <c r="C610" s="235"/>
      <c r="D610" s="234"/>
      <c r="E610" s="234"/>
      <c r="F610" s="234"/>
      <c r="G610" s="234"/>
      <c r="H610" s="235"/>
      <c r="I610" s="235"/>
      <c r="J610" s="235"/>
      <c r="K610" s="235"/>
      <c r="L610" s="235"/>
      <c r="M610" s="235"/>
      <c r="N610" s="235"/>
    </row>
    <row r="611" spans="1:14" ht="13.8">
      <c r="A611" s="235"/>
      <c r="B611" s="235"/>
      <c r="C611" s="235"/>
      <c r="D611" s="234"/>
      <c r="E611" s="234"/>
      <c r="F611" s="234"/>
      <c r="G611" s="234"/>
      <c r="H611" s="235"/>
      <c r="I611" s="235"/>
      <c r="J611" s="235"/>
      <c r="K611" s="235"/>
      <c r="L611" s="235"/>
      <c r="M611" s="235"/>
      <c r="N611" s="235"/>
    </row>
    <row r="612" spans="1:14" ht="13.8">
      <c r="A612" s="235"/>
      <c r="B612" s="235"/>
      <c r="C612" s="235"/>
      <c r="D612" s="234"/>
      <c r="E612" s="234"/>
      <c r="F612" s="234"/>
      <c r="G612" s="234"/>
      <c r="H612" s="235"/>
      <c r="I612" s="235"/>
      <c r="J612" s="235"/>
      <c r="K612" s="235"/>
      <c r="L612" s="235"/>
      <c r="M612" s="235"/>
      <c r="N612" s="235"/>
    </row>
    <row r="613" spans="1:14" ht="13.8">
      <c r="A613" s="235"/>
      <c r="B613" s="235"/>
      <c r="C613" s="235"/>
      <c r="D613" s="234"/>
      <c r="E613" s="234"/>
      <c r="F613" s="234"/>
      <c r="G613" s="234"/>
      <c r="H613" s="235"/>
      <c r="I613" s="235"/>
      <c r="J613" s="235"/>
      <c r="K613" s="235"/>
      <c r="L613" s="235"/>
      <c r="M613" s="235"/>
      <c r="N613" s="235"/>
    </row>
    <row r="614" spans="1:14" ht="13.8">
      <c r="A614" s="235"/>
      <c r="B614" s="235"/>
      <c r="C614" s="235"/>
      <c r="D614" s="234"/>
      <c r="E614" s="234"/>
      <c r="F614" s="234"/>
      <c r="G614" s="234"/>
      <c r="H614" s="235"/>
      <c r="I614" s="235"/>
      <c r="J614" s="235"/>
      <c r="K614" s="235"/>
      <c r="L614" s="235"/>
      <c r="M614" s="235"/>
      <c r="N614" s="235"/>
    </row>
    <row r="615" spans="1:14" ht="13.8">
      <c r="A615" s="235"/>
      <c r="B615" s="235"/>
      <c r="C615" s="235"/>
      <c r="D615" s="234"/>
      <c r="E615" s="234"/>
      <c r="F615" s="234"/>
      <c r="G615" s="234"/>
      <c r="H615" s="235"/>
      <c r="I615" s="235"/>
      <c r="J615" s="235"/>
      <c r="K615" s="235"/>
      <c r="L615" s="235"/>
      <c r="M615" s="235"/>
      <c r="N615" s="235"/>
    </row>
    <row r="616" spans="1:14" ht="13.8">
      <c r="A616" s="235"/>
      <c r="B616" s="235"/>
      <c r="C616" s="235"/>
      <c r="D616" s="234"/>
      <c r="E616" s="234"/>
      <c r="F616" s="234"/>
      <c r="G616" s="234"/>
      <c r="H616" s="235"/>
      <c r="I616" s="235"/>
      <c r="J616" s="235"/>
      <c r="K616" s="235"/>
      <c r="L616" s="235"/>
      <c r="M616" s="235"/>
      <c r="N616" s="235"/>
    </row>
    <row r="617" spans="1:14" ht="13.8">
      <c r="A617" s="235"/>
      <c r="B617" s="235"/>
      <c r="C617" s="235"/>
      <c r="D617" s="234"/>
      <c r="E617" s="234"/>
      <c r="F617" s="234"/>
      <c r="G617" s="234"/>
      <c r="H617" s="235"/>
      <c r="I617" s="235"/>
      <c r="J617" s="235"/>
      <c r="K617" s="235"/>
      <c r="L617" s="235"/>
      <c r="M617" s="235"/>
      <c r="N617" s="235"/>
    </row>
    <row r="618" spans="1:14" ht="13.8">
      <c r="A618" s="235"/>
      <c r="B618" s="235"/>
      <c r="C618" s="235"/>
      <c r="D618" s="234"/>
      <c r="E618" s="234"/>
      <c r="F618" s="234"/>
      <c r="G618" s="234"/>
      <c r="H618" s="235"/>
      <c r="I618" s="235"/>
      <c r="J618" s="235"/>
      <c r="K618" s="235"/>
      <c r="L618" s="235"/>
      <c r="M618" s="235"/>
      <c r="N618" s="235"/>
    </row>
    <row r="619" spans="1:14" ht="13.8">
      <c r="A619" s="235"/>
      <c r="B619" s="235"/>
      <c r="C619" s="235"/>
      <c r="D619" s="234"/>
      <c r="E619" s="234"/>
      <c r="F619" s="234"/>
      <c r="G619" s="234"/>
      <c r="H619" s="235"/>
      <c r="I619" s="235"/>
      <c r="J619" s="235"/>
      <c r="K619" s="235"/>
      <c r="L619" s="235"/>
      <c r="M619" s="235"/>
      <c r="N619" s="235"/>
    </row>
    <row r="620" spans="1:14" ht="13.8">
      <c r="A620" s="235"/>
      <c r="B620" s="235"/>
      <c r="C620" s="235"/>
      <c r="D620" s="234"/>
      <c r="E620" s="234"/>
      <c r="F620" s="234"/>
      <c r="G620" s="234"/>
      <c r="H620" s="235"/>
      <c r="I620" s="235"/>
      <c r="J620" s="235"/>
      <c r="K620" s="235"/>
      <c r="L620" s="235"/>
      <c r="M620" s="235"/>
      <c r="N620" s="235"/>
    </row>
    <row r="621" spans="1:14" ht="13.8">
      <c r="A621" s="235"/>
      <c r="B621" s="235"/>
      <c r="C621" s="235"/>
      <c r="D621" s="234"/>
      <c r="E621" s="234"/>
      <c r="F621" s="234"/>
      <c r="G621" s="234"/>
      <c r="H621" s="235"/>
      <c r="I621" s="235"/>
      <c r="J621" s="235"/>
      <c r="K621" s="235"/>
      <c r="L621" s="235"/>
      <c r="M621" s="235"/>
      <c r="N621" s="235"/>
    </row>
    <row r="622" spans="1:14" ht="13.8">
      <c r="A622" s="235"/>
      <c r="B622" s="235"/>
      <c r="C622" s="235"/>
      <c r="D622" s="234"/>
      <c r="E622" s="234"/>
      <c r="F622" s="234"/>
      <c r="G622" s="234"/>
      <c r="H622" s="235"/>
      <c r="I622" s="235"/>
      <c r="J622" s="235"/>
      <c r="K622" s="235"/>
      <c r="L622" s="235"/>
      <c r="M622" s="235"/>
      <c r="N622" s="235"/>
    </row>
    <row r="623" spans="1:14" ht="13.8">
      <c r="A623" s="235"/>
      <c r="B623" s="235"/>
      <c r="C623" s="235"/>
      <c r="D623" s="234"/>
      <c r="E623" s="234"/>
      <c r="F623" s="234"/>
      <c r="G623" s="234"/>
      <c r="H623" s="235"/>
      <c r="I623" s="235"/>
      <c r="J623" s="235"/>
      <c r="K623" s="235"/>
      <c r="L623" s="235"/>
      <c r="M623" s="235"/>
      <c r="N623" s="235"/>
    </row>
    <row r="624" spans="1:14" ht="13.8">
      <c r="A624" s="235"/>
      <c r="B624" s="235"/>
      <c r="C624" s="235"/>
      <c r="D624" s="234"/>
      <c r="E624" s="234"/>
      <c r="F624" s="234"/>
      <c r="G624" s="234"/>
      <c r="H624" s="235"/>
      <c r="I624" s="235"/>
      <c r="J624" s="235"/>
      <c r="K624" s="235"/>
      <c r="L624" s="235"/>
      <c r="M624" s="235"/>
      <c r="N624" s="235"/>
    </row>
    <row r="625" spans="1:14" ht="13.8">
      <c r="A625" s="235"/>
      <c r="B625" s="235"/>
      <c r="C625" s="235"/>
      <c r="D625" s="234"/>
      <c r="E625" s="234"/>
      <c r="F625" s="234"/>
      <c r="G625" s="234"/>
      <c r="H625" s="235"/>
      <c r="I625" s="235"/>
      <c r="J625" s="235"/>
      <c r="K625" s="235"/>
      <c r="L625" s="235"/>
      <c r="M625" s="235"/>
      <c r="N625" s="235"/>
    </row>
    <row r="626" spans="1:14" ht="13.8">
      <c r="A626" s="235"/>
      <c r="B626" s="235"/>
      <c r="C626" s="235"/>
      <c r="D626" s="234"/>
      <c r="E626" s="234"/>
      <c r="F626" s="234"/>
      <c r="G626" s="234"/>
      <c r="H626" s="235"/>
      <c r="I626" s="235"/>
      <c r="J626" s="235"/>
      <c r="K626" s="235"/>
      <c r="L626" s="235"/>
      <c r="M626" s="235"/>
      <c r="N626" s="235"/>
    </row>
    <row r="627" spans="1:14" ht="13.8">
      <c r="A627" s="235"/>
      <c r="B627" s="235"/>
      <c r="C627" s="235"/>
      <c r="D627" s="234"/>
      <c r="E627" s="234"/>
      <c r="F627" s="234"/>
      <c r="G627" s="234"/>
      <c r="H627" s="235"/>
      <c r="I627" s="235"/>
      <c r="J627" s="235"/>
      <c r="K627" s="235"/>
      <c r="L627" s="235"/>
      <c r="M627" s="235"/>
      <c r="N627" s="235"/>
    </row>
    <row r="628" spans="1:14" ht="13.8">
      <c r="A628" s="235"/>
      <c r="B628" s="235"/>
      <c r="C628" s="235"/>
      <c r="D628" s="234"/>
      <c r="E628" s="234"/>
      <c r="F628" s="234"/>
      <c r="G628" s="234"/>
      <c r="H628" s="235"/>
      <c r="I628" s="235"/>
      <c r="J628" s="235"/>
      <c r="K628" s="235"/>
      <c r="L628" s="235"/>
      <c r="M628" s="235"/>
      <c r="N628" s="235"/>
    </row>
    <row r="629" spans="1:14" ht="13.8">
      <c r="A629" s="235"/>
      <c r="B629" s="235"/>
      <c r="C629" s="235"/>
      <c r="D629" s="234"/>
      <c r="E629" s="234"/>
      <c r="F629" s="234"/>
      <c r="G629" s="234"/>
      <c r="H629" s="235"/>
      <c r="I629" s="235"/>
      <c r="J629" s="235"/>
      <c r="K629" s="235"/>
      <c r="L629" s="235"/>
      <c r="M629" s="235"/>
      <c r="N629" s="235"/>
    </row>
    <row r="630" spans="1:14" ht="13.8">
      <c r="A630" s="235"/>
      <c r="B630" s="235"/>
      <c r="C630" s="235"/>
      <c r="D630" s="234"/>
      <c r="E630" s="234"/>
      <c r="F630" s="234"/>
      <c r="G630" s="234"/>
      <c r="H630" s="235"/>
      <c r="I630" s="235"/>
      <c r="J630" s="235"/>
      <c r="K630" s="235"/>
      <c r="L630" s="235"/>
      <c r="M630" s="235"/>
      <c r="N630" s="235"/>
    </row>
    <row r="631" spans="1:14" ht="13.8">
      <c r="A631" s="235"/>
      <c r="B631" s="235"/>
      <c r="C631" s="235"/>
      <c r="D631" s="234"/>
      <c r="E631" s="234"/>
      <c r="F631" s="234"/>
      <c r="G631" s="234"/>
      <c r="H631" s="235"/>
      <c r="I631" s="235"/>
      <c r="J631" s="235"/>
      <c r="K631" s="235"/>
      <c r="L631" s="235"/>
      <c r="M631" s="235"/>
      <c r="N631" s="235"/>
    </row>
    <row r="632" spans="1:14" ht="13.8">
      <c r="A632" s="235"/>
      <c r="B632" s="235"/>
      <c r="C632" s="235"/>
      <c r="D632" s="234"/>
      <c r="E632" s="234"/>
      <c r="F632" s="234"/>
      <c r="G632" s="234"/>
      <c r="H632" s="235"/>
      <c r="I632" s="235"/>
      <c r="J632" s="235"/>
      <c r="K632" s="235"/>
      <c r="L632" s="235"/>
      <c r="M632" s="235"/>
      <c r="N632" s="235"/>
    </row>
    <row r="633" spans="1:14" ht="13.8">
      <c r="A633" s="235"/>
      <c r="B633" s="235"/>
      <c r="C633" s="235"/>
      <c r="D633" s="234"/>
      <c r="E633" s="234"/>
      <c r="F633" s="234"/>
      <c r="G633" s="234"/>
      <c r="H633" s="235"/>
      <c r="I633" s="235"/>
      <c r="J633" s="235"/>
      <c r="K633" s="235"/>
      <c r="L633" s="235"/>
      <c r="M633" s="235"/>
      <c r="N633" s="235"/>
    </row>
    <row r="634" spans="1:14" ht="13.8">
      <c r="A634" s="235"/>
      <c r="B634" s="235"/>
      <c r="C634" s="235"/>
      <c r="D634" s="234"/>
      <c r="E634" s="234"/>
      <c r="F634" s="234"/>
      <c r="G634" s="234"/>
      <c r="H634" s="235"/>
      <c r="I634" s="235"/>
      <c r="J634" s="235"/>
      <c r="K634" s="235"/>
      <c r="L634" s="235"/>
      <c r="M634" s="235"/>
      <c r="N634" s="235"/>
    </row>
    <row r="635" spans="1:14" ht="13.8">
      <c r="A635" s="235"/>
      <c r="B635" s="235"/>
      <c r="C635" s="235"/>
      <c r="D635" s="234"/>
      <c r="E635" s="234"/>
      <c r="F635" s="234"/>
      <c r="G635" s="234"/>
      <c r="H635" s="235"/>
      <c r="I635" s="235"/>
      <c r="J635" s="235"/>
      <c r="K635" s="235"/>
      <c r="L635" s="235"/>
      <c r="M635" s="235"/>
      <c r="N635" s="235"/>
    </row>
    <row r="636" spans="1:14" ht="13.8">
      <c r="A636" s="235"/>
      <c r="B636" s="235"/>
      <c r="C636" s="235"/>
      <c r="D636" s="234"/>
      <c r="E636" s="234"/>
      <c r="F636" s="234"/>
      <c r="G636" s="234"/>
      <c r="H636" s="235"/>
      <c r="I636" s="235"/>
      <c r="J636" s="235"/>
      <c r="K636" s="235"/>
      <c r="L636" s="235"/>
      <c r="M636" s="235"/>
      <c r="N636" s="235"/>
    </row>
    <row r="637" spans="1:14" ht="13.8">
      <c r="A637" s="235"/>
      <c r="B637" s="235"/>
      <c r="C637" s="235"/>
      <c r="D637" s="234"/>
      <c r="E637" s="234"/>
      <c r="F637" s="234"/>
      <c r="G637" s="234"/>
      <c r="H637" s="235"/>
      <c r="I637" s="235"/>
      <c r="J637" s="235"/>
      <c r="K637" s="235"/>
      <c r="L637" s="235"/>
      <c r="M637" s="235"/>
      <c r="N637" s="235"/>
    </row>
    <row r="638" spans="1:14" ht="13.8">
      <c r="A638" s="235"/>
      <c r="B638" s="235"/>
      <c r="C638" s="235"/>
      <c r="D638" s="234"/>
      <c r="E638" s="234"/>
      <c r="F638" s="234"/>
      <c r="G638" s="234"/>
      <c r="H638" s="235"/>
      <c r="I638" s="235"/>
      <c r="J638" s="235"/>
      <c r="K638" s="235"/>
      <c r="L638" s="235"/>
      <c r="M638" s="235"/>
      <c r="N638" s="235"/>
    </row>
    <row r="639" spans="1:14" ht="13.8">
      <c r="A639" s="235"/>
      <c r="B639" s="235"/>
      <c r="C639" s="235"/>
      <c r="D639" s="234"/>
      <c r="E639" s="234"/>
      <c r="F639" s="234"/>
      <c r="G639" s="234"/>
      <c r="H639" s="235"/>
      <c r="I639" s="235"/>
      <c r="J639" s="235"/>
      <c r="K639" s="235"/>
      <c r="L639" s="235"/>
      <c r="M639" s="235"/>
      <c r="N639" s="235"/>
    </row>
    <row r="640" spans="1:14" ht="13.8">
      <c r="A640" s="235"/>
      <c r="B640" s="235"/>
      <c r="C640" s="235"/>
      <c r="D640" s="234"/>
      <c r="E640" s="234"/>
      <c r="F640" s="234"/>
      <c r="G640" s="234"/>
      <c r="H640" s="235"/>
      <c r="I640" s="235"/>
      <c r="J640" s="235"/>
      <c r="K640" s="235"/>
      <c r="L640" s="235"/>
      <c r="M640" s="235"/>
      <c r="N640" s="235"/>
    </row>
    <row r="641" spans="1:14" ht="13.8">
      <c r="A641" s="235"/>
      <c r="B641" s="235"/>
      <c r="C641" s="235"/>
      <c r="D641" s="234"/>
      <c r="E641" s="234"/>
      <c r="F641" s="234"/>
      <c r="G641" s="234"/>
      <c r="H641" s="235"/>
      <c r="I641" s="235"/>
      <c r="J641" s="235"/>
      <c r="K641" s="235"/>
      <c r="L641" s="235"/>
      <c r="M641" s="235"/>
      <c r="N641" s="235"/>
    </row>
    <row r="642" spans="1:14" ht="13.8">
      <c r="A642" s="235"/>
      <c r="B642" s="235"/>
      <c r="C642" s="235"/>
      <c r="D642" s="234"/>
      <c r="E642" s="234"/>
      <c r="F642" s="234"/>
      <c r="G642" s="234"/>
      <c r="H642" s="235"/>
      <c r="I642" s="235"/>
      <c r="J642" s="235"/>
      <c r="K642" s="235"/>
      <c r="L642" s="235"/>
      <c r="M642" s="235"/>
      <c r="N642" s="235"/>
    </row>
    <row r="643" spans="1:14" ht="13.8">
      <c r="A643" s="235"/>
      <c r="B643" s="235"/>
      <c r="C643" s="235"/>
      <c r="D643" s="234"/>
      <c r="E643" s="234"/>
      <c r="F643" s="234"/>
      <c r="G643" s="234"/>
      <c r="H643" s="235"/>
      <c r="I643" s="235"/>
      <c r="J643" s="235"/>
      <c r="K643" s="235"/>
      <c r="L643" s="235"/>
      <c r="M643" s="235"/>
      <c r="N643" s="235"/>
    </row>
    <row r="644" spans="1:14" ht="13.8">
      <c r="A644" s="235"/>
      <c r="B644" s="235"/>
      <c r="C644" s="235"/>
      <c r="D644" s="234"/>
      <c r="E644" s="234"/>
      <c r="F644" s="234"/>
      <c r="G644" s="234"/>
      <c r="H644" s="235"/>
      <c r="I644" s="235"/>
      <c r="J644" s="235"/>
      <c r="K644" s="235"/>
      <c r="L644" s="235"/>
      <c r="M644" s="235"/>
      <c r="N644" s="235"/>
    </row>
    <row r="645" spans="1:14" ht="13.8">
      <c r="A645" s="235"/>
      <c r="B645" s="235"/>
      <c r="C645" s="235"/>
      <c r="D645" s="234"/>
      <c r="E645" s="234"/>
      <c r="F645" s="234"/>
      <c r="G645" s="234"/>
      <c r="H645" s="235"/>
      <c r="I645" s="235"/>
      <c r="J645" s="235"/>
      <c r="K645" s="235"/>
      <c r="L645" s="235"/>
      <c r="M645" s="235"/>
      <c r="N645" s="235"/>
    </row>
    <row r="646" spans="1:14" ht="13.8">
      <c r="A646" s="235"/>
      <c r="B646" s="235"/>
      <c r="C646" s="235"/>
      <c r="D646" s="234"/>
      <c r="E646" s="234"/>
      <c r="F646" s="234"/>
      <c r="G646" s="234"/>
      <c r="H646" s="235"/>
      <c r="I646" s="235"/>
      <c r="J646" s="235"/>
      <c r="K646" s="235"/>
      <c r="L646" s="235"/>
      <c r="M646" s="235"/>
      <c r="N646" s="235"/>
    </row>
    <row r="647" spans="1:14" ht="13.8">
      <c r="A647" s="235"/>
      <c r="B647" s="235"/>
      <c r="C647" s="235"/>
      <c r="D647" s="234"/>
      <c r="E647" s="234"/>
      <c r="F647" s="234"/>
      <c r="G647" s="234"/>
      <c r="H647" s="235"/>
      <c r="I647" s="235"/>
      <c r="J647" s="235"/>
      <c r="K647" s="235"/>
      <c r="L647" s="235"/>
      <c r="M647" s="235"/>
      <c r="N647" s="235"/>
    </row>
    <row r="648" spans="1:14" ht="13.8">
      <c r="A648" s="235"/>
      <c r="B648" s="235"/>
      <c r="C648" s="235"/>
      <c r="D648" s="234"/>
      <c r="E648" s="234"/>
      <c r="F648" s="234"/>
      <c r="G648" s="234"/>
      <c r="H648" s="235"/>
      <c r="I648" s="235"/>
      <c r="J648" s="235"/>
      <c r="K648" s="235"/>
      <c r="L648" s="235"/>
      <c r="M648" s="235"/>
      <c r="N648" s="235"/>
    </row>
    <row r="649" spans="1:14" ht="13.8">
      <c r="A649" s="235"/>
      <c r="B649" s="235"/>
      <c r="C649" s="235"/>
      <c r="D649" s="234"/>
      <c r="E649" s="234"/>
      <c r="F649" s="234"/>
      <c r="G649" s="234"/>
      <c r="H649" s="235"/>
      <c r="I649" s="235"/>
      <c r="J649" s="235"/>
      <c r="K649" s="235"/>
      <c r="L649" s="235"/>
      <c r="M649" s="235"/>
      <c r="N649" s="235"/>
    </row>
    <row r="650" spans="1:14" ht="13.8">
      <c r="A650" s="235"/>
      <c r="B650" s="235"/>
      <c r="C650" s="235"/>
      <c r="D650" s="234"/>
      <c r="E650" s="234"/>
      <c r="F650" s="234"/>
      <c r="G650" s="234"/>
      <c r="H650" s="235"/>
      <c r="I650" s="235"/>
      <c r="J650" s="235"/>
      <c r="K650" s="235"/>
      <c r="L650" s="235"/>
      <c r="M650" s="235"/>
      <c r="N650" s="235"/>
    </row>
    <row r="651" spans="1:14" ht="13.8">
      <c r="A651" s="235"/>
      <c r="B651" s="235"/>
      <c r="C651" s="235"/>
      <c r="D651" s="234"/>
      <c r="E651" s="234"/>
      <c r="F651" s="234"/>
      <c r="G651" s="234"/>
      <c r="H651" s="235"/>
      <c r="I651" s="235"/>
      <c r="J651" s="235"/>
      <c r="K651" s="235"/>
      <c r="L651" s="235"/>
      <c r="M651" s="235"/>
      <c r="N651" s="235"/>
    </row>
    <row r="652" spans="1:14" ht="13.8">
      <c r="D652" s="263"/>
      <c r="E652" s="263"/>
      <c r="F652" s="263"/>
      <c r="G652" s="263"/>
    </row>
    <row r="653" spans="1:14" ht="13.8">
      <c r="D653" s="263"/>
      <c r="E653" s="263"/>
      <c r="F653" s="263"/>
      <c r="G653" s="263"/>
    </row>
    <row r="654" spans="1:14" ht="13.8">
      <c r="D654" s="263"/>
      <c r="E654" s="263"/>
      <c r="F654" s="263"/>
      <c r="G654" s="263"/>
    </row>
    <row r="655" spans="1:14" ht="13.8">
      <c r="D655" s="263"/>
      <c r="E655" s="263"/>
      <c r="F655" s="263"/>
      <c r="G655" s="263"/>
    </row>
    <row r="656" spans="1:14" ht="13.8">
      <c r="D656" s="263"/>
      <c r="E656" s="263"/>
      <c r="F656" s="263"/>
      <c r="G656" s="263"/>
    </row>
    <row r="657" spans="4:7" ht="13.8">
      <c r="D657" s="263"/>
      <c r="E657" s="263"/>
      <c r="F657" s="263"/>
      <c r="G657" s="263"/>
    </row>
    <row r="658" spans="4:7" ht="13.8">
      <c r="D658" s="263"/>
      <c r="E658" s="263"/>
      <c r="F658" s="263"/>
      <c r="G658" s="263"/>
    </row>
    <row r="659" spans="4:7" ht="13.8">
      <c r="D659" s="263"/>
      <c r="E659" s="263"/>
      <c r="F659" s="263"/>
      <c r="G659" s="263"/>
    </row>
    <row r="660" spans="4:7" ht="13.8">
      <c r="D660" s="263"/>
      <c r="E660" s="263"/>
      <c r="F660" s="263"/>
      <c r="G660" s="263"/>
    </row>
    <row r="661" spans="4:7" ht="13.8">
      <c r="D661" s="263"/>
      <c r="E661" s="263"/>
      <c r="F661" s="263"/>
      <c r="G661" s="263"/>
    </row>
    <row r="662" spans="4:7" ht="13.8">
      <c r="D662" s="263"/>
      <c r="E662" s="263"/>
      <c r="F662" s="263"/>
      <c r="G662" s="263"/>
    </row>
    <row r="663" spans="4:7" ht="13.8">
      <c r="D663" s="263"/>
      <c r="E663" s="263"/>
      <c r="F663" s="263"/>
      <c r="G663" s="263"/>
    </row>
    <row r="664" spans="4:7" ht="13.8">
      <c r="D664" s="263"/>
      <c r="E664" s="263"/>
      <c r="F664" s="263"/>
      <c r="G664" s="263"/>
    </row>
    <row r="665" spans="4:7" ht="13.8">
      <c r="D665" s="263"/>
      <c r="E665" s="263"/>
      <c r="F665" s="263"/>
      <c r="G665" s="263"/>
    </row>
    <row r="666" spans="4:7" ht="13.8">
      <c r="D666" s="263"/>
      <c r="E666" s="263"/>
      <c r="F666" s="263"/>
      <c r="G666" s="263"/>
    </row>
    <row r="667" spans="4:7" ht="13.8">
      <c r="D667" s="263"/>
      <c r="E667" s="263"/>
      <c r="F667" s="263"/>
      <c r="G667" s="263"/>
    </row>
    <row r="668" spans="4:7" ht="13.8">
      <c r="D668" s="263"/>
      <c r="E668" s="263"/>
      <c r="F668" s="263"/>
      <c r="G668" s="263"/>
    </row>
    <row r="669" spans="4:7" ht="13.8">
      <c r="D669" s="263"/>
      <c r="E669" s="263"/>
      <c r="F669" s="263"/>
      <c r="G669" s="263"/>
    </row>
    <row r="670" spans="4:7" ht="13.8">
      <c r="D670" s="263"/>
      <c r="E670" s="263"/>
      <c r="F670" s="263"/>
      <c r="G670" s="263"/>
    </row>
    <row r="671" spans="4:7" ht="13.8">
      <c r="D671" s="263"/>
      <c r="E671" s="263"/>
      <c r="F671" s="263"/>
      <c r="G671" s="263"/>
    </row>
    <row r="672" spans="4:7" ht="13.8">
      <c r="D672" s="263"/>
      <c r="E672" s="263"/>
      <c r="F672" s="263"/>
      <c r="G672" s="263"/>
    </row>
    <row r="673" spans="4:7" ht="13.8">
      <c r="D673" s="263"/>
      <c r="E673" s="263"/>
      <c r="F673" s="263"/>
      <c r="G673" s="263"/>
    </row>
    <row r="674" spans="4:7" ht="13.8">
      <c r="D674" s="263"/>
      <c r="E674" s="263"/>
      <c r="F674" s="263"/>
      <c r="G674" s="263"/>
    </row>
    <row r="675" spans="4:7" ht="13.8">
      <c r="D675" s="263"/>
      <c r="E675" s="263"/>
      <c r="F675" s="263"/>
      <c r="G675" s="263"/>
    </row>
    <row r="676" spans="4:7" ht="13.8">
      <c r="D676" s="263"/>
      <c r="E676" s="263"/>
      <c r="F676" s="263"/>
      <c r="G676" s="263"/>
    </row>
    <row r="677" spans="4:7" ht="13.8">
      <c r="D677" s="263"/>
      <c r="E677" s="263"/>
      <c r="F677" s="263"/>
      <c r="G677" s="263"/>
    </row>
    <row r="678" spans="4:7" ht="13.8">
      <c r="D678" s="263"/>
      <c r="E678" s="263"/>
      <c r="F678" s="263"/>
      <c r="G678" s="263"/>
    </row>
    <row r="679" spans="4:7" ht="13.8">
      <c r="D679" s="263"/>
      <c r="E679" s="263"/>
      <c r="F679" s="263"/>
      <c r="G679" s="263"/>
    </row>
    <row r="680" spans="4:7" ht="13.8">
      <c r="D680" s="263"/>
      <c r="E680" s="263"/>
      <c r="F680" s="263"/>
      <c r="G680" s="263"/>
    </row>
    <row r="681" spans="4:7" ht="13.8">
      <c r="D681" s="263"/>
      <c r="E681" s="263"/>
      <c r="F681" s="263"/>
      <c r="G681" s="263"/>
    </row>
    <row r="682" spans="4:7" ht="13.8">
      <c r="D682" s="263"/>
      <c r="E682" s="263"/>
      <c r="F682" s="263"/>
      <c r="G682" s="263"/>
    </row>
    <row r="683" spans="4:7" ht="13.8">
      <c r="D683" s="263"/>
      <c r="E683" s="263"/>
      <c r="F683" s="263"/>
      <c r="G683" s="263"/>
    </row>
    <row r="684" spans="4:7" ht="13.8">
      <c r="D684" s="263"/>
      <c r="E684" s="263"/>
      <c r="F684" s="263"/>
      <c r="G684" s="263"/>
    </row>
    <row r="685" spans="4:7" ht="13.8">
      <c r="D685" s="263"/>
      <c r="E685" s="263"/>
      <c r="F685" s="263"/>
      <c r="G685" s="263"/>
    </row>
    <row r="686" spans="4:7" ht="13.8">
      <c r="D686" s="263"/>
      <c r="E686" s="263"/>
      <c r="F686" s="263"/>
      <c r="G686" s="263"/>
    </row>
    <row r="687" spans="4:7" ht="13.8">
      <c r="D687" s="263"/>
      <c r="E687" s="263"/>
      <c r="F687" s="263"/>
      <c r="G687" s="263"/>
    </row>
    <row r="688" spans="4:7" ht="13.8">
      <c r="D688" s="263"/>
      <c r="E688" s="263"/>
      <c r="F688" s="263"/>
      <c r="G688" s="263"/>
    </row>
    <row r="689" spans="4:7" ht="13.8">
      <c r="D689" s="263"/>
      <c r="E689" s="263"/>
      <c r="F689" s="263"/>
      <c r="G689" s="263"/>
    </row>
    <row r="690" spans="4:7" ht="13.8">
      <c r="D690" s="263"/>
      <c r="E690" s="263"/>
      <c r="F690" s="263"/>
      <c r="G690" s="263"/>
    </row>
    <row r="691" spans="4:7" ht="13.8">
      <c r="D691" s="263"/>
      <c r="E691" s="263"/>
      <c r="F691" s="263"/>
      <c r="G691" s="263"/>
    </row>
    <row r="692" spans="4:7" ht="13.8">
      <c r="D692" s="263"/>
      <c r="E692" s="263"/>
      <c r="F692" s="263"/>
      <c r="G692" s="263"/>
    </row>
    <row r="693" spans="4:7" ht="13.8">
      <c r="D693" s="263"/>
      <c r="E693" s="263"/>
      <c r="F693" s="263"/>
      <c r="G693" s="263"/>
    </row>
    <row r="694" spans="4:7" ht="13.8">
      <c r="D694" s="263"/>
      <c r="E694" s="263"/>
      <c r="F694" s="263"/>
      <c r="G694" s="263"/>
    </row>
    <row r="695" spans="4:7" ht="13.8">
      <c r="D695" s="263"/>
      <c r="E695" s="263"/>
      <c r="F695" s="263"/>
      <c r="G695" s="263"/>
    </row>
    <row r="696" spans="4:7" ht="13.8">
      <c r="D696" s="263"/>
      <c r="E696" s="263"/>
      <c r="F696" s="263"/>
      <c r="G696" s="263"/>
    </row>
    <row r="697" spans="4:7" ht="13.8">
      <c r="D697" s="263"/>
      <c r="E697" s="263"/>
      <c r="F697" s="263"/>
      <c r="G697" s="263"/>
    </row>
    <row r="698" spans="4:7" ht="13.8">
      <c r="D698" s="263"/>
      <c r="E698" s="263"/>
      <c r="F698" s="263"/>
      <c r="G698" s="263"/>
    </row>
    <row r="699" spans="4:7" ht="13.8">
      <c r="D699" s="263"/>
      <c r="E699" s="263"/>
      <c r="F699" s="263"/>
      <c r="G699" s="263"/>
    </row>
    <row r="700" spans="4:7" ht="13.8">
      <c r="D700" s="263"/>
      <c r="E700" s="263"/>
      <c r="F700" s="263"/>
      <c r="G700" s="263"/>
    </row>
    <row r="701" spans="4:7" ht="13.8">
      <c r="D701" s="263"/>
      <c r="E701" s="263"/>
      <c r="F701" s="263"/>
      <c r="G701" s="263"/>
    </row>
    <row r="702" spans="4:7" ht="13.8">
      <c r="D702" s="263"/>
      <c r="E702" s="263"/>
      <c r="F702" s="263"/>
      <c r="G702" s="263"/>
    </row>
    <row r="703" spans="4:7" ht="13.8">
      <c r="D703" s="263"/>
      <c r="E703" s="263"/>
      <c r="F703" s="263"/>
      <c r="G703" s="263"/>
    </row>
    <row r="704" spans="4:7" ht="13.8">
      <c r="D704" s="263"/>
      <c r="E704" s="263"/>
      <c r="F704" s="263"/>
      <c r="G704" s="263"/>
    </row>
    <row r="705" spans="4:7" ht="13.8">
      <c r="D705" s="263"/>
      <c r="E705" s="263"/>
      <c r="F705" s="263"/>
      <c r="G705" s="263"/>
    </row>
    <row r="706" spans="4:7" ht="13.8">
      <c r="D706" s="263"/>
      <c r="E706" s="263"/>
      <c r="F706" s="263"/>
      <c r="G706" s="263"/>
    </row>
    <row r="707" spans="4:7" ht="13.8">
      <c r="D707" s="263"/>
      <c r="E707" s="263"/>
      <c r="F707" s="263"/>
      <c r="G707" s="263"/>
    </row>
    <row r="708" spans="4:7" ht="13.8">
      <c r="D708" s="263"/>
      <c r="E708" s="263"/>
      <c r="F708" s="263"/>
      <c r="G708" s="263"/>
    </row>
    <row r="709" spans="4:7" ht="13.8">
      <c r="D709" s="263"/>
      <c r="E709" s="263"/>
      <c r="F709" s="263"/>
      <c r="G709" s="263"/>
    </row>
    <row r="710" spans="4:7" ht="13.8">
      <c r="D710" s="263"/>
      <c r="E710" s="263"/>
      <c r="F710" s="263"/>
      <c r="G710" s="263"/>
    </row>
    <row r="711" spans="4:7" ht="13.8">
      <c r="D711" s="263"/>
      <c r="E711" s="263"/>
      <c r="F711" s="263"/>
      <c r="G711" s="263"/>
    </row>
    <row r="712" spans="4:7" ht="13.8">
      <c r="D712" s="263"/>
      <c r="E712" s="263"/>
      <c r="F712" s="263"/>
      <c r="G712" s="263"/>
    </row>
    <row r="713" spans="4:7" ht="13.8">
      <c r="D713" s="263"/>
      <c r="E713" s="263"/>
      <c r="F713" s="263"/>
      <c r="G713" s="263"/>
    </row>
    <row r="714" spans="4:7" ht="13.8">
      <c r="D714" s="263"/>
      <c r="E714" s="263"/>
      <c r="F714" s="263"/>
      <c r="G714" s="263"/>
    </row>
    <row r="715" spans="4:7" ht="13.8">
      <c r="D715" s="263"/>
      <c r="E715" s="263"/>
      <c r="F715" s="263"/>
      <c r="G715" s="263"/>
    </row>
    <row r="716" spans="4:7" ht="13.8">
      <c r="D716" s="263"/>
      <c r="E716" s="263"/>
      <c r="F716" s="263"/>
      <c r="G716" s="263"/>
    </row>
    <row r="717" spans="4:7" ht="13.8">
      <c r="D717" s="263"/>
      <c r="E717" s="263"/>
      <c r="F717" s="263"/>
      <c r="G717" s="263"/>
    </row>
    <row r="718" spans="4:7" ht="13.8">
      <c r="D718" s="263"/>
      <c r="E718" s="263"/>
      <c r="F718" s="263"/>
      <c r="G718" s="263"/>
    </row>
    <row r="719" spans="4:7" ht="13.8">
      <c r="D719" s="263"/>
      <c r="E719" s="263"/>
      <c r="F719" s="263"/>
      <c r="G719" s="263"/>
    </row>
    <row r="720" spans="4:7" ht="13.8">
      <c r="D720" s="263"/>
      <c r="E720" s="263"/>
      <c r="F720" s="263"/>
      <c r="G720" s="263"/>
    </row>
    <row r="721" spans="4:7" ht="13.8">
      <c r="D721" s="263"/>
      <c r="E721" s="263"/>
      <c r="F721" s="263"/>
      <c r="G721" s="263"/>
    </row>
    <row r="722" spans="4:7" ht="13.8">
      <c r="D722" s="263"/>
      <c r="E722" s="263"/>
      <c r="F722" s="263"/>
      <c r="G722" s="263"/>
    </row>
    <row r="723" spans="4:7" ht="13.8">
      <c r="D723" s="263"/>
      <c r="E723" s="263"/>
      <c r="F723" s="263"/>
      <c r="G723" s="263"/>
    </row>
    <row r="724" spans="4:7" ht="13.8">
      <c r="D724" s="263"/>
      <c r="E724" s="263"/>
      <c r="F724" s="263"/>
      <c r="G724" s="263"/>
    </row>
    <row r="725" spans="4:7" ht="13.8">
      <c r="D725" s="263"/>
      <c r="E725" s="263"/>
      <c r="F725" s="263"/>
      <c r="G725" s="263"/>
    </row>
    <row r="726" spans="4:7" ht="13.8">
      <c r="D726" s="263"/>
      <c r="E726" s="263"/>
      <c r="F726" s="263"/>
      <c r="G726" s="263"/>
    </row>
    <row r="727" spans="4:7" ht="13.8">
      <c r="D727" s="263"/>
      <c r="E727" s="263"/>
      <c r="F727" s="263"/>
      <c r="G727" s="263"/>
    </row>
    <row r="728" spans="4:7" ht="13.8">
      <c r="D728" s="263"/>
      <c r="E728" s="263"/>
      <c r="F728" s="263"/>
      <c r="G728" s="263"/>
    </row>
    <row r="729" spans="4:7" ht="13.8">
      <c r="D729" s="263"/>
      <c r="E729" s="263"/>
      <c r="F729" s="263"/>
      <c r="G729" s="263"/>
    </row>
    <row r="730" spans="4:7" ht="13.8">
      <c r="D730" s="263"/>
      <c r="E730" s="263"/>
      <c r="F730" s="263"/>
      <c r="G730" s="263"/>
    </row>
    <row r="731" spans="4:7" ht="13.8">
      <c r="D731" s="263"/>
      <c r="E731" s="263"/>
      <c r="F731" s="263"/>
      <c r="G731" s="263"/>
    </row>
    <row r="732" spans="4:7" ht="13.8">
      <c r="D732" s="263"/>
      <c r="E732" s="263"/>
      <c r="F732" s="263"/>
      <c r="G732" s="263"/>
    </row>
    <row r="733" spans="4:7" ht="13.8">
      <c r="D733" s="263"/>
      <c r="E733" s="263"/>
      <c r="F733" s="263"/>
      <c r="G733" s="263"/>
    </row>
    <row r="734" spans="4:7" ht="13.8">
      <c r="D734" s="263"/>
      <c r="E734" s="263"/>
      <c r="F734" s="263"/>
      <c r="G734" s="263"/>
    </row>
    <row r="735" spans="4:7" ht="13.8">
      <c r="D735" s="263"/>
      <c r="E735" s="263"/>
      <c r="F735" s="263"/>
      <c r="G735" s="263"/>
    </row>
    <row r="736" spans="4:7" ht="13.8">
      <c r="D736" s="263"/>
      <c r="E736" s="263"/>
      <c r="F736" s="263"/>
      <c r="G736" s="263"/>
    </row>
    <row r="737" spans="4:7" ht="13.8">
      <c r="D737" s="263"/>
      <c r="E737" s="263"/>
      <c r="F737" s="263"/>
      <c r="G737" s="263"/>
    </row>
    <row r="738" spans="4:7" ht="13.8">
      <c r="D738" s="263"/>
      <c r="E738" s="263"/>
      <c r="F738" s="263"/>
      <c r="G738" s="263"/>
    </row>
    <row r="739" spans="4:7" ht="13.8">
      <c r="D739" s="263"/>
      <c r="E739" s="263"/>
      <c r="F739" s="263"/>
      <c r="G739" s="263"/>
    </row>
    <row r="740" spans="4:7" ht="13.8">
      <c r="D740" s="263"/>
      <c r="E740" s="263"/>
      <c r="F740" s="263"/>
      <c r="G740" s="263"/>
    </row>
    <row r="741" spans="4:7" ht="13.8">
      <c r="D741" s="263"/>
      <c r="E741" s="263"/>
      <c r="F741" s="263"/>
      <c r="G741" s="263"/>
    </row>
    <row r="742" spans="4:7" ht="13.8">
      <c r="D742" s="263"/>
      <c r="E742" s="263"/>
      <c r="F742" s="263"/>
      <c r="G742" s="263"/>
    </row>
    <row r="743" spans="4:7" ht="13.8">
      <c r="D743" s="263"/>
      <c r="E743" s="263"/>
      <c r="F743" s="263"/>
      <c r="G743" s="263"/>
    </row>
    <row r="744" spans="4:7" ht="13.8">
      <c r="D744" s="263"/>
      <c r="E744" s="263"/>
      <c r="F744" s="263"/>
      <c r="G744" s="263"/>
    </row>
    <row r="745" spans="4:7" ht="13.8">
      <c r="D745" s="263"/>
      <c r="E745" s="263"/>
      <c r="F745" s="263"/>
      <c r="G745" s="263"/>
    </row>
    <row r="746" spans="4:7" ht="13.8">
      <c r="D746" s="263"/>
      <c r="E746" s="263"/>
      <c r="F746" s="263"/>
      <c r="G746" s="263"/>
    </row>
    <row r="747" spans="4:7" ht="13.8">
      <c r="D747" s="263"/>
      <c r="E747" s="263"/>
      <c r="F747" s="263"/>
      <c r="G747" s="263"/>
    </row>
    <row r="748" spans="4:7" ht="13.8">
      <c r="D748" s="263"/>
      <c r="E748" s="263"/>
      <c r="F748" s="263"/>
      <c r="G748" s="263"/>
    </row>
    <row r="749" spans="4:7" ht="13.8">
      <c r="D749" s="263"/>
      <c r="E749" s="263"/>
      <c r="F749" s="263"/>
      <c r="G749" s="263"/>
    </row>
    <row r="750" spans="4:7" ht="13.8">
      <c r="D750" s="263"/>
      <c r="E750" s="263"/>
      <c r="F750" s="263"/>
      <c r="G750" s="263"/>
    </row>
    <row r="751" spans="4:7" ht="13.8">
      <c r="D751" s="263"/>
      <c r="E751" s="263"/>
      <c r="F751" s="263"/>
      <c r="G751" s="263"/>
    </row>
  </sheetData>
  <mergeCells count="6">
    <mergeCell ref="L12:L13"/>
    <mergeCell ref="B12:B13"/>
    <mergeCell ref="C12:C13"/>
    <mergeCell ref="G12:H12"/>
    <mergeCell ref="I12:I13"/>
    <mergeCell ref="J12:J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N790"/>
  <sheetViews>
    <sheetView topLeftCell="A3" workbookViewId="0"/>
  </sheetViews>
  <sheetFormatPr defaultColWidth="12.59765625" defaultRowHeight="15" customHeight="1"/>
  <cols>
    <col min="1" max="1" width="3.09765625" customWidth="1"/>
    <col min="2" max="2" width="64" customWidth="1"/>
    <col min="3" max="3" width="79.5" customWidth="1"/>
    <col min="12" max="12" width="14.09765625" customWidth="1"/>
  </cols>
  <sheetData>
    <row r="1" spans="1:14" ht="13.8">
      <c r="A1" s="231"/>
      <c r="B1" s="231" t="s">
        <v>177</v>
      </c>
      <c r="C1" s="232"/>
      <c r="D1" s="233"/>
      <c r="E1" s="234"/>
      <c r="F1" s="234"/>
      <c r="G1" s="234"/>
      <c r="H1" s="235"/>
      <c r="I1" s="235"/>
      <c r="J1" s="235"/>
      <c r="K1" s="235"/>
      <c r="L1" s="235"/>
      <c r="M1" s="235"/>
      <c r="N1" s="235"/>
    </row>
    <row r="2" spans="1:14" ht="13.8">
      <c r="A2" s="237"/>
      <c r="B2" s="237"/>
      <c r="C2" s="237"/>
      <c r="D2" s="233"/>
      <c r="E2" s="234"/>
      <c r="F2" s="234"/>
      <c r="G2" s="234"/>
      <c r="H2" s="235"/>
      <c r="I2" s="235"/>
      <c r="J2" s="235"/>
      <c r="K2" s="235"/>
      <c r="L2" s="235"/>
      <c r="M2" s="235"/>
      <c r="N2" s="235"/>
    </row>
    <row r="3" spans="1:14" ht="21">
      <c r="A3" s="254"/>
      <c r="B3" s="255" t="s">
        <v>208</v>
      </c>
      <c r="C3" s="256"/>
      <c r="D3" s="257"/>
      <c r="E3" s="234"/>
      <c r="F3" s="234"/>
      <c r="G3" s="234"/>
      <c r="H3" s="235"/>
      <c r="I3" s="235"/>
      <c r="J3" s="235"/>
      <c r="K3" s="235"/>
      <c r="L3" s="235"/>
      <c r="M3" s="235"/>
      <c r="N3" s="235"/>
    </row>
    <row r="4" spans="1:14" ht="14.4">
      <c r="A4" s="254"/>
      <c r="B4" s="258" t="s">
        <v>177</v>
      </c>
      <c r="C4" s="23"/>
      <c r="D4" s="105"/>
      <c r="E4" s="234"/>
      <c r="F4" s="234"/>
      <c r="G4" s="234"/>
      <c r="H4" s="235"/>
      <c r="I4" s="235"/>
      <c r="J4" s="235"/>
      <c r="K4" s="235"/>
      <c r="L4" s="235"/>
      <c r="M4" s="235"/>
      <c r="N4" s="235"/>
    </row>
    <row r="5" spans="1:14" ht="14.4">
      <c r="A5" s="254"/>
      <c r="B5" s="259" t="s">
        <v>40</v>
      </c>
      <c r="C5" s="23"/>
      <c r="D5" s="105"/>
      <c r="E5" s="234"/>
      <c r="F5" s="234"/>
      <c r="G5" s="234"/>
      <c r="H5" s="235"/>
      <c r="I5" s="235"/>
      <c r="J5" s="235"/>
      <c r="K5" s="235"/>
      <c r="L5" s="235"/>
      <c r="M5" s="235"/>
      <c r="N5" s="235"/>
    </row>
    <row r="6" spans="1:14" ht="14.4">
      <c r="A6" s="254"/>
      <c r="B6" s="259" t="s">
        <v>51</v>
      </c>
      <c r="C6" s="23"/>
      <c r="D6" s="105"/>
      <c r="E6" s="234"/>
      <c r="F6" s="234"/>
      <c r="G6" s="234"/>
      <c r="H6" s="235"/>
      <c r="I6" s="235"/>
      <c r="J6" s="235"/>
      <c r="K6" s="235"/>
      <c r="L6" s="235"/>
      <c r="M6" s="235"/>
      <c r="N6" s="235"/>
    </row>
    <row r="7" spans="1:14" ht="14.4">
      <c r="A7" s="254"/>
      <c r="B7" s="259" t="s">
        <v>42</v>
      </c>
      <c r="C7" s="23"/>
      <c r="D7" s="105"/>
      <c r="E7" s="234"/>
      <c r="F7" s="234"/>
      <c r="G7" s="234"/>
      <c r="H7" s="235"/>
      <c r="I7" s="235"/>
      <c r="J7" s="235"/>
      <c r="K7" s="235"/>
      <c r="L7" s="235"/>
      <c r="M7" s="235"/>
      <c r="N7" s="235"/>
    </row>
    <row r="8" spans="1:14" ht="14.4">
      <c r="A8" s="254"/>
      <c r="B8" s="259" t="s">
        <v>52</v>
      </c>
      <c r="C8" s="23"/>
      <c r="D8" s="105"/>
      <c r="E8" s="234"/>
      <c r="F8" s="234"/>
      <c r="G8" s="234"/>
      <c r="H8" s="235"/>
      <c r="I8" s="235"/>
      <c r="J8" s="235"/>
      <c r="K8" s="235"/>
      <c r="L8" s="235"/>
      <c r="M8" s="235"/>
      <c r="N8" s="235"/>
    </row>
    <row r="9" spans="1:14" ht="14.4">
      <c r="A9" s="254"/>
      <c r="B9" s="259" t="s">
        <v>53</v>
      </c>
      <c r="C9" s="23"/>
      <c r="D9" s="105"/>
      <c r="E9" s="234"/>
      <c r="F9" s="234"/>
      <c r="G9" s="234"/>
      <c r="H9" s="235"/>
      <c r="I9" s="235"/>
      <c r="J9" s="235"/>
      <c r="K9" s="235"/>
      <c r="L9" s="235"/>
      <c r="M9" s="235"/>
      <c r="N9" s="235"/>
    </row>
    <row r="10" spans="1:14" ht="14.4">
      <c r="A10" s="254"/>
      <c r="B10" s="260"/>
      <c r="C10" s="261"/>
      <c r="D10" s="262"/>
      <c r="E10" s="234"/>
      <c r="F10" s="234"/>
      <c r="G10" s="234"/>
      <c r="H10" s="235"/>
      <c r="I10" s="235"/>
      <c r="J10" s="235"/>
      <c r="K10" s="235"/>
      <c r="L10" s="235"/>
      <c r="M10" s="235"/>
      <c r="N10" s="235"/>
    </row>
    <row r="11" spans="1:14" ht="13.8">
      <c r="A11" s="254"/>
      <c r="B11" s="235"/>
      <c r="C11" s="235"/>
      <c r="D11" s="234"/>
      <c r="E11" s="234"/>
      <c r="F11" s="234"/>
      <c r="G11" s="234"/>
      <c r="H11" s="235"/>
      <c r="I11" s="235"/>
      <c r="J11" s="235"/>
      <c r="K11" s="235"/>
      <c r="L11" s="235"/>
      <c r="M11" s="235"/>
      <c r="N11" s="235"/>
    </row>
    <row r="12" spans="1:14" ht="13.8">
      <c r="A12" s="238"/>
      <c r="B12" s="238" t="s">
        <v>185</v>
      </c>
      <c r="C12" s="237"/>
      <c r="D12" s="233"/>
      <c r="E12" s="234"/>
      <c r="F12" s="234"/>
      <c r="G12" s="234"/>
      <c r="H12" s="235"/>
      <c r="I12" s="235"/>
      <c r="J12" s="235"/>
      <c r="K12" s="235"/>
      <c r="L12" s="235"/>
      <c r="M12" s="235"/>
      <c r="N12" s="235"/>
    </row>
    <row r="13" spans="1:14" ht="27.75" customHeight="1">
      <c r="A13" s="239"/>
      <c r="B13" s="542" t="s">
        <v>363</v>
      </c>
      <c r="C13" s="542" t="s">
        <v>209</v>
      </c>
      <c r="D13" s="240" t="s">
        <v>188</v>
      </c>
      <c r="E13" s="240" t="s">
        <v>364</v>
      </c>
      <c r="F13" s="240"/>
      <c r="G13" s="543" t="s">
        <v>189</v>
      </c>
      <c r="H13" s="532"/>
      <c r="I13" s="542" t="s">
        <v>91</v>
      </c>
      <c r="J13" s="542"/>
      <c r="K13" s="235"/>
      <c r="L13" s="542" t="s">
        <v>365</v>
      </c>
      <c r="M13" s="235"/>
      <c r="N13" s="235"/>
    </row>
    <row r="14" spans="1:14" ht="13.8">
      <c r="A14" s="239"/>
      <c r="B14" s="540"/>
      <c r="C14" s="540"/>
      <c r="D14" s="240" t="s">
        <v>191</v>
      </c>
      <c r="E14" s="240"/>
      <c r="F14" s="240"/>
      <c r="G14" s="240"/>
      <c r="H14" s="241"/>
      <c r="I14" s="540"/>
      <c r="J14" s="540"/>
      <c r="K14" s="235"/>
      <c r="L14" s="540"/>
      <c r="M14" s="235"/>
      <c r="N14" s="235"/>
    </row>
    <row r="15" spans="1:14" ht="14.4">
      <c r="A15" s="251"/>
      <c r="B15" s="350"/>
      <c r="C15" s="351"/>
      <c r="D15" s="352"/>
      <c r="E15" s="352"/>
      <c r="F15" s="352"/>
      <c r="G15" s="352"/>
      <c r="H15" s="353"/>
      <c r="I15" s="354"/>
      <c r="J15" s="353"/>
      <c r="K15" s="235"/>
      <c r="L15" s="354"/>
      <c r="M15" s="235"/>
      <c r="N15" s="235"/>
    </row>
    <row r="16" spans="1:14" ht="14.4">
      <c r="A16" s="242"/>
      <c r="B16" s="355" t="s">
        <v>396</v>
      </c>
      <c r="C16" s="244"/>
      <c r="D16" s="246"/>
      <c r="E16" s="246"/>
      <c r="F16" s="246"/>
      <c r="G16" s="246"/>
      <c r="H16" s="247"/>
      <c r="I16" s="244"/>
      <c r="J16" s="243"/>
      <c r="K16" s="235"/>
      <c r="L16" s="244"/>
      <c r="M16" s="235"/>
      <c r="N16" s="235"/>
    </row>
    <row r="17" spans="1:14" ht="14.4">
      <c r="A17" s="242"/>
      <c r="B17" s="356" t="s">
        <v>397</v>
      </c>
      <c r="C17" s="243"/>
      <c r="D17" s="357"/>
      <c r="E17" s="357"/>
      <c r="F17" s="357"/>
      <c r="G17" s="357"/>
      <c r="H17" s="247"/>
      <c r="I17" s="357">
        <f t="shared" ref="I17:I48" si="0">D17</f>
        <v>0</v>
      </c>
      <c r="J17" s="357">
        <f>G17</f>
        <v>0</v>
      </c>
      <c r="K17" s="235"/>
      <c r="L17" s="244"/>
      <c r="M17" s="235"/>
      <c r="N17" s="235"/>
    </row>
    <row r="18" spans="1:14" ht="14.4">
      <c r="A18" s="242"/>
      <c r="B18" s="358" t="s">
        <v>398</v>
      </c>
      <c r="C18" s="243"/>
      <c r="D18" s="357">
        <v>2</v>
      </c>
      <c r="E18" s="357"/>
      <c r="F18" s="357"/>
      <c r="G18" s="357"/>
      <c r="H18" s="247"/>
      <c r="I18" s="357">
        <f t="shared" si="0"/>
        <v>2</v>
      </c>
      <c r="J18" s="357" t="s">
        <v>97</v>
      </c>
      <c r="K18" s="359"/>
      <c r="L18" s="244"/>
      <c r="M18" s="235"/>
      <c r="N18" s="235"/>
    </row>
    <row r="19" spans="1:14" ht="14.4">
      <c r="A19" s="242"/>
      <c r="B19" s="358" t="s">
        <v>399</v>
      </c>
      <c r="C19" s="243"/>
      <c r="D19" s="357">
        <v>1</v>
      </c>
      <c r="E19" s="357"/>
      <c r="F19" s="357"/>
      <c r="G19" s="357"/>
      <c r="H19" s="247"/>
      <c r="I19" s="357">
        <f t="shared" si="0"/>
        <v>1</v>
      </c>
      <c r="J19" s="357" t="s">
        <v>97</v>
      </c>
      <c r="K19" s="359"/>
      <c r="L19" s="244"/>
      <c r="M19" s="235"/>
      <c r="N19" s="235"/>
    </row>
    <row r="20" spans="1:14" ht="14.4">
      <c r="A20" s="242"/>
      <c r="B20" s="358" t="s">
        <v>400</v>
      </c>
      <c r="C20" s="243"/>
      <c r="D20" s="357">
        <v>1</v>
      </c>
      <c r="E20" s="357"/>
      <c r="F20" s="357"/>
      <c r="G20" s="357"/>
      <c r="H20" s="247"/>
      <c r="I20" s="357">
        <f t="shared" si="0"/>
        <v>1</v>
      </c>
      <c r="J20" s="357" t="s">
        <v>97</v>
      </c>
      <c r="K20" s="359"/>
      <c r="L20" s="360"/>
      <c r="M20" s="235"/>
      <c r="N20" s="235"/>
    </row>
    <row r="21" spans="1:14" ht="14.4">
      <c r="A21" s="242"/>
      <c r="B21" s="358" t="s">
        <v>401</v>
      </c>
      <c r="C21" s="243"/>
      <c r="D21" s="357">
        <v>1</v>
      </c>
      <c r="E21" s="357"/>
      <c r="F21" s="357"/>
      <c r="G21" s="357"/>
      <c r="H21" s="247"/>
      <c r="I21" s="357">
        <f t="shared" si="0"/>
        <v>1</v>
      </c>
      <c r="J21" s="357" t="s">
        <v>97</v>
      </c>
      <c r="K21" s="359"/>
      <c r="L21" s="360"/>
      <c r="M21" s="235"/>
      <c r="N21" s="235"/>
    </row>
    <row r="22" spans="1:14" ht="14.4">
      <c r="A22" s="242"/>
      <c r="B22" s="358" t="s">
        <v>402</v>
      </c>
      <c r="C22" s="243"/>
      <c r="D22" s="357">
        <v>1</v>
      </c>
      <c r="E22" s="357"/>
      <c r="F22" s="357"/>
      <c r="G22" s="357"/>
      <c r="H22" s="247"/>
      <c r="I22" s="357">
        <f t="shared" si="0"/>
        <v>1</v>
      </c>
      <c r="J22" s="357" t="s">
        <v>97</v>
      </c>
      <c r="K22" s="359"/>
      <c r="L22" s="360"/>
      <c r="M22" s="235"/>
      <c r="N22" s="235"/>
    </row>
    <row r="23" spans="1:14" ht="14.4">
      <c r="A23" s="242"/>
      <c r="B23" s="358" t="s">
        <v>403</v>
      </c>
      <c r="C23" s="243"/>
      <c r="D23" s="357">
        <v>1</v>
      </c>
      <c r="E23" s="357"/>
      <c r="F23" s="357"/>
      <c r="G23" s="357"/>
      <c r="H23" s="247"/>
      <c r="I23" s="357">
        <f t="shared" si="0"/>
        <v>1</v>
      </c>
      <c r="J23" s="357" t="s">
        <v>97</v>
      </c>
      <c r="K23" s="359"/>
      <c r="L23" s="360"/>
      <c r="M23" s="235"/>
      <c r="N23" s="235"/>
    </row>
    <row r="24" spans="1:14" ht="14.4">
      <c r="A24" s="242"/>
      <c r="B24" s="358" t="s">
        <v>404</v>
      </c>
      <c r="C24" s="243"/>
      <c r="D24" s="357">
        <v>1</v>
      </c>
      <c r="E24" s="357"/>
      <c r="F24" s="357"/>
      <c r="G24" s="357"/>
      <c r="H24" s="247"/>
      <c r="I24" s="357">
        <f t="shared" si="0"/>
        <v>1</v>
      </c>
      <c r="J24" s="357" t="s">
        <v>97</v>
      </c>
      <c r="K24" s="359"/>
      <c r="L24" s="360"/>
      <c r="M24" s="235"/>
      <c r="N24" s="235"/>
    </row>
    <row r="25" spans="1:14" ht="14.4">
      <c r="A25" s="242"/>
      <c r="B25" s="358" t="s">
        <v>405</v>
      </c>
      <c r="C25" s="243"/>
      <c r="D25" s="357">
        <v>1</v>
      </c>
      <c r="E25" s="357"/>
      <c r="F25" s="357"/>
      <c r="G25" s="357"/>
      <c r="H25" s="247"/>
      <c r="I25" s="357">
        <f t="shared" si="0"/>
        <v>1</v>
      </c>
      <c r="J25" s="357" t="s">
        <v>97</v>
      </c>
      <c r="K25" s="359"/>
      <c r="L25" s="360"/>
      <c r="M25" s="235"/>
      <c r="N25" s="235"/>
    </row>
    <row r="26" spans="1:14" ht="14.4">
      <c r="A26" s="242"/>
      <c r="B26" s="358" t="s">
        <v>406</v>
      </c>
      <c r="C26" s="243"/>
      <c r="D26" s="357">
        <v>1</v>
      </c>
      <c r="E26" s="357"/>
      <c r="F26" s="357"/>
      <c r="G26" s="357"/>
      <c r="H26" s="247"/>
      <c r="I26" s="357">
        <f t="shared" si="0"/>
        <v>1</v>
      </c>
      <c r="J26" s="357" t="s">
        <v>97</v>
      </c>
      <c r="K26" s="359"/>
      <c r="L26" s="360"/>
      <c r="M26" s="235"/>
      <c r="N26" s="235"/>
    </row>
    <row r="27" spans="1:14" ht="14.4">
      <c r="A27" s="242"/>
      <c r="B27" s="358" t="s">
        <v>407</v>
      </c>
      <c r="C27" s="243"/>
      <c r="D27" s="357">
        <v>1</v>
      </c>
      <c r="E27" s="357"/>
      <c r="F27" s="357"/>
      <c r="G27" s="357"/>
      <c r="H27" s="247"/>
      <c r="I27" s="357">
        <f t="shared" si="0"/>
        <v>1</v>
      </c>
      <c r="J27" s="357" t="s">
        <v>97</v>
      </c>
      <c r="K27" s="359"/>
      <c r="L27" s="360"/>
      <c r="M27" s="235"/>
      <c r="N27" s="235"/>
    </row>
    <row r="28" spans="1:14" ht="14.4">
      <c r="A28" s="242"/>
      <c r="B28" s="358" t="s">
        <v>408</v>
      </c>
      <c r="C28" s="243"/>
      <c r="D28" s="357">
        <v>1</v>
      </c>
      <c r="E28" s="357"/>
      <c r="F28" s="357"/>
      <c r="G28" s="357"/>
      <c r="H28" s="247"/>
      <c r="I28" s="357">
        <f t="shared" si="0"/>
        <v>1</v>
      </c>
      <c r="J28" s="357" t="s">
        <v>97</v>
      </c>
      <c r="K28" s="359"/>
      <c r="L28" s="360"/>
      <c r="M28" s="235"/>
      <c r="N28" s="235"/>
    </row>
    <row r="29" spans="1:14" ht="14.4">
      <c r="A29" s="242"/>
      <c r="B29" s="358" t="s">
        <v>409</v>
      </c>
      <c r="C29" s="243"/>
      <c r="D29" s="357">
        <v>2</v>
      </c>
      <c r="E29" s="357"/>
      <c r="F29" s="357"/>
      <c r="G29" s="357"/>
      <c r="H29" s="247"/>
      <c r="I29" s="357">
        <f t="shared" si="0"/>
        <v>2</v>
      </c>
      <c r="J29" s="357" t="s">
        <v>97</v>
      </c>
      <c r="K29" s="359"/>
      <c r="L29" s="360"/>
      <c r="M29" s="235"/>
      <c r="N29" s="235"/>
    </row>
    <row r="30" spans="1:14" ht="14.4">
      <c r="A30" s="242"/>
      <c r="B30" s="358" t="s">
        <v>410</v>
      </c>
      <c r="C30" s="243"/>
      <c r="D30" s="357">
        <v>1</v>
      </c>
      <c r="E30" s="357"/>
      <c r="F30" s="357"/>
      <c r="G30" s="357"/>
      <c r="H30" s="247"/>
      <c r="I30" s="357">
        <f t="shared" si="0"/>
        <v>1</v>
      </c>
      <c r="J30" s="357" t="s">
        <v>97</v>
      </c>
      <c r="K30" s="359"/>
      <c r="L30" s="360"/>
      <c r="M30" s="235"/>
      <c r="N30" s="235"/>
    </row>
    <row r="31" spans="1:14" ht="14.4">
      <c r="A31" s="242"/>
      <c r="B31" s="358" t="s">
        <v>411</v>
      </c>
      <c r="C31" s="243"/>
      <c r="D31" s="357">
        <v>1</v>
      </c>
      <c r="E31" s="357"/>
      <c r="F31" s="357"/>
      <c r="G31" s="357"/>
      <c r="H31" s="247"/>
      <c r="I31" s="357">
        <f t="shared" si="0"/>
        <v>1</v>
      </c>
      <c r="J31" s="357" t="s">
        <v>97</v>
      </c>
      <c r="K31" s="359"/>
      <c r="L31" s="360"/>
      <c r="M31" s="235"/>
      <c r="N31" s="235"/>
    </row>
    <row r="32" spans="1:14" ht="14.4">
      <c r="A32" s="242"/>
      <c r="B32" s="358" t="s">
        <v>412</v>
      </c>
      <c r="C32" s="243"/>
      <c r="D32" s="357">
        <v>1</v>
      </c>
      <c r="E32" s="357"/>
      <c r="F32" s="357"/>
      <c r="G32" s="357"/>
      <c r="H32" s="247"/>
      <c r="I32" s="357">
        <f t="shared" si="0"/>
        <v>1</v>
      </c>
      <c r="J32" s="357" t="s">
        <v>97</v>
      </c>
      <c r="K32" s="359"/>
      <c r="L32" s="360"/>
      <c r="M32" s="235"/>
      <c r="N32" s="235"/>
    </row>
    <row r="33" spans="1:14" ht="14.4">
      <c r="A33" s="242"/>
      <c r="B33" s="358" t="s">
        <v>413</v>
      </c>
      <c r="C33" s="243"/>
      <c r="D33" s="357">
        <v>1</v>
      </c>
      <c r="E33" s="357"/>
      <c r="F33" s="357"/>
      <c r="G33" s="357"/>
      <c r="H33" s="247"/>
      <c r="I33" s="357">
        <f t="shared" si="0"/>
        <v>1</v>
      </c>
      <c r="J33" s="357" t="s">
        <v>97</v>
      </c>
      <c r="K33" s="359"/>
      <c r="L33" s="244"/>
      <c r="M33" s="235"/>
      <c r="N33" s="235"/>
    </row>
    <row r="34" spans="1:14" ht="14.4">
      <c r="A34" s="242"/>
      <c r="B34" s="358" t="s">
        <v>414</v>
      </c>
      <c r="C34" s="243"/>
      <c r="D34" s="357">
        <v>1</v>
      </c>
      <c r="E34" s="357"/>
      <c r="F34" s="357"/>
      <c r="G34" s="357"/>
      <c r="H34" s="247"/>
      <c r="I34" s="357">
        <f t="shared" si="0"/>
        <v>1</v>
      </c>
      <c r="J34" s="357" t="s">
        <v>97</v>
      </c>
      <c r="K34" s="359"/>
      <c r="L34" s="244"/>
      <c r="M34" s="235"/>
      <c r="N34" s="235"/>
    </row>
    <row r="35" spans="1:14" ht="14.4">
      <c r="A35" s="242"/>
      <c r="B35" s="358" t="s">
        <v>415</v>
      </c>
      <c r="C35" s="243"/>
      <c r="D35" s="357">
        <v>2</v>
      </c>
      <c r="E35" s="357"/>
      <c r="F35" s="357"/>
      <c r="G35" s="357"/>
      <c r="H35" s="247"/>
      <c r="I35" s="357">
        <f t="shared" si="0"/>
        <v>2</v>
      </c>
      <c r="J35" s="357" t="s">
        <v>97</v>
      </c>
      <c r="K35" s="359"/>
      <c r="L35" s="244"/>
      <c r="M35" s="235"/>
      <c r="N35" s="235"/>
    </row>
    <row r="36" spans="1:14" ht="14.4">
      <c r="A36" s="242"/>
      <c r="B36" s="358" t="s">
        <v>416</v>
      </c>
      <c r="C36" s="243"/>
      <c r="D36" s="357">
        <v>2</v>
      </c>
      <c r="E36" s="357"/>
      <c r="F36" s="357"/>
      <c r="G36" s="357"/>
      <c r="H36" s="247"/>
      <c r="I36" s="357">
        <f t="shared" si="0"/>
        <v>2</v>
      </c>
      <c r="J36" s="357" t="s">
        <v>97</v>
      </c>
      <c r="K36" s="359"/>
      <c r="L36" s="244"/>
      <c r="M36" s="235"/>
      <c r="N36" s="235"/>
    </row>
    <row r="37" spans="1:14" ht="14.4">
      <c r="A37" s="242"/>
      <c r="B37" s="358" t="s">
        <v>417</v>
      </c>
      <c r="C37" s="243"/>
      <c r="D37" s="357">
        <v>38</v>
      </c>
      <c r="E37" s="357"/>
      <c r="F37" s="357"/>
      <c r="G37" s="357"/>
      <c r="H37" s="247"/>
      <c r="I37" s="357">
        <f t="shared" si="0"/>
        <v>38</v>
      </c>
      <c r="J37" s="357" t="s">
        <v>97</v>
      </c>
      <c r="K37" s="359"/>
      <c r="L37" s="360"/>
      <c r="M37" s="235"/>
      <c r="N37" s="235"/>
    </row>
    <row r="38" spans="1:14" ht="14.4">
      <c r="A38" s="242"/>
      <c r="B38" s="358" t="s">
        <v>418</v>
      </c>
      <c r="C38" s="243"/>
      <c r="D38" s="357">
        <v>12</v>
      </c>
      <c r="E38" s="357"/>
      <c r="F38" s="357"/>
      <c r="G38" s="357"/>
      <c r="H38" s="247"/>
      <c r="I38" s="357">
        <f t="shared" si="0"/>
        <v>12</v>
      </c>
      <c r="J38" s="357" t="s">
        <v>97</v>
      </c>
      <c r="K38" s="359"/>
      <c r="L38" s="360"/>
      <c r="M38" s="235"/>
      <c r="N38" s="235"/>
    </row>
    <row r="39" spans="1:14" ht="14.4">
      <c r="A39" s="242"/>
      <c r="B39" s="358" t="s">
        <v>419</v>
      </c>
      <c r="C39" s="243"/>
      <c r="D39" s="357">
        <v>12</v>
      </c>
      <c r="E39" s="357"/>
      <c r="F39" s="357"/>
      <c r="G39" s="357"/>
      <c r="H39" s="247"/>
      <c r="I39" s="357">
        <f t="shared" si="0"/>
        <v>12</v>
      </c>
      <c r="J39" s="357" t="s">
        <v>97</v>
      </c>
      <c r="K39" s="359"/>
      <c r="L39" s="360"/>
      <c r="M39" s="235"/>
      <c r="N39" s="235"/>
    </row>
    <row r="40" spans="1:14" ht="14.4">
      <c r="A40" s="242"/>
      <c r="B40" s="358" t="s">
        <v>420</v>
      </c>
      <c r="C40" s="243"/>
      <c r="D40" s="357">
        <v>1</v>
      </c>
      <c r="E40" s="357"/>
      <c r="F40" s="357"/>
      <c r="G40" s="357"/>
      <c r="H40" s="247"/>
      <c r="I40" s="357">
        <f t="shared" si="0"/>
        <v>1</v>
      </c>
      <c r="J40" s="357" t="s">
        <v>97</v>
      </c>
      <c r="K40" s="359"/>
      <c r="L40" s="360"/>
      <c r="M40" s="235"/>
      <c r="N40" s="235"/>
    </row>
    <row r="41" spans="1:14" ht="14.4">
      <c r="A41" s="242"/>
      <c r="B41" s="358" t="s">
        <v>421</v>
      </c>
      <c r="C41" s="243"/>
      <c r="D41" s="357">
        <v>6</v>
      </c>
      <c r="E41" s="357"/>
      <c r="F41" s="357"/>
      <c r="G41" s="357"/>
      <c r="H41" s="247"/>
      <c r="I41" s="357">
        <f t="shared" si="0"/>
        <v>6</v>
      </c>
      <c r="J41" s="357" t="s">
        <v>97</v>
      </c>
      <c r="K41" s="359"/>
      <c r="L41" s="360"/>
      <c r="M41" s="235"/>
      <c r="N41" s="235"/>
    </row>
    <row r="42" spans="1:14" ht="14.4">
      <c r="A42" s="242"/>
      <c r="B42" s="358" t="s">
        <v>422</v>
      </c>
      <c r="C42" s="243"/>
      <c r="D42" s="357">
        <v>1</v>
      </c>
      <c r="E42" s="357"/>
      <c r="F42" s="357"/>
      <c r="G42" s="357"/>
      <c r="H42" s="247"/>
      <c r="I42" s="357">
        <f t="shared" si="0"/>
        <v>1</v>
      </c>
      <c r="J42" s="357" t="s">
        <v>97</v>
      </c>
      <c r="K42" s="359"/>
      <c r="L42" s="360"/>
      <c r="M42" s="235"/>
      <c r="N42" s="235"/>
    </row>
    <row r="43" spans="1:14" ht="14.4">
      <c r="A43" s="242"/>
      <c r="B43" s="358"/>
      <c r="C43" s="243"/>
      <c r="D43" s="357"/>
      <c r="E43" s="357"/>
      <c r="F43" s="357"/>
      <c r="G43" s="357"/>
      <c r="H43" s="247"/>
      <c r="I43" s="357">
        <f t="shared" si="0"/>
        <v>0</v>
      </c>
      <c r="J43" s="357"/>
      <c r="K43" s="359"/>
      <c r="L43" s="360"/>
      <c r="M43" s="235"/>
      <c r="N43" s="235"/>
    </row>
    <row r="44" spans="1:14" ht="14.4">
      <c r="A44" s="242"/>
      <c r="B44" s="356" t="s">
        <v>423</v>
      </c>
      <c r="C44" s="243"/>
      <c r="D44" s="357"/>
      <c r="E44" s="357"/>
      <c r="F44" s="357"/>
      <c r="G44" s="357"/>
      <c r="H44" s="247"/>
      <c r="I44" s="357">
        <f t="shared" si="0"/>
        <v>0</v>
      </c>
      <c r="J44" s="357"/>
      <c r="K44" s="359"/>
      <c r="L44" s="360"/>
      <c r="M44" s="235"/>
      <c r="N44" s="235"/>
    </row>
    <row r="45" spans="1:14" ht="14.4">
      <c r="A45" s="242"/>
      <c r="B45" s="358" t="s">
        <v>424</v>
      </c>
      <c r="C45" s="243"/>
      <c r="D45" s="357">
        <v>1</v>
      </c>
      <c r="E45" s="357"/>
      <c r="F45" s="357"/>
      <c r="G45" s="357"/>
      <c r="H45" s="247"/>
      <c r="I45" s="357">
        <f t="shared" si="0"/>
        <v>1</v>
      </c>
      <c r="J45" s="357" t="s">
        <v>97</v>
      </c>
      <c r="K45" s="359"/>
      <c r="L45" s="360"/>
      <c r="M45" s="235"/>
      <c r="N45" s="235"/>
    </row>
    <row r="46" spans="1:14" ht="14.4">
      <c r="A46" s="242"/>
      <c r="B46" s="358" t="s">
        <v>425</v>
      </c>
      <c r="C46" s="243"/>
      <c r="D46" s="357">
        <v>1</v>
      </c>
      <c r="E46" s="357"/>
      <c r="F46" s="357"/>
      <c r="G46" s="357"/>
      <c r="H46" s="247"/>
      <c r="I46" s="357">
        <f t="shared" si="0"/>
        <v>1</v>
      </c>
      <c r="J46" s="357" t="s">
        <v>97</v>
      </c>
      <c r="K46" s="359"/>
      <c r="L46" s="360"/>
      <c r="M46" s="235"/>
      <c r="N46" s="235"/>
    </row>
    <row r="47" spans="1:14" ht="14.4">
      <c r="A47" s="242"/>
      <c r="B47" s="358" t="s">
        <v>426</v>
      </c>
      <c r="C47" s="243"/>
      <c r="D47" s="357">
        <v>1</v>
      </c>
      <c r="E47" s="357"/>
      <c r="F47" s="357"/>
      <c r="G47" s="357"/>
      <c r="H47" s="247"/>
      <c r="I47" s="357">
        <f t="shared" si="0"/>
        <v>1</v>
      </c>
      <c r="J47" s="357" t="s">
        <v>97</v>
      </c>
      <c r="K47" s="359"/>
      <c r="L47" s="360"/>
      <c r="M47" s="235"/>
      <c r="N47" s="235"/>
    </row>
    <row r="48" spans="1:14" ht="28.8">
      <c r="A48" s="242"/>
      <c r="B48" s="358" t="s">
        <v>427</v>
      </c>
      <c r="C48" s="243"/>
      <c r="D48" s="357">
        <v>1</v>
      </c>
      <c r="E48" s="357"/>
      <c r="F48" s="357"/>
      <c r="G48" s="357"/>
      <c r="H48" s="247"/>
      <c r="I48" s="357">
        <f t="shared" si="0"/>
        <v>1</v>
      </c>
      <c r="J48" s="357" t="s">
        <v>97</v>
      </c>
      <c r="K48" s="359"/>
      <c r="L48" s="360"/>
      <c r="M48" s="235"/>
      <c r="N48" s="235"/>
    </row>
    <row r="49" spans="1:14" ht="14.4">
      <c r="A49" s="242"/>
      <c r="B49" s="358"/>
      <c r="C49" s="243"/>
      <c r="D49" s="357"/>
      <c r="E49" s="357"/>
      <c r="F49" s="357"/>
      <c r="G49" s="357"/>
      <c r="H49" s="247"/>
      <c r="I49" s="357"/>
      <c r="J49" s="357"/>
      <c r="K49" s="359"/>
      <c r="L49" s="360"/>
      <c r="M49" s="235"/>
      <c r="N49" s="235"/>
    </row>
    <row r="50" spans="1:14" ht="14.4">
      <c r="A50" s="242"/>
      <c r="B50" s="356" t="s">
        <v>428</v>
      </c>
      <c r="C50" s="243"/>
      <c r="D50" s="357"/>
      <c r="E50" s="357"/>
      <c r="F50" s="357"/>
      <c r="G50" s="357"/>
      <c r="H50" s="247"/>
      <c r="I50" s="357"/>
      <c r="J50" s="357"/>
      <c r="K50" s="359"/>
      <c r="L50" s="360"/>
      <c r="M50" s="235"/>
      <c r="N50" s="235"/>
    </row>
    <row r="51" spans="1:14" ht="14.4">
      <c r="A51" s="242"/>
      <c r="B51" s="356" t="s">
        <v>429</v>
      </c>
      <c r="C51" s="243"/>
      <c r="D51" s="357"/>
      <c r="E51" s="357"/>
      <c r="F51" s="357"/>
      <c r="G51" s="357"/>
      <c r="H51" s="247"/>
      <c r="I51" s="357"/>
      <c r="J51" s="357"/>
      <c r="K51" s="359"/>
      <c r="L51" s="360"/>
      <c r="M51" s="235"/>
      <c r="N51" s="235"/>
    </row>
    <row r="52" spans="1:14" ht="14.4">
      <c r="A52" s="242"/>
      <c r="B52" s="358" t="s">
        <v>430</v>
      </c>
      <c r="C52" s="243"/>
      <c r="D52" s="357">
        <v>7</v>
      </c>
      <c r="E52" s="357"/>
      <c r="F52" s="357"/>
      <c r="G52" s="357"/>
      <c r="H52" s="247"/>
      <c r="I52" s="357">
        <f t="shared" ref="I52:I65" si="1">D52</f>
        <v>7</v>
      </c>
      <c r="J52" s="357" t="s">
        <v>97</v>
      </c>
      <c r="K52" s="359"/>
      <c r="L52" s="360"/>
      <c r="M52" s="235"/>
      <c r="N52" s="235"/>
    </row>
    <row r="53" spans="1:14" ht="14.4">
      <c r="A53" s="242"/>
      <c r="B53" s="358" t="s">
        <v>431</v>
      </c>
      <c r="C53" s="243"/>
      <c r="D53" s="357">
        <v>4</v>
      </c>
      <c r="E53" s="357"/>
      <c r="F53" s="357"/>
      <c r="G53" s="357"/>
      <c r="H53" s="247"/>
      <c r="I53" s="357">
        <f t="shared" si="1"/>
        <v>4</v>
      </c>
      <c r="J53" s="357" t="s">
        <v>97</v>
      </c>
      <c r="K53" s="359"/>
      <c r="L53" s="360"/>
      <c r="M53" s="235"/>
      <c r="N53" s="235"/>
    </row>
    <row r="54" spans="1:14" ht="14.4">
      <c r="A54" s="242"/>
      <c r="B54" s="358" t="s">
        <v>432</v>
      </c>
      <c r="C54" s="243"/>
      <c r="D54" s="357">
        <v>1</v>
      </c>
      <c r="E54" s="357"/>
      <c r="F54" s="357"/>
      <c r="G54" s="357"/>
      <c r="H54" s="247"/>
      <c r="I54" s="357">
        <f t="shared" si="1"/>
        <v>1</v>
      </c>
      <c r="J54" s="357" t="s">
        <v>97</v>
      </c>
      <c r="K54" s="359"/>
      <c r="L54" s="360"/>
      <c r="M54" s="235"/>
      <c r="N54" s="235"/>
    </row>
    <row r="55" spans="1:14" ht="14.4">
      <c r="A55" s="242"/>
      <c r="B55" s="358" t="s">
        <v>433</v>
      </c>
      <c r="C55" s="243"/>
      <c r="D55" s="357">
        <v>2</v>
      </c>
      <c r="E55" s="357"/>
      <c r="F55" s="357"/>
      <c r="G55" s="357"/>
      <c r="H55" s="247"/>
      <c r="I55" s="357">
        <f t="shared" si="1"/>
        <v>2</v>
      </c>
      <c r="J55" s="357" t="s">
        <v>97</v>
      </c>
      <c r="K55" s="359"/>
      <c r="L55" s="360"/>
      <c r="M55" s="235"/>
      <c r="N55" s="235"/>
    </row>
    <row r="56" spans="1:14" ht="14.4">
      <c r="A56" s="242"/>
      <c r="B56" s="358" t="s">
        <v>434</v>
      </c>
      <c r="C56" s="243"/>
      <c r="D56" s="357">
        <v>2</v>
      </c>
      <c r="E56" s="357"/>
      <c r="F56" s="357"/>
      <c r="G56" s="357"/>
      <c r="H56" s="247"/>
      <c r="I56" s="357">
        <f t="shared" si="1"/>
        <v>2</v>
      </c>
      <c r="J56" s="357" t="s">
        <v>97</v>
      </c>
      <c r="K56" s="359"/>
      <c r="L56" s="360"/>
      <c r="M56" s="235"/>
      <c r="N56" s="235"/>
    </row>
    <row r="57" spans="1:14" ht="14.4">
      <c r="A57" s="242"/>
      <c r="B57" s="358" t="s">
        <v>435</v>
      </c>
      <c r="C57" s="243"/>
      <c r="D57" s="357">
        <v>1</v>
      </c>
      <c r="E57" s="357"/>
      <c r="F57" s="357"/>
      <c r="G57" s="357"/>
      <c r="H57" s="247"/>
      <c r="I57" s="357">
        <f t="shared" si="1"/>
        <v>1</v>
      </c>
      <c r="J57" s="357" t="s">
        <v>97</v>
      </c>
      <c r="K57" s="359"/>
      <c r="L57" s="360"/>
      <c r="M57" s="235"/>
      <c r="N57" s="235"/>
    </row>
    <row r="58" spans="1:14" ht="14.4">
      <c r="A58" s="242"/>
      <c r="B58" s="358" t="s">
        <v>436</v>
      </c>
      <c r="C58" s="243"/>
      <c r="D58" s="357">
        <v>3</v>
      </c>
      <c r="E58" s="357"/>
      <c r="F58" s="357"/>
      <c r="G58" s="357"/>
      <c r="H58" s="247"/>
      <c r="I58" s="357">
        <f t="shared" si="1"/>
        <v>3</v>
      </c>
      <c r="J58" s="357" t="s">
        <v>97</v>
      </c>
      <c r="K58" s="359"/>
      <c r="L58" s="360"/>
      <c r="M58" s="235"/>
      <c r="N58" s="235"/>
    </row>
    <row r="59" spans="1:14" ht="14.4">
      <c r="A59" s="242"/>
      <c r="B59" s="358" t="s">
        <v>437</v>
      </c>
      <c r="C59" s="243"/>
      <c r="D59" s="357">
        <v>14</v>
      </c>
      <c r="E59" s="357"/>
      <c r="F59" s="357"/>
      <c r="G59" s="357"/>
      <c r="H59" s="247"/>
      <c r="I59" s="357">
        <f t="shared" si="1"/>
        <v>14</v>
      </c>
      <c r="J59" s="357" t="s">
        <v>97</v>
      </c>
      <c r="K59" s="359"/>
      <c r="L59" s="360"/>
      <c r="M59" s="235"/>
      <c r="N59" s="235"/>
    </row>
    <row r="60" spans="1:14" ht="14.4">
      <c r="A60" s="242"/>
      <c r="B60" s="358" t="s">
        <v>438</v>
      </c>
      <c r="C60" s="243"/>
      <c r="D60" s="357">
        <v>9</v>
      </c>
      <c r="E60" s="357"/>
      <c r="F60" s="357"/>
      <c r="G60" s="357"/>
      <c r="H60" s="247"/>
      <c r="I60" s="357">
        <f t="shared" si="1"/>
        <v>9</v>
      </c>
      <c r="J60" s="357" t="s">
        <v>97</v>
      </c>
      <c r="K60" s="359"/>
      <c r="L60" s="360"/>
      <c r="M60" s="235"/>
      <c r="N60" s="235"/>
    </row>
    <row r="61" spans="1:14" ht="14.4">
      <c r="A61" s="242"/>
      <c r="B61" s="358" t="s">
        <v>439</v>
      </c>
      <c r="C61" s="243"/>
      <c r="D61" s="357">
        <v>7</v>
      </c>
      <c r="E61" s="357"/>
      <c r="F61" s="357"/>
      <c r="G61" s="357"/>
      <c r="H61" s="247"/>
      <c r="I61" s="357">
        <f t="shared" si="1"/>
        <v>7</v>
      </c>
      <c r="J61" s="357" t="s">
        <v>97</v>
      </c>
      <c r="K61" s="359"/>
      <c r="L61" s="360"/>
      <c r="M61" s="235"/>
      <c r="N61" s="235"/>
    </row>
    <row r="62" spans="1:14" ht="14.4">
      <c r="A62" s="242"/>
      <c r="B62" s="358" t="s">
        <v>440</v>
      </c>
      <c r="C62" s="243"/>
      <c r="D62" s="357">
        <v>3</v>
      </c>
      <c r="E62" s="357"/>
      <c r="F62" s="357"/>
      <c r="G62" s="357"/>
      <c r="H62" s="247"/>
      <c r="I62" s="357">
        <f t="shared" si="1"/>
        <v>3</v>
      </c>
      <c r="J62" s="357" t="s">
        <v>97</v>
      </c>
      <c r="K62" s="359"/>
      <c r="L62" s="360"/>
      <c r="M62" s="235"/>
      <c r="N62" s="235"/>
    </row>
    <row r="63" spans="1:14" ht="14.4">
      <c r="A63" s="242"/>
      <c r="B63" s="358" t="s">
        <v>441</v>
      </c>
      <c r="C63" s="243"/>
      <c r="D63" s="357">
        <v>2</v>
      </c>
      <c r="E63" s="357"/>
      <c r="F63" s="357"/>
      <c r="G63" s="357"/>
      <c r="H63" s="247"/>
      <c r="I63" s="357">
        <f t="shared" si="1"/>
        <v>2</v>
      </c>
      <c r="J63" s="357" t="s">
        <v>97</v>
      </c>
      <c r="K63" s="359"/>
      <c r="L63" s="360"/>
      <c r="M63" s="235"/>
      <c r="N63" s="235"/>
    </row>
    <row r="64" spans="1:14" ht="14.4">
      <c r="A64" s="242"/>
      <c r="B64" s="358" t="s">
        <v>442</v>
      </c>
      <c r="C64" s="243"/>
      <c r="D64" s="357">
        <v>2</v>
      </c>
      <c r="E64" s="357"/>
      <c r="F64" s="357"/>
      <c r="G64" s="357"/>
      <c r="H64" s="247"/>
      <c r="I64" s="357">
        <f t="shared" si="1"/>
        <v>2</v>
      </c>
      <c r="J64" s="357" t="s">
        <v>97</v>
      </c>
      <c r="K64" s="359"/>
      <c r="L64" s="360"/>
      <c r="M64" s="235"/>
      <c r="N64" s="235"/>
    </row>
    <row r="65" spans="1:14" ht="14.4">
      <c r="A65" s="242"/>
      <c r="B65" s="358" t="s">
        <v>443</v>
      </c>
      <c r="C65" s="243"/>
      <c r="D65" s="357">
        <v>2</v>
      </c>
      <c r="E65" s="357"/>
      <c r="F65" s="357"/>
      <c r="G65" s="357"/>
      <c r="H65" s="247"/>
      <c r="I65" s="357">
        <f t="shared" si="1"/>
        <v>2</v>
      </c>
      <c r="J65" s="357" t="s">
        <v>97</v>
      </c>
      <c r="K65" s="359"/>
      <c r="L65" s="360"/>
      <c r="M65" s="235"/>
      <c r="N65" s="235"/>
    </row>
    <row r="66" spans="1:14" ht="14.4">
      <c r="A66" s="242"/>
      <c r="B66" s="358"/>
      <c r="C66" s="243"/>
      <c r="D66" s="357"/>
      <c r="E66" s="357"/>
      <c r="F66" s="357"/>
      <c r="G66" s="357"/>
      <c r="H66" s="247"/>
      <c r="I66" s="246"/>
      <c r="J66" s="357"/>
      <c r="K66" s="235"/>
      <c r="L66" s="246"/>
      <c r="M66" s="235"/>
      <c r="N66" s="235"/>
    </row>
    <row r="67" spans="1:14" ht="14.4">
      <c r="A67" s="251"/>
      <c r="B67" s="252"/>
      <c r="C67" s="252"/>
      <c r="D67" s="252"/>
      <c r="E67" s="252"/>
      <c r="F67" s="252"/>
      <c r="G67" s="252"/>
      <c r="H67" s="252"/>
      <c r="I67" s="252"/>
      <c r="J67" s="252"/>
      <c r="K67" s="235"/>
      <c r="L67" s="252"/>
      <c r="M67" s="235"/>
      <c r="N67" s="235"/>
    </row>
    <row r="68" spans="1:14" ht="13.8">
      <c r="A68" s="254"/>
      <c r="B68" s="235"/>
      <c r="C68" s="235"/>
      <c r="D68" s="234"/>
      <c r="E68" s="234"/>
      <c r="F68" s="234"/>
      <c r="G68" s="234"/>
      <c r="H68" s="235"/>
      <c r="I68" s="235"/>
      <c r="J68" s="235"/>
      <c r="K68" s="235"/>
      <c r="L68" s="235"/>
      <c r="M68" s="235"/>
      <c r="N68" s="235"/>
    </row>
    <row r="69" spans="1:14" ht="21">
      <c r="A69" s="254"/>
      <c r="B69" s="255" t="s">
        <v>208</v>
      </c>
      <c r="C69" s="256"/>
      <c r="D69" s="257"/>
      <c r="E69" s="234"/>
      <c r="F69" s="234"/>
      <c r="G69" s="234"/>
      <c r="H69" s="235"/>
      <c r="I69" s="235"/>
      <c r="J69" s="235"/>
      <c r="K69" s="235"/>
      <c r="L69" s="235"/>
      <c r="M69" s="235"/>
      <c r="N69" s="235"/>
    </row>
    <row r="70" spans="1:14" ht="14.4">
      <c r="A70" s="254"/>
      <c r="B70" s="258" t="s">
        <v>39</v>
      </c>
      <c r="C70" s="23"/>
      <c r="D70" s="105"/>
      <c r="E70" s="234"/>
      <c r="F70" s="234"/>
      <c r="G70" s="234"/>
      <c r="H70" s="235"/>
      <c r="I70" s="235"/>
      <c r="J70" s="235"/>
      <c r="K70" s="235"/>
      <c r="L70" s="235"/>
      <c r="M70" s="235"/>
      <c r="N70" s="235"/>
    </row>
    <row r="71" spans="1:14" ht="14.4">
      <c r="A71" s="254"/>
      <c r="B71" s="259" t="s">
        <v>40</v>
      </c>
      <c r="C71" s="23"/>
      <c r="D71" s="105"/>
      <c r="E71" s="234"/>
      <c r="F71" s="234"/>
      <c r="G71" s="234"/>
      <c r="H71" s="235"/>
      <c r="I71" s="235"/>
      <c r="J71" s="235"/>
      <c r="K71" s="235"/>
      <c r="L71" s="235"/>
      <c r="M71" s="235"/>
      <c r="N71" s="235"/>
    </row>
    <row r="72" spans="1:14" ht="14.4">
      <c r="A72" s="254"/>
      <c r="B72" s="259" t="s">
        <v>41</v>
      </c>
      <c r="C72" s="23"/>
      <c r="D72" s="105"/>
      <c r="E72" s="234"/>
      <c r="F72" s="234"/>
      <c r="G72" s="234"/>
      <c r="H72" s="235"/>
      <c r="I72" s="235"/>
      <c r="J72" s="235"/>
      <c r="K72" s="235"/>
      <c r="L72" s="235"/>
      <c r="M72" s="235"/>
      <c r="N72" s="235"/>
    </row>
    <row r="73" spans="1:14" ht="14.4">
      <c r="A73" s="254"/>
      <c r="B73" s="259" t="s">
        <v>42</v>
      </c>
      <c r="C73" s="23"/>
      <c r="D73" s="105"/>
      <c r="E73" s="234"/>
      <c r="F73" s="234"/>
      <c r="G73" s="234"/>
      <c r="H73" s="235"/>
      <c r="I73" s="235"/>
      <c r="J73" s="235"/>
      <c r="K73" s="235"/>
      <c r="L73" s="235"/>
      <c r="M73" s="235"/>
      <c r="N73" s="235"/>
    </row>
    <row r="74" spans="1:14" ht="14.4">
      <c r="A74" s="254"/>
      <c r="B74" s="259" t="s">
        <v>43</v>
      </c>
      <c r="C74" s="23"/>
      <c r="D74" s="105"/>
      <c r="E74" s="234"/>
      <c r="F74" s="234"/>
      <c r="G74" s="234"/>
      <c r="H74" s="235"/>
      <c r="I74" s="235"/>
      <c r="J74" s="235"/>
      <c r="K74" s="235"/>
      <c r="L74" s="235"/>
      <c r="M74" s="235"/>
      <c r="N74" s="235"/>
    </row>
    <row r="75" spans="1:14" ht="14.4">
      <c r="A75" s="254"/>
      <c r="B75" s="260"/>
      <c r="C75" s="261"/>
      <c r="D75" s="262"/>
      <c r="E75" s="234"/>
      <c r="F75" s="234"/>
      <c r="G75" s="234"/>
      <c r="H75" s="235"/>
      <c r="I75" s="235"/>
      <c r="J75" s="235"/>
      <c r="K75" s="235"/>
      <c r="L75" s="235"/>
      <c r="M75" s="235"/>
      <c r="N75" s="235"/>
    </row>
    <row r="76" spans="1:14" ht="13.8">
      <c r="A76" s="254"/>
      <c r="B76" s="235"/>
      <c r="C76" s="235"/>
      <c r="D76" s="234"/>
      <c r="E76" s="234"/>
      <c r="F76" s="234"/>
      <c r="G76" s="234"/>
      <c r="H76" s="235"/>
      <c r="I76" s="235"/>
      <c r="J76" s="235"/>
      <c r="K76" s="235"/>
      <c r="L76" s="235"/>
      <c r="M76" s="235"/>
      <c r="N76" s="235"/>
    </row>
    <row r="77" spans="1:14" ht="13.8">
      <c r="A77" s="238"/>
      <c r="B77" s="238" t="s">
        <v>185</v>
      </c>
      <c r="C77" s="237"/>
      <c r="D77" s="233"/>
      <c r="E77" s="234"/>
      <c r="F77" s="234"/>
      <c r="G77" s="234"/>
      <c r="H77" s="235"/>
      <c r="I77" s="235"/>
      <c r="J77" s="235"/>
      <c r="K77" s="235"/>
      <c r="L77" s="235"/>
      <c r="M77" s="235"/>
      <c r="N77" s="235"/>
    </row>
    <row r="78" spans="1:14" ht="27.75" customHeight="1">
      <c r="A78" s="239"/>
      <c r="B78" s="542" t="s">
        <v>363</v>
      </c>
      <c r="C78" s="542" t="s">
        <v>209</v>
      </c>
      <c r="D78" s="240" t="s">
        <v>188</v>
      </c>
      <c r="E78" s="240" t="s">
        <v>364</v>
      </c>
      <c r="F78" s="240"/>
      <c r="G78" s="543" t="s">
        <v>189</v>
      </c>
      <c r="H78" s="532"/>
      <c r="I78" s="542" t="s">
        <v>91</v>
      </c>
      <c r="J78" s="542"/>
      <c r="K78" s="235"/>
      <c r="L78" s="542" t="s">
        <v>365</v>
      </c>
      <c r="M78" s="235"/>
      <c r="N78" s="235"/>
    </row>
    <row r="79" spans="1:14" ht="13.8">
      <c r="A79" s="239"/>
      <c r="B79" s="540"/>
      <c r="C79" s="540"/>
      <c r="D79" s="240" t="s">
        <v>191</v>
      </c>
      <c r="E79" s="240"/>
      <c r="F79" s="240"/>
      <c r="G79" s="240"/>
      <c r="H79" s="241"/>
      <c r="I79" s="540"/>
      <c r="J79" s="540"/>
      <c r="K79" s="235"/>
      <c r="L79" s="540"/>
      <c r="M79" s="235"/>
      <c r="N79" s="235"/>
    </row>
    <row r="80" spans="1:14" ht="14.4">
      <c r="A80" s="251"/>
      <c r="B80" s="350"/>
      <c r="C80" s="351"/>
      <c r="D80" s="352"/>
      <c r="E80" s="352"/>
      <c r="F80" s="352"/>
      <c r="G80" s="352"/>
      <c r="H80" s="353"/>
      <c r="I80" s="354"/>
      <c r="J80" s="353"/>
      <c r="K80" s="235"/>
      <c r="L80" s="354"/>
      <c r="M80" s="235"/>
      <c r="N80" s="235"/>
    </row>
    <row r="81" spans="1:14" ht="14.4">
      <c r="A81" s="242"/>
      <c r="B81" s="355" t="s">
        <v>39</v>
      </c>
      <c r="C81" s="244"/>
      <c r="D81" s="246"/>
      <c r="E81" s="246"/>
      <c r="F81" s="246"/>
      <c r="G81" s="246"/>
      <c r="H81" s="247"/>
      <c r="I81" s="244"/>
      <c r="J81" s="243"/>
      <c r="K81" s="235"/>
      <c r="L81" s="244"/>
      <c r="M81" s="235"/>
      <c r="N81" s="235"/>
    </row>
    <row r="82" spans="1:14" ht="14.4">
      <c r="A82" s="242"/>
      <c r="B82" s="358" t="s">
        <v>444</v>
      </c>
      <c r="C82" s="243"/>
      <c r="D82" s="357">
        <v>2</v>
      </c>
      <c r="E82" s="357"/>
      <c r="F82" s="357"/>
      <c r="G82" s="357"/>
      <c r="H82" s="247"/>
      <c r="I82" s="357">
        <f t="shared" ref="I82:I88" si="2">D82</f>
        <v>2</v>
      </c>
      <c r="J82" s="357" t="s">
        <v>97</v>
      </c>
      <c r="K82" s="359"/>
      <c r="L82" s="244"/>
      <c r="M82" s="235"/>
      <c r="N82" s="235"/>
    </row>
    <row r="83" spans="1:14" ht="14.4">
      <c r="A83" s="242"/>
      <c r="B83" s="358" t="s">
        <v>445</v>
      </c>
      <c r="C83" s="243"/>
      <c r="D83" s="357">
        <v>2</v>
      </c>
      <c r="E83" s="357"/>
      <c r="F83" s="357"/>
      <c r="G83" s="357"/>
      <c r="H83" s="247"/>
      <c r="I83" s="357">
        <f t="shared" si="2"/>
        <v>2</v>
      </c>
      <c r="J83" s="357" t="s">
        <v>97</v>
      </c>
      <c r="K83" s="359"/>
      <c r="L83" s="244"/>
      <c r="M83" s="235"/>
      <c r="N83" s="235"/>
    </row>
    <row r="84" spans="1:14" ht="14.4">
      <c r="A84" s="242"/>
      <c r="B84" s="358" t="s">
        <v>446</v>
      </c>
      <c r="C84" s="243"/>
      <c r="D84" s="357">
        <v>58.957299999999996</v>
      </c>
      <c r="E84" s="357"/>
      <c r="F84" s="357"/>
      <c r="G84" s="357"/>
      <c r="H84" s="247"/>
      <c r="I84" s="357">
        <f t="shared" si="2"/>
        <v>58.957299999999996</v>
      </c>
      <c r="J84" s="357" t="s">
        <v>199</v>
      </c>
      <c r="K84" s="359"/>
      <c r="L84" s="360"/>
      <c r="M84" s="235"/>
      <c r="N84" s="235"/>
    </row>
    <row r="85" spans="1:14" ht="14.4">
      <c r="A85" s="242"/>
      <c r="B85" s="358" t="s">
        <v>447</v>
      </c>
      <c r="C85" s="243"/>
      <c r="D85" s="357">
        <v>23.605599999999999</v>
      </c>
      <c r="E85" s="357"/>
      <c r="F85" s="357"/>
      <c r="G85" s="357"/>
      <c r="H85" s="247"/>
      <c r="I85" s="357">
        <f t="shared" si="2"/>
        <v>23.605599999999999</v>
      </c>
      <c r="J85" s="357" t="s">
        <v>199</v>
      </c>
      <c r="K85" s="359"/>
      <c r="L85" s="360"/>
      <c r="M85" s="235"/>
      <c r="N85" s="235"/>
    </row>
    <row r="86" spans="1:14" ht="28.8">
      <c r="A86" s="242"/>
      <c r="B86" s="358" t="s">
        <v>448</v>
      </c>
      <c r="C86" s="243"/>
      <c r="D86" s="357">
        <v>34.1755</v>
      </c>
      <c r="E86" s="357"/>
      <c r="F86" s="357"/>
      <c r="G86" s="357"/>
      <c r="H86" s="247"/>
      <c r="I86" s="357">
        <f t="shared" si="2"/>
        <v>34.1755</v>
      </c>
      <c r="J86" s="357" t="s">
        <v>199</v>
      </c>
      <c r="K86" s="359"/>
      <c r="L86" s="360"/>
      <c r="M86" s="235"/>
      <c r="N86" s="235"/>
    </row>
    <row r="87" spans="1:14" ht="14.4">
      <c r="A87" s="242"/>
      <c r="B87" s="358" t="s">
        <v>449</v>
      </c>
      <c r="C87" s="243"/>
      <c r="D87" s="357">
        <v>9.0091000000000001</v>
      </c>
      <c r="E87" s="357"/>
      <c r="F87" s="357"/>
      <c r="G87" s="357"/>
      <c r="H87" s="247"/>
      <c r="I87" s="357">
        <f t="shared" si="2"/>
        <v>9.0091000000000001</v>
      </c>
      <c r="J87" s="357" t="s">
        <v>199</v>
      </c>
      <c r="K87" s="359"/>
      <c r="L87" s="360"/>
      <c r="M87" s="235"/>
      <c r="N87" s="235"/>
    </row>
    <row r="88" spans="1:14" ht="14.4">
      <c r="A88" s="242"/>
      <c r="B88" s="358" t="s">
        <v>450</v>
      </c>
      <c r="C88" s="243"/>
      <c r="D88" s="357">
        <v>15.319599999999999</v>
      </c>
      <c r="E88" s="357"/>
      <c r="F88" s="357"/>
      <c r="G88" s="357"/>
      <c r="H88" s="247"/>
      <c r="I88" s="357">
        <f t="shared" si="2"/>
        <v>15.319599999999999</v>
      </c>
      <c r="J88" s="357" t="s">
        <v>199</v>
      </c>
      <c r="K88" s="359"/>
      <c r="L88" s="360"/>
      <c r="M88" s="235"/>
      <c r="N88" s="235"/>
    </row>
    <row r="89" spans="1:14" ht="14.4">
      <c r="A89" s="242"/>
      <c r="B89" s="358"/>
      <c r="C89" s="243"/>
      <c r="D89" s="357"/>
      <c r="E89" s="357"/>
      <c r="F89" s="357"/>
      <c r="G89" s="357"/>
      <c r="H89" s="247"/>
      <c r="I89" s="246"/>
      <c r="J89" s="357"/>
      <c r="K89" s="235"/>
      <c r="L89" s="246"/>
      <c r="M89" s="235"/>
      <c r="N89" s="235"/>
    </row>
    <row r="90" spans="1:14" ht="14.4">
      <c r="A90" s="251"/>
      <c r="B90" s="252"/>
      <c r="C90" s="252"/>
      <c r="D90" s="252"/>
      <c r="E90" s="252"/>
      <c r="F90" s="252"/>
      <c r="G90" s="252"/>
      <c r="H90" s="252"/>
      <c r="I90" s="252"/>
      <c r="J90" s="252"/>
      <c r="K90" s="235"/>
      <c r="L90" s="252"/>
      <c r="M90" s="235"/>
      <c r="N90" s="235"/>
    </row>
    <row r="91" spans="1:14" ht="13.8">
      <c r="A91" s="254"/>
      <c r="B91" s="235"/>
      <c r="C91" s="235"/>
      <c r="D91" s="234"/>
      <c r="E91" s="234"/>
      <c r="F91" s="234"/>
      <c r="G91" s="234"/>
      <c r="H91" s="235"/>
      <c r="I91" s="235"/>
      <c r="J91" s="235"/>
      <c r="K91" s="235"/>
      <c r="L91" s="235"/>
      <c r="M91" s="235"/>
      <c r="N91" s="235"/>
    </row>
    <row r="92" spans="1:14" ht="13.8">
      <c r="A92" s="254"/>
      <c r="B92" s="235"/>
      <c r="C92" s="235"/>
      <c r="D92" s="234"/>
      <c r="E92" s="234"/>
      <c r="F92" s="234"/>
      <c r="G92" s="234"/>
      <c r="H92" s="235"/>
      <c r="I92" s="235"/>
      <c r="J92" s="235"/>
      <c r="K92" s="235"/>
      <c r="L92" s="235"/>
      <c r="M92" s="235"/>
      <c r="N92" s="235"/>
    </row>
    <row r="93" spans="1:14" ht="13.8">
      <c r="A93" s="254"/>
      <c r="B93" s="235"/>
      <c r="C93" s="235"/>
      <c r="D93" s="234"/>
      <c r="E93" s="234"/>
      <c r="F93" s="234"/>
      <c r="G93" s="234"/>
      <c r="H93" s="235"/>
      <c r="I93" s="235"/>
      <c r="J93" s="235"/>
      <c r="K93" s="235"/>
      <c r="L93" s="235"/>
      <c r="M93" s="235"/>
      <c r="N93" s="235"/>
    </row>
    <row r="94" spans="1:14" ht="13.8">
      <c r="A94" s="235"/>
      <c r="B94" s="235"/>
      <c r="C94" s="235"/>
      <c r="D94" s="234"/>
      <c r="E94" s="234"/>
      <c r="F94" s="234"/>
      <c r="G94" s="234"/>
      <c r="H94" s="235"/>
      <c r="I94" s="235"/>
      <c r="J94" s="235"/>
      <c r="K94" s="235"/>
      <c r="L94" s="235"/>
      <c r="M94" s="235"/>
      <c r="N94" s="235"/>
    </row>
    <row r="95" spans="1:14" ht="13.8">
      <c r="A95" s="235"/>
      <c r="B95" s="235"/>
      <c r="C95" s="235"/>
      <c r="D95" s="234"/>
      <c r="E95" s="234"/>
      <c r="F95" s="234"/>
      <c r="G95" s="234"/>
      <c r="H95" s="235"/>
      <c r="I95" s="235"/>
      <c r="J95" s="235"/>
      <c r="K95" s="235"/>
      <c r="L95" s="235"/>
      <c r="M95" s="235"/>
      <c r="N95" s="235"/>
    </row>
    <row r="96" spans="1:14" ht="13.8">
      <c r="A96" s="235"/>
      <c r="B96" s="235"/>
      <c r="C96" s="235"/>
      <c r="D96" s="234"/>
      <c r="E96" s="234"/>
      <c r="F96" s="234"/>
      <c r="G96" s="234"/>
      <c r="H96" s="235"/>
      <c r="I96" s="235"/>
      <c r="J96" s="235"/>
      <c r="K96" s="235"/>
      <c r="L96" s="235"/>
      <c r="M96" s="235"/>
      <c r="N96" s="235"/>
    </row>
    <row r="97" spans="1:14" ht="13.8">
      <c r="A97" s="235"/>
      <c r="B97" s="235"/>
      <c r="C97" s="235"/>
      <c r="D97" s="234"/>
      <c r="E97" s="234"/>
      <c r="F97" s="234"/>
      <c r="G97" s="234"/>
      <c r="H97" s="235"/>
      <c r="I97" s="235"/>
      <c r="J97" s="235"/>
      <c r="K97" s="235"/>
      <c r="L97" s="235"/>
      <c r="M97" s="235"/>
      <c r="N97" s="235"/>
    </row>
    <row r="98" spans="1:14" ht="13.8">
      <c r="A98" s="235"/>
      <c r="B98" s="235"/>
      <c r="C98" s="235"/>
      <c r="D98" s="234"/>
      <c r="E98" s="234"/>
      <c r="F98" s="234"/>
      <c r="G98" s="234"/>
      <c r="H98" s="235"/>
      <c r="I98" s="235"/>
      <c r="J98" s="235"/>
      <c r="K98" s="235"/>
      <c r="L98" s="235"/>
      <c r="M98" s="235"/>
      <c r="N98" s="235"/>
    </row>
    <row r="99" spans="1:14" ht="13.8">
      <c r="A99" s="235"/>
      <c r="B99" s="235"/>
      <c r="C99" s="235"/>
      <c r="D99" s="234"/>
      <c r="E99" s="234"/>
      <c r="F99" s="234"/>
      <c r="G99" s="234"/>
      <c r="H99" s="235"/>
      <c r="I99" s="235"/>
      <c r="J99" s="235"/>
      <c r="K99" s="235"/>
      <c r="L99" s="235"/>
      <c r="M99" s="235"/>
      <c r="N99" s="235"/>
    </row>
    <row r="100" spans="1:14" ht="13.8">
      <c r="A100" s="235"/>
      <c r="B100" s="235"/>
      <c r="C100" s="235"/>
      <c r="D100" s="234"/>
      <c r="E100" s="234"/>
      <c r="F100" s="234"/>
      <c r="G100" s="234"/>
      <c r="H100" s="235"/>
      <c r="I100" s="235"/>
      <c r="J100" s="235"/>
      <c r="K100" s="235"/>
      <c r="L100" s="235"/>
      <c r="M100" s="235"/>
      <c r="N100" s="235"/>
    </row>
    <row r="101" spans="1:14" ht="13.8">
      <c r="A101" s="235"/>
      <c r="B101" s="235"/>
      <c r="C101" s="235"/>
      <c r="D101" s="234"/>
      <c r="E101" s="234"/>
      <c r="F101" s="234"/>
      <c r="G101" s="234"/>
      <c r="H101" s="235"/>
      <c r="I101" s="235"/>
      <c r="J101" s="235"/>
      <c r="K101" s="235"/>
      <c r="L101" s="235"/>
      <c r="M101" s="235"/>
      <c r="N101" s="235"/>
    </row>
    <row r="102" spans="1:14" ht="13.8">
      <c r="A102" s="235"/>
      <c r="B102" s="235"/>
      <c r="C102" s="235"/>
      <c r="D102" s="234"/>
      <c r="E102" s="234"/>
      <c r="F102" s="234"/>
      <c r="G102" s="234"/>
      <c r="H102" s="235"/>
      <c r="I102" s="235"/>
      <c r="J102" s="235"/>
      <c r="K102" s="235"/>
      <c r="L102" s="235"/>
      <c r="M102" s="235"/>
      <c r="N102" s="235"/>
    </row>
    <row r="103" spans="1:14" ht="13.8">
      <c r="A103" s="235"/>
      <c r="B103" s="235"/>
      <c r="C103" s="235"/>
      <c r="D103" s="234"/>
      <c r="E103" s="234"/>
      <c r="F103" s="234"/>
      <c r="G103" s="234"/>
      <c r="H103" s="235"/>
      <c r="I103" s="235"/>
      <c r="J103" s="235"/>
      <c r="K103" s="235"/>
      <c r="L103" s="235"/>
      <c r="M103" s="235"/>
      <c r="N103" s="235"/>
    </row>
    <row r="104" spans="1:14" ht="13.8">
      <c r="A104" s="235"/>
      <c r="B104" s="235"/>
      <c r="C104" s="235"/>
      <c r="D104" s="234"/>
      <c r="E104" s="234"/>
      <c r="F104" s="234"/>
      <c r="G104" s="234"/>
      <c r="H104" s="235"/>
      <c r="I104" s="235"/>
      <c r="J104" s="235"/>
      <c r="K104" s="235"/>
      <c r="L104" s="235"/>
      <c r="M104" s="235"/>
      <c r="N104" s="235"/>
    </row>
    <row r="105" spans="1:14" ht="13.8">
      <c r="A105" s="235"/>
      <c r="B105" s="235"/>
      <c r="C105" s="235"/>
      <c r="D105" s="234"/>
      <c r="E105" s="234"/>
      <c r="F105" s="234"/>
      <c r="G105" s="234"/>
      <c r="H105" s="235"/>
      <c r="I105" s="235"/>
      <c r="J105" s="235"/>
      <c r="K105" s="235"/>
      <c r="L105" s="235"/>
      <c r="M105" s="235"/>
      <c r="N105" s="235"/>
    </row>
    <row r="106" spans="1:14" ht="13.8">
      <c r="A106" s="235"/>
      <c r="B106" s="235"/>
      <c r="C106" s="235"/>
      <c r="D106" s="234"/>
      <c r="E106" s="234"/>
      <c r="F106" s="234"/>
      <c r="G106" s="234"/>
      <c r="H106" s="235"/>
      <c r="I106" s="235"/>
      <c r="J106" s="235"/>
      <c r="K106" s="235"/>
      <c r="L106" s="235"/>
      <c r="M106" s="235"/>
      <c r="N106" s="235"/>
    </row>
    <row r="107" spans="1:14" ht="13.8">
      <c r="A107" s="235"/>
      <c r="B107" s="235"/>
      <c r="C107" s="235"/>
      <c r="D107" s="234"/>
      <c r="E107" s="234"/>
      <c r="F107" s="234"/>
      <c r="G107" s="234"/>
      <c r="H107" s="235"/>
      <c r="I107" s="235"/>
      <c r="J107" s="235"/>
      <c r="K107" s="235"/>
      <c r="L107" s="235"/>
      <c r="M107" s="235"/>
      <c r="N107" s="235"/>
    </row>
    <row r="108" spans="1:14" ht="13.8">
      <c r="A108" s="235"/>
      <c r="B108" s="235"/>
      <c r="C108" s="235"/>
      <c r="D108" s="234"/>
      <c r="E108" s="234"/>
      <c r="F108" s="234"/>
      <c r="G108" s="234"/>
      <c r="H108" s="235"/>
      <c r="I108" s="235"/>
      <c r="J108" s="235"/>
      <c r="K108" s="235"/>
      <c r="L108" s="235"/>
      <c r="M108" s="235"/>
      <c r="N108" s="235"/>
    </row>
    <row r="109" spans="1:14" ht="13.8">
      <c r="A109" s="235"/>
      <c r="B109" s="235"/>
      <c r="C109" s="235"/>
      <c r="D109" s="234"/>
      <c r="E109" s="234"/>
      <c r="F109" s="234"/>
      <c r="G109" s="234"/>
      <c r="H109" s="235"/>
      <c r="I109" s="235"/>
      <c r="J109" s="235"/>
      <c r="K109" s="235"/>
      <c r="L109" s="235"/>
      <c r="M109" s="235"/>
      <c r="N109" s="235"/>
    </row>
    <row r="110" spans="1:14" ht="13.8">
      <c r="A110" s="235"/>
      <c r="B110" s="235"/>
      <c r="C110" s="235"/>
      <c r="D110" s="234"/>
      <c r="E110" s="234"/>
      <c r="F110" s="234"/>
      <c r="G110" s="234"/>
      <c r="H110" s="235"/>
      <c r="I110" s="235"/>
      <c r="J110" s="235"/>
      <c r="K110" s="235"/>
      <c r="L110" s="235"/>
      <c r="M110" s="235"/>
      <c r="N110" s="235"/>
    </row>
    <row r="111" spans="1:14" ht="13.8">
      <c r="A111" s="235"/>
      <c r="B111" s="235"/>
      <c r="C111" s="235"/>
      <c r="D111" s="234"/>
      <c r="E111" s="234"/>
      <c r="F111" s="234"/>
      <c r="G111" s="234"/>
      <c r="H111" s="235"/>
      <c r="I111" s="235"/>
      <c r="J111" s="235"/>
      <c r="K111" s="235"/>
      <c r="L111" s="235"/>
      <c r="M111" s="235"/>
      <c r="N111" s="235"/>
    </row>
    <row r="112" spans="1:14" ht="13.8">
      <c r="A112" s="235"/>
      <c r="B112" s="235"/>
      <c r="C112" s="235"/>
      <c r="D112" s="234"/>
      <c r="E112" s="234"/>
      <c r="F112" s="234"/>
      <c r="G112" s="234"/>
      <c r="H112" s="235"/>
      <c r="I112" s="235"/>
      <c r="J112" s="235"/>
      <c r="K112" s="235"/>
      <c r="L112" s="235"/>
      <c r="M112" s="235"/>
      <c r="N112" s="235"/>
    </row>
    <row r="113" spans="1:14" ht="13.8">
      <c r="A113" s="235"/>
      <c r="B113" s="235"/>
      <c r="C113" s="235"/>
      <c r="D113" s="234"/>
      <c r="E113" s="234"/>
      <c r="F113" s="234"/>
      <c r="G113" s="234"/>
      <c r="H113" s="235"/>
      <c r="I113" s="235"/>
      <c r="J113" s="235"/>
      <c r="K113" s="235"/>
      <c r="L113" s="235"/>
      <c r="M113" s="235"/>
      <c r="N113" s="235"/>
    </row>
    <row r="114" spans="1:14" ht="13.8">
      <c r="A114" s="235"/>
      <c r="B114" s="235"/>
      <c r="C114" s="235"/>
      <c r="D114" s="234"/>
      <c r="E114" s="234"/>
      <c r="F114" s="234"/>
      <c r="G114" s="234"/>
      <c r="H114" s="235"/>
      <c r="I114" s="235"/>
      <c r="J114" s="235"/>
      <c r="K114" s="235"/>
      <c r="L114" s="235"/>
      <c r="M114" s="235"/>
      <c r="N114" s="235"/>
    </row>
    <row r="115" spans="1:14" ht="13.8">
      <c r="A115" s="235"/>
      <c r="B115" s="235"/>
      <c r="C115" s="235"/>
      <c r="D115" s="234"/>
      <c r="E115" s="234"/>
      <c r="F115" s="234"/>
      <c r="G115" s="234"/>
      <c r="H115" s="235"/>
      <c r="I115" s="235"/>
      <c r="J115" s="235"/>
      <c r="K115" s="235"/>
      <c r="L115" s="235"/>
      <c r="M115" s="235"/>
      <c r="N115" s="235"/>
    </row>
    <row r="116" spans="1:14" ht="13.8">
      <c r="A116" s="235"/>
      <c r="B116" s="235"/>
      <c r="C116" s="235"/>
      <c r="D116" s="234"/>
      <c r="E116" s="234"/>
      <c r="F116" s="234"/>
      <c r="G116" s="234"/>
      <c r="H116" s="235"/>
      <c r="I116" s="235"/>
      <c r="J116" s="235"/>
      <c r="K116" s="235"/>
      <c r="L116" s="235"/>
      <c r="M116" s="235"/>
      <c r="N116" s="235"/>
    </row>
    <row r="117" spans="1:14" ht="13.8">
      <c r="A117" s="235"/>
      <c r="B117" s="235"/>
      <c r="C117" s="235"/>
      <c r="D117" s="234"/>
      <c r="E117" s="234"/>
      <c r="F117" s="234"/>
      <c r="G117" s="234"/>
      <c r="H117" s="235"/>
      <c r="I117" s="235"/>
      <c r="J117" s="235"/>
      <c r="K117" s="235"/>
      <c r="L117" s="235"/>
      <c r="M117" s="235"/>
      <c r="N117" s="235"/>
    </row>
    <row r="118" spans="1:14" ht="13.8">
      <c r="A118" s="235"/>
      <c r="B118" s="235"/>
      <c r="C118" s="235"/>
      <c r="D118" s="234"/>
      <c r="E118" s="234"/>
      <c r="F118" s="234"/>
      <c r="G118" s="234"/>
      <c r="H118" s="235"/>
      <c r="I118" s="235"/>
      <c r="J118" s="235"/>
      <c r="K118" s="235"/>
      <c r="L118" s="235"/>
      <c r="M118" s="235"/>
      <c r="N118" s="235"/>
    </row>
    <row r="119" spans="1:14" ht="13.8">
      <c r="A119" s="235"/>
      <c r="B119" s="235"/>
      <c r="C119" s="235"/>
      <c r="D119" s="234"/>
      <c r="E119" s="234"/>
      <c r="F119" s="234"/>
      <c r="G119" s="234"/>
      <c r="H119" s="235"/>
      <c r="I119" s="235"/>
      <c r="J119" s="235"/>
      <c r="K119" s="235"/>
      <c r="L119" s="235"/>
      <c r="M119" s="235"/>
      <c r="N119" s="235"/>
    </row>
    <row r="120" spans="1:14" ht="13.8">
      <c r="A120" s="235"/>
      <c r="B120" s="235"/>
      <c r="C120" s="235"/>
      <c r="D120" s="234"/>
      <c r="E120" s="234"/>
      <c r="F120" s="234"/>
      <c r="G120" s="234"/>
      <c r="H120" s="235"/>
      <c r="I120" s="235"/>
      <c r="J120" s="235"/>
      <c r="K120" s="235"/>
      <c r="L120" s="235"/>
      <c r="M120" s="235"/>
      <c r="N120" s="235"/>
    </row>
    <row r="121" spans="1:14" ht="13.8">
      <c r="A121" s="235"/>
      <c r="B121" s="235"/>
      <c r="C121" s="235"/>
      <c r="D121" s="234"/>
      <c r="E121" s="234"/>
      <c r="F121" s="234"/>
      <c r="G121" s="234"/>
      <c r="H121" s="235"/>
      <c r="I121" s="235"/>
      <c r="J121" s="235"/>
      <c r="K121" s="235"/>
      <c r="L121" s="235"/>
      <c r="M121" s="235"/>
      <c r="N121" s="235"/>
    </row>
    <row r="122" spans="1:14" ht="13.8">
      <c r="A122" s="235"/>
      <c r="B122" s="235"/>
      <c r="C122" s="235"/>
      <c r="D122" s="234"/>
      <c r="E122" s="234"/>
      <c r="F122" s="234"/>
      <c r="G122" s="234"/>
      <c r="H122" s="235"/>
      <c r="I122" s="235"/>
      <c r="J122" s="235"/>
      <c r="K122" s="235"/>
      <c r="L122" s="235"/>
      <c r="M122" s="235"/>
      <c r="N122" s="235"/>
    </row>
    <row r="123" spans="1:14" ht="13.8">
      <c r="A123" s="235"/>
      <c r="B123" s="235"/>
      <c r="C123" s="235"/>
      <c r="D123" s="234"/>
      <c r="E123" s="234"/>
      <c r="F123" s="234"/>
      <c r="G123" s="234"/>
      <c r="H123" s="235"/>
      <c r="I123" s="235"/>
      <c r="J123" s="235"/>
      <c r="K123" s="235"/>
      <c r="L123" s="235"/>
      <c r="M123" s="235"/>
      <c r="N123" s="235"/>
    </row>
    <row r="124" spans="1:14" ht="13.8">
      <c r="A124" s="235"/>
      <c r="B124" s="235"/>
      <c r="C124" s="235"/>
      <c r="D124" s="234"/>
      <c r="E124" s="234"/>
      <c r="F124" s="234"/>
      <c r="G124" s="234"/>
      <c r="H124" s="235"/>
      <c r="I124" s="235"/>
      <c r="J124" s="235"/>
      <c r="K124" s="235"/>
      <c r="L124" s="235"/>
      <c r="M124" s="235"/>
      <c r="N124" s="235"/>
    </row>
    <row r="125" spans="1:14" ht="13.8">
      <c r="A125" s="235"/>
      <c r="B125" s="235"/>
      <c r="C125" s="235"/>
      <c r="D125" s="234"/>
      <c r="E125" s="234"/>
      <c r="F125" s="234"/>
      <c r="G125" s="234"/>
      <c r="H125" s="235"/>
      <c r="I125" s="235"/>
      <c r="J125" s="235"/>
      <c r="K125" s="235"/>
      <c r="L125" s="235"/>
      <c r="M125" s="235"/>
      <c r="N125" s="235"/>
    </row>
    <row r="126" spans="1:14" ht="13.8">
      <c r="A126" s="235"/>
      <c r="B126" s="235"/>
      <c r="C126" s="235"/>
      <c r="D126" s="234"/>
      <c r="E126" s="234"/>
      <c r="F126" s="234"/>
      <c r="G126" s="234"/>
      <c r="H126" s="235"/>
      <c r="I126" s="235"/>
      <c r="J126" s="235"/>
      <c r="K126" s="235"/>
      <c r="L126" s="235"/>
      <c r="M126" s="235"/>
      <c r="N126" s="235"/>
    </row>
    <row r="127" spans="1:14" ht="13.8">
      <c r="A127" s="235"/>
      <c r="B127" s="235"/>
      <c r="C127" s="235"/>
      <c r="D127" s="234"/>
      <c r="E127" s="234"/>
      <c r="F127" s="234"/>
      <c r="G127" s="234"/>
      <c r="H127" s="235"/>
      <c r="I127" s="235"/>
      <c r="J127" s="235"/>
      <c r="K127" s="235"/>
      <c r="L127" s="235"/>
      <c r="M127" s="235"/>
      <c r="N127" s="235"/>
    </row>
    <row r="128" spans="1:14" ht="13.8">
      <c r="A128" s="235"/>
      <c r="B128" s="235"/>
      <c r="C128" s="235"/>
      <c r="D128" s="234"/>
      <c r="E128" s="234"/>
      <c r="F128" s="234"/>
      <c r="G128" s="234"/>
      <c r="H128" s="235"/>
      <c r="I128" s="235"/>
      <c r="J128" s="235"/>
      <c r="K128" s="235"/>
      <c r="L128" s="235"/>
      <c r="M128" s="235"/>
      <c r="N128" s="235"/>
    </row>
    <row r="129" spans="1:14" ht="13.8">
      <c r="A129" s="235"/>
      <c r="B129" s="235"/>
      <c r="C129" s="235"/>
      <c r="D129" s="234"/>
      <c r="E129" s="234"/>
      <c r="F129" s="234"/>
      <c r="G129" s="234"/>
      <c r="H129" s="235"/>
      <c r="I129" s="235"/>
      <c r="J129" s="235"/>
      <c r="K129" s="235"/>
      <c r="L129" s="235"/>
      <c r="M129" s="235"/>
      <c r="N129" s="235"/>
    </row>
    <row r="130" spans="1:14" ht="13.8">
      <c r="A130" s="235"/>
      <c r="B130" s="235"/>
      <c r="C130" s="235"/>
      <c r="D130" s="234"/>
      <c r="E130" s="234"/>
      <c r="F130" s="234"/>
      <c r="G130" s="234"/>
      <c r="H130" s="235"/>
      <c r="I130" s="235"/>
      <c r="J130" s="235"/>
      <c r="K130" s="235"/>
      <c r="L130" s="235"/>
      <c r="M130" s="235"/>
      <c r="N130" s="235"/>
    </row>
    <row r="131" spans="1:14" ht="13.8">
      <c r="A131" s="235"/>
      <c r="B131" s="235"/>
      <c r="C131" s="235"/>
      <c r="D131" s="234"/>
      <c r="E131" s="234"/>
      <c r="F131" s="234"/>
      <c r="G131" s="234"/>
      <c r="H131" s="235"/>
      <c r="I131" s="235"/>
      <c r="J131" s="235"/>
      <c r="K131" s="235"/>
      <c r="L131" s="235"/>
      <c r="M131" s="235"/>
      <c r="N131" s="235"/>
    </row>
    <row r="132" spans="1:14" ht="13.8">
      <c r="A132" s="235"/>
      <c r="B132" s="235"/>
      <c r="C132" s="235"/>
      <c r="D132" s="234"/>
      <c r="E132" s="234"/>
      <c r="F132" s="234"/>
      <c r="G132" s="234"/>
      <c r="H132" s="235"/>
      <c r="I132" s="235"/>
      <c r="J132" s="235"/>
      <c r="K132" s="235"/>
      <c r="L132" s="235"/>
      <c r="M132" s="235"/>
      <c r="N132" s="235"/>
    </row>
    <row r="133" spans="1:14" ht="13.8">
      <c r="A133" s="235"/>
      <c r="B133" s="235"/>
      <c r="C133" s="235"/>
      <c r="D133" s="234"/>
      <c r="E133" s="234"/>
      <c r="F133" s="234"/>
      <c r="G133" s="234"/>
      <c r="H133" s="235"/>
      <c r="I133" s="235"/>
      <c r="J133" s="235"/>
      <c r="K133" s="235"/>
      <c r="L133" s="235"/>
      <c r="M133" s="235"/>
      <c r="N133" s="235"/>
    </row>
    <row r="134" spans="1:14" ht="13.8">
      <c r="A134" s="235"/>
      <c r="B134" s="235"/>
      <c r="C134" s="235"/>
      <c r="D134" s="234"/>
      <c r="E134" s="234"/>
      <c r="F134" s="234"/>
      <c r="G134" s="234"/>
      <c r="H134" s="235"/>
      <c r="I134" s="235"/>
      <c r="J134" s="235"/>
      <c r="K134" s="235"/>
      <c r="L134" s="235"/>
      <c r="M134" s="235"/>
      <c r="N134" s="235"/>
    </row>
    <row r="135" spans="1:14" ht="13.8">
      <c r="A135" s="235"/>
      <c r="B135" s="235"/>
      <c r="C135" s="235"/>
      <c r="D135" s="234"/>
      <c r="E135" s="234"/>
      <c r="F135" s="234"/>
      <c r="G135" s="234"/>
      <c r="H135" s="235"/>
      <c r="I135" s="235"/>
      <c r="J135" s="235"/>
      <c r="K135" s="235"/>
      <c r="L135" s="235"/>
      <c r="M135" s="235"/>
      <c r="N135" s="235"/>
    </row>
    <row r="136" spans="1:14" ht="13.8">
      <c r="A136" s="235"/>
      <c r="B136" s="235"/>
      <c r="C136" s="235"/>
      <c r="D136" s="234"/>
      <c r="E136" s="234"/>
      <c r="F136" s="234"/>
      <c r="G136" s="234"/>
      <c r="H136" s="235"/>
      <c r="I136" s="235"/>
      <c r="J136" s="235"/>
      <c r="K136" s="235"/>
      <c r="L136" s="235"/>
      <c r="M136" s="235"/>
      <c r="N136" s="235"/>
    </row>
    <row r="137" spans="1:14" ht="13.8">
      <c r="A137" s="235"/>
      <c r="B137" s="235"/>
      <c r="C137" s="235"/>
      <c r="D137" s="234"/>
      <c r="E137" s="234"/>
      <c r="F137" s="234"/>
      <c r="G137" s="234"/>
      <c r="H137" s="235"/>
      <c r="I137" s="235"/>
      <c r="J137" s="235"/>
      <c r="K137" s="235"/>
      <c r="L137" s="235"/>
      <c r="M137" s="235"/>
      <c r="N137" s="235"/>
    </row>
    <row r="138" spans="1:14" ht="13.8">
      <c r="A138" s="235"/>
      <c r="B138" s="235"/>
      <c r="C138" s="235"/>
      <c r="D138" s="234"/>
      <c r="E138" s="234"/>
      <c r="F138" s="234"/>
      <c r="G138" s="234"/>
      <c r="H138" s="235"/>
      <c r="I138" s="235"/>
      <c r="J138" s="235"/>
      <c r="K138" s="235"/>
      <c r="L138" s="235"/>
      <c r="M138" s="235"/>
      <c r="N138" s="235"/>
    </row>
    <row r="139" spans="1:14" ht="13.8">
      <c r="A139" s="235"/>
      <c r="B139" s="235"/>
      <c r="C139" s="235"/>
      <c r="D139" s="234"/>
      <c r="E139" s="234"/>
      <c r="F139" s="234"/>
      <c r="G139" s="234"/>
      <c r="H139" s="235"/>
      <c r="I139" s="235"/>
      <c r="J139" s="235"/>
      <c r="K139" s="235"/>
      <c r="L139" s="235"/>
      <c r="M139" s="235"/>
      <c r="N139" s="235"/>
    </row>
    <row r="140" spans="1:14" ht="13.8">
      <c r="A140" s="235"/>
      <c r="B140" s="235"/>
      <c r="C140" s="235"/>
      <c r="D140" s="234"/>
      <c r="E140" s="234"/>
      <c r="F140" s="234"/>
      <c r="G140" s="234"/>
      <c r="H140" s="235"/>
      <c r="I140" s="235"/>
      <c r="J140" s="235"/>
      <c r="K140" s="235"/>
      <c r="L140" s="235"/>
      <c r="M140" s="235"/>
      <c r="N140" s="235"/>
    </row>
    <row r="141" spans="1:14" ht="13.8">
      <c r="A141" s="235"/>
      <c r="B141" s="235"/>
      <c r="C141" s="235"/>
      <c r="D141" s="234"/>
      <c r="E141" s="234"/>
      <c r="F141" s="234"/>
      <c r="G141" s="234"/>
      <c r="H141" s="235"/>
      <c r="I141" s="235"/>
      <c r="J141" s="235"/>
      <c r="K141" s="235"/>
      <c r="L141" s="235"/>
      <c r="M141" s="235"/>
      <c r="N141" s="235"/>
    </row>
    <row r="142" spans="1:14" ht="13.8">
      <c r="A142" s="235"/>
      <c r="B142" s="235"/>
      <c r="C142" s="235"/>
      <c r="D142" s="234"/>
      <c r="E142" s="234"/>
      <c r="F142" s="234"/>
      <c r="G142" s="234"/>
      <c r="H142" s="235"/>
      <c r="I142" s="235"/>
      <c r="J142" s="235"/>
      <c r="K142" s="235"/>
      <c r="L142" s="235"/>
      <c r="M142" s="235"/>
      <c r="N142" s="235"/>
    </row>
    <row r="143" spans="1:14" ht="13.8">
      <c r="A143" s="235"/>
      <c r="B143" s="235"/>
      <c r="C143" s="235"/>
      <c r="D143" s="234"/>
      <c r="E143" s="234"/>
      <c r="F143" s="234"/>
      <c r="G143" s="234"/>
      <c r="H143" s="235"/>
      <c r="I143" s="235"/>
      <c r="J143" s="235"/>
      <c r="K143" s="235"/>
      <c r="L143" s="235"/>
      <c r="M143" s="235"/>
      <c r="N143" s="235"/>
    </row>
    <row r="144" spans="1:14" ht="13.8">
      <c r="A144" s="235"/>
      <c r="B144" s="235"/>
      <c r="C144" s="235"/>
      <c r="D144" s="234"/>
      <c r="E144" s="234"/>
      <c r="F144" s="234"/>
      <c r="G144" s="234"/>
      <c r="H144" s="235"/>
      <c r="I144" s="235"/>
      <c r="J144" s="235"/>
      <c r="K144" s="235"/>
      <c r="L144" s="235"/>
      <c r="M144" s="235"/>
      <c r="N144" s="235"/>
    </row>
    <row r="145" spans="1:14" ht="13.8">
      <c r="A145" s="235"/>
      <c r="B145" s="235"/>
      <c r="C145" s="235"/>
      <c r="D145" s="234"/>
      <c r="E145" s="234"/>
      <c r="F145" s="234"/>
      <c r="G145" s="234"/>
      <c r="H145" s="235"/>
      <c r="I145" s="235"/>
      <c r="J145" s="235"/>
      <c r="K145" s="235"/>
      <c r="L145" s="235"/>
      <c r="M145" s="235"/>
      <c r="N145" s="235"/>
    </row>
    <row r="146" spans="1:14" ht="13.8">
      <c r="A146" s="235"/>
      <c r="B146" s="235"/>
      <c r="C146" s="235"/>
      <c r="D146" s="234"/>
      <c r="E146" s="234"/>
      <c r="F146" s="234"/>
      <c r="G146" s="234"/>
      <c r="H146" s="235"/>
      <c r="I146" s="235"/>
      <c r="J146" s="235"/>
      <c r="K146" s="235"/>
      <c r="L146" s="235"/>
      <c r="M146" s="235"/>
      <c r="N146" s="235"/>
    </row>
    <row r="147" spans="1:14" ht="13.8">
      <c r="A147" s="235"/>
      <c r="B147" s="235"/>
      <c r="C147" s="235"/>
      <c r="D147" s="234"/>
      <c r="E147" s="234"/>
      <c r="F147" s="234"/>
      <c r="G147" s="234"/>
      <c r="H147" s="235"/>
      <c r="I147" s="235"/>
      <c r="J147" s="235"/>
      <c r="K147" s="235"/>
      <c r="L147" s="235"/>
      <c r="M147" s="235"/>
      <c r="N147" s="235"/>
    </row>
    <row r="148" spans="1:14" ht="13.8">
      <c r="A148" s="235"/>
      <c r="B148" s="235"/>
      <c r="C148" s="235"/>
      <c r="D148" s="234"/>
      <c r="E148" s="234"/>
      <c r="F148" s="234"/>
      <c r="G148" s="234"/>
      <c r="H148" s="235"/>
      <c r="I148" s="235"/>
      <c r="J148" s="235"/>
      <c r="K148" s="235"/>
      <c r="L148" s="235"/>
      <c r="M148" s="235"/>
      <c r="N148" s="235"/>
    </row>
    <row r="149" spans="1:14" ht="13.8">
      <c r="A149" s="235"/>
      <c r="B149" s="235"/>
      <c r="C149" s="235"/>
      <c r="D149" s="234"/>
      <c r="E149" s="234"/>
      <c r="F149" s="234"/>
      <c r="G149" s="234"/>
      <c r="H149" s="235"/>
      <c r="I149" s="235"/>
      <c r="J149" s="235"/>
      <c r="K149" s="235"/>
      <c r="L149" s="235"/>
      <c r="M149" s="235"/>
      <c r="N149" s="235"/>
    </row>
    <row r="150" spans="1:14" ht="13.8">
      <c r="A150" s="235"/>
      <c r="B150" s="235"/>
      <c r="C150" s="235"/>
      <c r="D150" s="234"/>
      <c r="E150" s="234"/>
      <c r="F150" s="234"/>
      <c r="G150" s="234"/>
      <c r="H150" s="235"/>
      <c r="I150" s="235"/>
      <c r="J150" s="235"/>
      <c r="K150" s="235"/>
      <c r="L150" s="235"/>
      <c r="M150" s="235"/>
      <c r="N150" s="235"/>
    </row>
    <row r="151" spans="1:14" ht="13.8">
      <c r="A151" s="235"/>
      <c r="B151" s="235"/>
      <c r="C151" s="235"/>
      <c r="D151" s="234"/>
      <c r="E151" s="234"/>
      <c r="F151" s="234"/>
      <c r="G151" s="234"/>
      <c r="H151" s="235"/>
      <c r="I151" s="235"/>
      <c r="J151" s="235"/>
      <c r="K151" s="235"/>
      <c r="L151" s="235"/>
      <c r="M151" s="235"/>
      <c r="N151" s="235"/>
    </row>
    <row r="152" spans="1:14" ht="13.8">
      <c r="A152" s="235"/>
      <c r="B152" s="235"/>
      <c r="C152" s="235"/>
      <c r="D152" s="234"/>
      <c r="E152" s="234"/>
      <c r="F152" s="234"/>
      <c r="G152" s="234"/>
      <c r="H152" s="235"/>
      <c r="I152" s="235"/>
      <c r="J152" s="235"/>
      <c r="K152" s="235"/>
      <c r="L152" s="235"/>
      <c r="M152" s="235"/>
      <c r="N152" s="235"/>
    </row>
    <row r="153" spans="1:14" ht="13.8">
      <c r="A153" s="235"/>
      <c r="B153" s="235"/>
      <c r="C153" s="235"/>
      <c r="D153" s="234"/>
      <c r="E153" s="234"/>
      <c r="F153" s="234"/>
      <c r="G153" s="234"/>
      <c r="H153" s="235"/>
      <c r="I153" s="235"/>
      <c r="J153" s="235"/>
      <c r="K153" s="235"/>
      <c r="L153" s="235"/>
      <c r="M153" s="235"/>
      <c r="N153" s="235"/>
    </row>
    <row r="154" spans="1:14" ht="13.8">
      <c r="A154" s="235"/>
      <c r="B154" s="235"/>
      <c r="C154" s="235"/>
      <c r="D154" s="234"/>
      <c r="E154" s="234"/>
      <c r="F154" s="234"/>
      <c r="G154" s="234"/>
      <c r="H154" s="235"/>
      <c r="I154" s="235"/>
      <c r="J154" s="235"/>
      <c r="K154" s="235"/>
      <c r="L154" s="235"/>
      <c r="M154" s="235"/>
      <c r="N154" s="235"/>
    </row>
    <row r="155" spans="1:14" ht="13.8">
      <c r="A155" s="235"/>
      <c r="B155" s="235"/>
      <c r="C155" s="235"/>
      <c r="D155" s="234"/>
      <c r="E155" s="234"/>
      <c r="F155" s="234"/>
      <c r="G155" s="234"/>
      <c r="H155" s="235"/>
      <c r="I155" s="235"/>
      <c r="J155" s="235"/>
      <c r="K155" s="235"/>
      <c r="L155" s="235"/>
      <c r="M155" s="235"/>
      <c r="N155" s="235"/>
    </row>
    <row r="156" spans="1:14" ht="13.8">
      <c r="A156" s="235"/>
      <c r="B156" s="235"/>
      <c r="C156" s="235"/>
      <c r="D156" s="234"/>
      <c r="E156" s="234"/>
      <c r="F156" s="234"/>
      <c r="G156" s="234"/>
      <c r="H156" s="235"/>
      <c r="I156" s="235"/>
      <c r="J156" s="235"/>
      <c r="K156" s="235"/>
      <c r="L156" s="235"/>
      <c r="M156" s="235"/>
      <c r="N156" s="235"/>
    </row>
    <row r="157" spans="1:14" ht="13.8">
      <c r="A157" s="235"/>
      <c r="B157" s="235"/>
      <c r="C157" s="235"/>
      <c r="D157" s="234"/>
      <c r="E157" s="234"/>
      <c r="F157" s="234"/>
      <c r="G157" s="234"/>
      <c r="H157" s="235"/>
      <c r="I157" s="235"/>
      <c r="J157" s="235"/>
      <c r="K157" s="235"/>
      <c r="L157" s="235"/>
      <c r="M157" s="235"/>
      <c r="N157" s="235"/>
    </row>
    <row r="158" spans="1:14" ht="13.8">
      <c r="A158" s="235"/>
      <c r="B158" s="235"/>
      <c r="C158" s="235"/>
      <c r="D158" s="234"/>
      <c r="E158" s="234"/>
      <c r="F158" s="234"/>
      <c r="G158" s="234"/>
      <c r="H158" s="235"/>
      <c r="I158" s="235"/>
      <c r="J158" s="235"/>
      <c r="K158" s="235"/>
      <c r="L158" s="235"/>
      <c r="M158" s="235"/>
      <c r="N158" s="235"/>
    </row>
    <row r="159" spans="1:14" ht="13.8">
      <c r="A159" s="235"/>
      <c r="B159" s="235"/>
      <c r="C159" s="235"/>
      <c r="D159" s="234"/>
      <c r="E159" s="234"/>
      <c r="F159" s="234"/>
      <c r="G159" s="234"/>
      <c r="H159" s="235"/>
      <c r="I159" s="235"/>
      <c r="J159" s="235"/>
      <c r="K159" s="235"/>
      <c r="L159" s="235"/>
      <c r="M159" s="235"/>
      <c r="N159" s="235"/>
    </row>
    <row r="160" spans="1:14" ht="13.8">
      <c r="A160" s="235"/>
      <c r="B160" s="235"/>
      <c r="C160" s="235"/>
      <c r="D160" s="234"/>
      <c r="E160" s="234"/>
      <c r="F160" s="234"/>
      <c r="G160" s="234"/>
      <c r="H160" s="235"/>
      <c r="I160" s="235"/>
      <c r="J160" s="235"/>
      <c r="K160" s="235"/>
      <c r="L160" s="235"/>
      <c r="M160" s="235"/>
      <c r="N160" s="235"/>
    </row>
    <row r="161" spans="1:14" ht="13.8">
      <c r="A161" s="235"/>
      <c r="B161" s="235"/>
      <c r="C161" s="235"/>
      <c r="D161" s="234"/>
      <c r="E161" s="234"/>
      <c r="F161" s="234"/>
      <c r="G161" s="234"/>
      <c r="H161" s="235"/>
      <c r="I161" s="235"/>
      <c r="J161" s="235"/>
      <c r="K161" s="235"/>
      <c r="L161" s="235"/>
      <c r="M161" s="235"/>
      <c r="N161" s="235"/>
    </row>
    <row r="162" spans="1:14" ht="13.8">
      <c r="A162" s="235"/>
      <c r="B162" s="235"/>
      <c r="C162" s="235"/>
      <c r="D162" s="234"/>
      <c r="E162" s="234"/>
      <c r="F162" s="234"/>
      <c r="G162" s="234"/>
      <c r="H162" s="235"/>
      <c r="I162" s="235"/>
      <c r="J162" s="235"/>
      <c r="K162" s="235"/>
      <c r="L162" s="235"/>
      <c r="M162" s="235"/>
      <c r="N162" s="235"/>
    </row>
    <row r="163" spans="1:14" ht="13.8">
      <c r="A163" s="235"/>
      <c r="B163" s="235"/>
      <c r="C163" s="235"/>
      <c r="D163" s="234"/>
      <c r="E163" s="234"/>
      <c r="F163" s="234"/>
      <c r="G163" s="234"/>
      <c r="H163" s="235"/>
      <c r="I163" s="235"/>
      <c r="J163" s="235"/>
      <c r="K163" s="235"/>
      <c r="L163" s="235"/>
      <c r="M163" s="235"/>
      <c r="N163" s="235"/>
    </row>
    <row r="164" spans="1:14" ht="13.8">
      <c r="A164" s="235"/>
      <c r="B164" s="235"/>
      <c r="C164" s="235"/>
      <c r="D164" s="234"/>
      <c r="E164" s="234"/>
      <c r="F164" s="234"/>
      <c r="G164" s="234"/>
      <c r="H164" s="235"/>
      <c r="I164" s="235"/>
      <c r="J164" s="235"/>
      <c r="K164" s="235"/>
      <c r="L164" s="235"/>
      <c r="M164" s="235"/>
      <c r="N164" s="235"/>
    </row>
    <row r="165" spans="1:14" ht="13.8">
      <c r="A165" s="235"/>
      <c r="B165" s="235"/>
      <c r="C165" s="235"/>
      <c r="D165" s="234"/>
      <c r="E165" s="234"/>
      <c r="F165" s="234"/>
      <c r="G165" s="234"/>
      <c r="H165" s="235"/>
      <c r="I165" s="235"/>
      <c r="J165" s="235"/>
      <c r="K165" s="235"/>
      <c r="L165" s="235"/>
      <c r="M165" s="235"/>
      <c r="N165" s="235"/>
    </row>
    <row r="166" spans="1:14" ht="13.8">
      <c r="A166" s="235"/>
      <c r="B166" s="235"/>
      <c r="C166" s="235"/>
      <c r="D166" s="234"/>
      <c r="E166" s="234"/>
      <c r="F166" s="234"/>
      <c r="G166" s="234"/>
      <c r="H166" s="235"/>
      <c r="I166" s="235"/>
      <c r="J166" s="235"/>
      <c r="K166" s="235"/>
      <c r="L166" s="235"/>
      <c r="M166" s="235"/>
      <c r="N166" s="235"/>
    </row>
    <row r="167" spans="1:14" ht="13.8">
      <c r="A167" s="235"/>
      <c r="B167" s="235"/>
      <c r="C167" s="235"/>
      <c r="D167" s="234"/>
      <c r="E167" s="234"/>
      <c r="F167" s="234"/>
      <c r="G167" s="234"/>
      <c r="H167" s="235"/>
      <c r="I167" s="235"/>
      <c r="J167" s="235"/>
      <c r="K167" s="235"/>
      <c r="L167" s="235"/>
      <c r="M167" s="235"/>
      <c r="N167" s="235"/>
    </row>
    <row r="168" spans="1:14" ht="13.8">
      <c r="A168" s="235"/>
      <c r="B168" s="235"/>
      <c r="C168" s="235"/>
      <c r="D168" s="234"/>
      <c r="E168" s="234"/>
      <c r="F168" s="234"/>
      <c r="G168" s="234"/>
      <c r="H168" s="235"/>
      <c r="I168" s="235"/>
      <c r="J168" s="235"/>
      <c r="K168" s="235"/>
      <c r="L168" s="235"/>
      <c r="M168" s="235"/>
      <c r="N168" s="235"/>
    </row>
    <row r="169" spans="1:14" ht="13.8">
      <c r="A169" s="235"/>
      <c r="B169" s="235"/>
      <c r="C169" s="235"/>
      <c r="D169" s="234"/>
      <c r="E169" s="234"/>
      <c r="F169" s="234"/>
      <c r="G169" s="234"/>
      <c r="H169" s="235"/>
      <c r="I169" s="235"/>
      <c r="J169" s="235"/>
      <c r="K169" s="235"/>
      <c r="L169" s="235"/>
      <c r="M169" s="235"/>
      <c r="N169" s="235"/>
    </row>
    <row r="170" spans="1:14" ht="13.8">
      <c r="A170" s="235"/>
      <c r="B170" s="235"/>
      <c r="C170" s="235"/>
      <c r="D170" s="234"/>
      <c r="E170" s="234"/>
      <c r="F170" s="234"/>
      <c r="G170" s="234"/>
      <c r="H170" s="235"/>
      <c r="I170" s="235"/>
      <c r="J170" s="235"/>
      <c r="K170" s="235"/>
      <c r="L170" s="235"/>
      <c r="M170" s="235"/>
      <c r="N170" s="235"/>
    </row>
    <row r="171" spans="1:14" ht="13.8">
      <c r="A171" s="235"/>
      <c r="B171" s="235"/>
      <c r="C171" s="235"/>
      <c r="D171" s="234"/>
      <c r="E171" s="234"/>
      <c r="F171" s="234"/>
      <c r="G171" s="234"/>
      <c r="H171" s="235"/>
      <c r="I171" s="235"/>
      <c r="J171" s="235"/>
      <c r="K171" s="235"/>
      <c r="L171" s="235"/>
      <c r="M171" s="235"/>
      <c r="N171" s="235"/>
    </row>
    <row r="172" spans="1:14" ht="13.8">
      <c r="A172" s="235"/>
      <c r="B172" s="235"/>
      <c r="C172" s="235"/>
      <c r="D172" s="234"/>
      <c r="E172" s="234"/>
      <c r="F172" s="234"/>
      <c r="G172" s="234"/>
      <c r="H172" s="235"/>
      <c r="I172" s="235"/>
      <c r="J172" s="235"/>
      <c r="K172" s="235"/>
      <c r="L172" s="235"/>
      <c r="M172" s="235"/>
      <c r="N172" s="235"/>
    </row>
    <row r="173" spans="1:14" ht="13.8">
      <c r="A173" s="235"/>
      <c r="B173" s="235"/>
      <c r="C173" s="235"/>
      <c r="D173" s="234"/>
      <c r="E173" s="234"/>
      <c r="F173" s="234"/>
      <c r="G173" s="234"/>
      <c r="H173" s="235"/>
      <c r="I173" s="235"/>
      <c r="J173" s="235"/>
      <c r="K173" s="235"/>
      <c r="L173" s="235"/>
      <c r="M173" s="235"/>
      <c r="N173" s="235"/>
    </row>
    <row r="174" spans="1:14" ht="13.8">
      <c r="A174" s="235"/>
      <c r="B174" s="235"/>
      <c r="C174" s="235"/>
      <c r="D174" s="234"/>
      <c r="E174" s="234"/>
      <c r="F174" s="234"/>
      <c r="G174" s="234"/>
      <c r="H174" s="235"/>
      <c r="I174" s="235"/>
      <c r="J174" s="235"/>
      <c r="K174" s="235"/>
      <c r="L174" s="235"/>
      <c r="M174" s="235"/>
      <c r="N174" s="235"/>
    </row>
    <row r="175" spans="1:14" ht="13.8">
      <c r="A175" s="235"/>
      <c r="B175" s="235"/>
      <c r="C175" s="235"/>
      <c r="D175" s="234"/>
      <c r="E175" s="234"/>
      <c r="F175" s="234"/>
      <c r="G175" s="234"/>
      <c r="H175" s="235"/>
      <c r="I175" s="235"/>
      <c r="J175" s="235"/>
      <c r="K175" s="235"/>
      <c r="L175" s="235"/>
      <c r="M175" s="235"/>
      <c r="N175" s="235"/>
    </row>
    <row r="176" spans="1:14" ht="13.8">
      <c r="A176" s="235"/>
      <c r="B176" s="235"/>
      <c r="C176" s="235"/>
      <c r="D176" s="234"/>
      <c r="E176" s="234"/>
      <c r="F176" s="234"/>
      <c r="G176" s="234"/>
      <c r="H176" s="235"/>
      <c r="I176" s="235"/>
      <c r="J176" s="235"/>
      <c r="K176" s="235"/>
      <c r="L176" s="235"/>
      <c r="M176" s="235"/>
      <c r="N176" s="235"/>
    </row>
    <row r="177" spans="1:14" ht="13.8">
      <c r="A177" s="235"/>
      <c r="B177" s="235"/>
      <c r="C177" s="235"/>
      <c r="D177" s="234"/>
      <c r="E177" s="234"/>
      <c r="F177" s="234"/>
      <c r="G177" s="234"/>
      <c r="H177" s="235"/>
      <c r="I177" s="235"/>
      <c r="J177" s="235"/>
      <c r="K177" s="235"/>
      <c r="L177" s="235"/>
      <c r="M177" s="235"/>
      <c r="N177" s="235"/>
    </row>
    <row r="178" spans="1:14" ht="13.8">
      <c r="A178" s="235"/>
      <c r="B178" s="235"/>
      <c r="C178" s="235"/>
      <c r="D178" s="234"/>
      <c r="E178" s="234"/>
      <c r="F178" s="234"/>
      <c r="G178" s="234"/>
      <c r="H178" s="235"/>
      <c r="I178" s="235"/>
      <c r="J178" s="235"/>
      <c r="K178" s="235"/>
      <c r="L178" s="235"/>
      <c r="M178" s="235"/>
      <c r="N178" s="235"/>
    </row>
    <row r="179" spans="1:14" ht="13.8">
      <c r="A179" s="235"/>
      <c r="B179" s="235"/>
      <c r="C179" s="235"/>
      <c r="D179" s="234"/>
      <c r="E179" s="234"/>
      <c r="F179" s="234"/>
      <c r="G179" s="234"/>
      <c r="H179" s="235"/>
      <c r="I179" s="235"/>
      <c r="J179" s="235"/>
      <c r="K179" s="235"/>
      <c r="L179" s="235"/>
      <c r="M179" s="235"/>
      <c r="N179" s="235"/>
    </row>
    <row r="180" spans="1:14" ht="13.8">
      <c r="A180" s="235"/>
      <c r="B180" s="235"/>
      <c r="C180" s="235"/>
      <c r="D180" s="234"/>
      <c r="E180" s="234"/>
      <c r="F180" s="234"/>
      <c r="G180" s="234"/>
      <c r="H180" s="235"/>
      <c r="I180" s="235"/>
      <c r="J180" s="235"/>
      <c r="K180" s="235"/>
      <c r="L180" s="235"/>
      <c r="M180" s="235"/>
      <c r="N180" s="235"/>
    </row>
    <row r="181" spans="1:14" ht="13.8">
      <c r="A181" s="235"/>
      <c r="B181" s="235"/>
      <c r="C181" s="235"/>
      <c r="D181" s="234"/>
      <c r="E181" s="234"/>
      <c r="F181" s="234"/>
      <c r="G181" s="234"/>
      <c r="H181" s="235"/>
      <c r="I181" s="235"/>
      <c r="J181" s="235"/>
      <c r="K181" s="235"/>
      <c r="L181" s="235"/>
      <c r="M181" s="235"/>
      <c r="N181" s="235"/>
    </row>
    <row r="182" spans="1:14" ht="13.8">
      <c r="A182" s="235"/>
      <c r="B182" s="235"/>
      <c r="C182" s="235"/>
      <c r="D182" s="234"/>
      <c r="E182" s="234"/>
      <c r="F182" s="234"/>
      <c r="G182" s="234"/>
      <c r="H182" s="235"/>
      <c r="I182" s="235"/>
      <c r="J182" s="235"/>
      <c r="K182" s="235"/>
      <c r="L182" s="235"/>
      <c r="M182" s="235"/>
      <c r="N182" s="235"/>
    </row>
    <row r="183" spans="1:14" ht="13.8">
      <c r="A183" s="235"/>
      <c r="B183" s="235"/>
      <c r="C183" s="235"/>
      <c r="D183" s="234"/>
      <c r="E183" s="234"/>
      <c r="F183" s="234"/>
      <c r="G183" s="234"/>
      <c r="H183" s="235"/>
      <c r="I183" s="235"/>
      <c r="J183" s="235"/>
      <c r="K183" s="235"/>
      <c r="L183" s="235"/>
      <c r="M183" s="235"/>
      <c r="N183" s="235"/>
    </row>
    <row r="184" spans="1:14" ht="13.8">
      <c r="A184" s="235"/>
      <c r="B184" s="235"/>
      <c r="C184" s="235"/>
      <c r="D184" s="234"/>
      <c r="E184" s="234"/>
      <c r="F184" s="234"/>
      <c r="G184" s="234"/>
      <c r="H184" s="235"/>
      <c r="I184" s="235"/>
      <c r="J184" s="235"/>
      <c r="K184" s="235"/>
      <c r="L184" s="235"/>
      <c r="M184" s="235"/>
      <c r="N184" s="235"/>
    </row>
    <row r="185" spans="1:14" ht="13.8">
      <c r="A185" s="235"/>
      <c r="B185" s="235"/>
      <c r="C185" s="235"/>
      <c r="D185" s="234"/>
      <c r="E185" s="234"/>
      <c r="F185" s="234"/>
      <c r="G185" s="234"/>
      <c r="H185" s="235"/>
      <c r="I185" s="235"/>
      <c r="J185" s="235"/>
      <c r="K185" s="235"/>
      <c r="L185" s="235"/>
      <c r="M185" s="235"/>
      <c r="N185" s="235"/>
    </row>
    <row r="186" spans="1:14" ht="13.8">
      <c r="A186" s="235"/>
      <c r="B186" s="235"/>
      <c r="C186" s="235"/>
      <c r="D186" s="234"/>
      <c r="E186" s="234"/>
      <c r="F186" s="234"/>
      <c r="G186" s="234"/>
      <c r="H186" s="235"/>
      <c r="I186" s="235"/>
      <c r="J186" s="235"/>
      <c r="K186" s="235"/>
      <c r="L186" s="235"/>
      <c r="M186" s="235"/>
      <c r="N186" s="235"/>
    </row>
    <row r="187" spans="1:14" ht="13.8">
      <c r="A187" s="235"/>
      <c r="B187" s="235"/>
      <c r="C187" s="235"/>
      <c r="D187" s="234"/>
      <c r="E187" s="234"/>
      <c r="F187" s="234"/>
      <c r="G187" s="234"/>
      <c r="H187" s="235"/>
      <c r="I187" s="235"/>
      <c r="J187" s="235"/>
      <c r="K187" s="235"/>
      <c r="L187" s="235"/>
      <c r="M187" s="235"/>
      <c r="N187" s="235"/>
    </row>
    <row r="188" spans="1:14" ht="13.8">
      <c r="A188" s="235"/>
      <c r="B188" s="235"/>
      <c r="C188" s="235"/>
      <c r="D188" s="234"/>
      <c r="E188" s="234"/>
      <c r="F188" s="234"/>
      <c r="G188" s="234"/>
      <c r="H188" s="235"/>
      <c r="I188" s="235"/>
      <c r="J188" s="235"/>
      <c r="K188" s="235"/>
      <c r="L188" s="235"/>
      <c r="M188" s="235"/>
      <c r="N188" s="235"/>
    </row>
    <row r="189" spans="1:14" ht="13.8">
      <c r="A189" s="235"/>
      <c r="B189" s="235"/>
      <c r="C189" s="235"/>
      <c r="D189" s="234"/>
      <c r="E189" s="234"/>
      <c r="F189" s="234"/>
      <c r="G189" s="234"/>
      <c r="H189" s="235"/>
      <c r="I189" s="235"/>
      <c r="J189" s="235"/>
      <c r="K189" s="235"/>
      <c r="L189" s="235"/>
      <c r="M189" s="235"/>
      <c r="N189" s="235"/>
    </row>
    <row r="190" spans="1:14" ht="13.8">
      <c r="A190" s="235"/>
      <c r="B190" s="235"/>
      <c r="C190" s="235"/>
      <c r="D190" s="234"/>
      <c r="E190" s="234"/>
      <c r="F190" s="234"/>
      <c r="G190" s="234"/>
      <c r="H190" s="235"/>
      <c r="I190" s="235"/>
      <c r="J190" s="235"/>
      <c r="K190" s="235"/>
      <c r="L190" s="235"/>
      <c r="M190" s="235"/>
      <c r="N190" s="235"/>
    </row>
    <row r="191" spans="1:14" ht="13.8">
      <c r="A191" s="235"/>
      <c r="B191" s="235"/>
      <c r="C191" s="235"/>
      <c r="D191" s="234"/>
      <c r="E191" s="234"/>
      <c r="F191" s="234"/>
      <c r="G191" s="234"/>
      <c r="H191" s="235"/>
      <c r="I191" s="235"/>
      <c r="J191" s="235"/>
      <c r="K191" s="235"/>
      <c r="L191" s="235"/>
      <c r="M191" s="235"/>
      <c r="N191" s="235"/>
    </row>
    <row r="192" spans="1:14" ht="13.8">
      <c r="A192" s="235"/>
      <c r="B192" s="235"/>
      <c r="C192" s="235"/>
      <c r="D192" s="234"/>
      <c r="E192" s="234"/>
      <c r="F192" s="234"/>
      <c r="G192" s="234"/>
      <c r="H192" s="235"/>
      <c r="I192" s="235"/>
      <c r="J192" s="235"/>
      <c r="K192" s="235"/>
      <c r="L192" s="235"/>
      <c r="M192" s="235"/>
      <c r="N192" s="235"/>
    </row>
    <row r="193" spans="1:14" ht="13.8">
      <c r="A193" s="235"/>
      <c r="B193" s="235"/>
      <c r="C193" s="235"/>
      <c r="D193" s="234"/>
      <c r="E193" s="234"/>
      <c r="F193" s="234"/>
      <c r="G193" s="234"/>
      <c r="H193" s="235"/>
      <c r="I193" s="235"/>
      <c r="J193" s="235"/>
      <c r="K193" s="235"/>
      <c r="L193" s="235"/>
      <c r="M193" s="235"/>
      <c r="N193" s="235"/>
    </row>
    <row r="194" spans="1:14" ht="13.8">
      <c r="A194" s="235"/>
      <c r="B194" s="235"/>
      <c r="C194" s="235"/>
      <c r="D194" s="234"/>
      <c r="E194" s="234"/>
      <c r="F194" s="234"/>
      <c r="G194" s="234"/>
      <c r="H194" s="235"/>
      <c r="I194" s="235"/>
      <c r="J194" s="235"/>
      <c r="K194" s="235"/>
      <c r="L194" s="235"/>
      <c r="M194" s="235"/>
      <c r="N194" s="235"/>
    </row>
    <row r="195" spans="1:14" ht="13.8">
      <c r="A195" s="235"/>
      <c r="B195" s="235"/>
      <c r="C195" s="235"/>
      <c r="D195" s="234"/>
      <c r="E195" s="234"/>
      <c r="F195" s="234"/>
      <c r="G195" s="234"/>
      <c r="H195" s="235"/>
      <c r="I195" s="235"/>
      <c r="J195" s="235"/>
      <c r="K195" s="235"/>
      <c r="L195" s="235"/>
      <c r="M195" s="235"/>
      <c r="N195" s="235"/>
    </row>
    <row r="196" spans="1:14" ht="13.8">
      <c r="A196" s="235"/>
      <c r="B196" s="235"/>
      <c r="C196" s="235"/>
      <c r="D196" s="234"/>
      <c r="E196" s="234"/>
      <c r="F196" s="234"/>
      <c r="G196" s="234"/>
      <c r="H196" s="235"/>
      <c r="I196" s="235"/>
      <c r="J196" s="235"/>
      <c r="K196" s="235"/>
      <c r="L196" s="235"/>
      <c r="M196" s="235"/>
      <c r="N196" s="235"/>
    </row>
    <row r="197" spans="1:14" ht="13.8">
      <c r="A197" s="235"/>
      <c r="B197" s="235"/>
      <c r="C197" s="235"/>
      <c r="D197" s="234"/>
      <c r="E197" s="234"/>
      <c r="F197" s="234"/>
      <c r="G197" s="234"/>
      <c r="H197" s="235"/>
      <c r="I197" s="235"/>
      <c r="J197" s="235"/>
      <c r="K197" s="235"/>
      <c r="L197" s="235"/>
      <c r="M197" s="235"/>
      <c r="N197" s="235"/>
    </row>
    <row r="198" spans="1:14" ht="13.8">
      <c r="A198" s="235"/>
      <c r="B198" s="235"/>
      <c r="C198" s="235"/>
      <c r="D198" s="234"/>
      <c r="E198" s="234"/>
      <c r="F198" s="234"/>
      <c r="G198" s="234"/>
      <c r="H198" s="235"/>
      <c r="I198" s="235"/>
      <c r="J198" s="235"/>
      <c r="K198" s="235"/>
      <c r="L198" s="235"/>
      <c r="M198" s="235"/>
      <c r="N198" s="235"/>
    </row>
    <row r="199" spans="1:14" ht="13.8">
      <c r="A199" s="235"/>
      <c r="B199" s="235"/>
      <c r="C199" s="235"/>
      <c r="D199" s="234"/>
      <c r="E199" s="234"/>
      <c r="F199" s="234"/>
      <c r="G199" s="234"/>
      <c r="H199" s="235"/>
      <c r="I199" s="235"/>
      <c r="J199" s="235"/>
      <c r="K199" s="235"/>
      <c r="L199" s="235"/>
      <c r="M199" s="235"/>
      <c r="N199" s="235"/>
    </row>
    <row r="200" spans="1:14" ht="13.8">
      <c r="A200" s="235"/>
      <c r="B200" s="235"/>
      <c r="C200" s="235"/>
      <c r="D200" s="234"/>
      <c r="E200" s="234"/>
      <c r="F200" s="234"/>
      <c r="G200" s="234"/>
      <c r="H200" s="235"/>
      <c r="I200" s="235"/>
      <c r="J200" s="235"/>
      <c r="K200" s="235"/>
      <c r="L200" s="235"/>
      <c r="M200" s="235"/>
      <c r="N200" s="235"/>
    </row>
    <row r="201" spans="1:14" ht="13.8">
      <c r="A201" s="235"/>
      <c r="B201" s="235"/>
      <c r="C201" s="235"/>
      <c r="D201" s="234"/>
      <c r="E201" s="234"/>
      <c r="F201" s="234"/>
      <c r="G201" s="234"/>
      <c r="H201" s="235"/>
      <c r="I201" s="235"/>
      <c r="J201" s="235"/>
      <c r="K201" s="235"/>
      <c r="L201" s="235"/>
      <c r="M201" s="235"/>
      <c r="N201" s="235"/>
    </row>
    <row r="202" spans="1:14" ht="13.8">
      <c r="A202" s="235"/>
      <c r="B202" s="235"/>
      <c r="C202" s="235"/>
      <c r="D202" s="234"/>
      <c r="E202" s="234"/>
      <c r="F202" s="234"/>
      <c r="G202" s="234"/>
      <c r="H202" s="235"/>
      <c r="I202" s="235"/>
      <c r="J202" s="235"/>
      <c r="K202" s="235"/>
      <c r="L202" s="235"/>
      <c r="M202" s="235"/>
      <c r="N202" s="235"/>
    </row>
    <row r="203" spans="1:14" ht="13.8">
      <c r="A203" s="235"/>
      <c r="B203" s="235"/>
      <c r="C203" s="235"/>
      <c r="D203" s="234"/>
      <c r="E203" s="234"/>
      <c r="F203" s="234"/>
      <c r="G203" s="234"/>
      <c r="H203" s="235"/>
      <c r="I203" s="235"/>
      <c r="J203" s="235"/>
      <c r="K203" s="235"/>
      <c r="L203" s="235"/>
      <c r="M203" s="235"/>
      <c r="N203" s="235"/>
    </row>
    <row r="204" spans="1:14" ht="13.8">
      <c r="A204" s="235"/>
      <c r="B204" s="235"/>
      <c r="C204" s="235"/>
      <c r="D204" s="234"/>
      <c r="E204" s="234"/>
      <c r="F204" s="234"/>
      <c r="G204" s="234"/>
      <c r="H204" s="235"/>
      <c r="I204" s="235"/>
      <c r="J204" s="235"/>
      <c r="K204" s="235"/>
      <c r="L204" s="235"/>
      <c r="M204" s="235"/>
      <c r="N204" s="235"/>
    </row>
    <row r="205" spans="1:14" ht="13.8">
      <c r="A205" s="235"/>
      <c r="B205" s="235"/>
      <c r="C205" s="235"/>
      <c r="D205" s="234"/>
      <c r="E205" s="234"/>
      <c r="F205" s="234"/>
      <c r="G205" s="234"/>
      <c r="H205" s="235"/>
      <c r="I205" s="235"/>
      <c r="J205" s="235"/>
      <c r="K205" s="235"/>
      <c r="L205" s="235"/>
      <c r="M205" s="235"/>
      <c r="N205" s="235"/>
    </row>
    <row r="206" spans="1:14" ht="13.8">
      <c r="A206" s="235"/>
      <c r="B206" s="235"/>
      <c r="C206" s="235"/>
      <c r="D206" s="234"/>
      <c r="E206" s="234"/>
      <c r="F206" s="234"/>
      <c r="G206" s="234"/>
      <c r="H206" s="235"/>
      <c r="I206" s="235"/>
      <c r="J206" s="235"/>
      <c r="K206" s="235"/>
      <c r="L206" s="235"/>
      <c r="M206" s="235"/>
      <c r="N206" s="235"/>
    </row>
    <row r="207" spans="1:14" ht="13.8">
      <c r="A207" s="235"/>
      <c r="B207" s="235"/>
      <c r="C207" s="235"/>
      <c r="D207" s="234"/>
      <c r="E207" s="234"/>
      <c r="F207" s="234"/>
      <c r="G207" s="234"/>
      <c r="H207" s="235"/>
      <c r="I207" s="235"/>
      <c r="J207" s="235"/>
      <c r="K207" s="235"/>
      <c r="L207" s="235"/>
      <c r="M207" s="235"/>
      <c r="N207" s="235"/>
    </row>
    <row r="208" spans="1:14" ht="13.8">
      <c r="A208" s="235"/>
      <c r="B208" s="235"/>
      <c r="C208" s="235"/>
      <c r="D208" s="234"/>
      <c r="E208" s="234"/>
      <c r="F208" s="234"/>
      <c r="G208" s="234"/>
      <c r="H208" s="235"/>
      <c r="I208" s="235"/>
      <c r="J208" s="235"/>
      <c r="K208" s="235"/>
      <c r="L208" s="235"/>
      <c r="M208" s="235"/>
      <c r="N208" s="235"/>
    </row>
    <row r="209" spans="1:14" ht="13.8">
      <c r="A209" s="235"/>
      <c r="B209" s="235"/>
      <c r="C209" s="235"/>
      <c r="D209" s="234"/>
      <c r="E209" s="234"/>
      <c r="F209" s="234"/>
      <c r="G209" s="234"/>
      <c r="H209" s="235"/>
      <c r="I209" s="235"/>
      <c r="J209" s="235"/>
      <c r="K209" s="235"/>
      <c r="L209" s="235"/>
      <c r="M209" s="235"/>
      <c r="N209" s="235"/>
    </row>
    <row r="210" spans="1:14" ht="13.8">
      <c r="A210" s="235"/>
      <c r="B210" s="235"/>
      <c r="C210" s="235"/>
      <c r="D210" s="234"/>
      <c r="E210" s="234"/>
      <c r="F210" s="234"/>
      <c r="G210" s="234"/>
      <c r="H210" s="235"/>
      <c r="I210" s="235"/>
      <c r="J210" s="235"/>
      <c r="K210" s="235"/>
      <c r="L210" s="235"/>
      <c r="M210" s="235"/>
      <c r="N210" s="235"/>
    </row>
    <row r="211" spans="1:14" ht="13.8">
      <c r="A211" s="235"/>
      <c r="B211" s="235"/>
      <c r="C211" s="235"/>
      <c r="D211" s="234"/>
      <c r="E211" s="234"/>
      <c r="F211" s="234"/>
      <c r="G211" s="234"/>
      <c r="H211" s="235"/>
      <c r="I211" s="235"/>
      <c r="J211" s="235"/>
      <c r="K211" s="235"/>
      <c r="L211" s="235"/>
      <c r="M211" s="235"/>
      <c r="N211" s="235"/>
    </row>
    <row r="212" spans="1:14" ht="13.8">
      <c r="A212" s="235"/>
      <c r="B212" s="235"/>
      <c r="C212" s="235"/>
      <c r="D212" s="234"/>
      <c r="E212" s="234"/>
      <c r="F212" s="234"/>
      <c r="G212" s="234"/>
      <c r="H212" s="235"/>
      <c r="I212" s="235"/>
      <c r="J212" s="235"/>
      <c r="K212" s="235"/>
      <c r="L212" s="235"/>
      <c r="M212" s="235"/>
      <c r="N212" s="235"/>
    </row>
    <row r="213" spans="1:14" ht="13.8">
      <c r="A213" s="235"/>
      <c r="B213" s="235"/>
      <c r="C213" s="235"/>
      <c r="D213" s="234"/>
      <c r="E213" s="234"/>
      <c r="F213" s="234"/>
      <c r="G213" s="234"/>
      <c r="H213" s="235"/>
      <c r="I213" s="235"/>
      <c r="J213" s="235"/>
      <c r="K213" s="235"/>
      <c r="L213" s="235"/>
      <c r="M213" s="235"/>
      <c r="N213" s="235"/>
    </row>
    <row r="214" spans="1:14" ht="13.8">
      <c r="A214" s="235"/>
      <c r="B214" s="235"/>
      <c r="C214" s="235"/>
      <c r="D214" s="234"/>
      <c r="E214" s="234"/>
      <c r="F214" s="234"/>
      <c r="G214" s="234"/>
      <c r="H214" s="235"/>
      <c r="I214" s="235"/>
      <c r="J214" s="235"/>
      <c r="K214" s="235"/>
      <c r="L214" s="235"/>
      <c r="M214" s="235"/>
      <c r="N214" s="235"/>
    </row>
    <row r="215" spans="1:14" ht="13.8">
      <c r="A215" s="235"/>
      <c r="B215" s="235"/>
      <c r="C215" s="235"/>
      <c r="D215" s="234"/>
      <c r="E215" s="234"/>
      <c r="F215" s="234"/>
      <c r="G215" s="234"/>
      <c r="H215" s="235"/>
      <c r="I215" s="235"/>
      <c r="J215" s="235"/>
      <c r="K215" s="235"/>
      <c r="L215" s="235"/>
      <c r="M215" s="235"/>
      <c r="N215" s="235"/>
    </row>
    <row r="216" spans="1:14" ht="13.8">
      <c r="A216" s="235"/>
      <c r="B216" s="235"/>
      <c r="C216" s="235"/>
      <c r="D216" s="234"/>
      <c r="E216" s="234"/>
      <c r="F216" s="234"/>
      <c r="G216" s="234"/>
      <c r="H216" s="235"/>
      <c r="I216" s="235"/>
      <c r="J216" s="235"/>
      <c r="K216" s="235"/>
      <c r="L216" s="235"/>
      <c r="M216" s="235"/>
      <c r="N216" s="235"/>
    </row>
    <row r="217" spans="1:14" ht="13.8">
      <c r="A217" s="235"/>
      <c r="B217" s="235"/>
      <c r="C217" s="235"/>
      <c r="D217" s="234"/>
      <c r="E217" s="234"/>
      <c r="F217" s="234"/>
      <c r="G217" s="234"/>
      <c r="H217" s="235"/>
      <c r="I217" s="235"/>
      <c r="J217" s="235"/>
      <c r="K217" s="235"/>
      <c r="L217" s="235"/>
      <c r="M217" s="235"/>
      <c r="N217" s="235"/>
    </row>
    <row r="218" spans="1:14" ht="13.8">
      <c r="A218" s="235"/>
      <c r="B218" s="235"/>
      <c r="C218" s="235"/>
      <c r="D218" s="234"/>
      <c r="E218" s="234"/>
      <c r="F218" s="234"/>
      <c r="G218" s="234"/>
      <c r="H218" s="235"/>
      <c r="I218" s="235"/>
      <c r="J218" s="235"/>
      <c r="K218" s="235"/>
      <c r="L218" s="235"/>
      <c r="M218" s="235"/>
      <c r="N218" s="235"/>
    </row>
    <row r="219" spans="1:14" ht="13.8">
      <c r="A219" s="235"/>
      <c r="B219" s="235"/>
      <c r="C219" s="235"/>
      <c r="D219" s="234"/>
      <c r="E219" s="234"/>
      <c r="F219" s="234"/>
      <c r="G219" s="234"/>
      <c r="H219" s="235"/>
      <c r="I219" s="235"/>
      <c r="J219" s="235"/>
      <c r="K219" s="235"/>
      <c r="L219" s="235"/>
      <c r="M219" s="235"/>
      <c r="N219" s="235"/>
    </row>
    <row r="220" spans="1:14" ht="13.8">
      <c r="A220" s="235"/>
      <c r="B220" s="235"/>
      <c r="C220" s="235"/>
      <c r="D220" s="234"/>
      <c r="E220" s="234"/>
      <c r="F220" s="234"/>
      <c r="G220" s="234"/>
      <c r="H220" s="235"/>
      <c r="I220" s="235"/>
      <c r="J220" s="235"/>
      <c r="K220" s="235"/>
      <c r="L220" s="235"/>
      <c r="M220" s="235"/>
      <c r="N220" s="235"/>
    </row>
    <row r="221" spans="1:14" ht="13.8">
      <c r="A221" s="235"/>
      <c r="B221" s="235"/>
      <c r="C221" s="235"/>
      <c r="D221" s="234"/>
      <c r="E221" s="234"/>
      <c r="F221" s="234"/>
      <c r="G221" s="234"/>
      <c r="H221" s="235"/>
      <c r="I221" s="235"/>
      <c r="J221" s="235"/>
      <c r="K221" s="235"/>
      <c r="L221" s="235"/>
      <c r="M221" s="235"/>
      <c r="N221" s="235"/>
    </row>
    <row r="222" spans="1:14" ht="13.8">
      <c r="A222" s="235"/>
      <c r="B222" s="235"/>
      <c r="C222" s="235"/>
      <c r="D222" s="234"/>
      <c r="E222" s="234"/>
      <c r="F222" s="234"/>
      <c r="G222" s="234"/>
      <c r="H222" s="235"/>
      <c r="I222" s="235"/>
      <c r="J222" s="235"/>
      <c r="K222" s="235"/>
      <c r="L222" s="235"/>
      <c r="M222" s="235"/>
      <c r="N222" s="235"/>
    </row>
    <row r="223" spans="1:14" ht="13.8">
      <c r="A223" s="235"/>
      <c r="B223" s="235"/>
      <c r="C223" s="235"/>
      <c r="D223" s="234"/>
      <c r="E223" s="234"/>
      <c r="F223" s="234"/>
      <c r="G223" s="234"/>
      <c r="H223" s="235"/>
      <c r="I223" s="235"/>
      <c r="J223" s="235"/>
      <c r="K223" s="235"/>
      <c r="L223" s="235"/>
      <c r="M223" s="235"/>
      <c r="N223" s="235"/>
    </row>
    <row r="224" spans="1:14" ht="13.8">
      <c r="A224" s="235"/>
      <c r="B224" s="235"/>
      <c r="C224" s="235"/>
      <c r="D224" s="234"/>
      <c r="E224" s="234"/>
      <c r="F224" s="234"/>
      <c r="G224" s="234"/>
      <c r="H224" s="235"/>
      <c r="I224" s="235"/>
      <c r="J224" s="235"/>
      <c r="K224" s="235"/>
      <c r="L224" s="235"/>
      <c r="M224" s="235"/>
      <c r="N224" s="235"/>
    </row>
    <row r="225" spans="1:14" ht="13.8">
      <c r="A225" s="235"/>
      <c r="B225" s="235"/>
      <c r="C225" s="235"/>
      <c r="D225" s="234"/>
      <c r="E225" s="234"/>
      <c r="F225" s="234"/>
      <c r="G225" s="234"/>
      <c r="H225" s="235"/>
      <c r="I225" s="235"/>
      <c r="J225" s="235"/>
      <c r="K225" s="235"/>
      <c r="L225" s="235"/>
      <c r="M225" s="235"/>
      <c r="N225" s="235"/>
    </row>
    <row r="226" spans="1:14" ht="13.8">
      <c r="A226" s="235"/>
      <c r="B226" s="235"/>
      <c r="C226" s="235"/>
      <c r="D226" s="234"/>
      <c r="E226" s="234"/>
      <c r="F226" s="234"/>
      <c r="G226" s="234"/>
      <c r="H226" s="235"/>
      <c r="I226" s="235"/>
      <c r="J226" s="235"/>
      <c r="K226" s="235"/>
      <c r="L226" s="235"/>
      <c r="M226" s="235"/>
      <c r="N226" s="235"/>
    </row>
    <row r="227" spans="1:14" ht="13.8">
      <c r="A227" s="235"/>
      <c r="B227" s="235"/>
      <c r="C227" s="235"/>
      <c r="D227" s="234"/>
      <c r="E227" s="234"/>
      <c r="F227" s="234"/>
      <c r="G227" s="234"/>
      <c r="H227" s="235"/>
      <c r="I227" s="235"/>
      <c r="J227" s="235"/>
      <c r="K227" s="235"/>
      <c r="L227" s="235"/>
      <c r="M227" s="235"/>
      <c r="N227" s="235"/>
    </row>
    <row r="228" spans="1:14" ht="13.8">
      <c r="A228" s="235"/>
      <c r="B228" s="235"/>
      <c r="C228" s="235"/>
      <c r="D228" s="234"/>
      <c r="E228" s="234"/>
      <c r="F228" s="234"/>
      <c r="G228" s="234"/>
      <c r="H228" s="235"/>
      <c r="I228" s="235"/>
      <c r="J228" s="235"/>
      <c r="K228" s="235"/>
      <c r="L228" s="235"/>
      <c r="M228" s="235"/>
      <c r="N228" s="235"/>
    </row>
    <row r="229" spans="1:14" ht="13.8">
      <c r="A229" s="235"/>
      <c r="B229" s="235"/>
      <c r="C229" s="235"/>
      <c r="D229" s="234"/>
      <c r="E229" s="234"/>
      <c r="F229" s="234"/>
      <c r="G229" s="234"/>
      <c r="H229" s="235"/>
      <c r="I229" s="235"/>
      <c r="J229" s="235"/>
      <c r="K229" s="235"/>
      <c r="L229" s="235"/>
      <c r="M229" s="235"/>
      <c r="N229" s="235"/>
    </row>
    <row r="230" spans="1:14" ht="13.8">
      <c r="A230" s="235"/>
      <c r="B230" s="235"/>
      <c r="C230" s="235"/>
      <c r="D230" s="234"/>
      <c r="E230" s="234"/>
      <c r="F230" s="234"/>
      <c r="G230" s="234"/>
      <c r="H230" s="235"/>
      <c r="I230" s="235"/>
      <c r="J230" s="235"/>
      <c r="K230" s="235"/>
      <c r="L230" s="235"/>
      <c r="M230" s="235"/>
      <c r="N230" s="235"/>
    </row>
    <row r="231" spans="1:14" ht="13.8">
      <c r="A231" s="235"/>
      <c r="B231" s="235"/>
      <c r="C231" s="235"/>
      <c r="D231" s="234"/>
      <c r="E231" s="234"/>
      <c r="F231" s="234"/>
      <c r="G231" s="234"/>
      <c r="H231" s="235"/>
      <c r="I231" s="235"/>
      <c r="J231" s="235"/>
      <c r="K231" s="235"/>
      <c r="L231" s="235"/>
      <c r="M231" s="235"/>
      <c r="N231" s="235"/>
    </row>
    <row r="232" spans="1:14" ht="13.8">
      <c r="A232" s="235"/>
      <c r="B232" s="235"/>
      <c r="C232" s="235"/>
      <c r="D232" s="234"/>
      <c r="E232" s="234"/>
      <c r="F232" s="234"/>
      <c r="G232" s="234"/>
      <c r="H232" s="235"/>
      <c r="I232" s="235"/>
      <c r="J232" s="235"/>
      <c r="K232" s="235"/>
      <c r="L232" s="235"/>
      <c r="M232" s="235"/>
      <c r="N232" s="235"/>
    </row>
    <row r="233" spans="1:14" ht="13.8">
      <c r="A233" s="235"/>
      <c r="B233" s="235"/>
      <c r="C233" s="235"/>
      <c r="D233" s="234"/>
      <c r="E233" s="234"/>
      <c r="F233" s="234"/>
      <c r="G233" s="234"/>
      <c r="H233" s="235"/>
      <c r="I233" s="235"/>
      <c r="J233" s="235"/>
      <c r="K233" s="235"/>
      <c r="L233" s="235"/>
      <c r="M233" s="235"/>
      <c r="N233" s="235"/>
    </row>
    <row r="234" spans="1:14" ht="13.8">
      <c r="A234" s="235"/>
      <c r="B234" s="235"/>
      <c r="C234" s="235"/>
      <c r="D234" s="234"/>
      <c r="E234" s="234"/>
      <c r="F234" s="234"/>
      <c r="G234" s="234"/>
      <c r="H234" s="235"/>
      <c r="I234" s="235"/>
      <c r="J234" s="235"/>
      <c r="K234" s="235"/>
      <c r="L234" s="235"/>
      <c r="M234" s="235"/>
      <c r="N234" s="235"/>
    </row>
    <row r="235" spans="1:14" ht="13.8">
      <c r="A235" s="235"/>
      <c r="B235" s="235"/>
      <c r="C235" s="235"/>
      <c r="D235" s="234"/>
      <c r="E235" s="234"/>
      <c r="F235" s="234"/>
      <c r="G235" s="234"/>
      <c r="H235" s="235"/>
      <c r="I235" s="235"/>
      <c r="J235" s="235"/>
      <c r="K235" s="235"/>
      <c r="L235" s="235"/>
      <c r="M235" s="235"/>
      <c r="N235" s="235"/>
    </row>
    <row r="236" spans="1:14" ht="13.8">
      <c r="A236" s="235"/>
      <c r="B236" s="235"/>
      <c r="C236" s="235"/>
      <c r="D236" s="234"/>
      <c r="E236" s="234"/>
      <c r="F236" s="234"/>
      <c r="G236" s="234"/>
      <c r="H236" s="235"/>
      <c r="I236" s="235"/>
      <c r="J236" s="235"/>
      <c r="K236" s="235"/>
      <c r="L236" s="235"/>
      <c r="M236" s="235"/>
      <c r="N236" s="235"/>
    </row>
    <row r="237" spans="1:14" ht="13.8">
      <c r="A237" s="235"/>
      <c r="B237" s="235"/>
      <c r="C237" s="235"/>
      <c r="D237" s="234"/>
      <c r="E237" s="234"/>
      <c r="F237" s="234"/>
      <c r="G237" s="234"/>
      <c r="H237" s="235"/>
      <c r="I237" s="235"/>
      <c r="J237" s="235"/>
      <c r="K237" s="235"/>
      <c r="L237" s="235"/>
      <c r="M237" s="235"/>
      <c r="N237" s="235"/>
    </row>
    <row r="238" spans="1:14" ht="13.8">
      <c r="A238" s="235"/>
      <c r="B238" s="235"/>
      <c r="C238" s="235"/>
      <c r="D238" s="234"/>
      <c r="E238" s="234"/>
      <c r="F238" s="234"/>
      <c r="G238" s="234"/>
      <c r="H238" s="235"/>
      <c r="I238" s="235"/>
      <c r="J238" s="235"/>
      <c r="K238" s="235"/>
      <c r="L238" s="235"/>
      <c r="M238" s="235"/>
      <c r="N238" s="235"/>
    </row>
    <row r="239" spans="1:14" ht="13.8">
      <c r="A239" s="235"/>
      <c r="B239" s="235"/>
      <c r="C239" s="235"/>
      <c r="D239" s="234"/>
      <c r="E239" s="234"/>
      <c r="F239" s="234"/>
      <c r="G239" s="234"/>
      <c r="H239" s="235"/>
      <c r="I239" s="235"/>
      <c r="J239" s="235"/>
      <c r="K239" s="235"/>
      <c r="L239" s="235"/>
      <c r="M239" s="235"/>
      <c r="N239" s="235"/>
    </row>
    <row r="240" spans="1:14" ht="13.8">
      <c r="A240" s="235"/>
      <c r="B240" s="235"/>
      <c r="C240" s="235"/>
      <c r="D240" s="234"/>
      <c r="E240" s="234"/>
      <c r="F240" s="234"/>
      <c r="G240" s="234"/>
      <c r="H240" s="235"/>
      <c r="I240" s="235"/>
      <c r="J240" s="235"/>
      <c r="K240" s="235"/>
      <c r="L240" s="235"/>
      <c r="M240" s="235"/>
      <c r="N240" s="235"/>
    </row>
    <row r="241" spans="1:14" ht="13.8">
      <c r="A241" s="235"/>
      <c r="B241" s="235"/>
      <c r="C241" s="235"/>
      <c r="D241" s="234"/>
      <c r="E241" s="234"/>
      <c r="F241" s="234"/>
      <c r="G241" s="234"/>
      <c r="H241" s="235"/>
      <c r="I241" s="235"/>
      <c r="J241" s="235"/>
      <c r="K241" s="235"/>
      <c r="L241" s="235"/>
      <c r="M241" s="235"/>
      <c r="N241" s="235"/>
    </row>
    <row r="242" spans="1:14" ht="13.8">
      <c r="A242" s="235"/>
      <c r="B242" s="235"/>
      <c r="C242" s="235"/>
      <c r="D242" s="234"/>
      <c r="E242" s="234"/>
      <c r="F242" s="234"/>
      <c r="G242" s="234"/>
      <c r="H242" s="235"/>
      <c r="I242" s="235"/>
      <c r="J242" s="235"/>
      <c r="K242" s="235"/>
      <c r="L242" s="235"/>
      <c r="M242" s="235"/>
      <c r="N242" s="235"/>
    </row>
    <row r="243" spans="1:14" ht="13.8">
      <c r="A243" s="235"/>
      <c r="B243" s="235"/>
      <c r="C243" s="235"/>
      <c r="D243" s="234"/>
      <c r="E243" s="234"/>
      <c r="F243" s="234"/>
      <c r="G243" s="234"/>
      <c r="H243" s="235"/>
      <c r="I243" s="235"/>
      <c r="J243" s="235"/>
      <c r="K243" s="235"/>
      <c r="L243" s="235"/>
      <c r="M243" s="235"/>
      <c r="N243" s="235"/>
    </row>
    <row r="244" spans="1:14" ht="13.8">
      <c r="A244" s="235"/>
      <c r="B244" s="235"/>
      <c r="C244" s="235"/>
      <c r="D244" s="234"/>
      <c r="E244" s="234"/>
      <c r="F244" s="234"/>
      <c r="G244" s="234"/>
      <c r="H244" s="235"/>
      <c r="I244" s="235"/>
      <c r="J244" s="235"/>
      <c r="K244" s="235"/>
      <c r="L244" s="235"/>
      <c r="M244" s="235"/>
      <c r="N244" s="235"/>
    </row>
    <row r="245" spans="1:14" ht="13.8">
      <c r="A245" s="235"/>
      <c r="B245" s="235"/>
      <c r="C245" s="235"/>
      <c r="D245" s="234"/>
      <c r="E245" s="234"/>
      <c r="F245" s="234"/>
      <c r="G245" s="234"/>
      <c r="H245" s="235"/>
      <c r="I245" s="235"/>
      <c r="J245" s="235"/>
      <c r="K245" s="235"/>
      <c r="L245" s="235"/>
      <c r="M245" s="235"/>
      <c r="N245" s="235"/>
    </row>
    <row r="246" spans="1:14" ht="13.8">
      <c r="A246" s="235"/>
      <c r="B246" s="235"/>
      <c r="C246" s="235"/>
      <c r="D246" s="234"/>
      <c r="E246" s="234"/>
      <c r="F246" s="234"/>
      <c r="G246" s="234"/>
      <c r="H246" s="235"/>
      <c r="I246" s="235"/>
      <c r="J246" s="235"/>
      <c r="K246" s="235"/>
      <c r="L246" s="235"/>
      <c r="M246" s="235"/>
      <c r="N246" s="235"/>
    </row>
    <row r="247" spans="1:14" ht="13.8">
      <c r="A247" s="235"/>
      <c r="B247" s="235"/>
      <c r="C247" s="235"/>
      <c r="D247" s="234"/>
      <c r="E247" s="234"/>
      <c r="F247" s="234"/>
      <c r="G247" s="234"/>
      <c r="H247" s="235"/>
      <c r="I247" s="235"/>
      <c r="J247" s="235"/>
      <c r="K247" s="235"/>
      <c r="L247" s="235"/>
      <c r="M247" s="235"/>
      <c r="N247" s="235"/>
    </row>
    <row r="248" spans="1:14" ht="13.8">
      <c r="A248" s="235"/>
      <c r="B248" s="235"/>
      <c r="C248" s="235"/>
      <c r="D248" s="234"/>
      <c r="E248" s="234"/>
      <c r="F248" s="234"/>
      <c r="G248" s="234"/>
      <c r="H248" s="235"/>
      <c r="I248" s="235"/>
      <c r="J248" s="235"/>
      <c r="K248" s="235"/>
      <c r="L248" s="235"/>
      <c r="M248" s="235"/>
      <c r="N248" s="235"/>
    </row>
    <row r="249" spans="1:14" ht="13.8">
      <c r="A249" s="235"/>
      <c r="B249" s="235"/>
      <c r="C249" s="235"/>
      <c r="D249" s="234"/>
      <c r="E249" s="234"/>
      <c r="F249" s="234"/>
      <c r="G249" s="234"/>
      <c r="H249" s="235"/>
      <c r="I249" s="235"/>
      <c r="J249" s="235"/>
      <c r="K249" s="235"/>
      <c r="L249" s="235"/>
      <c r="M249" s="235"/>
      <c r="N249" s="235"/>
    </row>
    <row r="250" spans="1:14" ht="13.8">
      <c r="A250" s="235"/>
      <c r="B250" s="235"/>
      <c r="C250" s="235"/>
      <c r="D250" s="234"/>
      <c r="E250" s="234"/>
      <c r="F250" s="234"/>
      <c r="G250" s="234"/>
      <c r="H250" s="235"/>
      <c r="I250" s="235"/>
      <c r="J250" s="235"/>
      <c r="K250" s="235"/>
      <c r="L250" s="235"/>
      <c r="M250" s="235"/>
      <c r="N250" s="235"/>
    </row>
    <row r="251" spans="1:14" ht="13.8">
      <c r="A251" s="235"/>
      <c r="B251" s="235"/>
      <c r="C251" s="235"/>
      <c r="D251" s="234"/>
      <c r="E251" s="234"/>
      <c r="F251" s="234"/>
      <c r="G251" s="234"/>
      <c r="H251" s="235"/>
      <c r="I251" s="235"/>
      <c r="J251" s="235"/>
      <c r="K251" s="235"/>
      <c r="L251" s="235"/>
      <c r="M251" s="235"/>
      <c r="N251" s="235"/>
    </row>
    <row r="252" spans="1:14" ht="13.8">
      <c r="A252" s="235"/>
      <c r="B252" s="235"/>
      <c r="C252" s="235"/>
      <c r="D252" s="234"/>
      <c r="E252" s="234"/>
      <c r="F252" s="234"/>
      <c r="G252" s="234"/>
      <c r="H252" s="235"/>
      <c r="I252" s="235"/>
      <c r="J252" s="235"/>
      <c r="K252" s="235"/>
      <c r="L252" s="235"/>
      <c r="M252" s="235"/>
      <c r="N252" s="235"/>
    </row>
    <row r="253" spans="1:14" ht="13.8">
      <c r="A253" s="235"/>
      <c r="B253" s="235"/>
      <c r="C253" s="235"/>
      <c r="D253" s="234"/>
      <c r="E253" s="234"/>
      <c r="F253" s="234"/>
      <c r="G253" s="234"/>
      <c r="H253" s="235"/>
      <c r="I253" s="235"/>
      <c r="J253" s="235"/>
      <c r="K253" s="235"/>
      <c r="L253" s="235"/>
      <c r="M253" s="235"/>
      <c r="N253" s="235"/>
    </row>
    <row r="254" spans="1:14" ht="13.8">
      <c r="A254" s="235"/>
      <c r="B254" s="235"/>
      <c r="C254" s="235"/>
      <c r="D254" s="234"/>
      <c r="E254" s="234"/>
      <c r="F254" s="234"/>
      <c r="G254" s="234"/>
      <c r="H254" s="235"/>
      <c r="I254" s="235"/>
      <c r="J254" s="235"/>
      <c r="K254" s="235"/>
      <c r="L254" s="235"/>
      <c r="M254" s="235"/>
      <c r="N254" s="235"/>
    </row>
    <row r="255" spans="1:14" ht="13.8">
      <c r="A255" s="235"/>
      <c r="B255" s="235"/>
      <c r="C255" s="235"/>
      <c r="D255" s="234"/>
      <c r="E255" s="234"/>
      <c r="F255" s="234"/>
      <c r="G255" s="234"/>
      <c r="H255" s="235"/>
      <c r="I255" s="235"/>
      <c r="J255" s="235"/>
      <c r="K255" s="235"/>
      <c r="L255" s="235"/>
      <c r="M255" s="235"/>
      <c r="N255" s="235"/>
    </row>
    <row r="256" spans="1:14" ht="13.8">
      <c r="A256" s="235"/>
      <c r="B256" s="235"/>
      <c r="C256" s="235"/>
      <c r="D256" s="234"/>
      <c r="E256" s="234"/>
      <c r="F256" s="234"/>
      <c r="G256" s="234"/>
      <c r="H256" s="235"/>
      <c r="I256" s="235"/>
      <c r="J256" s="235"/>
      <c r="K256" s="235"/>
      <c r="L256" s="235"/>
      <c r="M256" s="235"/>
      <c r="N256" s="235"/>
    </row>
    <row r="257" spans="1:14" ht="13.8">
      <c r="A257" s="235"/>
      <c r="B257" s="235"/>
      <c r="C257" s="235"/>
      <c r="D257" s="234"/>
      <c r="E257" s="234"/>
      <c r="F257" s="234"/>
      <c r="G257" s="234"/>
      <c r="H257" s="235"/>
      <c r="I257" s="235"/>
      <c r="J257" s="235"/>
      <c r="K257" s="235"/>
      <c r="L257" s="235"/>
      <c r="M257" s="235"/>
      <c r="N257" s="235"/>
    </row>
    <row r="258" spans="1:14" ht="13.8">
      <c r="A258" s="235"/>
      <c r="B258" s="235"/>
      <c r="C258" s="235"/>
      <c r="D258" s="234"/>
      <c r="E258" s="234"/>
      <c r="F258" s="234"/>
      <c r="G258" s="234"/>
      <c r="H258" s="235"/>
      <c r="I258" s="235"/>
      <c r="J258" s="235"/>
      <c r="K258" s="235"/>
      <c r="L258" s="235"/>
      <c r="M258" s="235"/>
      <c r="N258" s="235"/>
    </row>
    <row r="259" spans="1:14" ht="13.8">
      <c r="A259" s="235"/>
      <c r="B259" s="235"/>
      <c r="C259" s="235"/>
      <c r="D259" s="234"/>
      <c r="E259" s="234"/>
      <c r="F259" s="234"/>
      <c r="G259" s="234"/>
      <c r="H259" s="235"/>
      <c r="I259" s="235"/>
      <c r="J259" s="235"/>
      <c r="K259" s="235"/>
      <c r="L259" s="235"/>
      <c r="M259" s="235"/>
      <c r="N259" s="235"/>
    </row>
    <row r="260" spans="1:14" ht="13.8">
      <c r="A260" s="235"/>
      <c r="B260" s="235"/>
      <c r="C260" s="235"/>
      <c r="D260" s="234"/>
      <c r="E260" s="234"/>
      <c r="F260" s="234"/>
      <c r="G260" s="234"/>
      <c r="H260" s="235"/>
      <c r="I260" s="235"/>
      <c r="J260" s="235"/>
      <c r="K260" s="235"/>
      <c r="L260" s="235"/>
      <c r="M260" s="235"/>
      <c r="N260" s="235"/>
    </row>
    <row r="261" spans="1:14" ht="13.8">
      <c r="A261" s="235"/>
      <c r="B261" s="235"/>
      <c r="C261" s="235"/>
      <c r="D261" s="234"/>
      <c r="E261" s="234"/>
      <c r="F261" s="234"/>
      <c r="G261" s="234"/>
      <c r="H261" s="235"/>
      <c r="I261" s="235"/>
      <c r="J261" s="235"/>
      <c r="K261" s="235"/>
      <c r="L261" s="235"/>
      <c r="M261" s="235"/>
      <c r="N261" s="235"/>
    </row>
    <row r="262" spans="1:14" ht="13.8">
      <c r="A262" s="235"/>
      <c r="B262" s="235"/>
      <c r="C262" s="235"/>
      <c r="D262" s="234"/>
      <c r="E262" s="234"/>
      <c r="F262" s="234"/>
      <c r="G262" s="234"/>
      <c r="H262" s="235"/>
      <c r="I262" s="235"/>
      <c r="J262" s="235"/>
      <c r="K262" s="235"/>
      <c r="L262" s="235"/>
      <c r="M262" s="235"/>
      <c r="N262" s="235"/>
    </row>
    <row r="263" spans="1:14" ht="13.8">
      <c r="A263" s="235"/>
      <c r="B263" s="235"/>
      <c r="C263" s="235"/>
      <c r="D263" s="234"/>
      <c r="E263" s="234"/>
      <c r="F263" s="234"/>
      <c r="G263" s="234"/>
      <c r="H263" s="235"/>
      <c r="I263" s="235"/>
      <c r="J263" s="235"/>
      <c r="K263" s="235"/>
      <c r="L263" s="235"/>
      <c r="M263" s="235"/>
      <c r="N263" s="235"/>
    </row>
    <row r="264" spans="1:14" ht="13.8">
      <c r="A264" s="235"/>
      <c r="B264" s="235"/>
      <c r="C264" s="235"/>
      <c r="D264" s="234"/>
      <c r="E264" s="234"/>
      <c r="F264" s="234"/>
      <c r="G264" s="234"/>
      <c r="H264" s="235"/>
      <c r="I264" s="235"/>
      <c r="J264" s="235"/>
      <c r="K264" s="235"/>
      <c r="L264" s="235"/>
      <c r="M264" s="235"/>
      <c r="N264" s="235"/>
    </row>
    <row r="265" spans="1:14" ht="13.8">
      <c r="A265" s="235"/>
      <c r="B265" s="235"/>
      <c r="C265" s="235"/>
      <c r="D265" s="234"/>
      <c r="E265" s="234"/>
      <c r="F265" s="234"/>
      <c r="G265" s="234"/>
      <c r="H265" s="235"/>
      <c r="I265" s="235"/>
      <c r="J265" s="235"/>
      <c r="K265" s="235"/>
      <c r="L265" s="235"/>
      <c r="M265" s="235"/>
      <c r="N265" s="235"/>
    </row>
    <row r="266" spans="1:14" ht="13.8">
      <c r="A266" s="235"/>
      <c r="B266" s="235"/>
      <c r="C266" s="235"/>
      <c r="D266" s="234"/>
      <c r="E266" s="234"/>
      <c r="F266" s="234"/>
      <c r="G266" s="234"/>
      <c r="H266" s="235"/>
      <c r="I266" s="235"/>
      <c r="J266" s="235"/>
      <c r="K266" s="235"/>
      <c r="L266" s="235"/>
      <c r="M266" s="235"/>
      <c r="N266" s="235"/>
    </row>
    <row r="267" spans="1:14" ht="13.8">
      <c r="A267" s="235"/>
      <c r="B267" s="235"/>
      <c r="C267" s="235"/>
      <c r="D267" s="234"/>
      <c r="E267" s="234"/>
      <c r="F267" s="234"/>
      <c r="G267" s="234"/>
      <c r="H267" s="235"/>
      <c r="I267" s="235"/>
      <c r="J267" s="235"/>
      <c r="K267" s="235"/>
      <c r="L267" s="235"/>
      <c r="M267" s="235"/>
      <c r="N267" s="235"/>
    </row>
    <row r="268" spans="1:14" ht="13.8">
      <c r="A268" s="235"/>
      <c r="B268" s="235"/>
      <c r="C268" s="235"/>
      <c r="D268" s="234"/>
      <c r="E268" s="234"/>
      <c r="F268" s="234"/>
      <c r="G268" s="234"/>
      <c r="H268" s="235"/>
      <c r="I268" s="235"/>
      <c r="J268" s="235"/>
      <c r="K268" s="235"/>
      <c r="L268" s="235"/>
      <c r="M268" s="235"/>
      <c r="N268" s="235"/>
    </row>
    <row r="269" spans="1:14" ht="13.8">
      <c r="A269" s="235"/>
      <c r="B269" s="235"/>
      <c r="C269" s="235"/>
      <c r="D269" s="234"/>
      <c r="E269" s="234"/>
      <c r="F269" s="234"/>
      <c r="G269" s="234"/>
      <c r="H269" s="235"/>
      <c r="I269" s="235"/>
      <c r="J269" s="235"/>
      <c r="K269" s="235"/>
      <c r="L269" s="235"/>
      <c r="M269" s="235"/>
      <c r="N269" s="235"/>
    </row>
    <row r="270" spans="1:14" ht="13.8">
      <c r="A270" s="235"/>
      <c r="B270" s="235"/>
      <c r="C270" s="235"/>
      <c r="D270" s="234"/>
      <c r="E270" s="234"/>
      <c r="F270" s="234"/>
      <c r="G270" s="234"/>
      <c r="H270" s="235"/>
      <c r="I270" s="235"/>
      <c r="J270" s="235"/>
      <c r="K270" s="235"/>
      <c r="L270" s="235"/>
      <c r="M270" s="235"/>
      <c r="N270" s="235"/>
    </row>
    <row r="271" spans="1:14" ht="13.8">
      <c r="A271" s="235"/>
      <c r="B271" s="235"/>
      <c r="C271" s="235"/>
      <c r="D271" s="234"/>
      <c r="E271" s="234"/>
      <c r="F271" s="234"/>
      <c r="G271" s="234"/>
      <c r="H271" s="235"/>
      <c r="I271" s="235"/>
      <c r="J271" s="235"/>
      <c r="K271" s="235"/>
      <c r="L271" s="235"/>
      <c r="M271" s="235"/>
      <c r="N271" s="235"/>
    </row>
    <row r="272" spans="1:14" ht="13.8">
      <c r="A272" s="235"/>
      <c r="B272" s="235"/>
      <c r="C272" s="235"/>
      <c r="D272" s="234"/>
      <c r="E272" s="234"/>
      <c r="F272" s="234"/>
      <c r="G272" s="234"/>
      <c r="H272" s="235"/>
      <c r="I272" s="235"/>
      <c r="J272" s="235"/>
      <c r="K272" s="235"/>
      <c r="L272" s="235"/>
      <c r="M272" s="235"/>
      <c r="N272" s="235"/>
    </row>
    <row r="273" spans="1:14" ht="13.8">
      <c r="A273" s="235"/>
      <c r="B273" s="235"/>
      <c r="C273" s="235"/>
      <c r="D273" s="234"/>
      <c r="E273" s="234"/>
      <c r="F273" s="234"/>
      <c r="G273" s="234"/>
      <c r="H273" s="235"/>
      <c r="I273" s="235"/>
      <c r="J273" s="235"/>
      <c r="K273" s="235"/>
      <c r="L273" s="235"/>
      <c r="M273" s="235"/>
      <c r="N273" s="235"/>
    </row>
    <row r="274" spans="1:14" ht="13.8">
      <c r="A274" s="235"/>
      <c r="B274" s="235"/>
      <c r="C274" s="235"/>
      <c r="D274" s="234"/>
      <c r="E274" s="234"/>
      <c r="F274" s="234"/>
      <c r="G274" s="234"/>
      <c r="H274" s="235"/>
      <c r="I274" s="235"/>
      <c r="J274" s="235"/>
      <c r="K274" s="235"/>
      <c r="L274" s="235"/>
      <c r="M274" s="235"/>
      <c r="N274" s="235"/>
    </row>
    <row r="275" spans="1:14" ht="13.8">
      <c r="A275" s="235"/>
      <c r="B275" s="235"/>
      <c r="C275" s="235"/>
      <c r="D275" s="234"/>
      <c r="E275" s="234"/>
      <c r="F275" s="234"/>
      <c r="G275" s="234"/>
      <c r="H275" s="235"/>
      <c r="I275" s="235"/>
      <c r="J275" s="235"/>
      <c r="K275" s="235"/>
      <c r="L275" s="235"/>
      <c r="M275" s="235"/>
      <c r="N275" s="235"/>
    </row>
    <row r="276" spans="1:14" ht="13.8">
      <c r="A276" s="235"/>
      <c r="B276" s="235"/>
      <c r="C276" s="235"/>
      <c r="D276" s="234"/>
      <c r="E276" s="234"/>
      <c r="F276" s="234"/>
      <c r="G276" s="234"/>
      <c r="H276" s="235"/>
      <c r="I276" s="235"/>
      <c r="J276" s="235"/>
      <c r="K276" s="235"/>
      <c r="L276" s="235"/>
      <c r="M276" s="235"/>
      <c r="N276" s="235"/>
    </row>
    <row r="277" spans="1:14" ht="13.8">
      <c r="A277" s="235"/>
      <c r="B277" s="235"/>
      <c r="C277" s="235"/>
      <c r="D277" s="234"/>
      <c r="E277" s="234"/>
      <c r="F277" s="234"/>
      <c r="G277" s="234"/>
      <c r="H277" s="235"/>
      <c r="I277" s="235"/>
      <c r="J277" s="235"/>
      <c r="K277" s="235"/>
      <c r="L277" s="235"/>
      <c r="M277" s="235"/>
      <c r="N277" s="235"/>
    </row>
    <row r="278" spans="1:14" ht="13.8">
      <c r="A278" s="235"/>
      <c r="B278" s="235"/>
      <c r="C278" s="235"/>
      <c r="D278" s="234"/>
      <c r="E278" s="234"/>
      <c r="F278" s="234"/>
      <c r="G278" s="234"/>
      <c r="H278" s="235"/>
      <c r="I278" s="235"/>
      <c r="J278" s="235"/>
      <c r="K278" s="235"/>
      <c r="L278" s="235"/>
      <c r="M278" s="235"/>
      <c r="N278" s="235"/>
    </row>
    <row r="279" spans="1:14" ht="13.8">
      <c r="A279" s="235"/>
      <c r="B279" s="235"/>
      <c r="C279" s="235"/>
      <c r="D279" s="234"/>
      <c r="E279" s="234"/>
      <c r="F279" s="234"/>
      <c r="G279" s="234"/>
      <c r="H279" s="235"/>
      <c r="I279" s="235"/>
      <c r="J279" s="235"/>
      <c r="K279" s="235"/>
      <c r="L279" s="235"/>
      <c r="M279" s="235"/>
      <c r="N279" s="235"/>
    </row>
    <row r="280" spans="1:14" ht="13.8">
      <c r="A280" s="235"/>
      <c r="B280" s="235"/>
      <c r="C280" s="235"/>
      <c r="D280" s="234"/>
      <c r="E280" s="234"/>
      <c r="F280" s="234"/>
      <c r="G280" s="234"/>
      <c r="H280" s="235"/>
      <c r="I280" s="235"/>
      <c r="J280" s="235"/>
      <c r="K280" s="235"/>
      <c r="L280" s="235"/>
      <c r="M280" s="235"/>
      <c r="N280" s="235"/>
    </row>
    <row r="281" spans="1:14" ht="13.8">
      <c r="A281" s="235"/>
      <c r="B281" s="235"/>
      <c r="C281" s="235"/>
      <c r="D281" s="234"/>
      <c r="E281" s="234"/>
      <c r="F281" s="234"/>
      <c r="G281" s="234"/>
      <c r="H281" s="235"/>
      <c r="I281" s="235"/>
      <c r="J281" s="235"/>
      <c r="K281" s="235"/>
      <c r="L281" s="235"/>
      <c r="M281" s="235"/>
      <c r="N281" s="235"/>
    </row>
    <row r="282" spans="1:14" ht="13.8">
      <c r="A282" s="235"/>
      <c r="B282" s="235"/>
      <c r="C282" s="235"/>
      <c r="D282" s="234"/>
      <c r="E282" s="234"/>
      <c r="F282" s="234"/>
      <c r="G282" s="234"/>
      <c r="H282" s="235"/>
      <c r="I282" s="235"/>
      <c r="J282" s="235"/>
      <c r="K282" s="235"/>
      <c r="L282" s="235"/>
      <c r="M282" s="235"/>
      <c r="N282" s="235"/>
    </row>
    <row r="283" spans="1:14" ht="13.8">
      <c r="A283" s="235"/>
      <c r="B283" s="235"/>
      <c r="C283" s="235"/>
      <c r="D283" s="234"/>
      <c r="E283" s="234"/>
      <c r="F283" s="234"/>
      <c r="G283" s="234"/>
      <c r="H283" s="235"/>
      <c r="I283" s="235"/>
      <c r="J283" s="235"/>
      <c r="K283" s="235"/>
      <c r="L283" s="235"/>
      <c r="M283" s="235"/>
      <c r="N283" s="235"/>
    </row>
    <row r="284" spans="1:14" ht="13.8">
      <c r="A284" s="235"/>
      <c r="B284" s="235"/>
      <c r="C284" s="235"/>
      <c r="D284" s="234"/>
      <c r="E284" s="234"/>
      <c r="F284" s="234"/>
      <c r="G284" s="234"/>
      <c r="H284" s="235"/>
      <c r="I284" s="235"/>
      <c r="J284" s="235"/>
      <c r="K284" s="235"/>
      <c r="L284" s="235"/>
      <c r="M284" s="235"/>
      <c r="N284" s="235"/>
    </row>
    <row r="285" spans="1:14" ht="13.8">
      <c r="A285" s="235"/>
      <c r="B285" s="235"/>
      <c r="C285" s="235"/>
      <c r="D285" s="234"/>
      <c r="E285" s="234"/>
      <c r="F285" s="234"/>
      <c r="G285" s="234"/>
      <c r="H285" s="235"/>
      <c r="I285" s="235"/>
      <c r="J285" s="235"/>
      <c r="K285" s="235"/>
      <c r="L285" s="235"/>
      <c r="M285" s="235"/>
      <c r="N285" s="235"/>
    </row>
    <row r="286" spans="1:14" ht="13.8">
      <c r="A286" s="235"/>
      <c r="B286" s="235"/>
      <c r="C286" s="235"/>
      <c r="D286" s="234"/>
      <c r="E286" s="234"/>
      <c r="F286" s="234"/>
      <c r="G286" s="234"/>
      <c r="H286" s="235"/>
      <c r="I286" s="235"/>
      <c r="J286" s="235"/>
      <c r="K286" s="235"/>
      <c r="L286" s="235"/>
      <c r="M286" s="235"/>
      <c r="N286" s="235"/>
    </row>
    <row r="287" spans="1:14" ht="13.8">
      <c r="A287" s="235"/>
      <c r="B287" s="235"/>
      <c r="C287" s="235"/>
      <c r="D287" s="234"/>
      <c r="E287" s="234"/>
      <c r="F287" s="234"/>
      <c r="G287" s="234"/>
      <c r="H287" s="235"/>
      <c r="I287" s="235"/>
      <c r="J287" s="235"/>
      <c r="K287" s="235"/>
      <c r="L287" s="235"/>
      <c r="M287" s="235"/>
      <c r="N287" s="235"/>
    </row>
    <row r="288" spans="1:14" ht="13.8">
      <c r="A288" s="235"/>
      <c r="B288" s="235"/>
      <c r="C288" s="235"/>
      <c r="D288" s="234"/>
      <c r="E288" s="234"/>
      <c r="F288" s="234"/>
      <c r="G288" s="234"/>
      <c r="H288" s="235"/>
      <c r="I288" s="235"/>
      <c r="J288" s="235"/>
      <c r="K288" s="235"/>
      <c r="L288" s="235"/>
      <c r="M288" s="235"/>
      <c r="N288" s="235"/>
    </row>
    <row r="289" spans="1:14" ht="13.8">
      <c r="A289" s="235"/>
      <c r="B289" s="235"/>
      <c r="C289" s="235"/>
      <c r="D289" s="234"/>
      <c r="E289" s="234"/>
      <c r="F289" s="234"/>
      <c r="G289" s="234"/>
      <c r="H289" s="235"/>
      <c r="I289" s="235"/>
      <c r="J289" s="235"/>
      <c r="K289" s="235"/>
      <c r="L289" s="235"/>
      <c r="M289" s="235"/>
      <c r="N289" s="235"/>
    </row>
    <row r="290" spans="1:14" ht="13.8">
      <c r="A290" s="235"/>
      <c r="B290" s="235"/>
      <c r="C290" s="235"/>
      <c r="D290" s="234"/>
      <c r="E290" s="234"/>
      <c r="F290" s="234"/>
      <c r="G290" s="234"/>
      <c r="H290" s="235"/>
      <c r="I290" s="235"/>
      <c r="J290" s="235"/>
      <c r="K290" s="235"/>
      <c r="L290" s="235"/>
      <c r="M290" s="235"/>
      <c r="N290" s="235"/>
    </row>
    <row r="291" spans="1:14" ht="13.8">
      <c r="A291" s="235"/>
      <c r="B291" s="235"/>
      <c r="C291" s="235"/>
      <c r="D291" s="234"/>
      <c r="E291" s="234"/>
      <c r="F291" s="234"/>
      <c r="G291" s="234"/>
      <c r="H291" s="235"/>
      <c r="I291" s="235"/>
      <c r="J291" s="235"/>
      <c r="K291" s="235"/>
      <c r="L291" s="235"/>
      <c r="M291" s="235"/>
      <c r="N291" s="235"/>
    </row>
    <row r="292" spans="1:14" ht="13.8">
      <c r="A292" s="235"/>
      <c r="B292" s="235"/>
      <c r="C292" s="235"/>
      <c r="D292" s="234"/>
      <c r="E292" s="234"/>
      <c r="F292" s="234"/>
      <c r="G292" s="234"/>
      <c r="H292" s="235"/>
      <c r="I292" s="235"/>
      <c r="J292" s="235"/>
      <c r="K292" s="235"/>
      <c r="L292" s="235"/>
      <c r="M292" s="235"/>
      <c r="N292" s="235"/>
    </row>
    <row r="293" spans="1:14" ht="13.8">
      <c r="A293" s="235"/>
      <c r="B293" s="235"/>
      <c r="C293" s="235"/>
      <c r="D293" s="234"/>
      <c r="E293" s="234"/>
      <c r="F293" s="234"/>
      <c r="G293" s="234"/>
      <c r="H293" s="235"/>
      <c r="I293" s="235"/>
      <c r="J293" s="235"/>
      <c r="K293" s="235"/>
      <c r="L293" s="235"/>
      <c r="M293" s="235"/>
      <c r="N293" s="235"/>
    </row>
    <row r="294" spans="1:14" ht="13.8">
      <c r="A294" s="235"/>
      <c r="B294" s="235"/>
      <c r="C294" s="235"/>
      <c r="D294" s="234"/>
      <c r="E294" s="234"/>
      <c r="F294" s="234"/>
      <c r="G294" s="234"/>
      <c r="H294" s="235"/>
      <c r="I294" s="235"/>
      <c r="J294" s="235"/>
      <c r="K294" s="235"/>
      <c r="L294" s="235"/>
      <c r="M294" s="235"/>
      <c r="N294" s="235"/>
    </row>
    <row r="295" spans="1:14" ht="13.8">
      <c r="A295" s="235"/>
      <c r="B295" s="235"/>
      <c r="C295" s="235"/>
      <c r="D295" s="234"/>
      <c r="E295" s="234"/>
      <c r="F295" s="234"/>
      <c r="G295" s="234"/>
      <c r="H295" s="235"/>
      <c r="I295" s="235"/>
      <c r="J295" s="235"/>
      <c r="K295" s="235"/>
      <c r="L295" s="235"/>
      <c r="M295" s="235"/>
      <c r="N295" s="235"/>
    </row>
    <row r="296" spans="1:14" ht="13.8">
      <c r="A296" s="235"/>
      <c r="B296" s="235"/>
      <c r="C296" s="235"/>
      <c r="D296" s="234"/>
      <c r="E296" s="234"/>
      <c r="F296" s="234"/>
      <c r="G296" s="234"/>
      <c r="H296" s="235"/>
      <c r="I296" s="235"/>
      <c r="J296" s="235"/>
      <c r="K296" s="235"/>
      <c r="L296" s="235"/>
      <c r="M296" s="235"/>
      <c r="N296" s="235"/>
    </row>
    <row r="297" spans="1:14" ht="13.8">
      <c r="A297" s="235"/>
      <c r="B297" s="235"/>
      <c r="C297" s="235"/>
      <c r="D297" s="234"/>
      <c r="E297" s="234"/>
      <c r="F297" s="234"/>
      <c r="G297" s="234"/>
      <c r="H297" s="235"/>
      <c r="I297" s="235"/>
      <c r="J297" s="235"/>
      <c r="K297" s="235"/>
      <c r="L297" s="235"/>
      <c r="M297" s="235"/>
      <c r="N297" s="235"/>
    </row>
    <row r="298" spans="1:14" ht="13.8">
      <c r="A298" s="235"/>
      <c r="B298" s="235"/>
      <c r="C298" s="235"/>
      <c r="D298" s="234"/>
      <c r="E298" s="234"/>
      <c r="F298" s="234"/>
      <c r="G298" s="234"/>
      <c r="H298" s="235"/>
      <c r="I298" s="235"/>
      <c r="J298" s="235"/>
      <c r="K298" s="235"/>
      <c r="L298" s="235"/>
      <c r="M298" s="235"/>
      <c r="N298" s="235"/>
    </row>
    <row r="299" spans="1:14" ht="13.8">
      <c r="A299" s="235"/>
      <c r="B299" s="235"/>
      <c r="C299" s="235"/>
      <c r="D299" s="234"/>
      <c r="E299" s="234"/>
      <c r="F299" s="234"/>
      <c r="G299" s="234"/>
      <c r="H299" s="235"/>
      <c r="I299" s="235"/>
      <c r="J299" s="235"/>
      <c r="K299" s="235"/>
      <c r="L299" s="235"/>
      <c r="M299" s="235"/>
      <c r="N299" s="235"/>
    </row>
    <row r="300" spans="1:14" ht="13.8">
      <c r="A300" s="235"/>
      <c r="B300" s="235"/>
      <c r="C300" s="235"/>
      <c r="D300" s="234"/>
      <c r="E300" s="234"/>
      <c r="F300" s="234"/>
      <c r="G300" s="234"/>
      <c r="H300" s="235"/>
      <c r="I300" s="235"/>
      <c r="J300" s="235"/>
      <c r="K300" s="235"/>
      <c r="L300" s="235"/>
      <c r="M300" s="235"/>
      <c r="N300" s="235"/>
    </row>
    <row r="301" spans="1:14" ht="13.8">
      <c r="A301" s="235"/>
      <c r="B301" s="235"/>
      <c r="C301" s="235"/>
      <c r="D301" s="234"/>
      <c r="E301" s="234"/>
      <c r="F301" s="234"/>
      <c r="G301" s="234"/>
      <c r="H301" s="235"/>
      <c r="I301" s="235"/>
      <c r="J301" s="235"/>
      <c r="K301" s="235"/>
      <c r="L301" s="235"/>
      <c r="M301" s="235"/>
      <c r="N301" s="235"/>
    </row>
    <row r="302" spans="1:14" ht="13.8">
      <c r="A302" s="235"/>
      <c r="B302" s="235"/>
      <c r="C302" s="235"/>
      <c r="D302" s="234"/>
      <c r="E302" s="234"/>
      <c r="F302" s="234"/>
      <c r="G302" s="234"/>
      <c r="H302" s="235"/>
      <c r="I302" s="235"/>
      <c r="J302" s="235"/>
      <c r="K302" s="235"/>
      <c r="L302" s="235"/>
      <c r="M302" s="235"/>
      <c r="N302" s="235"/>
    </row>
    <row r="303" spans="1:14" ht="13.8">
      <c r="A303" s="235"/>
      <c r="B303" s="235"/>
      <c r="C303" s="235"/>
      <c r="D303" s="234"/>
      <c r="E303" s="234"/>
      <c r="F303" s="234"/>
      <c r="G303" s="234"/>
      <c r="H303" s="235"/>
      <c r="I303" s="235"/>
      <c r="J303" s="235"/>
      <c r="K303" s="235"/>
      <c r="L303" s="235"/>
      <c r="M303" s="235"/>
      <c r="N303" s="235"/>
    </row>
    <row r="304" spans="1:14" ht="13.8">
      <c r="A304" s="235"/>
      <c r="B304" s="235"/>
      <c r="C304" s="235"/>
      <c r="D304" s="234"/>
      <c r="E304" s="234"/>
      <c r="F304" s="234"/>
      <c r="G304" s="234"/>
      <c r="H304" s="235"/>
      <c r="I304" s="235"/>
      <c r="J304" s="235"/>
      <c r="K304" s="235"/>
      <c r="L304" s="235"/>
      <c r="M304" s="235"/>
      <c r="N304" s="235"/>
    </row>
    <row r="305" spans="1:14" ht="13.8">
      <c r="A305" s="235"/>
      <c r="B305" s="235"/>
      <c r="C305" s="235"/>
      <c r="D305" s="234"/>
      <c r="E305" s="234"/>
      <c r="F305" s="234"/>
      <c r="G305" s="234"/>
      <c r="H305" s="235"/>
      <c r="I305" s="235"/>
      <c r="J305" s="235"/>
      <c r="K305" s="235"/>
      <c r="L305" s="235"/>
      <c r="M305" s="235"/>
      <c r="N305" s="235"/>
    </row>
    <row r="306" spans="1:14" ht="13.8">
      <c r="A306" s="235"/>
      <c r="B306" s="235"/>
      <c r="C306" s="235"/>
      <c r="D306" s="234"/>
      <c r="E306" s="234"/>
      <c r="F306" s="234"/>
      <c r="G306" s="234"/>
      <c r="H306" s="235"/>
      <c r="I306" s="235"/>
      <c r="J306" s="235"/>
      <c r="K306" s="235"/>
      <c r="L306" s="235"/>
      <c r="M306" s="235"/>
      <c r="N306" s="235"/>
    </row>
    <row r="307" spans="1:14" ht="13.8">
      <c r="A307" s="235"/>
      <c r="B307" s="235"/>
      <c r="C307" s="235"/>
      <c r="D307" s="234"/>
      <c r="E307" s="234"/>
      <c r="F307" s="234"/>
      <c r="G307" s="234"/>
      <c r="H307" s="235"/>
      <c r="I307" s="235"/>
      <c r="J307" s="235"/>
      <c r="K307" s="235"/>
      <c r="L307" s="235"/>
      <c r="M307" s="235"/>
      <c r="N307" s="235"/>
    </row>
    <row r="308" spans="1:14" ht="13.8">
      <c r="A308" s="235"/>
      <c r="B308" s="235"/>
      <c r="C308" s="235"/>
      <c r="D308" s="234"/>
      <c r="E308" s="234"/>
      <c r="F308" s="234"/>
      <c r="G308" s="234"/>
      <c r="H308" s="235"/>
      <c r="I308" s="235"/>
      <c r="J308" s="235"/>
      <c r="K308" s="235"/>
      <c r="L308" s="235"/>
      <c r="M308" s="235"/>
      <c r="N308" s="235"/>
    </row>
    <row r="309" spans="1:14" ht="13.8">
      <c r="A309" s="235"/>
      <c r="B309" s="235"/>
      <c r="C309" s="235"/>
      <c r="D309" s="234"/>
      <c r="E309" s="234"/>
      <c r="F309" s="234"/>
      <c r="G309" s="234"/>
      <c r="H309" s="235"/>
      <c r="I309" s="235"/>
      <c r="J309" s="235"/>
      <c r="K309" s="235"/>
      <c r="L309" s="235"/>
      <c r="M309" s="235"/>
      <c r="N309" s="235"/>
    </row>
    <row r="310" spans="1:14" ht="13.8">
      <c r="A310" s="235"/>
      <c r="B310" s="235"/>
      <c r="C310" s="235"/>
      <c r="D310" s="234"/>
      <c r="E310" s="234"/>
      <c r="F310" s="234"/>
      <c r="G310" s="234"/>
      <c r="H310" s="235"/>
      <c r="I310" s="235"/>
      <c r="J310" s="235"/>
      <c r="K310" s="235"/>
      <c r="L310" s="235"/>
      <c r="M310" s="235"/>
      <c r="N310" s="235"/>
    </row>
    <row r="311" spans="1:14" ht="13.8">
      <c r="A311" s="235"/>
      <c r="B311" s="235"/>
      <c r="C311" s="235"/>
      <c r="D311" s="234"/>
      <c r="E311" s="234"/>
      <c r="F311" s="234"/>
      <c r="G311" s="234"/>
      <c r="H311" s="235"/>
      <c r="I311" s="235"/>
      <c r="J311" s="235"/>
      <c r="K311" s="235"/>
      <c r="L311" s="235"/>
      <c r="M311" s="235"/>
      <c r="N311" s="235"/>
    </row>
    <row r="312" spans="1:14" ht="13.8">
      <c r="A312" s="235"/>
      <c r="B312" s="235"/>
      <c r="C312" s="235"/>
      <c r="D312" s="234"/>
      <c r="E312" s="234"/>
      <c r="F312" s="234"/>
      <c r="G312" s="234"/>
      <c r="H312" s="235"/>
      <c r="I312" s="235"/>
      <c r="J312" s="235"/>
      <c r="K312" s="235"/>
      <c r="L312" s="235"/>
      <c r="M312" s="235"/>
      <c r="N312" s="235"/>
    </row>
    <row r="313" spans="1:14" ht="13.8">
      <c r="A313" s="235"/>
      <c r="B313" s="235"/>
      <c r="C313" s="235"/>
      <c r="D313" s="234"/>
      <c r="E313" s="234"/>
      <c r="F313" s="234"/>
      <c r="G313" s="234"/>
      <c r="H313" s="235"/>
      <c r="I313" s="235"/>
      <c r="J313" s="235"/>
      <c r="K313" s="235"/>
      <c r="L313" s="235"/>
      <c r="M313" s="235"/>
      <c r="N313" s="235"/>
    </row>
    <row r="314" spans="1:14" ht="13.8">
      <c r="A314" s="235"/>
      <c r="B314" s="235"/>
      <c r="C314" s="235"/>
      <c r="D314" s="234"/>
      <c r="E314" s="234"/>
      <c r="F314" s="234"/>
      <c r="G314" s="234"/>
      <c r="H314" s="235"/>
      <c r="I314" s="235"/>
      <c r="J314" s="235"/>
      <c r="K314" s="235"/>
      <c r="L314" s="235"/>
      <c r="M314" s="235"/>
      <c r="N314" s="235"/>
    </row>
    <row r="315" spans="1:14" ht="13.8">
      <c r="A315" s="235"/>
      <c r="B315" s="235"/>
      <c r="C315" s="235"/>
      <c r="D315" s="234"/>
      <c r="E315" s="234"/>
      <c r="F315" s="234"/>
      <c r="G315" s="234"/>
      <c r="H315" s="235"/>
      <c r="I315" s="235"/>
      <c r="J315" s="235"/>
      <c r="K315" s="235"/>
      <c r="L315" s="235"/>
      <c r="M315" s="235"/>
      <c r="N315" s="235"/>
    </row>
    <row r="316" spans="1:14" ht="13.8">
      <c r="A316" s="235"/>
      <c r="B316" s="235"/>
      <c r="C316" s="235"/>
      <c r="D316" s="234"/>
      <c r="E316" s="234"/>
      <c r="F316" s="234"/>
      <c r="G316" s="234"/>
      <c r="H316" s="235"/>
      <c r="I316" s="235"/>
      <c r="J316" s="235"/>
      <c r="K316" s="235"/>
      <c r="L316" s="235"/>
      <c r="M316" s="235"/>
      <c r="N316" s="235"/>
    </row>
    <row r="317" spans="1:14" ht="13.8">
      <c r="A317" s="235"/>
      <c r="B317" s="235"/>
      <c r="C317" s="235"/>
      <c r="D317" s="234"/>
      <c r="E317" s="234"/>
      <c r="F317" s="234"/>
      <c r="G317" s="234"/>
      <c r="H317" s="235"/>
      <c r="I317" s="235"/>
      <c r="J317" s="235"/>
      <c r="K317" s="235"/>
      <c r="L317" s="235"/>
      <c r="M317" s="235"/>
      <c r="N317" s="235"/>
    </row>
    <row r="318" spans="1:14" ht="13.8">
      <c r="A318" s="235"/>
      <c r="B318" s="235"/>
      <c r="C318" s="235"/>
      <c r="D318" s="234"/>
      <c r="E318" s="234"/>
      <c r="F318" s="234"/>
      <c r="G318" s="234"/>
      <c r="H318" s="235"/>
      <c r="I318" s="235"/>
      <c r="J318" s="235"/>
      <c r="K318" s="235"/>
      <c r="L318" s="235"/>
      <c r="M318" s="235"/>
      <c r="N318" s="235"/>
    </row>
    <row r="319" spans="1:14" ht="13.8">
      <c r="A319" s="235"/>
      <c r="B319" s="235"/>
      <c r="C319" s="235"/>
      <c r="D319" s="234"/>
      <c r="E319" s="234"/>
      <c r="F319" s="234"/>
      <c r="G319" s="234"/>
      <c r="H319" s="235"/>
      <c r="I319" s="235"/>
      <c r="J319" s="235"/>
      <c r="K319" s="235"/>
      <c r="L319" s="235"/>
      <c r="M319" s="235"/>
      <c r="N319" s="235"/>
    </row>
    <row r="320" spans="1:14" ht="13.8">
      <c r="A320" s="235"/>
      <c r="B320" s="235"/>
      <c r="C320" s="235"/>
      <c r="D320" s="234"/>
      <c r="E320" s="234"/>
      <c r="F320" s="234"/>
      <c r="G320" s="234"/>
      <c r="H320" s="235"/>
      <c r="I320" s="235"/>
      <c r="J320" s="235"/>
      <c r="K320" s="235"/>
      <c r="L320" s="235"/>
      <c r="M320" s="235"/>
      <c r="N320" s="235"/>
    </row>
    <row r="321" spans="1:14" ht="13.8">
      <c r="A321" s="235"/>
      <c r="B321" s="235"/>
      <c r="C321" s="235"/>
      <c r="D321" s="234"/>
      <c r="E321" s="234"/>
      <c r="F321" s="234"/>
      <c r="G321" s="234"/>
      <c r="H321" s="235"/>
      <c r="I321" s="235"/>
      <c r="J321" s="235"/>
      <c r="K321" s="235"/>
      <c r="L321" s="235"/>
      <c r="M321" s="235"/>
      <c r="N321" s="235"/>
    </row>
    <row r="322" spans="1:14" ht="13.8">
      <c r="A322" s="235"/>
      <c r="B322" s="235"/>
      <c r="C322" s="235"/>
      <c r="D322" s="234"/>
      <c r="E322" s="234"/>
      <c r="F322" s="234"/>
      <c r="G322" s="234"/>
      <c r="H322" s="235"/>
      <c r="I322" s="235"/>
      <c r="J322" s="235"/>
      <c r="K322" s="235"/>
      <c r="L322" s="235"/>
      <c r="M322" s="235"/>
      <c r="N322" s="235"/>
    </row>
    <row r="323" spans="1:14" ht="13.8">
      <c r="A323" s="235"/>
      <c r="B323" s="235"/>
      <c r="C323" s="235"/>
      <c r="D323" s="234"/>
      <c r="E323" s="234"/>
      <c r="F323" s="234"/>
      <c r="G323" s="234"/>
      <c r="H323" s="235"/>
      <c r="I323" s="235"/>
      <c r="J323" s="235"/>
      <c r="K323" s="235"/>
      <c r="L323" s="235"/>
      <c r="M323" s="235"/>
      <c r="N323" s="235"/>
    </row>
    <row r="324" spans="1:14" ht="13.8">
      <c r="A324" s="235"/>
      <c r="B324" s="235"/>
      <c r="C324" s="235"/>
      <c r="D324" s="234"/>
      <c r="E324" s="234"/>
      <c r="F324" s="234"/>
      <c r="G324" s="234"/>
      <c r="H324" s="235"/>
      <c r="I324" s="235"/>
      <c r="J324" s="235"/>
      <c r="K324" s="235"/>
      <c r="L324" s="235"/>
      <c r="M324" s="235"/>
      <c r="N324" s="235"/>
    </row>
    <row r="325" spans="1:14" ht="13.8">
      <c r="A325" s="235"/>
      <c r="B325" s="235"/>
      <c r="C325" s="235"/>
      <c r="D325" s="234"/>
      <c r="E325" s="234"/>
      <c r="F325" s="234"/>
      <c r="G325" s="234"/>
      <c r="H325" s="235"/>
      <c r="I325" s="235"/>
      <c r="J325" s="235"/>
      <c r="K325" s="235"/>
      <c r="L325" s="235"/>
      <c r="M325" s="235"/>
      <c r="N325" s="235"/>
    </row>
    <row r="326" spans="1:14" ht="13.8">
      <c r="A326" s="235"/>
      <c r="B326" s="235"/>
      <c r="C326" s="235"/>
      <c r="D326" s="234"/>
      <c r="E326" s="234"/>
      <c r="F326" s="234"/>
      <c r="G326" s="234"/>
      <c r="H326" s="235"/>
      <c r="I326" s="235"/>
      <c r="J326" s="235"/>
      <c r="K326" s="235"/>
      <c r="L326" s="235"/>
      <c r="M326" s="235"/>
      <c r="N326" s="235"/>
    </row>
    <row r="327" spans="1:14" ht="13.8">
      <c r="A327" s="235"/>
      <c r="B327" s="235"/>
      <c r="C327" s="235"/>
      <c r="D327" s="234"/>
      <c r="E327" s="234"/>
      <c r="F327" s="234"/>
      <c r="G327" s="234"/>
      <c r="H327" s="235"/>
      <c r="I327" s="235"/>
      <c r="J327" s="235"/>
      <c r="K327" s="235"/>
      <c r="L327" s="235"/>
      <c r="M327" s="235"/>
      <c r="N327" s="235"/>
    </row>
    <row r="328" spans="1:14" ht="13.8">
      <c r="A328" s="235"/>
      <c r="B328" s="235"/>
      <c r="C328" s="235"/>
      <c r="D328" s="234"/>
      <c r="E328" s="234"/>
      <c r="F328" s="234"/>
      <c r="G328" s="234"/>
      <c r="H328" s="235"/>
      <c r="I328" s="235"/>
      <c r="J328" s="235"/>
      <c r="K328" s="235"/>
      <c r="L328" s="235"/>
      <c r="M328" s="235"/>
      <c r="N328" s="235"/>
    </row>
    <row r="329" spans="1:14" ht="13.8">
      <c r="A329" s="235"/>
      <c r="B329" s="235"/>
      <c r="C329" s="235"/>
      <c r="D329" s="234"/>
      <c r="E329" s="234"/>
      <c r="F329" s="234"/>
      <c r="G329" s="234"/>
      <c r="H329" s="235"/>
      <c r="I329" s="235"/>
      <c r="J329" s="235"/>
      <c r="K329" s="235"/>
      <c r="L329" s="235"/>
      <c r="M329" s="235"/>
      <c r="N329" s="235"/>
    </row>
    <row r="330" spans="1:14" ht="13.8">
      <c r="A330" s="235"/>
      <c r="B330" s="235"/>
      <c r="C330" s="235"/>
      <c r="D330" s="234"/>
      <c r="E330" s="234"/>
      <c r="F330" s="234"/>
      <c r="G330" s="234"/>
      <c r="H330" s="235"/>
      <c r="I330" s="235"/>
      <c r="J330" s="235"/>
      <c r="K330" s="235"/>
      <c r="L330" s="235"/>
      <c r="M330" s="235"/>
      <c r="N330" s="235"/>
    </row>
    <row r="331" spans="1:14" ht="13.8">
      <c r="A331" s="235"/>
      <c r="B331" s="235"/>
      <c r="C331" s="235"/>
      <c r="D331" s="234"/>
      <c r="E331" s="234"/>
      <c r="F331" s="234"/>
      <c r="G331" s="234"/>
      <c r="H331" s="235"/>
      <c r="I331" s="235"/>
      <c r="J331" s="235"/>
      <c r="K331" s="235"/>
      <c r="L331" s="235"/>
      <c r="M331" s="235"/>
      <c r="N331" s="235"/>
    </row>
    <row r="332" spans="1:14" ht="13.8">
      <c r="A332" s="235"/>
      <c r="B332" s="235"/>
      <c r="C332" s="235"/>
      <c r="D332" s="234"/>
      <c r="E332" s="234"/>
      <c r="F332" s="234"/>
      <c r="G332" s="234"/>
      <c r="H332" s="235"/>
      <c r="I332" s="235"/>
      <c r="J332" s="235"/>
      <c r="K332" s="235"/>
      <c r="L332" s="235"/>
      <c r="M332" s="235"/>
      <c r="N332" s="235"/>
    </row>
    <row r="333" spans="1:14" ht="13.8">
      <c r="A333" s="235"/>
      <c r="B333" s="235"/>
      <c r="C333" s="235"/>
      <c r="D333" s="234"/>
      <c r="E333" s="234"/>
      <c r="F333" s="234"/>
      <c r="G333" s="234"/>
      <c r="H333" s="235"/>
      <c r="I333" s="235"/>
      <c r="J333" s="235"/>
      <c r="K333" s="235"/>
      <c r="L333" s="235"/>
      <c r="M333" s="235"/>
      <c r="N333" s="235"/>
    </row>
    <row r="334" spans="1:14" ht="13.8">
      <c r="A334" s="235"/>
      <c r="B334" s="235"/>
      <c r="C334" s="235"/>
      <c r="D334" s="234"/>
      <c r="E334" s="234"/>
      <c r="F334" s="234"/>
      <c r="G334" s="234"/>
      <c r="H334" s="235"/>
      <c r="I334" s="235"/>
      <c r="J334" s="235"/>
      <c r="K334" s="235"/>
      <c r="L334" s="235"/>
      <c r="M334" s="235"/>
      <c r="N334" s="235"/>
    </row>
    <row r="335" spans="1:14" ht="13.8">
      <c r="A335" s="235"/>
      <c r="B335" s="235"/>
      <c r="C335" s="235"/>
      <c r="D335" s="234"/>
      <c r="E335" s="234"/>
      <c r="F335" s="234"/>
      <c r="G335" s="234"/>
      <c r="H335" s="235"/>
      <c r="I335" s="235"/>
      <c r="J335" s="235"/>
      <c r="K335" s="235"/>
      <c r="L335" s="235"/>
      <c r="M335" s="235"/>
      <c r="N335" s="235"/>
    </row>
    <row r="336" spans="1:14" ht="13.8">
      <c r="A336" s="235"/>
      <c r="B336" s="235"/>
      <c r="C336" s="235"/>
      <c r="D336" s="234"/>
      <c r="E336" s="234"/>
      <c r="F336" s="234"/>
      <c r="G336" s="234"/>
      <c r="H336" s="235"/>
      <c r="I336" s="235"/>
      <c r="J336" s="235"/>
      <c r="K336" s="235"/>
      <c r="L336" s="235"/>
      <c r="M336" s="235"/>
      <c r="N336" s="235"/>
    </row>
    <row r="337" spans="1:14" ht="13.8">
      <c r="A337" s="235"/>
      <c r="B337" s="235"/>
      <c r="C337" s="235"/>
      <c r="D337" s="234"/>
      <c r="E337" s="234"/>
      <c r="F337" s="234"/>
      <c r="G337" s="234"/>
      <c r="H337" s="235"/>
      <c r="I337" s="235"/>
      <c r="J337" s="235"/>
      <c r="K337" s="235"/>
      <c r="L337" s="235"/>
      <c r="M337" s="235"/>
      <c r="N337" s="235"/>
    </row>
    <row r="338" spans="1:14" ht="13.8">
      <c r="A338" s="235"/>
      <c r="B338" s="235"/>
      <c r="C338" s="235"/>
      <c r="D338" s="234"/>
      <c r="E338" s="234"/>
      <c r="F338" s="234"/>
      <c r="G338" s="234"/>
      <c r="H338" s="235"/>
      <c r="I338" s="235"/>
      <c r="J338" s="235"/>
      <c r="K338" s="235"/>
      <c r="L338" s="235"/>
      <c r="M338" s="235"/>
      <c r="N338" s="235"/>
    </row>
    <row r="339" spans="1:14" ht="13.8">
      <c r="A339" s="235"/>
      <c r="B339" s="235"/>
      <c r="C339" s="235"/>
      <c r="D339" s="234"/>
      <c r="E339" s="234"/>
      <c r="F339" s="234"/>
      <c r="G339" s="234"/>
      <c r="H339" s="235"/>
      <c r="I339" s="235"/>
      <c r="J339" s="235"/>
      <c r="K339" s="235"/>
      <c r="L339" s="235"/>
      <c r="M339" s="235"/>
      <c r="N339" s="235"/>
    </row>
    <row r="340" spans="1:14" ht="13.8">
      <c r="A340" s="235"/>
      <c r="B340" s="235"/>
      <c r="C340" s="235"/>
      <c r="D340" s="234"/>
      <c r="E340" s="234"/>
      <c r="F340" s="234"/>
      <c r="G340" s="234"/>
      <c r="H340" s="235"/>
      <c r="I340" s="235"/>
      <c r="J340" s="235"/>
      <c r="K340" s="235"/>
      <c r="L340" s="235"/>
      <c r="M340" s="235"/>
      <c r="N340" s="235"/>
    </row>
    <row r="341" spans="1:14" ht="13.8">
      <c r="A341" s="235"/>
      <c r="B341" s="235"/>
      <c r="C341" s="235"/>
      <c r="D341" s="234"/>
      <c r="E341" s="234"/>
      <c r="F341" s="234"/>
      <c r="G341" s="234"/>
      <c r="H341" s="235"/>
      <c r="I341" s="235"/>
      <c r="J341" s="235"/>
      <c r="K341" s="235"/>
      <c r="L341" s="235"/>
      <c r="M341" s="235"/>
      <c r="N341" s="235"/>
    </row>
    <row r="342" spans="1:14" ht="13.8">
      <c r="A342" s="235"/>
      <c r="B342" s="235"/>
      <c r="C342" s="235"/>
      <c r="D342" s="234"/>
      <c r="E342" s="234"/>
      <c r="F342" s="234"/>
      <c r="G342" s="234"/>
      <c r="H342" s="235"/>
      <c r="I342" s="235"/>
      <c r="J342" s="235"/>
      <c r="K342" s="235"/>
      <c r="L342" s="235"/>
      <c r="M342" s="235"/>
      <c r="N342" s="235"/>
    </row>
    <row r="343" spans="1:14" ht="13.8">
      <c r="A343" s="235"/>
      <c r="B343" s="235"/>
      <c r="C343" s="235"/>
      <c r="D343" s="234"/>
      <c r="E343" s="234"/>
      <c r="F343" s="234"/>
      <c r="G343" s="234"/>
      <c r="H343" s="235"/>
      <c r="I343" s="235"/>
      <c r="J343" s="235"/>
      <c r="K343" s="235"/>
      <c r="L343" s="235"/>
      <c r="M343" s="235"/>
      <c r="N343" s="235"/>
    </row>
    <row r="344" spans="1:14" ht="13.8">
      <c r="A344" s="235"/>
      <c r="B344" s="235"/>
      <c r="C344" s="235"/>
      <c r="D344" s="234"/>
      <c r="E344" s="234"/>
      <c r="F344" s="234"/>
      <c r="G344" s="234"/>
      <c r="H344" s="235"/>
      <c r="I344" s="235"/>
      <c r="J344" s="235"/>
      <c r="K344" s="235"/>
      <c r="L344" s="235"/>
      <c r="M344" s="235"/>
      <c r="N344" s="235"/>
    </row>
    <row r="345" spans="1:14" ht="13.8">
      <c r="A345" s="235"/>
      <c r="B345" s="235"/>
      <c r="C345" s="235"/>
      <c r="D345" s="234"/>
      <c r="E345" s="234"/>
      <c r="F345" s="234"/>
      <c r="G345" s="234"/>
      <c r="H345" s="235"/>
      <c r="I345" s="235"/>
      <c r="J345" s="235"/>
      <c r="K345" s="235"/>
      <c r="L345" s="235"/>
      <c r="M345" s="235"/>
      <c r="N345" s="235"/>
    </row>
    <row r="346" spans="1:14" ht="13.8">
      <c r="A346" s="235"/>
      <c r="B346" s="235"/>
      <c r="C346" s="235"/>
      <c r="D346" s="234"/>
      <c r="E346" s="234"/>
      <c r="F346" s="234"/>
      <c r="G346" s="234"/>
      <c r="H346" s="235"/>
      <c r="I346" s="235"/>
      <c r="J346" s="235"/>
      <c r="K346" s="235"/>
      <c r="L346" s="235"/>
      <c r="M346" s="235"/>
      <c r="N346" s="235"/>
    </row>
    <row r="347" spans="1:14" ht="13.8">
      <c r="A347" s="235"/>
      <c r="B347" s="235"/>
      <c r="C347" s="235"/>
      <c r="D347" s="234"/>
      <c r="E347" s="234"/>
      <c r="F347" s="234"/>
      <c r="G347" s="234"/>
      <c r="H347" s="235"/>
      <c r="I347" s="235"/>
      <c r="J347" s="235"/>
      <c r="K347" s="235"/>
      <c r="L347" s="235"/>
      <c r="M347" s="235"/>
      <c r="N347" s="235"/>
    </row>
    <row r="348" spans="1:14" ht="13.8">
      <c r="A348" s="235"/>
      <c r="B348" s="235"/>
      <c r="C348" s="235"/>
      <c r="D348" s="234"/>
      <c r="E348" s="234"/>
      <c r="F348" s="234"/>
      <c r="G348" s="234"/>
      <c r="H348" s="235"/>
      <c r="I348" s="235"/>
      <c r="J348" s="235"/>
      <c r="K348" s="235"/>
      <c r="L348" s="235"/>
      <c r="M348" s="235"/>
      <c r="N348" s="235"/>
    </row>
    <row r="349" spans="1:14" ht="13.8">
      <c r="A349" s="235"/>
      <c r="B349" s="235"/>
      <c r="C349" s="235"/>
      <c r="D349" s="234"/>
      <c r="E349" s="234"/>
      <c r="F349" s="234"/>
      <c r="G349" s="234"/>
      <c r="H349" s="235"/>
      <c r="I349" s="235"/>
      <c r="J349" s="235"/>
      <c r="K349" s="235"/>
      <c r="L349" s="235"/>
      <c r="M349" s="235"/>
      <c r="N349" s="235"/>
    </row>
    <row r="350" spans="1:14" ht="13.8">
      <c r="A350" s="235"/>
      <c r="B350" s="235"/>
      <c r="C350" s="235"/>
      <c r="D350" s="234"/>
      <c r="E350" s="234"/>
      <c r="F350" s="234"/>
      <c r="G350" s="234"/>
      <c r="H350" s="235"/>
      <c r="I350" s="235"/>
      <c r="J350" s="235"/>
      <c r="K350" s="235"/>
      <c r="L350" s="235"/>
      <c r="M350" s="235"/>
      <c r="N350" s="235"/>
    </row>
    <row r="351" spans="1:14" ht="13.8">
      <c r="A351" s="235"/>
      <c r="B351" s="235"/>
      <c r="C351" s="235"/>
      <c r="D351" s="234"/>
      <c r="E351" s="234"/>
      <c r="F351" s="234"/>
      <c r="G351" s="234"/>
      <c r="H351" s="235"/>
      <c r="I351" s="235"/>
      <c r="J351" s="235"/>
      <c r="K351" s="235"/>
      <c r="L351" s="235"/>
      <c r="M351" s="235"/>
      <c r="N351" s="235"/>
    </row>
    <row r="352" spans="1:14" ht="13.8">
      <c r="A352" s="235"/>
      <c r="B352" s="235"/>
      <c r="C352" s="235"/>
      <c r="D352" s="234"/>
      <c r="E352" s="234"/>
      <c r="F352" s="234"/>
      <c r="G352" s="234"/>
      <c r="H352" s="235"/>
      <c r="I352" s="235"/>
      <c r="J352" s="235"/>
      <c r="K352" s="235"/>
      <c r="L352" s="235"/>
      <c r="M352" s="235"/>
      <c r="N352" s="235"/>
    </row>
    <row r="353" spans="1:14" ht="13.8">
      <c r="A353" s="235"/>
      <c r="B353" s="235"/>
      <c r="C353" s="235"/>
      <c r="D353" s="234"/>
      <c r="E353" s="234"/>
      <c r="F353" s="234"/>
      <c r="G353" s="234"/>
      <c r="H353" s="235"/>
      <c r="I353" s="235"/>
      <c r="J353" s="235"/>
      <c r="K353" s="235"/>
      <c r="L353" s="235"/>
      <c r="M353" s="235"/>
      <c r="N353" s="235"/>
    </row>
    <row r="354" spans="1:14" ht="13.8">
      <c r="A354" s="235"/>
      <c r="B354" s="235"/>
      <c r="C354" s="235"/>
      <c r="D354" s="234"/>
      <c r="E354" s="234"/>
      <c r="F354" s="234"/>
      <c r="G354" s="234"/>
      <c r="H354" s="235"/>
      <c r="I354" s="235"/>
      <c r="J354" s="235"/>
      <c r="K354" s="235"/>
      <c r="L354" s="235"/>
      <c r="M354" s="235"/>
      <c r="N354" s="235"/>
    </row>
    <row r="355" spans="1:14" ht="13.8">
      <c r="A355" s="235"/>
      <c r="B355" s="235"/>
      <c r="C355" s="235"/>
      <c r="D355" s="234"/>
      <c r="E355" s="234"/>
      <c r="F355" s="234"/>
      <c r="G355" s="234"/>
      <c r="H355" s="235"/>
      <c r="I355" s="235"/>
      <c r="J355" s="235"/>
      <c r="K355" s="235"/>
      <c r="L355" s="235"/>
      <c r="M355" s="235"/>
      <c r="N355" s="235"/>
    </row>
    <row r="356" spans="1:14" ht="13.8">
      <c r="A356" s="235"/>
      <c r="B356" s="235"/>
      <c r="C356" s="235"/>
      <c r="D356" s="234"/>
      <c r="E356" s="234"/>
      <c r="F356" s="234"/>
      <c r="G356" s="234"/>
      <c r="H356" s="235"/>
      <c r="I356" s="235"/>
      <c r="J356" s="235"/>
      <c r="K356" s="235"/>
      <c r="L356" s="235"/>
      <c r="M356" s="235"/>
      <c r="N356" s="235"/>
    </row>
    <row r="357" spans="1:14" ht="13.8">
      <c r="A357" s="235"/>
      <c r="B357" s="235"/>
      <c r="C357" s="235"/>
      <c r="D357" s="234"/>
      <c r="E357" s="234"/>
      <c r="F357" s="234"/>
      <c r="G357" s="234"/>
      <c r="H357" s="235"/>
      <c r="I357" s="235"/>
      <c r="J357" s="235"/>
      <c r="K357" s="235"/>
      <c r="L357" s="235"/>
      <c r="M357" s="235"/>
      <c r="N357" s="235"/>
    </row>
    <row r="358" spans="1:14" ht="13.8">
      <c r="A358" s="235"/>
      <c r="B358" s="235"/>
      <c r="C358" s="235"/>
      <c r="D358" s="234"/>
      <c r="E358" s="234"/>
      <c r="F358" s="234"/>
      <c r="G358" s="234"/>
      <c r="H358" s="235"/>
      <c r="I358" s="235"/>
      <c r="J358" s="235"/>
      <c r="K358" s="235"/>
      <c r="L358" s="235"/>
      <c r="M358" s="235"/>
      <c r="N358" s="235"/>
    </row>
    <row r="359" spans="1:14" ht="13.8">
      <c r="A359" s="235"/>
      <c r="B359" s="235"/>
      <c r="C359" s="235"/>
      <c r="D359" s="234"/>
      <c r="E359" s="234"/>
      <c r="F359" s="234"/>
      <c r="G359" s="234"/>
      <c r="H359" s="235"/>
      <c r="I359" s="235"/>
      <c r="J359" s="235"/>
      <c r="K359" s="235"/>
      <c r="L359" s="235"/>
      <c r="M359" s="235"/>
      <c r="N359" s="235"/>
    </row>
    <row r="360" spans="1:14" ht="13.8">
      <c r="A360" s="235"/>
      <c r="B360" s="235"/>
      <c r="C360" s="235"/>
      <c r="D360" s="234"/>
      <c r="E360" s="234"/>
      <c r="F360" s="234"/>
      <c r="G360" s="234"/>
      <c r="H360" s="235"/>
      <c r="I360" s="235"/>
      <c r="J360" s="235"/>
      <c r="K360" s="235"/>
      <c r="L360" s="235"/>
      <c r="M360" s="235"/>
      <c r="N360" s="235"/>
    </row>
    <row r="361" spans="1:14" ht="13.8">
      <c r="A361" s="235"/>
      <c r="B361" s="235"/>
      <c r="C361" s="235"/>
      <c r="D361" s="234"/>
      <c r="E361" s="234"/>
      <c r="F361" s="234"/>
      <c r="G361" s="234"/>
      <c r="H361" s="235"/>
      <c r="I361" s="235"/>
      <c r="J361" s="235"/>
      <c r="K361" s="235"/>
      <c r="L361" s="235"/>
      <c r="M361" s="235"/>
      <c r="N361" s="235"/>
    </row>
    <row r="362" spans="1:14" ht="13.8">
      <c r="A362" s="235"/>
      <c r="B362" s="235"/>
      <c r="C362" s="235"/>
      <c r="D362" s="234"/>
      <c r="E362" s="234"/>
      <c r="F362" s="234"/>
      <c r="G362" s="234"/>
      <c r="H362" s="235"/>
      <c r="I362" s="235"/>
      <c r="J362" s="235"/>
      <c r="K362" s="235"/>
      <c r="L362" s="235"/>
      <c r="M362" s="235"/>
      <c r="N362" s="235"/>
    </row>
    <row r="363" spans="1:14" ht="13.8">
      <c r="A363" s="235"/>
      <c r="B363" s="235"/>
      <c r="C363" s="235"/>
      <c r="D363" s="234"/>
      <c r="E363" s="234"/>
      <c r="F363" s="234"/>
      <c r="G363" s="234"/>
      <c r="H363" s="235"/>
      <c r="I363" s="235"/>
      <c r="J363" s="235"/>
      <c r="K363" s="235"/>
      <c r="L363" s="235"/>
      <c r="M363" s="235"/>
      <c r="N363" s="235"/>
    </row>
    <row r="364" spans="1:14" ht="13.8">
      <c r="A364" s="235"/>
      <c r="B364" s="235"/>
      <c r="C364" s="235"/>
      <c r="D364" s="234"/>
      <c r="E364" s="234"/>
      <c r="F364" s="234"/>
      <c r="G364" s="234"/>
      <c r="H364" s="235"/>
      <c r="I364" s="235"/>
      <c r="J364" s="235"/>
      <c r="K364" s="235"/>
      <c r="L364" s="235"/>
      <c r="M364" s="235"/>
      <c r="N364" s="235"/>
    </row>
    <row r="365" spans="1:14" ht="13.8">
      <c r="A365" s="235"/>
      <c r="B365" s="235"/>
      <c r="C365" s="235"/>
      <c r="D365" s="234"/>
      <c r="E365" s="234"/>
      <c r="F365" s="234"/>
      <c r="G365" s="234"/>
      <c r="H365" s="235"/>
      <c r="I365" s="235"/>
      <c r="J365" s="235"/>
      <c r="K365" s="235"/>
      <c r="L365" s="235"/>
      <c r="M365" s="235"/>
      <c r="N365" s="235"/>
    </row>
    <row r="366" spans="1:14" ht="13.8">
      <c r="A366" s="235"/>
      <c r="B366" s="235"/>
      <c r="C366" s="235"/>
      <c r="D366" s="234"/>
      <c r="E366" s="234"/>
      <c r="F366" s="234"/>
      <c r="G366" s="234"/>
      <c r="H366" s="235"/>
      <c r="I366" s="235"/>
      <c r="J366" s="235"/>
      <c r="K366" s="235"/>
      <c r="L366" s="235"/>
      <c r="M366" s="235"/>
      <c r="N366" s="235"/>
    </row>
    <row r="367" spans="1:14" ht="13.8">
      <c r="A367" s="235"/>
      <c r="B367" s="235"/>
      <c r="C367" s="235"/>
      <c r="D367" s="234"/>
      <c r="E367" s="234"/>
      <c r="F367" s="234"/>
      <c r="G367" s="234"/>
      <c r="H367" s="235"/>
      <c r="I367" s="235"/>
      <c r="J367" s="235"/>
      <c r="K367" s="235"/>
      <c r="L367" s="235"/>
      <c r="M367" s="235"/>
      <c r="N367" s="235"/>
    </row>
    <row r="368" spans="1:14" ht="13.8">
      <c r="A368" s="235"/>
      <c r="B368" s="235"/>
      <c r="C368" s="235"/>
      <c r="D368" s="234"/>
      <c r="E368" s="234"/>
      <c r="F368" s="234"/>
      <c r="G368" s="234"/>
      <c r="H368" s="235"/>
      <c r="I368" s="235"/>
      <c r="J368" s="235"/>
      <c r="K368" s="235"/>
      <c r="L368" s="235"/>
      <c r="M368" s="235"/>
      <c r="N368" s="235"/>
    </row>
    <row r="369" spans="1:14" ht="13.8">
      <c r="A369" s="235"/>
      <c r="B369" s="235"/>
      <c r="C369" s="235"/>
      <c r="D369" s="234"/>
      <c r="E369" s="234"/>
      <c r="F369" s="234"/>
      <c r="G369" s="234"/>
      <c r="H369" s="235"/>
      <c r="I369" s="235"/>
      <c r="J369" s="235"/>
      <c r="K369" s="235"/>
      <c r="L369" s="235"/>
      <c r="M369" s="235"/>
      <c r="N369" s="235"/>
    </row>
    <row r="370" spans="1:14" ht="13.8">
      <c r="A370" s="235"/>
      <c r="B370" s="235"/>
      <c r="C370" s="235"/>
      <c r="D370" s="234"/>
      <c r="E370" s="234"/>
      <c r="F370" s="234"/>
      <c r="G370" s="234"/>
      <c r="H370" s="235"/>
      <c r="I370" s="235"/>
      <c r="J370" s="235"/>
      <c r="K370" s="235"/>
      <c r="L370" s="235"/>
      <c r="M370" s="235"/>
      <c r="N370" s="235"/>
    </row>
    <row r="371" spans="1:14" ht="13.8">
      <c r="A371" s="235"/>
      <c r="B371" s="235"/>
      <c r="C371" s="235"/>
      <c r="D371" s="234"/>
      <c r="E371" s="234"/>
      <c r="F371" s="234"/>
      <c r="G371" s="234"/>
      <c r="H371" s="235"/>
      <c r="I371" s="235"/>
      <c r="J371" s="235"/>
      <c r="K371" s="235"/>
      <c r="L371" s="235"/>
      <c r="M371" s="235"/>
      <c r="N371" s="235"/>
    </row>
    <row r="372" spans="1:14" ht="13.8">
      <c r="A372" s="235"/>
      <c r="B372" s="235"/>
      <c r="C372" s="235"/>
      <c r="D372" s="234"/>
      <c r="E372" s="234"/>
      <c r="F372" s="234"/>
      <c r="G372" s="234"/>
      <c r="H372" s="235"/>
      <c r="I372" s="235"/>
      <c r="J372" s="235"/>
      <c r="K372" s="235"/>
      <c r="L372" s="235"/>
      <c r="M372" s="235"/>
      <c r="N372" s="235"/>
    </row>
    <row r="373" spans="1:14" ht="13.8">
      <c r="A373" s="235"/>
      <c r="B373" s="235"/>
      <c r="C373" s="235"/>
      <c r="D373" s="234"/>
      <c r="E373" s="234"/>
      <c r="F373" s="234"/>
      <c r="G373" s="234"/>
      <c r="H373" s="235"/>
      <c r="I373" s="235"/>
      <c r="J373" s="235"/>
      <c r="K373" s="235"/>
      <c r="L373" s="235"/>
      <c r="M373" s="235"/>
      <c r="N373" s="235"/>
    </row>
    <row r="374" spans="1:14" ht="13.8">
      <c r="A374" s="235"/>
      <c r="B374" s="235"/>
      <c r="C374" s="235"/>
      <c r="D374" s="234"/>
      <c r="E374" s="234"/>
      <c r="F374" s="234"/>
      <c r="G374" s="234"/>
      <c r="H374" s="235"/>
      <c r="I374" s="235"/>
      <c r="J374" s="235"/>
      <c r="K374" s="235"/>
      <c r="L374" s="235"/>
      <c r="M374" s="235"/>
      <c r="N374" s="235"/>
    </row>
    <row r="375" spans="1:14" ht="13.8">
      <c r="A375" s="235"/>
      <c r="B375" s="235"/>
      <c r="C375" s="235"/>
      <c r="D375" s="234"/>
      <c r="E375" s="234"/>
      <c r="F375" s="234"/>
      <c r="G375" s="234"/>
      <c r="H375" s="235"/>
      <c r="I375" s="235"/>
      <c r="J375" s="235"/>
      <c r="K375" s="235"/>
      <c r="L375" s="235"/>
      <c r="M375" s="235"/>
      <c r="N375" s="235"/>
    </row>
    <row r="376" spans="1:14" ht="13.8">
      <c r="A376" s="235"/>
      <c r="B376" s="235"/>
      <c r="C376" s="235"/>
      <c r="D376" s="234"/>
      <c r="E376" s="234"/>
      <c r="F376" s="234"/>
      <c r="G376" s="234"/>
      <c r="H376" s="235"/>
      <c r="I376" s="235"/>
      <c r="J376" s="235"/>
      <c r="K376" s="235"/>
      <c r="L376" s="235"/>
      <c r="M376" s="235"/>
      <c r="N376" s="235"/>
    </row>
    <row r="377" spans="1:14" ht="13.8">
      <c r="A377" s="235"/>
      <c r="B377" s="235"/>
      <c r="C377" s="235"/>
      <c r="D377" s="234"/>
      <c r="E377" s="234"/>
      <c r="F377" s="234"/>
      <c r="G377" s="234"/>
      <c r="H377" s="235"/>
      <c r="I377" s="235"/>
      <c r="J377" s="235"/>
      <c r="K377" s="235"/>
      <c r="L377" s="235"/>
      <c r="M377" s="235"/>
      <c r="N377" s="235"/>
    </row>
    <row r="378" spans="1:14" ht="13.8">
      <c r="A378" s="235"/>
      <c r="B378" s="235"/>
      <c r="C378" s="235"/>
      <c r="D378" s="234"/>
      <c r="E378" s="234"/>
      <c r="F378" s="234"/>
      <c r="G378" s="234"/>
      <c r="H378" s="235"/>
      <c r="I378" s="235"/>
      <c r="J378" s="235"/>
      <c r="K378" s="235"/>
      <c r="L378" s="235"/>
      <c r="M378" s="235"/>
      <c r="N378" s="235"/>
    </row>
    <row r="379" spans="1:14" ht="13.8">
      <c r="A379" s="235"/>
      <c r="B379" s="235"/>
      <c r="C379" s="235"/>
      <c r="D379" s="234"/>
      <c r="E379" s="234"/>
      <c r="F379" s="234"/>
      <c r="G379" s="234"/>
      <c r="H379" s="235"/>
      <c r="I379" s="235"/>
      <c r="J379" s="235"/>
      <c r="K379" s="235"/>
      <c r="L379" s="235"/>
      <c r="M379" s="235"/>
      <c r="N379" s="235"/>
    </row>
    <row r="380" spans="1:14" ht="13.8">
      <c r="A380" s="235"/>
      <c r="B380" s="235"/>
      <c r="C380" s="235"/>
      <c r="D380" s="234"/>
      <c r="E380" s="234"/>
      <c r="F380" s="234"/>
      <c r="G380" s="234"/>
      <c r="H380" s="235"/>
      <c r="I380" s="235"/>
      <c r="J380" s="235"/>
      <c r="K380" s="235"/>
      <c r="L380" s="235"/>
      <c r="M380" s="235"/>
      <c r="N380" s="235"/>
    </row>
    <row r="381" spans="1:14" ht="13.8">
      <c r="A381" s="235"/>
      <c r="B381" s="235"/>
      <c r="C381" s="235"/>
      <c r="D381" s="234"/>
      <c r="E381" s="234"/>
      <c r="F381" s="234"/>
      <c r="G381" s="234"/>
      <c r="H381" s="235"/>
      <c r="I381" s="235"/>
      <c r="J381" s="235"/>
      <c r="K381" s="235"/>
      <c r="L381" s="235"/>
      <c r="M381" s="235"/>
      <c r="N381" s="235"/>
    </row>
    <row r="382" spans="1:14" ht="13.8">
      <c r="A382" s="235"/>
      <c r="B382" s="235"/>
      <c r="C382" s="235"/>
      <c r="D382" s="234"/>
      <c r="E382" s="234"/>
      <c r="F382" s="234"/>
      <c r="G382" s="234"/>
      <c r="H382" s="235"/>
      <c r="I382" s="235"/>
      <c r="J382" s="235"/>
      <c r="K382" s="235"/>
      <c r="L382" s="235"/>
      <c r="M382" s="235"/>
      <c r="N382" s="235"/>
    </row>
    <row r="383" spans="1:14" ht="13.8">
      <c r="A383" s="235"/>
      <c r="B383" s="235"/>
      <c r="C383" s="235"/>
      <c r="D383" s="234"/>
      <c r="E383" s="234"/>
      <c r="F383" s="234"/>
      <c r="G383" s="234"/>
      <c r="H383" s="235"/>
      <c r="I383" s="235"/>
      <c r="J383" s="235"/>
      <c r="K383" s="235"/>
      <c r="L383" s="235"/>
      <c r="M383" s="235"/>
      <c r="N383" s="235"/>
    </row>
    <row r="384" spans="1:14" ht="13.8">
      <c r="A384" s="235"/>
      <c r="B384" s="235"/>
      <c r="C384" s="235"/>
      <c r="D384" s="234"/>
      <c r="E384" s="234"/>
      <c r="F384" s="234"/>
      <c r="G384" s="234"/>
      <c r="H384" s="235"/>
      <c r="I384" s="235"/>
      <c r="J384" s="235"/>
      <c r="K384" s="235"/>
      <c r="L384" s="235"/>
      <c r="M384" s="235"/>
      <c r="N384" s="235"/>
    </row>
    <row r="385" spans="1:14" ht="13.8">
      <c r="A385" s="235"/>
      <c r="B385" s="235"/>
      <c r="C385" s="235"/>
      <c r="D385" s="234"/>
      <c r="E385" s="234"/>
      <c r="F385" s="234"/>
      <c r="G385" s="234"/>
      <c r="H385" s="235"/>
      <c r="I385" s="235"/>
      <c r="J385" s="235"/>
      <c r="K385" s="235"/>
      <c r="L385" s="235"/>
      <c r="M385" s="235"/>
      <c r="N385" s="235"/>
    </row>
    <row r="386" spans="1:14" ht="13.8">
      <c r="A386" s="235"/>
      <c r="B386" s="235"/>
      <c r="C386" s="235"/>
      <c r="D386" s="234"/>
      <c r="E386" s="234"/>
      <c r="F386" s="234"/>
      <c r="G386" s="234"/>
      <c r="H386" s="235"/>
      <c r="I386" s="235"/>
      <c r="J386" s="235"/>
      <c r="K386" s="235"/>
      <c r="L386" s="235"/>
      <c r="M386" s="235"/>
      <c r="N386" s="235"/>
    </row>
    <row r="387" spans="1:14" ht="13.8">
      <c r="A387" s="235"/>
      <c r="B387" s="235"/>
      <c r="C387" s="235"/>
      <c r="D387" s="234"/>
      <c r="E387" s="234"/>
      <c r="F387" s="234"/>
      <c r="G387" s="234"/>
      <c r="H387" s="235"/>
      <c r="I387" s="235"/>
      <c r="J387" s="235"/>
      <c r="K387" s="235"/>
      <c r="L387" s="235"/>
      <c r="M387" s="235"/>
      <c r="N387" s="235"/>
    </row>
    <row r="388" spans="1:14" ht="13.8">
      <c r="A388" s="235"/>
      <c r="B388" s="235"/>
      <c r="C388" s="235"/>
      <c r="D388" s="234"/>
      <c r="E388" s="234"/>
      <c r="F388" s="234"/>
      <c r="G388" s="234"/>
      <c r="H388" s="235"/>
      <c r="I388" s="235"/>
      <c r="J388" s="235"/>
      <c r="K388" s="235"/>
      <c r="L388" s="235"/>
      <c r="M388" s="235"/>
      <c r="N388" s="235"/>
    </row>
    <row r="389" spans="1:14" ht="13.8">
      <c r="A389" s="235"/>
      <c r="B389" s="235"/>
      <c r="C389" s="235"/>
      <c r="D389" s="234"/>
      <c r="E389" s="234"/>
      <c r="F389" s="234"/>
      <c r="G389" s="234"/>
      <c r="H389" s="235"/>
      <c r="I389" s="235"/>
      <c r="J389" s="235"/>
      <c r="K389" s="235"/>
      <c r="L389" s="235"/>
      <c r="M389" s="235"/>
      <c r="N389" s="235"/>
    </row>
    <row r="390" spans="1:14" ht="13.8">
      <c r="A390" s="235"/>
      <c r="B390" s="235"/>
      <c r="C390" s="235"/>
      <c r="D390" s="234"/>
      <c r="E390" s="234"/>
      <c r="F390" s="234"/>
      <c r="G390" s="234"/>
      <c r="H390" s="235"/>
      <c r="I390" s="235"/>
      <c r="J390" s="235"/>
      <c r="K390" s="235"/>
      <c r="L390" s="235"/>
      <c r="M390" s="235"/>
      <c r="N390" s="235"/>
    </row>
    <row r="391" spans="1:14" ht="13.8">
      <c r="A391" s="235"/>
      <c r="B391" s="235"/>
      <c r="C391" s="235"/>
      <c r="D391" s="234"/>
      <c r="E391" s="234"/>
      <c r="F391" s="234"/>
      <c r="G391" s="234"/>
      <c r="H391" s="235"/>
      <c r="I391" s="235"/>
      <c r="J391" s="235"/>
      <c r="K391" s="235"/>
      <c r="L391" s="235"/>
      <c r="M391" s="235"/>
      <c r="N391" s="235"/>
    </row>
    <row r="392" spans="1:14" ht="13.8">
      <c r="A392" s="235"/>
      <c r="B392" s="235"/>
      <c r="C392" s="235"/>
      <c r="D392" s="234"/>
      <c r="E392" s="234"/>
      <c r="F392" s="234"/>
      <c r="G392" s="234"/>
      <c r="H392" s="235"/>
      <c r="I392" s="235"/>
      <c r="J392" s="235"/>
      <c r="K392" s="235"/>
      <c r="L392" s="235"/>
      <c r="M392" s="235"/>
      <c r="N392" s="235"/>
    </row>
    <row r="393" spans="1:14" ht="13.8">
      <c r="A393" s="235"/>
      <c r="B393" s="235"/>
      <c r="C393" s="235"/>
      <c r="D393" s="234"/>
      <c r="E393" s="234"/>
      <c r="F393" s="234"/>
      <c r="G393" s="234"/>
      <c r="H393" s="235"/>
      <c r="I393" s="235"/>
      <c r="J393" s="235"/>
      <c r="K393" s="235"/>
      <c r="L393" s="235"/>
      <c r="M393" s="235"/>
      <c r="N393" s="235"/>
    </row>
    <row r="394" spans="1:14" ht="13.8">
      <c r="A394" s="235"/>
      <c r="B394" s="235"/>
      <c r="C394" s="235"/>
      <c r="D394" s="234"/>
      <c r="E394" s="234"/>
      <c r="F394" s="234"/>
      <c r="G394" s="234"/>
      <c r="H394" s="235"/>
      <c r="I394" s="235"/>
      <c r="J394" s="235"/>
      <c r="K394" s="235"/>
      <c r="L394" s="235"/>
      <c r="M394" s="235"/>
      <c r="N394" s="235"/>
    </row>
    <row r="395" spans="1:14" ht="13.8">
      <c r="A395" s="235"/>
      <c r="B395" s="235"/>
      <c r="C395" s="235"/>
      <c r="D395" s="234"/>
      <c r="E395" s="234"/>
      <c r="F395" s="234"/>
      <c r="G395" s="234"/>
      <c r="H395" s="235"/>
      <c r="I395" s="235"/>
      <c r="J395" s="235"/>
      <c r="K395" s="235"/>
      <c r="L395" s="235"/>
      <c r="M395" s="235"/>
      <c r="N395" s="235"/>
    </row>
    <row r="396" spans="1:14" ht="13.8">
      <c r="A396" s="235"/>
      <c r="B396" s="235"/>
      <c r="C396" s="235"/>
      <c r="D396" s="234"/>
      <c r="E396" s="234"/>
      <c r="F396" s="234"/>
      <c r="G396" s="234"/>
      <c r="H396" s="235"/>
      <c r="I396" s="235"/>
      <c r="J396" s="235"/>
      <c r="K396" s="235"/>
      <c r="L396" s="235"/>
      <c r="M396" s="235"/>
      <c r="N396" s="235"/>
    </row>
    <row r="397" spans="1:14" ht="13.8">
      <c r="A397" s="235"/>
      <c r="B397" s="235"/>
      <c r="C397" s="235"/>
      <c r="D397" s="234"/>
      <c r="E397" s="234"/>
      <c r="F397" s="234"/>
      <c r="G397" s="234"/>
      <c r="H397" s="235"/>
      <c r="I397" s="235"/>
      <c r="J397" s="235"/>
      <c r="K397" s="235"/>
      <c r="L397" s="235"/>
      <c r="M397" s="235"/>
      <c r="N397" s="235"/>
    </row>
    <row r="398" spans="1:14" ht="13.8">
      <c r="A398" s="235"/>
      <c r="B398" s="235"/>
      <c r="C398" s="235"/>
      <c r="D398" s="234"/>
      <c r="E398" s="234"/>
      <c r="F398" s="234"/>
      <c r="G398" s="234"/>
      <c r="H398" s="235"/>
      <c r="I398" s="235"/>
      <c r="J398" s="235"/>
      <c r="K398" s="235"/>
      <c r="L398" s="235"/>
      <c r="M398" s="235"/>
      <c r="N398" s="235"/>
    </row>
    <row r="399" spans="1:14" ht="13.8">
      <c r="A399" s="235"/>
      <c r="B399" s="235"/>
      <c r="C399" s="235"/>
      <c r="D399" s="234"/>
      <c r="E399" s="234"/>
      <c r="F399" s="234"/>
      <c r="G399" s="234"/>
      <c r="H399" s="235"/>
      <c r="I399" s="235"/>
      <c r="J399" s="235"/>
      <c r="K399" s="235"/>
      <c r="L399" s="235"/>
      <c r="M399" s="235"/>
      <c r="N399" s="235"/>
    </row>
    <row r="400" spans="1:14" ht="13.8">
      <c r="A400" s="235"/>
      <c r="B400" s="235"/>
      <c r="C400" s="235"/>
      <c r="D400" s="234"/>
      <c r="E400" s="234"/>
      <c r="F400" s="234"/>
      <c r="G400" s="234"/>
      <c r="H400" s="235"/>
      <c r="I400" s="235"/>
      <c r="J400" s="235"/>
      <c r="K400" s="235"/>
      <c r="L400" s="235"/>
      <c r="M400" s="235"/>
      <c r="N400" s="235"/>
    </row>
    <row r="401" spans="1:14" ht="13.8">
      <c r="A401" s="235"/>
      <c r="B401" s="235"/>
      <c r="C401" s="235"/>
      <c r="D401" s="234"/>
      <c r="E401" s="234"/>
      <c r="F401" s="234"/>
      <c r="G401" s="234"/>
      <c r="H401" s="235"/>
      <c r="I401" s="235"/>
      <c r="J401" s="235"/>
      <c r="K401" s="235"/>
      <c r="L401" s="235"/>
      <c r="M401" s="235"/>
      <c r="N401" s="235"/>
    </row>
    <row r="402" spans="1:14" ht="13.8">
      <c r="A402" s="235"/>
      <c r="B402" s="235"/>
      <c r="C402" s="235"/>
      <c r="D402" s="234"/>
      <c r="E402" s="234"/>
      <c r="F402" s="234"/>
      <c r="G402" s="234"/>
      <c r="H402" s="235"/>
      <c r="I402" s="235"/>
      <c r="J402" s="235"/>
      <c r="K402" s="235"/>
      <c r="L402" s="235"/>
      <c r="M402" s="235"/>
      <c r="N402" s="235"/>
    </row>
    <row r="403" spans="1:14" ht="13.8">
      <c r="A403" s="235"/>
      <c r="B403" s="235"/>
      <c r="C403" s="235"/>
      <c r="D403" s="234"/>
      <c r="E403" s="234"/>
      <c r="F403" s="234"/>
      <c r="G403" s="234"/>
      <c r="H403" s="235"/>
      <c r="I403" s="235"/>
      <c r="J403" s="235"/>
      <c r="K403" s="235"/>
      <c r="L403" s="235"/>
      <c r="M403" s="235"/>
      <c r="N403" s="235"/>
    </row>
    <row r="404" spans="1:14" ht="13.8">
      <c r="A404" s="235"/>
      <c r="B404" s="235"/>
      <c r="C404" s="235"/>
      <c r="D404" s="234"/>
      <c r="E404" s="234"/>
      <c r="F404" s="234"/>
      <c r="G404" s="234"/>
      <c r="H404" s="235"/>
      <c r="I404" s="235"/>
      <c r="J404" s="235"/>
      <c r="K404" s="235"/>
      <c r="L404" s="235"/>
      <c r="M404" s="235"/>
      <c r="N404" s="235"/>
    </row>
    <row r="405" spans="1:14" ht="13.8">
      <c r="A405" s="235"/>
      <c r="B405" s="235"/>
      <c r="C405" s="235"/>
      <c r="D405" s="234"/>
      <c r="E405" s="234"/>
      <c r="F405" s="234"/>
      <c r="G405" s="234"/>
      <c r="H405" s="235"/>
      <c r="I405" s="235"/>
      <c r="J405" s="235"/>
      <c r="K405" s="235"/>
      <c r="L405" s="235"/>
      <c r="M405" s="235"/>
      <c r="N405" s="235"/>
    </row>
    <row r="406" spans="1:14" ht="13.8">
      <c r="A406" s="235"/>
      <c r="B406" s="235"/>
      <c r="C406" s="235"/>
      <c r="D406" s="234"/>
      <c r="E406" s="234"/>
      <c r="F406" s="234"/>
      <c r="G406" s="234"/>
      <c r="H406" s="235"/>
      <c r="I406" s="235"/>
      <c r="J406" s="235"/>
      <c r="K406" s="235"/>
      <c r="L406" s="235"/>
      <c r="M406" s="235"/>
      <c r="N406" s="235"/>
    </row>
    <row r="407" spans="1:14" ht="13.8">
      <c r="A407" s="235"/>
      <c r="B407" s="235"/>
      <c r="C407" s="235"/>
      <c r="D407" s="234"/>
      <c r="E407" s="234"/>
      <c r="F407" s="234"/>
      <c r="G407" s="234"/>
      <c r="H407" s="235"/>
      <c r="I407" s="235"/>
      <c r="J407" s="235"/>
      <c r="K407" s="235"/>
      <c r="L407" s="235"/>
      <c r="M407" s="235"/>
      <c r="N407" s="235"/>
    </row>
    <row r="408" spans="1:14" ht="13.8">
      <c r="A408" s="235"/>
      <c r="B408" s="235"/>
      <c r="C408" s="235"/>
      <c r="D408" s="234"/>
      <c r="E408" s="234"/>
      <c r="F408" s="234"/>
      <c r="G408" s="234"/>
      <c r="H408" s="235"/>
      <c r="I408" s="235"/>
      <c r="J408" s="235"/>
      <c r="K408" s="235"/>
      <c r="L408" s="235"/>
      <c r="M408" s="235"/>
      <c r="N408" s="235"/>
    </row>
    <row r="409" spans="1:14" ht="13.8">
      <c r="A409" s="235"/>
      <c r="B409" s="235"/>
      <c r="C409" s="235"/>
      <c r="D409" s="234"/>
      <c r="E409" s="234"/>
      <c r="F409" s="234"/>
      <c r="G409" s="234"/>
      <c r="H409" s="235"/>
      <c r="I409" s="235"/>
      <c r="J409" s="235"/>
      <c r="K409" s="235"/>
      <c r="L409" s="235"/>
      <c r="M409" s="235"/>
      <c r="N409" s="235"/>
    </row>
    <row r="410" spans="1:14" ht="13.8">
      <c r="A410" s="235"/>
      <c r="B410" s="235"/>
      <c r="C410" s="235"/>
      <c r="D410" s="234"/>
      <c r="E410" s="234"/>
      <c r="F410" s="234"/>
      <c r="G410" s="234"/>
      <c r="H410" s="235"/>
      <c r="I410" s="235"/>
      <c r="J410" s="235"/>
      <c r="K410" s="235"/>
      <c r="L410" s="235"/>
      <c r="M410" s="235"/>
      <c r="N410" s="235"/>
    </row>
    <row r="411" spans="1:14" ht="13.8">
      <c r="A411" s="235"/>
      <c r="B411" s="235"/>
      <c r="C411" s="235"/>
      <c r="D411" s="234"/>
      <c r="E411" s="234"/>
      <c r="F411" s="234"/>
      <c r="G411" s="234"/>
      <c r="H411" s="235"/>
      <c r="I411" s="235"/>
      <c r="J411" s="235"/>
      <c r="K411" s="235"/>
      <c r="L411" s="235"/>
      <c r="M411" s="235"/>
      <c r="N411" s="235"/>
    </row>
    <row r="412" spans="1:14" ht="13.8">
      <c r="A412" s="235"/>
      <c r="B412" s="235"/>
      <c r="C412" s="235"/>
      <c r="D412" s="234"/>
      <c r="E412" s="234"/>
      <c r="F412" s="234"/>
      <c r="G412" s="234"/>
      <c r="H412" s="235"/>
      <c r="I412" s="235"/>
      <c r="J412" s="235"/>
      <c r="K412" s="235"/>
      <c r="L412" s="235"/>
      <c r="M412" s="235"/>
      <c r="N412" s="235"/>
    </row>
    <row r="413" spans="1:14" ht="13.8">
      <c r="A413" s="235"/>
      <c r="B413" s="235"/>
      <c r="C413" s="235"/>
      <c r="D413" s="234"/>
      <c r="E413" s="234"/>
      <c r="F413" s="234"/>
      <c r="G413" s="234"/>
      <c r="H413" s="235"/>
      <c r="I413" s="235"/>
      <c r="J413" s="235"/>
      <c r="K413" s="235"/>
      <c r="L413" s="235"/>
      <c r="M413" s="235"/>
      <c r="N413" s="235"/>
    </row>
    <row r="414" spans="1:14" ht="13.8">
      <c r="A414" s="235"/>
      <c r="B414" s="235"/>
      <c r="C414" s="235"/>
      <c r="D414" s="234"/>
      <c r="E414" s="234"/>
      <c r="F414" s="234"/>
      <c r="G414" s="234"/>
      <c r="H414" s="235"/>
      <c r="I414" s="235"/>
      <c r="J414" s="235"/>
      <c r="K414" s="235"/>
      <c r="L414" s="235"/>
      <c r="M414" s="235"/>
      <c r="N414" s="235"/>
    </row>
    <row r="415" spans="1:14" ht="13.8">
      <c r="A415" s="235"/>
      <c r="B415" s="235"/>
      <c r="C415" s="235"/>
      <c r="D415" s="234"/>
      <c r="E415" s="234"/>
      <c r="F415" s="234"/>
      <c r="G415" s="234"/>
      <c r="H415" s="235"/>
      <c r="I415" s="235"/>
      <c r="J415" s="235"/>
      <c r="K415" s="235"/>
      <c r="L415" s="235"/>
      <c r="M415" s="235"/>
      <c r="N415" s="235"/>
    </row>
    <row r="416" spans="1:14" ht="13.8">
      <c r="A416" s="235"/>
      <c r="B416" s="235"/>
      <c r="C416" s="235"/>
      <c r="D416" s="234"/>
      <c r="E416" s="234"/>
      <c r="F416" s="234"/>
      <c r="G416" s="234"/>
      <c r="H416" s="235"/>
      <c r="I416" s="235"/>
      <c r="J416" s="235"/>
      <c r="K416" s="235"/>
      <c r="L416" s="235"/>
      <c r="M416" s="235"/>
      <c r="N416" s="235"/>
    </row>
    <row r="417" spans="1:14" ht="13.8">
      <c r="A417" s="235"/>
      <c r="B417" s="235"/>
      <c r="C417" s="235"/>
      <c r="D417" s="234"/>
      <c r="E417" s="234"/>
      <c r="F417" s="234"/>
      <c r="G417" s="234"/>
      <c r="H417" s="235"/>
      <c r="I417" s="235"/>
      <c r="J417" s="235"/>
      <c r="K417" s="235"/>
      <c r="L417" s="235"/>
      <c r="M417" s="235"/>
      <c r="N417" s="235"/>
    </row>
    <row r="418" spans="1:14" ht="13.8">
      <c r="A418" s="235"/>
      <c r="B418" s="235"/>
      <c r="C418" s="235"/>
      <c r="D418" s="234"/>
      <c r="E418" s="234"/>
      <c r="F418" s="234"/>
      <c r="G418" s="234"/>
      <c r="H418" s="235"/>
      <c r="I418" s="235"/>
      <c r="J418" s="235"/>
      <c r="K418" s="235"/>
      <c r="L418" s="235"/>
      <c r="M418" s="235"/>
      <c r="N418" s="235"/>
    </row>
    <row r="419" spans="1:14" ht="13.8">
      <c r="A419" s="235"/>
      <c r="B419" s="235"/>
      <c r="C419" s="235"/>
      <c r="D419" s="234"/>
      <c r="E419" s="234"/>
      <c r="F419" s="234"/>
      <c r="G419" s="234"/>
      <c r="H419" s="235"/>
      <c r="I419" s="235"/>
      <c r="J419" s="235"/>
      <c r="K419" s="235"/>
      <c r="L419" s="235"/>
      <c r="M419" s="235"/>
      <c r="N419" s="235"/>
    </row>
    <row r="420" spans="1:14" ht="13.8">
      <c r="A420" s="235"/>
      <c r="B420" s="235"/>
      <c r="C420" s="235"/>
      <c r="D420" s="234"/>
      <c r="E420" s="234"/>
      <c r="F420" s="234"/>
      <c r="G420" s="234"/>
      <c r="H420" s="235"/>
      <c r="I420" s="235"/>
      <c r="J420" s="235"/>
      <c r="K420" s="235"/>
      <c r="L420" s="235"/>
      <c r="M420" s="235"/>
      <c r="N420" s="235"/>
    </row>
    <row r="421" spans="1:14" ht="13.8">
      <c r="A421" s="235"/>
      <c r="B421" s="235"/>
      <c r="C421" s="235"/>
      <c r="D421" s="234"/>
      <c r="E421" s="234"/>
      <c r="F421" s="234"/>
      <c r="G421" s="234"/>
      <c r="H421" s="235"/>
      <c r="I421" s="235"/>
      <c r="J421" s="235"/>
      <c r="K421" s="235"/>
      <c r="L421" s="235"/>
      <c r="M421" s="235"/>
      <c r="N421" s="235"/>
    </row>
    <row r="422" spans="1:14" ht="13.8">
      <c r="A422" s="235"/>
      <c r="B422" s="235"/>
      <c r="C422" s="235"/>
      <c r="D422" s="234"/>
      <c r="E422" s="234"/>
      <c r="F422" s="234"/>
      <c r="G422" s="234"/>
      <c r="H422" s="235"/>
      <c r="I422" s="235"/>
      <c r="J422" s="235"/>
      <c r="K422" s="235"/>
      <c r="L422" s="235"/>
      <c r="M422" s="235"/>
      <c r="N422" s="235"/>
    </row>
    <row r="423" spans="1:14" ht="13.8">
      <c r="A423" s="235"/>
      <c r="B423" s="235"/>
      <c r="C423" s="235"/>
      <c r="D423" s="234"/>
      <c r="E423" s="234"/>
      <c r="F423" s="234"/>
      <c r="G423" s="234"/>
      <c r="H423" s="235"/>
      <c r="I423" s="235"/>
      <c r="J423" s="235"/>
      <c r="K423" s="235"/>
      <c r="L423" s="235"/>
      <c r="M423" s="235"/>
      <c r="N423" s="235"/>
    </row>
    <row r="424" spans="1:14" ht="13.8">
      <c r="A424" s="235"/>
      <c r="B424" s="235"/>
      <c r="C424" s="235"/>
      <c r="D424" s="234"/>
      <c r="E424" s="234"/>
      <c r="F424" s="234"/>
      <c r="G424" s="234"/>
      <c r="H424" s="235"/>
      <c r="I424" s="235"/>
      <c r="J424" s="235"/>
      <c r="K424" s="235"/>
      <c r="L424" s="235"/>
      <c r="M424" s="235"/>
      <c r="N424" s="235"/>
    </row>
    <row r="425" spans="1:14" ht="13.8">
      <c r="A425" s="235"/>
      <c r="B425" s="235"/>
      <c r="C425" s="235"/>
      <c r="D425" s="234"/>
      <c r="E425" s="234"/>
      <c r="F425" s="234"/>
      <c r="G425" s="234"/>
      <c r="H425" s="235"/>
      <c r="I425" s="235"/>
      <c r="J425" s="235"/>
      <c r="K425" s="235"/>
      <c r="L425" s="235"/>
      <c r="M425" s="235"/>
      <c r="N425" s="235"/>
    </row>
    <row r="426" spans="1:14" ht="13.8">
      <c r="A426" s="235"/>
      <c r="B426" s="235"/>
      <c r="C426" s="235"/>
      <c r="D426" s="234"/>
      <c r="E426" s="234"/>
      <c r="F426" s="234"/>
      <c r="G426" s="234"/>
      <c r="H426" s="235"/>
      <c r="I426" s="235"/>
      <c r="J426" s="235"/>
      <c r="K426" s="235"/>
      <c r="L426" s="235"/>
      <c r="M426" s="235"/>
      <c r="N426" s="235"/>
    </row>
    <row r="427" spans="1:14" ht="13.8">
      <c r="A427" s="235"/>
      <c r="B427" s="235"/>
      <c r="C427" s="235"/>
      <c r="D427" s="234"/>
      <c r="E427" s="234"/>
      <c r="F427" s="234"/>
      <c r="G427" s="234"/>
      <c r="H427" s="235"/>
      <c r="I427" s="235"/>
      <c r="J427" s="235"/>
      <c r="K427" s="235"/>
      <c r="L427" s="235"/>
      <c r="M427" s="235"/>
      <c r="N427" s="235"/>
    </row>
    <row r="428" spans="1:14" ht="13.8">
      <c r="A428" s="235"/>
      <c r="B428" s="235"/>
      <c r="C428" s="235"/>
      <c r="D428" s="234"/>
      <c r="E428" s="234"/>
      <c r="F428" s="234"/>
      <c r="G428" s="234"/>
      <c r="H428" s="235"/>
      <c r="I428" s="235"/>
      <c r="J428" s="235"/>
      <c r="K428" s="235"/>
      <c r="L428" s="235"/>
      <c r="M428" s="235"/>
      <c r="N428" s="235"/>
    </row>
    <row r="429" spans="1:14" ht="13.8">
      <c r="A429" s="235"/>
      <c r="B429" s="235"/>
      <c r="C429" s="235"/>
      <c r="D429" s="234"/>
      <c r="E429" s="234"/>
      <c r="F429" s="234"/>
      <c r="G429" s="234"/>
      <c r="H429" s="235"/>
      <c r="I429" s="235"/>
      <c r="J429" s="235"/>
      <c r="K429" s="235"/>
      <c r="L429" s="235"/>
      <c r="M429" s="235"/>
      <c r="N429" s="235"/>
    </row>
    <row r="430" spans="1:14" ht="13.8">
      <c r="A430" s="235"/>
      <c r="B430" s="235"/>
      <c r="C430" s="235"/>
      <c r="D430" s="234"/>
      <c r="E430" s="234"/>
      <c r="F430" s="234"/>
      <c r="G430" s="234"/>
      <c r="H430" s="235"/>
      <c r="I430" s="235"/>
      <c r="J430" s="235"/>
      <c r="K430" s="235"/>
      <c r="L430" s="235"/>
      <c r="M430" s="235"/>
      <c r="N430" s="235"/>
    </row>
    <row r="431" spans="1:14" ht="13.8">
      <c r="A431" s="235"/>
      <c r="B431" s="235"/>
      <c r="C431" s="235"/>
      <c r="D431" s="234"/>
      <c r="E431" s="234"/>
      <c r="F431" s="234"/>
      <c r="G431" s="234"/>
      <c r="H431" s="235"/>
      <c r="I431" s="235"/>
      <c r="J431" s="235"/>
      <c r="K431" s="235"/>
      <c r="L431" s="235"/>
      <c r="M431" s="235"/>
      <c r="N431" s="235"/>
    </row>
    <row r="432" spans="1:14" ht="13.8">
      <c r="A432" s="235"/>
      <c r="B432" s="235"/>
      <c r="C432" s="235"/>
      <c r="D432" s="234"/>
      <c r="E432" s="234"/>
      <c r="F432" s="234"/>
      <c r="G432" s="234"/>
      <c r="H432" s="235"/>
      <c r="I432" s="235"/>
      <c r="J432" s="235"/>
      <c r="K432" s="235"/>
      <c r="L432" s="235"/>
      <c r="M432" s="235"/>
      <c r="N432" s="235"/>
    </row>
    <row r="433" spans="1:14" ht="13.8">
      <c r="A433" s="235"/>
      <c r="B433" s="235"/>
      <c r="C433" s="235"/>
      <c r="D433" s="234"/>
      <c r="E433" s="234"/>
      <c r="F433" s="234"/>
      <c r="G433" s="234"/>
      <c r="H433" s="235"/>
      <c r="I433" s="235"/>
      <c r="J433" s="235"/>
      <c r="K433" s="235"/>
      <c r="L433" s="235"/>
      <c r="M433" s="235"/>
      <c r="N433" s="235"/>
    </row>
    <row r="434" spans="1:14" ht="13.8">
      <c r="A434" s="235"/>
      <c r="B434" s="235"/>
      <c r="C434" s="235"/>
      <c r="D434" s="234"/>
      <c r="E434" s="234"/>
      <c r="F434" s="234"/>
      <c r="G434" s="234"/>
      <c r="H434" s="235"/>
      <c r="I434" s="235"/>
      <c r="J434" s="235"/>
      <c r="K434" s="235"/>
      <c r="L434" s="235"/>
      <c r="M434" s="235"/>
      <c r="N434" s="235"/>
    </row>
    <row r="435" spans="1:14" ht="13.8">
      <c r="A435" s="235"/>
      <c r="B435" s="235"/>
      <c r="C435" s="235"/>
      <c r="D435" s="234"/>
      <c r="E435" s="234"/>
      <c r="F435" s="234"/>
      <c r="G435" s="234"/>
      <c r="H435" s="235"/>
      <c r="I435" s="235"/>
      <c r="J435" s="235"/>
      <c r="K435" s="235"/>
      <c r="L435" s="235"/>
      <c r="M435" s="235"/>
      <c r="N435" s="235"/>
    </row>
    <row r="436" spans="1:14" ht="13.8">
      <c r="A436" s="235"/>
      <c r="B436" s="235"/>
      <c r="C436" s="235"/>
      <c r="D436" s="234"/>
      <c r="E436" s="234"/>
      <c r="F436" s="234"/>
      <c r="G436" s="234"/>
      <c r="H436" s="235"/>
      <c r="I436" s="235"/>
      <c r="J436" s="235"/>
      <c r="K436" s="235"/>
      <c r="L436" s="235"/>
      <c r="M436" s="235"/>
      <c r="N436" s="235"/>
    </row>
    <row r="437" spans="1:14" ht="13.8">
      <c r="A437" s="235"/>
      <c r="B437" s="235"/>
      <c r="C437" s="235"/>
      <c r="D437" s="234"/>
      <c r="E437" s="234"/>
      <c r="F437" s="234"/>
      <c r="G437" s="234"/>
      <c r="H437" s="235"/>
      <c r="I437" s="235"/>
      <c r="J437" s="235"/>
      <c r="K437" s="235"/>
      <c r="L437" s="235"/>
      <c r="M437" s="235"/>
      <c r="N437" s="235"/>
    </row>
    <row r="438" spans="1:14" ht="13.8">
      <c r="A438" s="235"/>
      <c r="B438" s="235"/>
      <c r="C438" s="235"/>
      <c r="D438" s="234"/>
      <c r="E438" s="234"/>
      <c r="F438" s="234"/>
      <c r="G438" s="234"/>
      <c r="H438" s="235"/>
      <c r="I438" s="235"/>
      <c r="J438" s="235"/>
      <c r="K438" s="235"/>
      <c r="L438" s="235"/>
      <c r="M438" s="235"/>
      <c r="N438" s="235"/>
    </row>
    <row r="439" spans="1:14" ht="13.8">
      <c r="A439" s="235"/>
      <c r="B439" s="235"/>
      <c r="C439" s="235"/>
      <c r="D439" s="234"/>
      <c r="E439" s="234"/>
      <c r="F439" s="234"/>
      <c r="G439" s="234"/>
      <c r="H439" s="235"/>
      <c r="I439" s="235"/>
      <c r="J439" s="235"/>
      <c r="K439" s="235"/>
      <c r="L439" s="235"/>
      <c r="M439" s="235"/>
      <c r="N439" s="235"/>
    </row>
    <row r="440" spans="1:14" ht="13.8">
      <c r="A440" s="235"/>
      <c r="B440" s="235"/>
      <c r="C440" s="235"/>
      <c r="D440" s="234"/>
      <c r="E440" s="234"/>
      <c r="F440" s="234"/>
      <c r="G440" s="234"/>
      <c r="H440" s="235"/>
      <c r="I440" s="235"/>
      <c r="J440" s="235"/>
      <c r="K440" s="235"/>
      <c r="L440" s="235"/>
      <c r="M440" s="235"/>
      <c r="N440" s="235"/>
    </row>
    <row r="441" spans="1:14" ht="13.8">
      <c r="A441" s="235"/>
      <c r="B441" s="235"/>
      <c r="C441" s="235"/>
      <c r="D441" s="234"/>
      <c r="E441" s="234"/>
      <c r="F441" s="234"/>
      <c r="G441" s="234"/>
      <c r="H441" s="235"/>
      <c r="I441" s="235"/>
      <c r="J441" s="235"/>
      <c r="K441" s="235"/>
      <c r="L441" s="235"/>
      <c r="M441" s="235"/>
      <c r="N441" s="235"/>
    </row>
    <row r="442" spans="1:14" ht="13.8">
      <c r="A442" s="235"/>
      <c r="B442" s="235"/>
      <c r="C442" s="235"/>
      <c r="D442" s="234"/>
      <c r="E442" s="234"/>
      <c r="F442" s="234"/>
      <c r="G442" s="234"/>
      <c r="H442" s="235"/>
      <c r="I442" s="235"/>
      <c r="J442" s="235"/>
      <c r="K442" s="235"/>
      <c r="L442" s="235"/>
      <c r="M442" s="235"/>
      <c r="N442" s="235"/>
    </row>
    <row r="443" spans="1:14" ht="13.8">
      <c r="A443" s="235"/>
      <c r="B443" s="235"/>
      <c r="C443" s="235"/>
      <c r="D443" s="234"/>
      <c r="E443" s="234"/>
      <c r="F443" s="234"/>
      <c r="G443" s="234"/>
      <c r="H443" s="235"/>
      <c r="I443" s="235"/>
      <c r="J443" s="235"/>
      <c r="K443" s="235"/>
      <c r="L443" s="235"/>
      <c r="M443" s="235"/>
      <c r="N443" s="235"/>
    </row>
    <row r="444" spans="1:14" ht="13.8">
      <c r="A444" s="235"/>
      <c r="B444" s="235"/>
      <c r="C444" s="235"/>
      <c r="D444" s="234"/>
      <c r="E444" s="234"/>
      <c r="F444" s="234"/>
      <c r="G444" s="234"/>
      <c r="H444" s="235"/>
      <c r="I444" s="235"/>
      <c r="J444" s="235"/>
      <c r="K444" s="235"/>
      <c r="L444" s="235"/>
      <c r="M444" s="235"/>
      <c r="N444" s="235"/>
    </row>
    <row r="445" spans="1:14" ht="13.8">
      <c r="A445" s="235"/>
      <c r="B445" s="235"/>
      <c r="C445" s="235"/>
      <c r="D445" s="234"/>
      <c r="E445" s="234"/>
      <c r="F445" s="234"/>
      <c r="G445" s="234"/>
      <c r="H445" s="235"/>
      <c r="I445" s="235"/>
      <c r="J445" s="235"/>
      <c r="K445" s="235"/>
      <c r="L445" s="235"/>
      <c r="M445" s="235"/>
      <c r="N445" s="235"/>
    </row>
    <row r="446" spans="1:14" ht="13.8">
      <c r="A446" s="235"/>
      <c r="B446" s="235"/>
      <c r="C446" s="235"/>
      <c r="D446" s="234"/>
      <c r="E446" s="234"/>
      <c r="F446" s="234"/>
      <c r="G446" s="234"/>
      <c r="H446" s="235"/>
      <c r="I446" s="235"/>
      <c r="J446" s="235"/>
      <c r="K446" s="235"/>
      <c r="L446" s="235"/>
      <c r="M446" s="235"/>
      <c r="N446" s="235"/>
    </row>
    <row r="447" spans="1:14" ht="13.8">
      <c r="A447" s="235"/>
      <c r="B447" s="235"/>
      <c r="C447" s="235"/>
      <c r="D447" s="234"/>
      <c r="E447" s="234"/>
      <c r="F447" s="234"/>
      <c r="G447" s="234"/>
      <c r="H447" s="235"/>
      <c r="I447" s="235"/>
      <c r="J447" s="235"/>
      <c r="K447" s="235"/>
      <c r="L447" s="235"/>
      <c r="M447" s="235"/>
      <c r="N447" s="235"/>
    </row>
    <row r="448" spans="1:14" ht="13.8">
      <c r="A448" s="235"/>
      <c r="B448" s="235"/>
      <c r="C448" s="235"/>
      <c r="D448" s="234"/>
      <c r="E448" s="234"/>
      <c r="F448" s="234"/>
      <c r="G448" s="234"/>
      <c r="H448" s="235"/>
      <c r="I448" s="235"/>
      <c r="J448" s="235"/>
      <c r="K448" s="235"/>
      <c r="L448" s="235"/>
      <c r="M448" s="235"/>
      <c r="N448" s="235"/>
    </row>
    <row r="449" spans="1:14" ht="13.8">
      <c r="A449" s="235"/>
      <c r="B449" s="235"/>
      <c r="C449" s="235"/>
      <c r="D449" s="234"/>
      <c r="E449" s="234"/>
      <c r="F449" s="234"/>
      <c r="G449" s="234"/>
      <c r="H449" s="235"/>
      <c r="I449" s="235"/>
      <c r="J449" s="235"/>
      <c r="K449" s="235"/>
      <c r="L449" s="235"/>
      <c r="M449" s="235"/>
      <c r="N449" s="235"/>
    </row>
    <row r="450" spans="1:14" ht="13.8">
      <c r="A450" s="235"/>
      <c r="B450" s="235"/>
      <c r="C450" s="235"/>
      <c r="D450" s="234"/>
      <c r="E450" s="234"/>
      <c r="F450" s="234"/>
      <c r="G450" s="234"/>
      <c r="H450" s="235"/>
      <c r="I450" s="235"/>
      <c r="J450" s="235"/>
      <c r="K450" s="235"/>
      <c r="L450" s="235"/>
      <c r="M450" s="235"/>
      <c r="N450" s="235"/>
    </row>
    <row r="451" spans="1:14" ht="13.8">
      <c r="A451" s="235"/>
      <c r="B451" s="235"/>
      <c r="C451" s="235"/>
      <c r="D451" s="234"/>
      <c r="E451" s="234"/>
      <c r="F451" s="234"/>
      <c r="G451" s="234"/>
      <c r="H451" s="235"/>
      <c r="I451" s="235"/>
      <c r="J451" s="235"/>
      <c r="K451" s="235"/>
      <c r="L451" s="235"/>
      <c r="M451" s="235"/>
      <c r="N451" s="235"/>
    </row>
    <row r="452" spans="1:14" ht="13.8">
      <c r="A452" s="235"/>
      <c r="B452" s="235"/>
      <c r="C452" s="235"/>
      <c r="D452" s="234"/>
      <c r="E452" s="234"/>
      <c r="F452" s="234"/>
      <c r="G452" s="234"/>
      <c r="H452" s="235"/>
      <c r="I452" s="235"/>
      <c r="J452" s="235"/>
      <c r="K452" s="235"/>
      <c r="L452" s="235"/>
      <c r="M452" s="235"/>
      <c r="N452" s="235"/>
    </row>
    <row r="453" spans="1:14" ht="13.8">
      <c r="A453" s="235"/>
      <c r="B453" s="235"/>
      <c r="C453" s="235"/>
      <c r="D453" s="234"/>
      <c r="E453" s="234"/>
      <c r="F453" s="234"/>
      <c r="G453" s="234"/>
      <c r="H453" s="235"/>
      <c r="I453" s="235"/>
      <c r="J453" s="235"/>
      <c r="K453" s="235"/>
      <c r="L453" s="235"/>
      <c r="M453" s="235"/>
      <c r="N453" s="235"/>
    </row>
    <row r="454" spans="1:14" ht="13.8">
      <c r="A454" s="235"/>
      <c r="B454" s="235"/>
      <c r="C454" s="235"/>
      <c r="D454" s="234"/>
      <c r="E454" s="234"/>
      <c r="F454" s="234"/>
      <c r="G454" s="234"/>
      <c r="H454" s="235"/>
      <c r="I454" s="235"/>
      <c r="J454" s="235"/>
      <c r="K454" s="235"/>
      <c r="L454" s="235"/>
      <c r="M454" s="235"/>
      <c r="N454" s="235"/>
    </row>
    <row r="455" spans="1:14" ht="13.8">
      <c r="A455" s="235"/>
      <c r="B455" s="235"/>
      <c r="C455" s="235"/>
      <c r="D455" s="234"/>
      <c r="E455" s="234"/>
      <c r="F455" s="234"/>
      <c r="G455" s="234"/>
      <c r="H455" s="235"/>
      <c r="I455" s="235"/>
      <c r="J455" s="235"/>
      <c r="K455" s="235"/>
      <c r="L455" s="235"/>
      <c r="M455" s="235"/>
      <c r="N455" s="235"/>
    </row>
    <row r="456" spans="1:14" ht="13.8">
      <c r="A456" s="235"/>
      <c r="B456" s="235"/>
      <c r="C456" s="235"/>
      <c r="D456" s="234"/>
      <c r="E456" s="234"/>
      <c r="F456" s="234"/>
      <c r="G456" s="234"/>
      <c r="H456" s="235"/>
      <c r="I456" s="235"/>
      <c r="J456" s="235"/>
      <c r="K456" s="235"/>
      <c r="L456" s="235"/>
      <c r="M456" s="235"/>
      <c r="N456" s="235"/>
    </row>
    <row r="457" spans="1:14" ht="13.8">
      <c r="A457" s="235"/>
      <c r="B457" s="235"/>
      <c r="C457" s="235"/>
      <c r="D457" s="234"/>
      <c r="E457" s="234"/>
      <c r="F457" s="234"/>
      <c r="G457" s="234"/>
      <c r="H457" s="235"/>
      <c r="I457" s="235"/>
      <c r="J457" s="235"/>
      <c r="K457" s="235"/>
      <c r="L457" s="235"/>
      <c r="M457" s="235"/>
      <c r="N457" s="235"/>
    </row>
    <row r="458" spans="1:14" ht="13.8">
      <c r="A458" s="235"/>
      <c r="B458" s="235"/>
      <c r="C458" s="235"/>
      <c r="D458" s="234"/>
      <c r="E458" s="234"/>
      <c r="F458" s="234"/>
      <c r="G458" s="234"/>
      <c r="H458" s="235"/>
      <c r="I458" s="235"/>
      <c r="J458" s="235"/>
      <c r="K458" s="235"/>
      <c r="L458" s="235"/>
      <c r="M458" s="235"/>
      <c r="N458" s="235"/>
    </row>
    <row r="459" spans="1:14" ht="13.8">
      <c r="A459" s="235"/>
      <c r="B459" s="235"/>
      <c r="C459" s="235"/>
      <c r="D459" s="234"/>
      <c r="E459" s="234"/>
      <c r="F459" s="234"/>
      <c r="G459" s="234"/>
      <c r="H459" s="235"/>
      <c r="I459" s="235"/>
      <c r="J459" s="235"/>
      <c r="K459" s="235"/>
      <c r="L459" s="235"/>
      <c r="M459" s="235"/>
      <c r="N459" s="235"/>
    </row>
    <row r="460" spans="1:14" ht="13.8">
      <c r="A460" s="235"/>
      <c r="B460" s="235"/>
      <c r="C460" s="235"/>
      <c r="D460" s="234"/>
      <c r="E460" s="234"/>
      <c r="F460" s="234"/>
      <c r="G460" s="234"/>
      <c r="H460" s="235"/>
      <c r="I460" s="235"/>
      <c r="J460" s="235"/>
      <c r="K460" s="235"/>
      <c r="L460" s="235"/>
      <c r="M460" s="235"/>
      <c r="N460" s="235"/>
    </row>
    <row r="461" spans="1:14" ht="13.8">
      <c r="A461" s="235"/>
      <c r="B461" s="235"/>
      <c r="C461" s="235"/>
      <c r="D461" s="234"/>
      <c r="E461" s="234"/>
      <c r="F461" s="234"/>
      <c r="G461" s="234"/>
      <c r="H461" s="235"/>
      <c r="I461" s="235"/>
      <c r="J461" s="235"/>
      <c r="K461" s="235"/>
      <c r="L461" s="235"/>
      <c r="M461" s="235"/>
      <c r="N461" s="235"/>
    </row>
    <row r="462" spans="1:14" ht="13.8">
      <c r="A462" s="235"/>
      <c r="B462" s="235"/>
      <c r="C462" s="235"/>
      <c r="D462" s="234"/>
      <c r="E462" s="234"/>
      <c r="F462" s="234"/>
      <c r="G462" s="234"/>
      <c r="H462" s="235"/>
      <c r="I462" s="235"/>
      <c r="J462" s="235"/>
      <c r="K462" s="235"/>
      <c r="L462" s="235"/>
      <c r="M462" s="235"/>
      <c r="N462" s="235"/>
    </row>
    <row r="463" spans="1:14" ht="13.8">
      <c r="A463" s="235"/>
      <c r="B463" s="235"/>
      <c r="C463" s="235"/>
      <c r="D463" s="234"/>
      <c r="E463" s="234"/>
      <c r="F463" s="234"/>
      <c r="G463" s="234"/>
      <c r="H463" s="235"/>
      <c r="I463" s="235"/>
      <c r="J463" s="235"/>
      <c r="K463" s="235"/>
      <c r="L463" s="235"/>
      <c r="M463" s="235"/>
      <c r="N463" s="235"/>
    </row>
    <row r="464" spans="1:14" ht="13.8">
      <c r="A464" s="235"/>
      <c r="B464" s="235"/>
      <c r="C464" s="235"/>
      <c r="D464" s="234"/>
      <c r="E464" s="234"/>
      <c r="F464" s="234"/>
      <c r="G464" s="234"/>
      <c r="H464" s="235"/>
      <c r="I464" s="235"/>
      <c r="J464" s="235"/>
      <c r="K464" s="235"/>
      <c r="L464" s="235"/>
      <c r="M464" s="235"/>
      <c r="N464" s="235"/>
    </row>
    <row r="465" spans="1:14" ht="13.8">
      <c r="A465" s="235"/>
      <c r="B465" s="235"/>
      <c r="C465" s="235"/>
      <c r="D465" s="234"/>
      <c r="E465" s="234"/>
      <c r="F465" s="234"/>
      <c r="G465" s="234"/>
      <c r="H465" s="235"/>
      <c r="I465" s="235"/>
      <c r="J465" s="235"/>
      <c r="K465" s="235"/>
      <c r="L465" s="235"/>
      <c r="M465" s="235"/>
      <c r="N465" s="235"/>
    </row>
    <row r="466" spans="1:14" ht="13.8">
      <c r="A466" s="235"/>
      <c r="B466" s="235"/>
      <c r="C466" s="235"/>
      <c r="D466" s="234"/>
      <c r="E466" s="234"/>
      <c r="F466" s="234"/>
      <c r="G466" s="234"/>
      <c r="H466" s="235"/>
      <c r="I466" s="235"/>
      <c r="J466" s="235"/>
      <c r="K466" s="235"/>
      <c r="L466" s="235"/>
      <c r="M466" s="235"/>
      <c r="N466" s="235"/>
    </row>
    <row r="467" spans="1:14" ht="13.8">
      <c r="A467" s="235"/>
      <c r="B467" s="235"/>
      <c r="C467" s="235"/>
      <c r="D467" s="234"/>
      <c r="E467" s="234"/>
      <c r="F467" s="234"/>
      <c r="G467" s="234"/>
      <c r="H467" s="235"/>
      <c r="I467" s="235"/>
      <c r="J467" s="235"/>
      <c r="K467" s="235"/>
      <c r="L467" s="235"/>
      <c r="M467" s="235"/>
      <c r="N467" s="235"/>
    </row>
    <row r="468" spans="1:14" ht="13.8">
      <c r="A468" s="235"/>
      <c r="B468" s="235"/>
      <c r="C468" s="235"/>
      <c r="D468" s="234"/>
      <c r="E468" s="234"/>
      <c r="F468" s="234"/>
      <c r="G468" s="234"/>
      <c r="H468" s="235"/>
      <c r="I468" s="235"/>
      <c r="J468" s="235"/>
      <c r="K468" s="235"/>
      <c r="L468" s="235"/>
      <c r="M468" s="235"/>
      <c r="N468" s="235"/>
    </row>
    <row r="469" spans="1:14" ht="13.8">
      <c r="A469" s="235"/>
      <c r="B469" s="235"/>
      <c r="C469" s="235"/>
      <c r="D469" s="234"/>
      <c r="E469" s="234"/>
      <c r="F469" s="234"/>
      <c r="G469" s="234"/>
      <c r="H469" s="235"/>
      <c r="I469" s="235"/>
      <c r="J469" s="235"/>
      <c r="K469" s="235"/>
      <c r="L469" s="235"/>
      <c r="M469" s="235"/>
      <c r="N469" s="235"/>
    </row>
    <row r="470" spans="1:14" ht="13.8">
      <c r="A470" s="235"/>
      <c r="B470" s="235"/>
      <c r="C470" s="235"/>
      <c r="D470" s="234"/>
      <c r="E470" s="234"/>
      <c r="F470" s="234"/>
      <c r="G470" s="234"/>
      <c r="H470" s="235"/>
      <c r="I470" s="235"/>
      <c r="J470" s="235"/>
      <c r="K470" s="235"/>
      <c r="L470" s="235"/>
      <c r="M470" s="235"/>
      <c r="N470" s="235"/>
    </row>
    <row r="471" spans="1:14" ht="13.8">
      <c r="A471" s="235"/>
      <c r="B471" s="235"/>
      <c r="C471" s="235"/>
      <c r="D471" s="234"/>
      <c r="E471" s="234"/>
      <c r="F471" s="234"/>
      <c r="G471" s="234"/>
      <c r="H471" s="235"/>
      <c r="I471" s="235"/>
      <c r="J471" s="235"/>
      <c r="K471" s="235"/>
      <c r="L471" s="235"/>
      <c r="M471" s="235"/>
      <c r="N471" s="235"/>
    </row>
    <row r="472" spans="1:14" ht="13.8">
      <c r="A472" s="235"/>
      <c r="B472" s="235"/>
      <c r="C472" s="235"/>
      <c r="D472" s="234"/>
      <c r="E472" s="234"/>
      <c r="F472" s="234"/>
      <c r="G472" s="234"/>
      <c r="H472" s="235"/>
      <c r="I472" s="235"/>
      <c r="J472" s="235"/>
      <c r="K472" s="235"/>
      <c r="L472" s="235"/>
      <c r="M472" s="235"/>
      <c r="N472" s="235"/>
    </row>
    <row r="473" spans="1:14" ht="13.8">
      <c r="A473" s="235"/>
      <c r="B473" s="235"/>
      <c r="C473" s="235"/>
      <c r="D473" s="234"/>
      <c r="E473" s="234"/>
      <c r="F473" s="234"/>
      <c r="G473" s="234"/>
      <c r="H473" s="235"/>
      <c r="I473" s="235"/>
      <c r="J473" s="235"/>
      <c r="K473" s="235"/>
      <c r="L473" s="235"/>
      <c r="M473" s="235"/>
      <c r="N473" s="235"/>
    </row>
    <row r="474" spans="1:14" ht="13.8">
      <c r="A474" s="235"/>
      <c r="B474" s="235"/>
      <c r="C474" s="235"/>
      <c r="D474" s="234"/>
      <c r="E474" s="234"/>
      <c r="F474" s="234"/>
      <c r="G474" s="234"/>
      <c r="H474" s="235"/>
      <c r="I474" s="235"/>
      <c r="J474" s="235"/>
      <c r="K474" s="235"/>
      <c r="L474" s="235"/>
      <c r="M474" s="235"/>
      <c r="N474" s="235"/>
    </row>
    <row r="475" spans="1:14" ht="13.8">
      <c r="A475" s="235"/>
      <c r="B475" s="235"/>
      <c r="C475" s="235"/>
      <c r="D475" s="234"/>
      <c r="E475" s="234"/>
      <c r="F475" s="234"/>
      <c r="G475" s="234"/>
      <c r="H475" s="235"/>
      <c r="I475" s="235"/>
      <c r="J475" s="235"/>
      <c r="K475" s="235"/>
      <c r="L475" s="235"/>
      <c r="M475" s="235"/>
      <c r="N475" s="235"/>
    </row>
    <row r="476" spans="1:14" ht="13.8">
      <c r="A476" s="235"/>
      <c r="B476" s="235"/>
      <c r="C476" s="235"/>
      <c r="D476" s="234"/>
      <c r="E476" s="234"/>
      <c r="F476" s="234"/>
      <c r="G476" s="234"/>
      <c r="H476" s="235"/>
      <c r="I476" s="235"/>
      <c r="J476" s="235"/>
      <c r="K476" s="235"/>
      <c r="L476" s="235"/>
      <c r="M476" s="235"/>
      <c r="N476" s="235"/>
    </row>
    <row r="477" spans="1:14" ht="13.8">
      <c r="A477" s="235"/>
      <c r="B477" s="235"/>
      <c r="C477" s="235"/>
      <c r="D477" s="234"/>
      <c r="E477" s="234"/>
      <c r="F477" s="234"/>
      <c r="G477" s="234"/>
      <c r="H477" s="235"/>
      <c r="I477" s="235"/>
      <c r="J477" s="235"/>
      <c r="K477" s="235"/>
      <c r="L477" s="235"/>
      <c r="M477" s="235"/>
      <c r="N477" s="235"/>
    </row>
    <row r="478" spans="1:14" ht="13.8">
      <c r="A478" s="235"/>
      <c r="B478" s="235"/>
      <c r="C478" s="235"/>
      <c r="D478" s="234"/>
      <c r="E478" s="234"/>
      <c r="F478" s="234"/>
      <c r="G478" s="234"/>
      <c r="H478" s="235"/>
      <c r="I478" s="235"/>
      <c r="J478" s="235"/>
      <c r="K478" s="235"/>
      <c r="L478" s="235"/>
      <c r="M478" s="235"/>
      <c r="N478" s="235"/>
    </row>
    <row r="479" spans="1:14" ht="13.8">
      <c r="A479" s="235"/>
      <c r="B479" s="235"/>
      <c r="C479" s="235"/>
      <c r="D479" s="234"/>
      <c r="E479" s="234"/>
      <c r="F479" s="234"/>
      <c r="G479" s="234"/>
      <c r="H479" s="235"/>
      <c r="I479" s="235"/>
      <c r="J479" s="235"/>
      <c r="K479" s="235"/>
      <c r="L479" s="235"/>
      <c r="M479" s="235"/>
      <c r="N479" s="235"/>
    </row>
    <row r="480" spans="1:14" ht="13.8">
      <c r="A480" s="235"/>
      <c r="B480" s="235"/>
      <c r="C480" s="235"/>
      <c r="D480" s="234"/>
      <c r="E480" s="234"/>
      <c r="F480" s="234"/>
      <c r="G480" s="234"/>
      <c r="H480" s="235"/>
      <c r="I480" s="235"/>
      <c r="J480" s="235"/>
      <c r="K480" s="235"/>
      <c r="L480" s="235"/>
      <c r="M480" s="235"/>
      <c r="N480" s="235"/>
    </row>
    <row r="481" spans="1:14" ht="13.8">
      <c r="A481" s="235"/>
      <c r="B481" s="235"/>
      <c r="C481" s="235"/>
      <c r="D481" s="234"/>
      <c r="E481" s="234"/>
      <c r="F481" s="234"/>
      <c r="G481" s="234"/>
      <c r="H481" s="235"/>
      <c r="I481" s="235"/>
      <c r="J481" s="235"/>
      <c r="K481" s="235"/>
      <c r="L481" s="235"/>
      <c r="M481" s="235"/>
      <c r="N481" s="235"/>
    </row>
    <row r="482" spans="1:14" ht="13.8">
      <c r="A482" s="235"/>
      <c r="B482" s="235"/>
      <c r="C482" s="235"/>
      <c r="D482" s="234"/>
      <c r="E482" s="234"/>
      <c r="F482" s="234"/>
      <c r="G482" s="234"/>
      <c r="H482" s="235"/>
      <c r="I482" s="235"/>
      <c r="J482" s="235"/>
      <c r="K482" s="235"/>
      <c r="L482" s="235"/>
      <c r="M482" s="235"/>
      <c r="N482" s="235"/>
    </row>
    <row r="483" spans="1:14" ht="13.8">
      <c r="A483" s="235"/>
      <c r="B483" s="235"/>
      <c r="C483" s="235"/>
      <c r="D483" s="234"/>
      <c r="E483" s="234"/>
      <c r="F483" s="234"/>
      <c r="G483" s="234"/>
      <c r="H483" s="235"/>
      <c r="I483" s="235"/>
      <c r="J483" s="235"/>
      <c r="K483" s="235"/>
      <c r="L483" s="235"/>
      <c r="M483" s="235"/>
      <c r="N483" s="235"/>
    </row>
    <row r="484" spans="1:14" ht="13.8">
      <c r="A484" s="235"/>
      <c r="B484" s="235"/>
      <c r="C484" s="235"/>
      <c r="D484" s="234"/>
      <c r="E484" s="234"/>
      <c r="F484" s="234"/>
      <c r="G484" s="234"/>
      <c r="H484" s="235"/>
      <c r="I484" s="235"/>
      <c r="J484" s="235"/>
      <c r="K484" s="235"/>
      <c r="L484" s="235"/>
      <c r="M484" s="235"/>
      <c r="N484" s="235"/>
    </row>
    <row r="485" spans="1:14" ht="13.8">
      <c r="A485" s="235"/>
      <c r="B485" s="235"/>
      <c r="C485" s="235"/>
      <c r="D485" s="234"/>
      <c r="E485" s="234"/>
      <c r="F485" s="234"/>
      <c r="G485" s="234"/>
      <c r="H485" s="235"/>
      <c r="I485" s="235"/>
      <c r="J485" s="235"/>
      <c r="K485" s="235"/>
      <c r="L485" s="235"/>
      <c r="M485" s="235"/>
      <c r="N485" s="235"/>
    </row>
    <row r="486" spans="1:14" ht="13.8">
      <c r="A486" s="235"/>
      <c r="B486" s="235"/>
      <c r="C486" s="235"/>
      <c r="D486" s="234"/>
      <c r="E486" s="234"/>
      <c r="F486" s="234"/>
      <c r="G486" s="234"/>
      <c r="H486" s="235"/>
      <c r="I486" s="235"/>
      <c r="J486" s="235"/>
      <c r="K486" s="235"/>
      <c r="L486" s="235"/>
      <c r="M486" s="235"/>
      <c r="N486" s="235"/>
    </row>
    <row r="487" spans="1:14" ht="13.8">
      <c r="A487" s="235"/>
      <c r="B487" s="235"/>
      <c r="C487" s="235"/>
      <c r="D487" s="234"/>
      <c r="E487" s="234"/>
      <c r="F487" s="234"/>
      <c r="G487" s="234"/>
      <c r="H487" s="235"/>
      <c r="I487" s="235"/>
      <c r="J487" s="235"/>
      <c r="K487" s="235"/>
      <c r="L487" s="235"/>
      <c r="M487" s="235"/>
      <c r="N487" s="235"/>
    </row>
    <row r="488" spans="1:14" ht="13.8">
      <c r="A488" s="235"/>
      <c r="B488" s="235"/>
      <c r="C488" s="235"/>
      <c r="D488" s="234"/>
      <c r="E488" s="234"/>
      <c r="F488" s="234"/>
      <c r="G488" s="234"/>
      <c r="H488" s="235"/>
      <c r="I488" s="235"/>
      <c r="J488" s="235"/>
      <c r="K488" s="235"/>
      <c r="L488" s="235"/>
      <c r="M488" s="235"/>
      <c r="N488" s="235"/>
    </row>
    <row r="489" spans="1:14" ht="13.8">
      <c r="A489" s="235"/>
      <c r="B489" s="235"/>
      <c r="C489" s="235"/>
      <c r="D489" s="234"/>
      <c r="E489" s="234"/>
      <c r="F489" s="234"/>
      <c r="G489" s="234"/>
      <c r="H489" s="235"/>
      <c r="I489" s="235"/>
      <c r="J489" s="235"/>
      <c r="K489" s="235"/>
      <c r="L489" s="235"/>
      <c r="M489" s="235"/>
      <c r="N489" s="235"/>
    </row>
    <row r="490" spans="1:14" ht="13.8">
      <c r="A490" s="235"/>
      <c r="B490" s="235"/>
      <c r="C490" s="235"/>
      <c r="D490" s="234"/>
      <c r="E490" s="234"/>
      <c r="F490" s="234"/>
      <c r="G490" s="234"/>
      <c r="H490" s="235"/>
      <c r="I490" s="235"/>
      <c r="J490" s="235"/>
      <c r="K490" s="235"/>
      <c r="L490" s="235"/>
      <c r="M490" s="235"/>
      <c r="N490" s="235"/>
    </row>
    <row r="491" spans="1:14" ht="13.8">
      <c r="A491" s="235"/>
      <c r="B491" s="235"/>
      <c r="C491" s="235"/>
      <c r="D491" s="234"/>
      <c r="E491" s="234"/>
      <c r="F491" s="234"/>
      <c r="G491" s="234"/>
      <c r="H491" s="235"/>
      <c r="I491" s="235"/>
      <c r="J491" s="235"/>
      <c r="K491" s="235"/>
      <c r="L491" s="235"/>
      <c r="M491" s="235"/>
      <c r="N491" s="235"/>
    </row>
    <row r="492" spans="1:14" ht="13.8">
      <c r="A492" s="235"/>
      <c r="B492" s="235"/>
      <c r="C492" s="235"/>
      <c r="D492" s="234"/>
      <c r="E492" s="234"/>
      <c r="F492" s="234"/>
      <c r="G492" s="234"/>
      <c r="H492" s="235"/>
      <c r="I492" s="235"/>
      <c r="J492" s="235"/>
      <c r="K492" s="235"/>
      <c r="L492" s="235"/>
      <c r="M492" s="235"/>
      <c r="N492" s="235"/>
    </row>
    <row r="493" spans="1:14" ht="13.8">
      <c r="A493" s="235"/>
      <c r="B493" s="235"/>
      <c r="C493" s="235"/>
      <c r="D493" s="234"/>
      <c r="E493" s="234"/>
      <c r="F493" s="234"/>
      <c r="G493" s="234"/>
      <c r="H493" s="235"/>
      <c r="I493" s="235"/>
      <c r="J493" s="235"/>
      <c r="K493" s="235"/>
      <c r="L493" s="235"/>
      <c r="M493" s="235"/>
      <c r="N493" s="235"/>
    </row>
    <row r="494" spans="1:14" ht="13.8">
      <c r="A494" s="235"/>
      <c r="B494" s="235"/>
      <c r="C494" s="235"/>
      <c r="D494" s="234"/>
      <c r="E494" s="234"/>
      <c r="F494" s="234"/>
      <c r="G494" s="234"/>
      <c r="H494" s="235"/>
      <c r="I494" s="235"/>
      <c r="J494" s="235"/>
      <c r="K494" s="235"/>
      <c r="L494" s="235"/>
      <c r="M494" s="235"/>
      <c r="N494" s="235"/>
    </row>
    <row r="495" spans="1:14" ht="13.8">
      <c r="A495" s="235"/>
      <c r="B495" s="235"/>
      <c r="C495" s="235"/>
      <c r="D495" s="234"/>
      <c r="E495" s="234"/>
      <c r="F495" s="234"/>
      <c r="G495" s="234"/>
      <c r="H495" s="235"/>
      <c r="I495" s="235"/>
      <c r="J495" s="235"/>
      <c r="K495" s="235"/>
      <c r="L495" s="235"/>
      <c r="M495" s="235"/>
      <c r="N495" s="235"/>
    </row>
    <row r="496" spans="1:14" ht="13.8">
      <c r="A496" s="235"/>
      <c r="B496" s="235"/>
      <c r="C496" s="235"/>
      <c r="D496" s="234"/>
      <c r="E496" s="234"/>
      <c r="F496" s="234"/>
      <c r="G496" s="234"/>
      <c r="H496" s="235"/>
      <c r="I496" s="235"/>
      <c r="J496" s="235"/>
      <c r="K496" s="235"/>
      <c r="L496" s="235"/>
      <c r="M496" s="235"/>
      <c r="N496" s="235"/>
    </row>
    <row r="497" spans="1:14" ht="13.8">
      <c r="A497" s="235"/>
      <c r="B497" s="235"/>
      <c r="C497" s="235"/>
      <c r="D497" s="234"/>
      <c r="E497" s="234"/>
      <c r="F497" s="234"/>
      <c r="G497" s="234"/>
      <c r="H497" s="235"/>
      <c r="I497" s="235"/>
      <c r="J497" s="235"/>
      <c r="K497" s="235"/>
      <c r="L497" s="235"/>
      <c r="M497" s="235"/>
      <c r="N497" s="235"/>
    </row>
    <row r="498" spans="1:14" ht="13.8">
      <c r="A498" s="235"/>
      <c r="B498" s="235"/>
      <c r="C498" s="235"/>
      <c r="D498" s="234"/>
      <c r="E498" s="234"/>
      <c r="F498" s="234"/>
      <c r="G498" s="234"/>
      <c r="H498" s="235"/>
      <c r="I498" s="235"/>
      <c r="J498" s="235"/>
      <c r="K498" s="235"/>
      <c r="L498" s="235"/>
      <c r="M498" s="235"/>
      <c r="N498" s="235"/>
    </row>
    <row r="499" spans="1:14" ht="13.8">
      <c r="A499" s="235"/>
      <c r="B499" s="235"/>
      <c r="C499" s="235"/>
      <c r="D499" s="234"/>
      <c r="E499" s="234"/>
      <c r="F499" s="234"/>
      <c r="G499" s="234"/>
      <c r="H499" s="235"/>
      <c r="I499" s="235"/>
      <c r="J499" s="235"/>
      <c r="K499" s="235"/>
      <c r="L499" s="235"/>
      <c r="M499" s="235"/>
      <c r="N499" s="235"/>
    </row>
    <row r="500" spans="1:14" ht="13.8">
      <c r="A500" s="235"/>
      <c r="B500" s="235"/>
      <c r="C500" s="235"/>
      <c r="D500" s="234"/>
      <c r="E500" s="234"/>
      <c r="F500" s="234"/>
      <c r="G500" s="234"/>
      <c r="H500" s="235"/>
      <c r="I500" s="235"/>
      <c r="J500" s="235"/>
      <c r="K500" s="235"/>
      <c r="L500" s="235"/>
      <c r="M500" s="235"/>
      <c r="N500" s="235"/>
    </row>
    <row r="501" spans="1:14" ht="13.8">
      <c r="A501" s="235"/>
      <c r="B501" s="235"/>
      <c r="C501" s="235"/>
      <c r="D501" s="234"/>
      <c r="E501" s="234"/>
      <c r="F501" s="234"/>
      <c r="G501" s="234"/>
      <c r="H501" s="235"/>
      <c r="I501" s="235"/>
      <c r="J501" s="235"/>
      <c r="K501" s="235"/>
      <c r="L501" s="235"/>
      <c r="M501" s="235"/>
      <c r="N501" s="235"/>
    </row>
    <row r="502" spans="1:14" ht="13.8">
      <c r="A502" s="235"/>
      <c r="B502" s="235"/>
      <c r="C502" s="235"/>
      <c r="D502" s="234"/>
      <c r="E502" s="234"/>
      <c r="F502" s="234"/>
      <c r="G502" s="234"/>
      <c r="H502" s="235"/>
      <c r="I502" s="235"/>
      <c r="J502" s="235"/>
      <c r="K502" s="235"/>
      <c r="L502" s="235"/>
      <c r="M502" s="235"/>
      <c r="N502" s="235"/>
    </row>
    <row r="503" spans="1:14" ht="13.8">
      <c r="A503" s="235"/>
      <c r="B503" s="235"/>
      <c r="C503" s="235"/>
      <c r="D503" s="234"/>
      <c r="E503" s="234"/>
      <c r="F503" s="234"/>
      <c r="G503" s="234"/>
      <c r="H503" s="235"/>
      <c r="I503" s="235"/>
      <c r="J503" s="235"/>
      <c r="K503" s="235"/>
      <c r="L503" s="235"/>
      <c r="M503" s="235"/>
      <c r="N503" s="235"/>
    </row>
    <row r="504" spans="1:14" ht="13.8">
      <c r="A504" s="235"/>
      <c r="B504" s="235"/>
      <c r="C504" s="235"/>
      <c r="D504" s="234"/>
      <c r="E504" s="234"/>
      <c r="F504" s="234"/>
      <c r="G504" s="234"/>
      <c r="H504" s="235"/>
      <c r="I504" s="235"/>
      <c r="J504" s="235"/>
      <c r="K504" s="235"/>
      <c r="L504" s="235"/>
      <c r="M504" s="235"/>
      <c r="N504" s="235"/>
    </row>
    <row r="505" spans="1:14" ht="13.8">
      <c r="A505" s="235"/>
      <c r="B505" s="235"/>
      <c r="C505" s="235"/>
      <c r="D505" s="234"/>
      <c r="E505" s="234"/>
      <c r="F505" s="234"/>
      <c r="G505" s="234"/>
      <c r="H505" s="235"/>
      <c r="I505" s="235"/>
      <c r="J505" s="235"/>
      <c r="K505" s="235"/>
      <c r="L505" s="235"/>
      <c r="M505" s="235"/>
      <c r="N505" s="235"/>
    </row>
    <row r="506" spans="1:14" ht="13.8">
      <c r="A506" s="235"/>
      <c r="B506" s="235"/>
      <c r="C506" s="235"/>
      <c r="D506" s="234"/>
      <c r="E506" s="234"/>
      <c r="F506" s="234"/>
      <c r="G506" s="234"/>
      <c r="H506" s="235"/>
      <c r="I506" s="235"/>
      <c r="J506" s="235"/>
      <c r="K506" s="235"/>
      <c r="L506" s="235"/>
      <c r="M506" s="235"/>
      <c r="N506" s="235"/>
    </row>
    <row r="507" spans="1:14" ht="13.8">
      <c r="A507" s="235"/>
      <c r="B507" s="235"/>
      <c r="C507" s="235"/>
      <c r="D507" s="234"/>
      <c r="E507" s="234"/>
      <c r="F507" s="234"/>
      <c r="G507" s="234"/>
      <c r="H507" s="235"/>
      <c r="I507" s="235"/>
      <c r="J507" s="235"/>
      <c r="K507" s="235"/>
      <c r="L507" s="235"/>
      <c r="M507" s="235"/>
      <c r="N507" s="235"/>
    </row>
    <row r="508" spans="1:14" ht="13.8">
      <c r="A508" s="235"/>
      <c r="B508" s="235"/>
      <c r="C508" s="235"/>
      <c r="D508" s="234"/>
      <c r="E508" s="234"/>
      <c r="F508" s="234"/>
      <c r="G508" s="234"/>
      <c r="H508" s="235"/>
      <c r="I508" s="235"/>
      <c r="J508" s="235"/>
      <c r="K508" s="235"/>
      <c r="L508" s="235"/>
      <c r="M508" s="235"/>
      <c r="N508" s="235"/>
    </row>
    <row r="509" spans="1:14" ht="13.8">
      <c r="A509" s="235"/>
      <c r="B509" s="235"/>
      <c r="C509" s="235"/>
      <c r="D509" s="234"/>
      <c r="E509" s="234"/>
      <c r="F509" s="234"/>
      <c r="G509" s="234"/>
      <c r="H509" s="235"/>
      <c r="I509" s="235"/>
      <c r="J509" s="235"/>
      <c r="K509" s="235"/>
      <c r="L509" s="235"/>
      <c r="M509" s="235"/>
      <c r="N509" s="235"/>
    </row>
    <row r="510" spans="1:14" ht="13.8">
      <c r="A510" s="235"/>
      <c r="B510" s="235"/>
      <c r="C510" s="235"/>
      <c r="D510" s="234"/>
      <c r="E510" s="234"/>
      <c r="F510" s="234"/>
      <c r="G510" s="234"/>
      <c r="H510" s="235"/>
      <c r="I510" s="235"/>
      <c r="J510" s="235"/>
      <c r="K510" s="235"/>
      <c r="L510" s="235"/>
      <c r="M510" s="235"/>
      <c r="N510" s="235"/>
    </row>
    <row r="511" spans="1:14" ht="13.8">
      <c r="A511" s="235"/>
      <c r="B511" s="235"/>
      <c r="C511" s="235"/>
      <c r="D511" s="234"/>
      <c r="E511" s="234"/>
      <c r="F511" s="234"/>
      <c r="G511" s="234"/>
      <c r="H511" s="235"/>
      <c r="I511" s="235"/>
      <c r="J511" s="235"/>
      <c r="K511" s="235"/>
      <c r="L511" s="235"/>
      <c r="M511" s="235"/>
      <c r="N511" s="235"/>
    </row>
    <row r="512" spans="1:14" ht="13.8">
      <c r="A512" s="235"/>
      <c r="B512" s="235"/>
      <c r="C512" s="235"/>
      <c r="D512" s="234"/>
      <c r="E512" s="234"/>
      <c r="F512" s="234"/>
      <c r="G512" s="234"/>
      <c r="H512" s="235"/>
      <c r="I512" s="235"/>
      <c r="J512" s="235"/>
      <c r="K512" s="235"/>
      <c r="L512" s="235"/>
      <c r="M512" s="235"/>
      <c r="N512" s="235"/>
    </row>
    <row r="513" spans="1:14" ht="13.8">
      <c r="A513" s="235"/>
      <c r="B513" s="235"/>
      <c r="C513" s="235"/>
      <c r="D513" s="234"/>
      <c r="E513" s="234"/>
      <c r="F513" s="234"/>
      <c r="G513" s="234"/>
      <c r="H513" s="235"/>
      <c r="I513" s="235"/>
      <c r="J513" s="235"/>
      <c r="K513" s="235"/>
      <c r="L513" s="235"/>
      <c r="M513" s="235"/>
      <c r="N513" s="235"/>
    </row>
    <row r="514" spans="1:14" ht="13.8">
      <c r="A514" s="235"/>
      <c r="B514" s="235"/>
      <c r="C514" s="235"/>
      <c r="D514" s="234"/>
      <c r="E514" s="234"/>
      <c r="F514" s="234"/>
      <c r="G514" s="234"/>
      <c r="H514" s="235"/>
      <c r="I514" s="235"/>
      <c r="J514" s="235"/>
      <c r="K514" s="235"/>
      <c r="L514" s="235"/>
      <c r="M514" s="235"/>
      <c r="N514" s="235"/>
    </row>
    <row r="515" spans="1:14" ht="13.8">
      <c r="A515" s="235"/>
      <c r="B515" s="235"/>
      <c r="C515" s="235"/>
      <c r="D515" s="234"/>
      <c r="E515" s="234"/>
      <c r="F515" s="234"/>
      <c r="G515" s="234"/>
      <c r="H515" s="235"/>
      <c r="I515" s="235"/>
      <c r="J515" s="235"/>
      <c r="K515" s="235"/>
      <c r="L515" s="235"/>
      <c r="M515" s="235"/>
      <c r="N515" s="235"/>
    </row>
    <row r="516" spans="1:14" ht="13.8">
      <c r="A516" s="235"/>
      <c r="B516" s="235"/>
      <c r="C516" s="235"/>
      <c r="D516" s="234"/>
      <c r="E516" s="234"/>
      <c r="F516" s="234"/>
      <c r="G516" s="234"/>
      <c r="H516" s="235"/>
      <c r="I516" s="235"/>
      <c r="J516" s="235"/>
      <c r="K516" s="235"/>
      <c r="L516" s="235"/>
      <c r="M516" s="235"/>
      <c r="N516" s="235"/>
    </row>
    <row r="517" spans="1:14" ht="13.8">
      <c r="A517" s="235"/>
      <c r="B517" s="235"/>
      <c r="C517" s="235"/>
      <c r="D517" s="234"/>
      <c r="E517" s="234"/>
      <c r="F517" s="234"/>
      <c r="G517" s="234"/>
      <c r="H517" s="235"/>
      <c r="I517" s="235"/>
      <c r="J517" s="235"/>
      <c r="K517" s="235"/>
      <c r="L517" s="235"/>
      <c r="M517" s="235"/>
      <c r="N517" s="235"/>
    </row>
    <row r="518" spans="1:14" ht="13.8">
      <c r="A518" s="235"/>
      <c r="B518" s="235"/>
      <c r="C518" s="235"/>
      <c r="D518" s="234"/>
      <c r="E518" s="234"/>
      <c r="F518" s="234"/>
      <c r="G518" s="234"/>
      <c r="H518" s="235"/>
      <c r="I518" s="235"/>
      <c r="J518" s="235"/>
      <c r="K518" s="235"/>
      <c r="L518" s="235"/>
      <c r="M518" s="235"/>
      <c r="N518" s="235"/>
    </row>
    <row r="519" spans="1:14" ht="13.8">
      <c r="A519" s="235"/>
      <c r="B519" s="235"/>
      <c r="C519" s="235"/>
      <c r="D519" s="234"/>
      <c r="E519" s="234"/>
      <c r="F519" s="234"/>
      <c r="G519" s="234"/>
      <c r="H519" s="235"/>
      <c r="I519" s="235"/>
      <c r="J519" s="235"/>
      <c r="K519" s="235"/>
      <c r="L519" s="235"/>
      <c r="M519" s="235"/>
      <c r="N519" s="235"/>
    </row>
    <row r="520" spans="1:14" ht="13.8">
      <c r="A520" s="235"/>
      <c r="B520" s="235"/>
      <c r="C520" s="235"/>
      <c r="D520" s="234"/>
      <c r="E520" s="234"/>
      <c r="F520" s="234"/>
      <c r="G520" s="234"/>
      <c r="H520" s="235"/>
      <c r="I520" s="235"/>
      <c r="J520" s="235"/>
      <c r="K520" s="235"/>
      <c r="L520" s="235"/>
      <c r="M520" s="235"/>
      <c r="N520" s="235"/>
    </row>
    <row r="521" spans="1:14" ht="13.8">
      <c r="A521" s="235"/>
      <c r="B521" s="235"/>
      <c r="C521" s="235"/>
      <c r="D521" s="234"/>
      <c r="E521" s="234"/>
      <c r="F521" s="234"/>
      <c r="G521" s="234"/>
      <c r="H521" s="235"/>
      <c r="I521" s="235"/>
      <c r="J521" s="235"/>
      <c r="K521" s="235"/>
      <c r="L521" s="235"/>
      <c r="M521" s="235"/>
      <c r="N521" s="235"/>
    </row>
    <row r="522" spans="1:14" ht="13.8">
      <c r="A522" s="235"/>
      <c r="B522" s="235"/>
      <c r="C522" s="235"/>
      <c r="D522" s="234"/>
      <c r="E522" s="234"/>
      <c r="F522" s="234"/>
      <c r="G522" s="234"/>
      <c r="H522" s="235"/>
      <c r="I522" s="235"/>
      <c r="J522" s="235"/>
      <c r="K522" s="235"/>
      <c r="L522" s="235"/>
      <c r="M522" s="235"/>
      <c r="N522" s="235"/>
    </row>
    <row r="523" spans="1:14" ht="13.8">
      <c r="A523" s="235"/>
      <c r="B523" s="235"/>
      <c r="C523" s="235"/>
      <c r="D523" s="234"/>
      <c r="E523" s="234"/>
      <c r="F523" s="234"/>
      <c r="G523" s="234"/>
      <c r="H523" s="235"/>
      <c r="I523" s="235"/>
      <c r="J523" s="235"/>
      <c r="K523" s="235"/>
      <c r="L523" s="235"/>
      <c r="M523" s="235"/>
      <c r="N523" s="235"/>
    </row>
    <row r="524" spans="1:14" ht="13.8">
      <c r="A524" s="235"/>
      <c r="B524" s="235"/>
      <c r="C524" s="235"/>
      <c r="D524" s="234"/>
      <c r="E524" s="234"/>
      <c r="F524" s="234"/>
      <c r="G524" s="234"/>
      <c r="H524" s="235"/>
      <c r="I524" s="235"/>
      <c r="J524" s="235"/>
      <c r="K524" s="235"/>
      <c r="L524" s="235"/>
      <c r="M524" s="235"/>
      <c r="N524" s="235"/>
    </row>
    <row r="525" spans="1:14" ht="13.8">
      <c r="A525" s="235"/>
      <c r="B525" s="235"/>
      <c r="C525" s="235"/>
      <c r="D525" s="234"/>
      <c r="E525" s="234"/>
      <c r="F525" s="234"/>
      <c r="G525" s="234"/>
      <c r="H525" s="235"/>
      <c r="I525" s="235"/>
      <c r="J525" s="235"/>
      <c r="K525" s="235"/>
      <c r="L525" s="235"/>
      <c r="M525" s="235"/>
      <c r="N525" s="235"/>
    </row>
    <row r="526" spans="1:14" ht="13.8">
      <c r="A526" s="235"/>
      <c r="B526" s="235"/>
      <c r="C526" s="235"/>
      <c r="D526" s="234"/>
      <c r="E526" s="234"/>
      <c r="F526" s="234"/>
      <c r="G526" s="234"/>
      <c r="H526" s="235"/>
      <c r="I526" s="235"/>
      <c r="J526" s="235"/>
      <c r="K526" s="235"/>
      <c r="L526" s="235"/>
      <c r="M526" s="235"/>
      <c r="N526" s="235"/>
    </row>
    <row r="527" spans="1:14" ht="13.8">
      <c r="A527" s="235"/>
      <c r="B527" s="235"/>
      <c r="C527" s="235"/>
      <c r="D527" s="234"/>
      <c r="E527" s="234"/>
      <c r="F527" s="234"/>
      <c r="G527" s="234"/>
      <c r="H527" s="235"/>
      <c r="I527" s="235"/>
      <c r="J527" s="235"/>
      <c r="K527" s="235"/>
      <c r="L527" s="235"/>
      <c r="M527" s="235"/>
      <c r="N527" s="235"/>
    </row>
    <row r="528" spans="1:14" ht="13.8">
      <c r="A528" s="235"/>
      <c r="B528" s="235"/>
      <c r="C528" s="235"/>
      <c r="D528" s="234"/>
      <c r="E528" s="234"/>
      <c r="F528" s="234"/>
      <c r="G528" s="234"/>
      <c r="H528" s="235"/>
      <c r="I528" s="235"/>
      <c r="J528" s="235"/>
      <c r="K528" s="235"/>
      <c r="L528" s="235"/>
      <c r="M528" s="235"/>
      <c r="N528" s="235"/>
    </row>
    <row r="529" spans="1:14" ht="13.8">
      <c r="A529" s="235"/>
      <c r="B529" s="235"/>
      <c r="C529" s="235"/>
      <c r="D529" s="234"/>
      <c r="E529" s="234"/>
      <c r="F529" s="234"/>
      <c r="G529" s="234"/>
      <c r="H529" s="235"/>
      <c r="I529" s="235"/>
      <c r="J529" s="235"/>
      <c r="K529" s="235"/>
      <c r="L529" s="235"/>
      <c r="M529" s="235"/>
      <c r="N529" s="235"/>
    </row>
    <row r="530" spans="1:14" ht="13.8">
      <c r="A530" s="235"/>
      <c r="B530" s="235"/>
      <c r="C530" s="235"/>
      <c r="D530" s="234"/>
      <c r="E530" s="234"/>
      <c r="F530" s="234"/>
      <c r="G530" s="234"/>
      <c r="H530" s="235"/>
      <c r="I530" s="235"/>
      <c r="J530" s="235"/>
      <c r="K530" s="235"/>
      <c r="L530" s="235"/>
      <c r="M530" s="235"/>
      <c r="N530" s="235"/>
    </row>
    <row r="531" spans="1:14" ht="13.8">
      <c r="A531" s="235"/>
      <c r="B531" s="235"/>
      <c r="C531" s="235"/>
      <c r="D531" s="234"/>
      <c r="E531" s="234"/>
      <c r="F531" s="234"/>
      <c r="G531" s="234"/>
      <c r="H531" s="235"/>
      <c r="I531" s="235"/>
      <c r="J531" s="235"/>
      <c r="K531" s="235"/>
      <c r="L531" s="235"/>
      <c r="M531" s="235"/>
      <c r="N531" s="235"/>
    </row>
    <row r="532" spans="1:14" ht="13.8">
      <c r="A532" s="235"/>
      <c r="B532" s="235"/>
      <c r="C532" s="235"/>
      <c r="D532" s="234"/>
      <c r="E532" s="234"/>
      <c r="F532" s="234"/>
      <c r="G532" s="234"/>
      <c r="H532" s="235"/>
      <c r="I532" s="235"/>
      <c r="J532" s="235"/>
      <c r="K532" s="235"/>
      <c r="L532" s="235"/>
      <c r="M532" s="235"/>
      <c r="N532" s="235"/>
    </row>
    <row r="533" spans="1:14" ht="13.8">
      <c r="A533" s="235"/>
      <c r="B533" s="235"/>
      <c r="C533" s="235"/>
      <c r="D533" s="234"/>
      <c r="E533" s="234"/>
      <c r="F533" s="234"/>
      <c r="G533" s="234"/>
      <c r="H533" s="235"/>
      <c r="I533" s="235"/>
      <c r="J533" s="235"/>
      <c r="K533" s="235"/>
      <c r="L533" s="235"/>
      <c r="M533" s="235"/>
      <c r="N533" s="235"/>
    </row>
    <row r="534" spans="1:14" ht="13.8">
      <c r="A534" s="235"/>
      <c r="B534" s="235"/>
      <c r="C534" s="235"/>
      <c r="D534" s="234"/>
      <c r="E534" s="234"/>
      <c r="F534" s="234"/>
      <c r="G534" s="234"/>
      <c r="H534" s="235"/>
      <c r="I534" s="235"/>
      <c r="J534" s="235"/>
      <c r="K534" s="235"/>
      <c r="L534" s="235"/>
      <c r="M534" s="235"/>
      <c r="N534" s="235"/>
    </row>
    <row r="535" spans="1:14" ht="13.8">
      <c r="A535" s="235"/>
      <c r="B535" s="235"/>
      <c r="C535" s="235"/>
      <c r="D535" s="234"/>
      <c r="E535" s="234"/>
      <c r="F535" s="234"/>
      <c r="G535" s="234"/>
      <c r="H535" s="235"/>
      <c r="I535" s="235"/>
      <c r="J535" s="235"/>
      <c r="K535" s="235"/>
      <c r="L535" s="235"/>
      <c r="M535" s="235"/>
      <c r="N535" s="235"/>
    </row>
    <row r="536" spans="1:14" ht="13.8">
      <c r="A536" s="235"/>
      <c r="B536" s="235"/>
      <c r="C536" s="235"/>
      <c r="D536" s="234"/>
      <c r="E536" s="234"/>
      <c r="F536" s="234"/>
      <c r="G536" s="234"/>
      <c r="H536" s="235"/>
      <c r="I536" s="235"/>
      <c r="J536" s="235"/>
      <c r="K536" s="235"/>
      <c r="L536" s="235"/>
      <c r="M536" s="235"/>
      <c r="N536" s="235"/>
    </row>
    <row r="537" spans="1:14" ht="13.8">
      <c r="A537" s="235"/>
      <c r="B537" s="235"/>
      <c r="C537" s="235"/>
      <c r="D537" s="234"/>
      <c r="E537" s="234"/>
      <c r="F537" s="234"/>
      <c r="G537" s="234"/>
      <c r="H537" s="235"/>
      <c r="I537" s="235"/>
      <c r="J537" s="235"/>
      <c r="K537" s="235"/>
      <c r="L537" s="235"/>
      <c r="M537" s="235"/>
      <c r="N537" s="235"/>
    </row>
    <row r="538" spans="1:14" ht="13.8">
      <c r="A538" s="235"/>
      <c r="B538" s="235"/>
      <c r="C538" s="235"/>
      <c r="D538" s="234"/>
      <c r="E538" s="234"/>
      <c r="F538" s="234"/>
      <c r="G538" s="234"/>
      <c r="H538" s="235"/>
      <c r="I538" s="235"/>
      <c r="J538" s="235"/>
      <c r="K538" s="235"/>
      <c r="L538" s="235"/>
      <c r="M538" s="235"/>
      <c r="N538" s="235"/>
    </row>
    <row r="539" spans="1:14" ht="13.8">
      <c r="A539" s="235"/>
      <c r="B539" s="235"/>
      <c r="C539" s="235"/>
      <c r="D539" s="234"/>
      <c r="E539" s="234"/>
      <c r="F539" s="234"/>
      <c r="G539" s="234"/>
      <c r="H539" s="235"/>
      <c r="I539" s="235"/>
      <c r="J539" s="235"/>
      <c r="K539" s="235"/>
      <c r="L539" s="235"/>
      <c r="M539" s="235"/>
      <c r="N539" s="235"/>
    </row>
    <row r="540" spans="1:14" ht="13.8">
      <c r="A540" s="235"/>
      <c r="B540" s="235"/>
      <c r="C540" s="235"/>
      <c r="D540" s="234"/>
      <c r="E540" s="234"/>
      <c r="F540" s="234"/>
      <c r="G540" s="234"/>
      <c r="H540" s="235"/>
      <c r="I540" s="235"/>
      <c r="J540" s="235"/>
      <c r="K540" s="235"/>
      <c r="L540" s="235"/>
      <c r="M540" s="235"/>
      <c r="N540" s="235"/>
    </row>
    <row r="541" spans="1:14" ht="13.8">
      <c r="A541" s="235"/>
      <c r="B541" s="235"/>
      <c r="C541" s="235"/>
      <c r="D541" s="234"/>
      <c r="E541" s="234"/>
      <c r="F541" s="234"/>
      <c r="G541" s="234"/>
      <c r="H541" s="235"/>
      <c r="I541" s="235"/>
      <c r="J541" s="235"/>
      <c r="K541" s="235"/>
      <c r="L541" s="235"/>
      <c r="M541" s="235"/>
      <c r="N541" s="235"/>
    </row>
    <row r="542" spans="1:14" ht="13.8">
      <c r="A542" s="235"/>
      <c r="B542" s="235"/>
      <c r="C542" s="235"/>
      <c r="D542" s="234"/>
      <c r="E542" s="234"/>
      <c r="F542" s="234"/>
      <c r="G542" s="234"/>
      <c r="H542" s="235"/>
      <c r="I542" s="235"/>
      <c r="J542" s="235"/>
      <c r="K542" s="235"/>
      <c r="L542" s="235"/>
      <c r="M542" s="235"/>
      <c r="N542" s="235"/>
    </row>
    <row r="543" spans="1:14" ht="13.8">
      <c r="A543" s="235"/>
      <c r="B543" s="235"/>
      <c r="C543" s="235"/>
      <c r="D543" s="234"/>
      <c r="E543" s="234"/>
      <c r="F543" s="234"/>
      <c r="G543" s="234"/>
      <c r="H543" s="235"/>
      <c r="I543" s="235"/>
      <c r="J543" s="235"/>
      <c r="K543" s="235"/>
      <c r="L543" s="235"/>
      <c r="M543" s="235"/>
      <c r="N543" s="235"/>
    </row>
    <row r="544" spans="1:14" ht="13.8">
      <c r="A544" s="235"/>
      <c r="B544" s="235"/>
      <c r="C544" s="235"/>
      <c r="D544" s="234"/>
      <c r="E544" s="234"/>
      <c r="F544" s="234"/>
      <c r="G544" s="234"/>
      <c r="H544" s="235"/>
      <c r="I544" s="235"/>
      <c r="J544" s="235"/>
      <c r="K544" s="235"/>
      <c r="L544" s="235"/>
      <c r="M544" s="235"/>
      <c r="N544" s="235"/>
    </row>
    <row r="545" spans="1:14" ht="13.8">
      <c r="A545" s="235"/>
      <c r="B545" s="235"/>
      <c r="C545" s="235"/>
      <c r="D545" s="234"/>
      <c r="E545" s="234"/>
      <c r="F545" s="234"/>
      <c r="G545" s="234"/>
      <c r="H545" s="235"/>
      <c r="I545" s="235"/>
      <c r="J545" s="235"/>
      <c r="K545" s="235"/>
      <c r="L545" s="235"/>
      <c r="M545" s="235"/>
      <c r="N545" s="235"/>
    </row>
    <row r="546" spans="1:14" ht="13.8">
      <c r="A546" s="235"/>
      <c r="B546" s="235"/>
      <c r="C546" s="235"/>
      <c r="D546" s="234"/>
      <c r="E546" s="234"/>
      <c r="F546" s="234"/>
      <c r="G546" s="234"/>
      <c r="H546" s="235"/>
      <c r="I546" s="235"/>
      <c r="J546" s="235"/>
      <c r="K546" s="235"/>
      <c r="L546" s="235"/>
      <c r="M546" s="235"/>
      <c r="N546" s="235"/>
    </row>
    <row r="547" spans="1:14" ht="13.8">
      <c r="A547" s="235"/>
      <c r="B547" s="235"/>
      <c r="C547" s="235"/>
      <c r="D547" s="234"/>
      <c r="E547" s="234"/>
      <c r="F547" s="234"/>
      <c r="G547" s="234"/>
      <c r="H547" s="235"/>
      <c r="I547" s="235"/>
      <c r="J547" s="235"/>
      <c r="K547" s="235"/>
      <c r="L547" s="235"/>
      <c r="M547" s="235"/>
      <c r="N547" s="235"/>
    </row>
    <row r="548" spans="1:14" ht="13.8">
      <c r="A548" s="235"/>
      <c r="B548" s="235"/>
      <c r="C548" s="235"/>
      <c r="D548" s="234"/>
      <c r="E548" s="234"/>
      <c r="F548" s="234"/>
      <c r="G548" s="234"/>
      <c r="H548" s="235"/>
      <c r="I548" s="235"/>
      <c r="J548" s="235"/>
      <c r="K548" s="235"/>
      <c r="L548" s="235"/>
      <c r="M548" s="235"/>
      <c r="N548" s="235"/>
    </row>
    <row r="549" spans="1:14" ht="13.8">
      <c r="A549" s="235"/>
      <c r="B549" s="235"/>
      <c r="C549" s="235"/>
      <c r="D549" s="234"/>
      <c r="E549" s="234"/>
      <c r="F549" s="234"/>
      <c r="G549" s="234"/>
      <c r="H549" s="235"/>
      <c r="I549" s="235"/>
      <c r="J549" s="235"/>
      <c r="K549" s="235"/>
      <c r="L549" s="235"/>
      <c r="M549" s="235"/>
      <c r="N549" s="235"/>
    </row>
    <row r="550" spans="1:14" ht="13.8">
      <c r="A550" s="235"/>
      <c r="B550" s="235"/>
      <c r="C550" s="235"/>
      <c r="D550" s="234"/>
      <c r="E550" s="234"/>
      <c r="F550" s="234"/>
      <c r="G550" s="234"/>
      <c r="H550" s="235"/>
      <c r="I550" s="235"/>
      <c r="J550" s="235"/>
      <c r="K550" s="235"/>
      <c r="L550" s="235"/>
      <c r="M550" s="235"/>
      <c r="N550" s="235"/>
    </row>
    <row r="551" spans="1:14" ht="13.8">
      <c r="A551" s="235"/>
      <c r="B551" s="235"/>
      <c r="C551" s="235"/>
      <c r="D551" s="234"/>
      <c r="E551" s="234"/>
      <c r="F551" s="234"/>
      <c r="G551" s="234"/>
      <c r="H551" s="235"/>
      <c r="I551" s="235"/>
      <c r="J551" s="235"/>
      <c r="K551" s="235"/>
      <c r="L551" s="235"/>
      <c r="M551" s="235"/>
      <c r="N551" s="235"/>
    </row>
    <row r="552" spans="1:14" ht="13.8">
      <c r="A552" s="235"/>
      <c r="B552" s="235"/>
      <c r="C552" s="235"/>
      <c r="D552" s="234"/>
      <c r="E552" s="234"/>
      <c r="F552" s="234"/>
      <c r="G552" s="234"/>
      <c r="H552" s="235"/>
      <c r="I552" s="235"/>
      <c r="J552" s="235"/>
      <c r="K552" s="235"/>
      <c r="L552" s="235"/>
      <c r="M552" s="235"/>
      <c r="N552" s="235"/>
    </row>
    <row r="553" spans="1:14" ht="13.8">
      <c r="A553" s="235"/>
      <c r="B553" s="235"/>
      <c r="C553" s="235"/>
      <c r="D553" s="234"/>
      <c r="E553" s="234"/>
      <c r="F553" s="234"/>
      <c r="G553" s="234"/>
      <c r="H553" s="235"/>
      <c r="I553" s="235"/>
      <c r="J553" s="235"/>
      <c r="K553" s="235"/>
      <c r="L553" s="235"/>
      <c r="M553" s="235"/>
      <c r="N553" s="235"/>
    </row>
    <row r="554" spans="1:14" ht="13.8">
      <c r="A554" s="235"/>
      <c r="B554" s="235"/>
      <c r="C554" s="235"/>
      <c r="D554" s="234"/>
      <c r="E554" s="234"/>
      <c r="F554" s="234"/>
      <c r="G554" s="234"/>
      <c r="H554" s="235"/>
      <c r="I554" s="235"/>
      <c r="J554" s="235"/>
      <c r="K554" s="235"/>
      <c r="L554" s="235"/>
      <c r="M554" s="235"/>
      <c r="N554" s="235"/>
    </row>
    <row r="555" spans="1:14" ht="13.8">
      <c r="A555" s="235"/>
      <c r="B555" s="235"/>
      <c r="C555" s="235"/>
      <c r="D555" s="234"/>
      <c r="E555" s="234"/>
      <c r="F555" s="234"/>
      <c r="G555" s="234"/>
      <c r="H555" s="235"/>
      <c r="I555" s="235"/>
      <c r="J555" s="235"/>
      <c r="K555" s="235"/>
      <c r="L555" s="235"/>
      <c r="M555" s="235"/>
      <c r="N555" s="235"/>
    </row>
    <row r="556" spans="1:14" ht="13.8">
      <c r="A556" s="235"/>
      <c r="B556" s="235"/>
      <c r="C556" s="235"/>
      <c r="D556" s="234"/>
      <c r="E556" s="234"/>
      <c r="F556" s="234"/>
      <c r="G556" s="234"/>
      <c r="H556" s="235"/>
      <c r="I556" s="235"/>
      <c r="J556" s="235"/>
      <c r="K556" s="235"/>
      <c r="L556" s="235"/>
      <c r="M556" s="235"/>
      <c r="N556" s="235"/>
    </row>
    <row r="557" spans="1:14" ht="13.8">
      <c r="A557" s="235"/>
      <c r="B557" s="235"/>
      <c r="C557" s="235"/>
      <c r="D557" s="234"/>
      <c r="E557" s="234"/>
      <c r="F557" s="234"/>
      <c r="G557" s="234"/>
      <c r="H557" s="235"/>
      <c r="I557" s="235"/>
      <c r="J557" s="235"/>
      <c r="K557" s="235"/>
      <c r="L557" s="235"/>
      <c r="M557" s="235"/>
      <c r="N557" s="235"/>
    </row>
    <row r="558" spans="1:14" ht="13.8">
      <c r="A558" s="235"/>
      <c r="B558" s="235"/>
      <c r="C558" s="235"/>
      <c r="D558" s="234"/>
      <c r="E558" s="234"/>
      <c r="F558" s="234"/>
      <c r="G558" s="234"/>
      <c r="H558" s="235"/>
      <c r="I558" s="235"/>
      <c r="J558" s="235"/>
      <c r="K558" s="235"/>
      <c r="L558" s="235"/>
      <c r="M558" s="235"/>
      <c r="N558" s="235"/>
    </row>
    <row r="559" spans="1:14" ht="13.8">
      <c r="A559" s="235"/>
      <c r="B559" s="235"/>
      <c r="C559" s="235"/>
      <c r="D559" s="234"/>
      <c r="E559" s="234"/>
      <c r="F559" s="234"/>
      <c r="G559" s="234"/>
      <c r="H559" s="235"/>
      <c r="I559" s="235"/>
      <c r="J559" s="235"/>
      <c r="K559" s="235"/>
      <c r="L559" s="235"/>
      <c r="M559" s="235"/>
      <c r="N559" s="235"/>
    </row>
    <row r="560" spans="1:14" ht="13.8">
      <c r="A560" s="235"/>
      <c r="B560" s="235"/>
      <c r="C560" s="235"/>
      <c r="D560" s="234"/>
      <c r="E560" s="234"/>
      <c r="F560" s="234"/>
      <c r="G560" s="234"/>
      <c r="H560" s="235"/>
      <c r="I560" s="235"/>
      <c r="J560" s="235"/>
      <c r="K560" s="235"/>
      <c r="L560" s="235"/>
      <c r="M560" s="235"/>
      <c r="N560" s="235"/>
    </row>
    <row r="561" spans="1:14" ht="13.8">
      <c r="A561" s="235"/>
      <c r="B561" s="235"/>
      <c r="C561" s="235"/>
      <c r="D561" s="234"/>
      <c r="E561" s="234"/>
      <c r="F561" s="234"/>
      <c r="G561" s="234"/>
      <c r="H561" s="235"/>
      <c r="I561" s="235"/>
      <c r="J561" s="235"/>
      <c r="K561" s="235"/>
      <c r="L561" s="235"/>
      <c r="M561" s="235"/>
      <c r="N561" s="235"/>
    </row>
    <row r="562" spans="1:14" ht="13.8">
      <c r="A562" s="235"/>
      <c r="B562" s="235"/>
      <c r="C562" s="235"/>
      <c r="D562" s="234"/>
      <c r="E562" s="234"/>
      <c r="F562" s="234"/>
      <c r="G562" s="234"/>
      <c r="H562" s="235"/>
      <c r="I562" s="235"/>
      <c r="J562" s="235"/>
      <c r="K562" s="235"/>
      <c r="L562" s="235"/>
      <c r="M562" s="235"/>
      <c r="N562" s="235"/>
    </row>
    <row r="563" spans="1:14" ht="13.8">
      <c r="A563" s="235"/>
      <c r="B563" s="235"/>
      <c r="C563" s="235"/>
      <c r="D563" s="234"/>
      <c r="E563" s="234"/>
      <c r="F563" s="234"/>
      <c r="G563" s="234"/>
      <c r="H563" s="235"/>
      <c r="I563" s="235"/>
      <c r="J563" s="235"/>
      <c r="K563" s="235"/>
      <c r="L563" s="235"/>
      <c r="M563" s="235"/>
      <c r="N563" s="235"/>
    </row>
    <row r="564" spans="1:14" ht="13.8">
      <c r="A564" s="235"/>
      <c r="B564" s="235"/>
      <c r="C564" s="235"/>
      <c r="D564" s="234"/>
      <c r="E564" s="234"/>
      <c r="F564" s="234"/>
      <c r="G564" s="234"/>
      <c r="H564" s="235"/>
      <c r="I564" s="235"/>
      <c r="J564" s="235"/>
      <c r="K564" s="235"/>
      <c r="L564" s="235"/>
      <c r="M564" s="235"/>
      <c r="N564" s="235"/>
    </row>
    <row r="565" spans="1:14" ht="13.8">
      <c r="A565" s="235"/>
      <c r="B565" s="235"/>
      <c r="C565" s="235"/>
      <c r="D565" s="234"/>
      <c r="E565" s="234"/>
      <c r="F565" s="234"/>
      <c r="G565" s="234"/>
      <c r="H565" s="235"/>
      <c r="I565" s="235"/>
      <c r="J565" s="235"/>
      <c r="K565" s="235"/>
      <c r="L565" s="235"/>
      <c r="M565" s="235"/>
      <c r="N565" s="235"/>
    </row>
    <row r="566" spans="1:14" ht="13.8">
      <c r="A566" s="235"/>
      <c r="B566" s="235"/>
      <c r="C566" s="235"/>
      <c r="D566" s="234"/>
      <c r="E566" s="234"/>
      <c r="F566" s="234"/>
      <c r="G566" s="234"/>
      <c r="H566" s="235"/>
      <c r="I566" s="235"/>
      <c r="J566" s="235"/>
      <c r="K566" s="235"/>
      <c r="L566" s="235"/>
      <c r="M566" s="235"/>
      <c r="N566" s="235"/>
    </row>
    <row r="567" spans="1:14" ht="13.8">
      <c r="A567" s="235"/>
      <c r="B567" s="235"/>
      <c r="C567" s="235"/>
      <c r="D567" s="234"/>
      <c r="E567" s="234"/>
      <c r="F567" s="234"/>
      <c r="G567" s="234"/>
      <c r="H567" s="235"/>
      <c r="I567" s="235"/>
      <c r="J567" s="235"/>
      <c r="K567" s="235"/>
      <c r="L567" s="235"/>
      <c r="M567" s="235"/>
      <c r="N567" s="235"/>
    </row>
    <row r="568" spans="1:14" ht="13.8">
      <c r="A568" s="235"/>
      <c r="B568" s="235"/>
      <c r="C568" s="235"/>
      <c r="D568" s="234"/>
      <c r="E568" s="234"/>
      <c r="F568" s="234"/>
      <c r="G568" s="234"/>
      <c r="H568" s="235"/>
      <c r="I568" s="235"/>
      <c r="J568" s="235"/>
      <c r="K568" s="235"/>
      <c r="L568" s="235"/>
      <c r="M568" s="235"/>
      <c r="N568" s="235"/>
    </row>
    <row r="569" spans="1:14" ht="13.8">
      <c r="A569" s="235"/>
      <c r="B569" s="235"/>
      <c r="C569" s="235"/>
      <c r="D569" s="234"/>
      <c r="E569" s="234"/>
      <c r="F569" s="234"/>
      <c r="G569" s="234"/>
      <c r="H569" s="235"/>
      <c r="I569" s="235"/>
      <c r="J569" s="235"/>
      <c r="K569" s="235"/>
      <c r="L569" s="235"/>
      <c r="M569" s="235"/>
      <c r="N569" s="235"/>
    </row>
    <row r="570" spans="1:14" ht="13.8">
      <c r="A570" s="235"/>
      <c r="B570" s="235"/>
      <c r="C570" s="235"/>
      <c r="D570" s="234"/>
      <c r="E570" s="234"/>
      <c r="F570" s="234"/>
      <c r="G570" s="234"/>
      <c r="H570" s="235"/>
      <c r="I570" s="235"/>
      <c r="J570" s="235"/>
      <c r="K570" s="235"/>
      <c r="L570" s="235"/>
      <c r="M570" s="235"/>
      <c r="N570" s="235"/>
    </row>
    <row r="571" spans="1:14" ht="13.8">
      <c r="A571" s="235"/>
      <c r="B571" s="235"/>
      <c r="C571" s="235"/>
      <c r="D571" s="234"/>
      <c r="E571" s="234"/>
      <c r="F571" s="234"/>
      <c r="G571" s="234"/>
      <c r="H571" s="235"/>
      <c r="I571" s="235"/>
      <c r="J571" s="235"/>
      <c r="K571" s="235"/>
      <c r="L571" s="235"/>
      <c r="M571" s="235"/>
      <c r="N571" s="235"/>
    </row>
    <row r="572" spans="1:14" ht="13.8">
      <c r="A572" s="235"/>
      <c r="B572" s="235"/>
      <c r="C572" s="235"/>
      <c r="D572" s="234"/>
      <c r="E572" s="234"/>
      <c r="F572" s="234"/>
      <c r="G572" s="234"/>
      <c r="H572" s="235"/>
      <c r="I572" s="235"/>
      <c r="J572" s="235"/>
      <c r="K572" s="235"/>
      <c r="L572" s="235"/>
      <c r="M572" s="235"/>
      <c r="N572" s="235"/>
    </row>
    <row r="573" spans="1:14" ht="13.8">
      <c r="A573" s="235"/>
      <c r="B573" s="235"/>
      <c r="C573" s="235"/>
      <c r="D573" s="234"/>
      <c r="E573" s="234"/>
      <c r="F573" s="234"/>
      <c r="G573" s="234"/>
      <c r="H573" s="235"/>
      <c r="I573" s="235"/>
      <c r="J573" s="235"/>
      <c r="K573" s="235"/>
      <c r="L573" s="235"/>
      <c r="M573" s="235"/>
      <c r="N573" s="235"/>
    </row>
    <row r="574" spans="1:14" ht="13.8">
      <c r="A574" s="235"/>
      <c r="B574" s="235"/>
      <c r="C574" s="235"/>
      <c r="D574" s="234"/>
      <c r="E574" s="234"/>
      <c r="F574" s="234"/>
      <c r="G574" s="234"/>
      <c r="H574" s="235"/>
      <c r="I574" s="235"/>
      <c r="J574" s="235"/>
      <c r="K574" s="235"/>
      <c r="L574" s="235"/>
      <c r="M574" s="235"/>
      <c r="N574" s="235"/>
    </row>
    <row r="575" spans="1:14" ht="13.8">
      <c r="A575" s="235"/>
      <c r="B575" s="235"/>
      <c r="C575" s="235"/>
      <c r="D575" s="234"/>
      <c r="E575" s="234"/>
      <c r="F575" s="234"/>
      <c r="G575" s="234"/>
      <c r="H575" s="235"/>
      <c r="I575" s="235"/>
      <c r="J575" s="235"/>
      <c r="K575" s="235"/>
      <c r="L575" s="235"/>
      <c r="M575" s="235"/>
      <c r="N575" s="235"/>
    </row>
    <row r="576" spans="1:14" ht="13.8">
      <c r="A576" s="235"/>
      <c r="B576" s="235"/>
      <c r="C576" s="235"/>
      <c r="D576" s="234"/>
      <c r="E576" s="234"/>
      <c r="F576" s="234"/>
      <c r="G576" s="234"/>
      <c r="H576" s="235"/>
      <c r="I576" s="235"/>
      <c r="J576" s="235"/>
      <c r="K576" s="235"/>
      <c r="L576" s="235"/>
      <c r="M576" s="235"/>
      <c r="N576" s="235"/>
    </row>
    <row r="577" spans="1:14" ht="13.8">
      <c r="A577" s="235"/>
      <c r="B577" s="235"/>
      <c r="C577" s="235"/>
      <c r="D577" s="234"/>
      <c r="E577" s="234"/>
      <c r="F577" s="234"/>
      <c r="G577" s="234"/>
      <c r="H577" s="235"/>
      <c r="I577" s="235"/>
      <c r="J577" s="235"/>
      <c r="K577" s="235"/>
      <c r="L577" s="235"/>
      <c r="M577" s="235"/>
      <c r="N577" s="235"/>
    </row>
    <row r="578" spans="1:14" ht="13.8">
      <c r="A578" s="235"/>
      <c r="B578" s="235"/>
      <c r="C578" s="235"/>
      <c r="D578" s="234"/>
      <c r="E578" s="234"/>
      <c r="F578" s="234"/>
      <c r="G578" s="234"/>
      <c r="H578" s="235"/>
      <c r="I578" s="235"/>
      <c r="J578" s="235"/>
      <c r="K578" s="235"/>
      <c r="L578" s="235"/>
      <c r="M578" s="235"/>
      <c r="N578" s="235"/>
    </row>
    <row r="579" spans="1:14" ht="13.8">
      <c r="A579" s="235"/>
      <c r="B579" s="235"/>
      <c r="C579" s="235"/>
      <c r="D579" s="234"/>
      <c r="E579" s="234"/>
      <c r="F579" s="234"/>
      <c r="G579" s="234"/>
      <c r="H579" s="235"/>
      <c r="I579" s="235"/>
      <c r="J579" s="235"/>
      <c r="K579" s="235"/>
      <c r="L579" s="235"/>
      <c r="M579" s="235"/>
      <c r="N579" s="235"/>
    </row>
    <row r="580" spans="1:14" ht="13.8">
      <c r="A580" s="235"/>
      <c r="B580" s="235"/>
      <c r="C580" s="235"/>
      <c r="D580" s="234"/>
      <c r="E580" s="234"/>
      <c r="F580" s="234"/>
      <c r="G580" s="234"/>
      <c r="H580" s="235"/>
      <c r="I580" s="235"/>
      <c r="J580" s="235"/>
      <c r="K580" s="235"/>
      <c r="L580" s="235"/>
      <c r="M580" s="235"/>
      <c r="N580" s="235"/>
    </row>
    <row r="581" spans="1:14" ht="13.8">
      <c r="A581" s="235"/>
      <c r="B581" s="235"/>
      <c r="C581" s="235"/>
      <c r="D581" s="234"/>
      <c r="E581" s="234"/>
      <c r="F581" s="234"/>
      <c r="G581" s="234"/>
      <c r="H581" s="235"/>
      <c r="I581" s="235"/>
      <c r="J581" s="235"/>
      <c r="K581" s="235"/>
      <c r="L581" s="235"/>
      <c r="M581" s="235"/>
      <c r="N581" s="235"/>
    </row>
    <row r="582" spans="1:14" ht="13.8">
      <c r="A582" s="235"/>
      <c r="B582" s="235"/>
      <c r="C582" s="235"/>
      <c r="D582" s="234"/>
      <c r="E582" s="234"/>
      <c r="F582" s="234"/>
      <c r="G582" s="234"/>
      <c r="H582" s="235"/>
      <c r="I582" s="235"/>
      <c r="J582" s="235"/>
      <c r="K582" s="235"/>
      <c r="L582" s="235"/>
      <c r="M582" s="235"/>
      <c r="N582" s="235"/>
    </row>
    <row r="583" spans="1:14" ht="13.8">
      <c r="A583" s="235"/>
      <c r="B583" s="235"/>
      <c r="C583" s="235"/>
      <c r="D583" s="234"/>
      <c r="E583" s="234"/>
      <c r="F583" s="234"/>
      <c r="G583" s="234"/>
      <c r="H583" s="235"/>
      <c r="I583" s="235"/>
      <c r="J583" s="235"/>
      <c r="K583" s="235"/>
      <c r="L583" s="235"/>
      <c r="M583" s="235"/>
      <c r="N583" s="235"/>
    </row>
    <row r="584" spans="1:14" ht="13.8">
      <c r="A584" s="235"/>
      <c r="B584" s="235"/>
      <c r="C584" s="235"/>
      <c r="D584" s="234"/>
      <c r="E584" s="234"/>
      <c r="F584" s="234"/>
      <c r="G584" s="234"/>
      <c r="H584" s="235"/>
      <c r="I584" s="235"/>
      <c r="J584" s="235"/>
      <c r="K584" s="235"/>
      <c r="L584" s="235"/>
      <c r="M584" s="235"/>
      <c r="N584" s="235"/>
    </row>
    <row r="585" spans="1:14" ht="13.8">
      <c r="A585" s="235"/>
      <c r="B585" s="235"/>
      <c r="C585" s="235"/>
      <c r="D585" s="234"/>
      <c r="E585" s="234"/>
      <c r="F585" s="234"/>
      <c r="G585" s="234"/>
      <c r="H585" s="235"/>
      <c r="I585" s="235"/>
      <c r="J585" s="235"/>
      <c r="K585" s="235"/>
      <c r="L585" s="235"/>
      <c r="M585" s="235"/>
      <c r="N585" s="235"/>
    </row>
    <row r="586" spans="1:14" ht="13.8">
      <c r="A586" s="235"/>
      <c r="B586" s="235"/>
      <c r="C586" s="235"/>
      <c r="D586" s="234"/>
      <c r="E586" s="234"/>
      <c r="F586" s="234"/>
      <c r="G586" s="234"/>
      <c r="H586" s="235"/>
      <c r="I586" s="235"/>
      <c r="J586" s="235"/>
      <c r="K586" s="235"/>
      <c r="L586" s="235"/>
      <c r="M586" s="235"/>
      <c r="N586" s="235"/>
    </row>
    <row r="587" spans="1:14" ht="13.8">
      <c r="A587" s="235"/>
      <c r="B587" s="235"/>
      <c r="C587" s="235"/>
      <c r="D587" s="234"/>
      <c r="E587" s="234"/>
      <c r="F587" s="234"/>
      <c r="G587" s="234"/>
      <c r="H587" s="235"/>
      <c r="I587" s="235"/>
      <c r="J587" s="235"/>
      <c r="K587" s="235"/>
      <c r="L587" s="235"/>
      <c r="M587" s="235"/>
      <c r="N587" s="235"/>
    </row>
    <row r="588" spans="1:14" ht="13.8">
      <c r="A588" s="235"/>
      <c r="B588" s="235"/>
      <c r="C588" s="235"/>
      <c r="D588" s="234"/>
      <c r="E588" s="234"/>
      <c r="F588" s="234"/>
      <c r="G588" s="234"/>
      <c r="H588" s="235"/>
      <c r="I588" s="235"/>
      <c r="J588" s="235"/>
      <c r="K588" s="235"/>
      <c r="L588" s="235"/>
      <c r="M588" s="235"/>
      <c r="N588" s="235"/>
    </row>
    <row r="589" spans="1:14" ht="13.8">
      <c r="A589" s="235"/>
      <c r="B589" s="235"/>
      <c r="C589" s="235"/>
      <c r="D589" s="234"/>
      <c r="E589" s="234"/>
      <c r="F589" s="234"/>
      <c r="G589" s="234"/>
      <c r="H589" s="235"/>
      <c r="I589" s="235"/>
      <c r="J589" s="235"/>
      <c r="K589" s="235"/>
      <c r="L589" s="235"/>
      <c r="M589" s="235"/>
      <c r="N589" s="235"/>
    </row>
    <row r="590" spans="1:14" ht="13.8">
      <c r="A590" s="235"/>
      <c r="B590" s="235"/>
      <c r="C590" s="235"/>
      <c r="D590" s="234"/>
      <c r="E590" s="234"/>
      <c r="F590" s="234"/>
      <c r="G590" s="234"/>
      <c r="H590" s="235"/>
      <c r="I590" s="235"/>
      <c r="J590" s="235"/>
      <c r="K590" s="235"/>
      <c r="L590" s="235"/>
      <c r="M590" s="235"/>
      <c r="N590" s="235"/>
    </row>
    <row r="591" spans="1:14" ht="13.8">
      <c r="A591" s="235"/>
      <c r="B591" s="235"/>
      <c r="C591" s="235"/>
      <c r="D591" s="234"/>
      <c r="E591" s="234"/>
      <c r="F591" s="234"/>
      <c r="G591" s="234"/>
      <c r="H591" s="235"/>
      <c r="I591" s="235"/>
      <c r="J591" s="235"/>
      <c r="K591" s="235"/>
      <c r="L591" s="235"/>
      <c r="M591" s="235"/>
      <c r="N591" s="235"/>
    </row>
    <row r="592" spans="1:14" ht="13.8">
      <c r="A592" s="235"/>
      <c r="B592" s="235"/>
      <c r="C592" s="235"/>
      <c r="D592" s="234"/>
      <c r="E592" s="234"/>
      <c r="F592" s="234"/>
      <c r="G592" s="234"/>
      <c r="H592" s="235"/>
      <c r="I592" s="235"/>
      <c r="J592" s="235"/>
      <c r="K592" s="235"/>
      <c r="L592" s="235"/>
      <c r="M592" s="235"/>
      <c r="N592" s="235"/>
    </row>
    <row r="593" spans="1:14" ht="13.8">
      <c r="A593" s="235"/>
      <c r="B593" s="235"/>
      <c r="C593" s="235"/>
      <c r="D593" s="234"/>
      <c r="E593" s="234"/>
      <c r="F593" s="234"/>
      <c r="G593" s="234"/>
      <c r="H593" s="235"/>
      <c r="I593" s="235"/>
      <c r="J593" s="235"/>
      <c r="K593" s="235"/>
      <c r="L593" s="235"/>
      <c r="M593" s="235"/>
      <c r="N593" s="235"/>
    </row>
    <row r="594" spans="1:14" ht="13.8">
      <c r="A594" s="235"/>
      <c r="B594" s="235"/>
      <c r="C594" s="235"/>
      <c r="D594" s="234"/>
      <c r="E594" s="234"/>
      <c r="F594" s="234"/>
      <c r="G594" s="234"/>
      <c r="H594" s="235"/>
      <c r="I594" s="235"/>
      <c r="J594" s="235"/>
      <c r="K594" s="235"/>
      <c r="L594" s="235"/>
      <c r="M594" s="235"/>
      <c r="N594" s="235"/>
    </row>
    <row r="595" spans="1:14" ht="13.8">
      <c r="A595" s="235"/>
      <c r="B595" s="235"/>
      <c r="C595" s="235"/>
      <c r="D595" s="234"/>
      <c r="E595" s="234"/>
      <c r="F595" s="234"/>
      <c r="G595" s="234"/>
      <c r="H595" s="235"/>
      <c r="I595" s="235"/>
      <c r="J595" s="235"/>
      <c r="K595" s="235"/>
      <c r="L595" s="235"/>
      <c r="M595" s="235"/>
      <c r="N595" s="235"/>
    </row>
    <row r="596" spans="1:14" ht="13.8">
      <c r="A596" s="235"/>
      <c r="B596" s="235"/>
      <c r="C596" s="235"/>
      <c r="D596" s="234"/>
      <c r="E596" s="234"/>
      <c r="F596" s="234"/>
      <c r="G596" s="234"/>
      <c r="H596" s="235"/>
      <c r="I596" s="235"/>
      <c r="J596" s="235"/>
      <c r="K596" s="235"/>
      <c r="L596" s="235"/>
      <c r="M596" s="235"/>
      <c r="N596" s="235"/>
    </row>
    <row r="597" spans="1:14" ht="13.8">
      <c r="A597" s="235"/>
      <c r="B597" s="235"/>
      <c r="C597" s="235"/>
      <c r="D597" s="234"/>
      <c r="E597" s="234"/>
      <c r="F597" s="234"/>
      <c r="G597" s="234"/>
      <c r="H597" s="235"/>
      <c r="I597" s="235"/>
      <c r="J597" s="235"/>
      <c r="K597" s="235"/>
      <c r="L597" s="235"/>
      <c r="M597" s="235"/>
      <c r="N597" s="235"/>
    </row>
    <row r="598" spans="1:14" ht="13.8">
      <c r="A598" s="235"/>
      <c r="B598" s="235"/>
      <c r="C598" s="235"/>
      <c r="D598" s="234"/>
      <c r="E598" s="234"/>
      <c r="F598" s="234"/>
      <c r="G598" s="234"/>
      <c r="H598" s="235"/>
      <c r="I598" s="235"/>
      <c r="J598" s="235"/>
      <c r="K598" s="235"/>
      <c r="L598" s="235"/>
      <c r="M598" s="235"/>
      <c r="N598" s="235"/>
    </row>
    <row r="599" spans="1:14" ht="13.8">
      <c r="A599" s="235"/>
      <c r="B599" s="235"/>
      <c r="C599" s="235"/>
      <c r="D599" s="234"/>
      <c r="E599" s="234"/>
      <c r="F599" s="234"/>
      <c r="G599" s="234"/>
      <c r="H599" s="235"/>
      <c r="I599" s="235"/>
      <c r="J599" s="235"/>
      <c r="K599" s="235"/>
      <c r="L599" s="235"/>
      <c r="M599" s="235"/>
      <c r="N599" s="235"/>
    </row>
    <row r="600" spans="1:14" ht="13.8">
      <c r="A600" s="235"/>
      <c r="B600" s="235"/>
      <c r="C600" s="235"/>
      <c r="D600" s="234"/>
      <c r="E600" s="234"/>
      <c r="F600" s="234"/>
      <c r="G600" s="234"/>
      <c r="H600" s="235"/>
      <c r="I600" s="235"/>
      <c r="J600" s="235"/>
      <c r="K600" s="235"/>
      <c r="L600" s="235"/>
      <c r="M600" s="235"/>
      <c r="N600" s="235"/>
    </row>
    <row r="601" spans="1:14" ht="13.8">
      <c r="A601" s="235"/>
      <c r="B601" s="235"/>
      <c r="C601" s="235"/>
      <c r="D601" s="234"/>
      <c r="E601" s="234"/>
      <c r="F601" s="234"/>
      <c r="G601" s="234"/>
      <c r="H601" s="235"/>
      <c r="I601" s="235"/>
      <c r="J601" s="235"/>
      <c r="K601" s="235"/>
      <c r="L601" s="235"/>
      <c r="M601" s="235"/>
      <c r="N601" s="235"/>
    </row>
    <row r="602" spans="1:14" ht="13.8">
      <c r="A602" s="235"/>
      <c r="B602" s="235"/>
      <c r="C602" s="235"/>
      <c r="D602" s="234"/>
      <c r="E602" s="234"/>
      <c r="F602" s="234"/>
      <c r="G602" s="234"/>
      <c r="H602" s="235"/>
      <c r="I602" s="235"/>
      <c r="J602" s="235"/>
      <c r="K602" s="235"/>
      <c r="L602" s="235"/>
      <c r="M602" s="235"/>
      <c r="N602" s="235"/>
    </row>
    <row r="603" spans="1:14" ht="13.8">
      <c r="A603" s="235"/>
      <c r="B603" s="235"/>
      <c r="C603" s="235"/>
      <c r="D603" s="234"/>
      <c r="E603" s="234"/>
      <c r="F603" s="234"/>
      <c r="G603" s="234"/>
      <c r="H603" s="235"/>
      <c r="I603" s="235"/>
      <c r="J603" s="235"/>
      <c r="K603" s="235"/>
      <c r="L603" s="235"/>
      <c r="M603" s="235"/>
      <c r="N603" s="235"/>
    </row>
    <row r="604" spans="1:14" ht="13.8">
      <c r="A604" s="235"/>
      <c r="B604" s="235"/>
      <c r="C604" s="235"/>
      <c r="D604" s="234"/>
      <c r="E604" s="234"/>
      <c r="F604" s="234"/>
      <c r="G604" s="234"/>
      <c r="H604" s="235"/>
      <c r="I604" s="235"/>
      <c r="J604" s="235"/>
      <c r="K604" s="235"/>
      <c r="L604" s="235"/>
      <c r="M604" s="235"/>
      <c r="N604" s="235"/>
    </row>
    <row r="605" spans="1:14" ht="13.8">
      <c r="A605" s="235"/>
      <c r="B605" s="235"/>
      <c r="C605" s="235"/>
      <c r="D605" s="234"/>
      <c r="E605" s="234"/>
      <c r="F605" s="234"/>
      <c r="G605" s="234"/>
      <c r="H605" s="235"/>
      <c r="I605" s="235"/>
      <c r="J605" s="235"/>
      <c r="K605" s="235"/>
      <c r="L605" s="235"/>
      <c r="M605" s="235"/>
      <c r="N605" s="235"/>
    </row>
    <row r="606" spans="1:14" ht="13.8">
      <c r="A606" s="235"/>
      <c r="B606" s="235"/>
      <c r="C606" s="235"/>
      <c r="D606" s="234"/>
      <c r="E606" s="234"/>
      <c r="F606" s="234"/>
      <c r="G606" s="234"/>
      <c r="H606" s="235"/>
      <c r="I606" s="235"/>
      <c r="J606" s="235"/>
      <c r="K606" s="235"/>
      <c r="L606" s="235"/>
      <c r="M606" s="235"/>
      <c r="N606" s="235"/>
    </row>
    <row r="607" spans="1:14" ht="13.8">
      <c r="A607" s="235"/>
      <c r="B607" s="235"/>
      <c r="C607" s="235"/>
      <c r="D607" s="234"/>
      <c r="E607" s="234"/>
      <c r="F607" s="234"/>
      <c r="G607" s="234"/>
      <c r="H607" s="235"/>
      <c r="I607" s="235"/>
      <c r="J607" s="235"/>
      <c r="K607" s="235"/>
      <c r="L607" s="235"/>
      <c r="M607" s="235"/>
      <c r="N607" s="235"/>
    </row>
    <row r="608" spans="1:14" ht="13.8">
      <c r="A608" s="235"/>
      <c r="B608" s="235"/>
      <c r="C608" s="235"/>
      <c r="D608" s="234"/>
      <c r="E608" s="234"/>
      <c r="F608" s="234"/>
      <c r="G608" s="234"/>
      <c r="H608" s="235"/>
      <c r="I608" s="235"/>
      <c r="J608" s="235"/>
      <c r="K608" s="235"/>
      <c r="L608" s="235"/>
      <c r="M608" s="235"/>
      <c r="N608" s="235"/>
    </row>
    <row r="609" spans="1:14" ht="13.8">
      <c r="A609" s="235"/>
      <c r="B609" s="235"/>
      <c r="C609" s="235"/>
      <c r="D609" s="234"/>
      <c r="E609" s="234"/>
      <c r="F609" s="234"/>
      <c r="G609" s="234"/>
      <c r="H609" s="235"/>
      <c r="I609" s="235"/>
      <c r="J609" s="235"/>
      <c r="K609" s="235"/>
      <c r="L609" s="235"/>
      <c r="M609" s="235"/>
      <c r="N609" s="235"/>
    </row>
    <row r="610" spans="1:14" ht="13.8">
      <c r="A610" s="235"/>
      <c r="B610" s="235"/>
      <c r="C610" s="235"/>
      <c r="D610" s="234"/>
      <c r="E610" s="234"/>
      <c r="F610" s="234"/>
      <c r="G610" s="234"/>
      <c r="H610" s="235"/>
      <c r="I610" s="235"/>
      <c r="J610" s="235"/>
      <c r="K610" s="235"/>
      <c r="L610" s="235"/>
      <c r="M610" s="235"/>
      <c r="N610" s="235"/>
    </row>
    <row r="611" spans="1:14" ht="13.8">
      <c r="A611" s="235"/>
      <c r="B611" s="235"/>
      <c r="C611" s="235"/>
      <c r="D611" s="234"/>
      <c r="E611" s="234"/>
      <c r="F611" s="234"/>
      <c r="G611" s="234"/>
      <c r="H611" s="235"/>
      <c r="I611" s="235"/>
      <c r="J611" s="235"/>
      <c r="K611" s="235"/>
      <c r="L611" s="235"/>
      <c r="M611" s="235"/>
      <c r="N611" s="235"/>
    </row>
    <row r="612" spans="1:14" ht="13.8">
      <c r="A612" s="235"/>
      <c r="B612" s="235"/>
      <c r="C612" s="235"/>
      <c r="D612" s="234"/>
      <c r="E612" s="234"/>
      <c r="F612" s="234"/>
      <c r="G612" s="234"/>
      <c r="H612" s="235"/>
      <c r="I612" s="235"/>
      <c r="J612" s="235"/>
      <c r="K612" s="235"/>
      <c r="L612" s="235"/>
      <c r="M612" s="235"/>
      <c r="N612" s="235"/>
    </row>
    <row r="613" spans="1:14" ht="13.8">
      <c r="A613" s="235"/>
      <c r="B613" s="235"/>
      <c r="C613" s="235"/>
      <c r="D613" s="234"/>
      <c r="E613" s="234"/>
      <c r="F613" s="234"/>
      <c r="G613" s="234"/>
      <c r="H613" s="235"/>
      <c r="I613" s="235"/>
      <c r="J613" s="235"/>
      <c r="K613" s="235"/>
      <c r="L613" s="235"/>
      <c r="M613" s="235"/>
      <c r="N613" s="235"/>
    </row>
    <row r="614" spans="1:14" ht="13.8">
      <c r="A614" s="235"/>
      <c r="B614" s="235"/>
      <c r="C614" s="235"/>
      <c r="D614" s="234"/>
      <c r="E614" s="234"/>
      <c r="F614" s="234"/>
      <c r="G614" s="234"/>
      <c r="H614" s="235"/>
      <c r="I614" s="235"/>
      <c r="J614" s="235"/>
      <c r="K614" s="235"/>
      <c r="L614" s="235"/>
      <c r="M614" s="235"/>
      <c r="N614" s="235"/>
    </row>
    <row r="615" spans="1:14" ht="13.8">
      <c r="A615" s="235"/>
      <c r="B615" s="235"/>
      <c r="C615" s="235"/>
      <c r="D615" s="234"/>
      <c r="E615" s="234"/>
      <c r="F615" s="234"/>
      <c r="G615" s="234"/>
      <c r="H615" s="235"/>
      <c r="I615" s="235"/>
      <c r="J615" s="235"/>
      <c r="K615" s="235"/>
      <c r="L615" s="235"/>
      <c r="M615" s="235"/>
      <c r="N615" s="235"/>
    </row>
    <row r="616" spans="1:14" ht="13.8">
      <c r="A616" s="235"/>
      <c r="B616" s="235"/>
      <c r="C616" s="235"/>
      <c r="D616" s="234"/>
      <c r="E616" s="234"/>
      <c r="F616" s="234"/>
      <c r="G616" s="234"/>
      <c r="H616" s="235"/>
      <c r="I616" s="235"/>
      <c r="J616" s="235"/>
      <c r="K616" s="235"/>
      <c r="L616" s="235"/>
      <c r="M616" s="235"/>
      <c r="N616" s="235"/>
    </row>
    <row r="617" spans="1:14" ht="13.8">
      <c r="A617" s="235"/>
      <c r="B617" s="235"/>
      <c r="C617" s="235"/>
      <c r="D617" s="234"/>
      <c r="E617" s="234"/>
      <c r="F617" s="234"/>
      <c r="G617" s="234"/>
      <c r="H617" s="235"/>
      <c r="I617" s="235"/>
      <c r="J617" s="235"/>
      <c r="K617" s="235"/>
      <c r="L617" s="235"/>
      <c r="M617" s="235"/>
      <c r="N617" s="235"/>
    </row>
    <row r="618" spans="1:14" ht="13.8">
      <c r="A618" s="235"/>
      <c r="B618" s="235"/>
      <c r="C618" s="235"/>
      <c r="D618" s="234"/>
      <c r="E618" s="234"/>
      <c r="F618" s="234"/>
      <c r="G618" s="234"/>
      <c r="H618" s="235"/>
      <c r="I618" s="235"/>
      <c r="J618" s="235"/>
      <c r="K618" s="235"/>
      <c r="L618" s="235"/>
      <c r="M618" s="235"/>
      <c r="N618" s="235"/>
    </row>
    <row r="619" spans="1:14" ht="13.8">
      <c r="A619" s="235"/>
      <c r="B619" s="235"/>
      <c r="C619" s="235"/>
      <c r="D619" s="234"/>
      <c r="E619" s="234"/>
      <c r="F619" s="234"/>
      <c r="G619" s="234"/>
      <c r="H619" s="235"/>
      <c r="I619" s="235"/>
      <c r="J619" s="235"/>
      <c r="K619" s="235"/>
      <c r="L619" s="235"/>
      <c r="M619" s="235"/>
      <c r="N619" s="235"/>
    </row>
    <row r="620" spans="1:14" ht="13.8">
      <c r="A620" s="235"/>
      <c r="B620" s="235"/>
      <c r="C620" s="235"/>
      <c r="D620" s="234"/>
      <c r="E620" s="234"/>
      <c r="F620" s="234"/>
      <c r="G620" s="234"/>
      <c r="H620" s="235"/>
      <c r="I620" s="235"/>
      <c r="J620" s="235"/>
      <c r="K620" s="235"/>
      <c r="L620" s="235"/>
      <c r="M620" s="235"/>
      <c r="N620" s="235"/>
    </row>
    <row r="621" spans="1:14" ht="13.8">
      <c r="A621" s="235"/>
      <c r="B621" s="235"/>
      <c r="C621" s="235"/>
      <c r="D621" s="234"/>
      <c r="E621" s="234"/>
      <c r="F621" s="234"/>
      <c r="G621" s="234"/>
      <c r="H621" s="235"/>
      <c r="I621" s="235"/>
      <c r="J621" s="235"/>
      <c r="K621" s="235"/>
      <c r="L621" s="235"/>
      <c r="M621" s="235"/>
      <c r="N621" s="235"/>
    </row>
    <row r="622" spans="1:14" ht="13.8">
      <c r="A622" s="235"/>
      <c r="B622" s="235"/>
      <c r="C622" s="235"/>
      <c r="D622" s="234"/>
      <c r="E622" s="234"/>
      <c r="F622" s="234"/>
      <c r="G622" s="234"/>
      <c r="H622" s="235"/>
      <c r="I622" s="235"/>
      <c r="J622" s="235"/>
      <c r="K622" s="235"/>
      <c r="L622" s="235"/>
      <c r="M622" s="235"/>
      <c r="N622" s="235"/>
    </row>
    <row r="623" spans="1:14" ht="13.8">
      <c r="A623" s="235"/>
      <c r="B623" s="235"/>
      <c r="C623" s="235"/>
      <c r="D623" s="234"/>
      <c r="E623" s="234"/>
      <c r="F623" s="234"/>
      <c r="G623" s="234"/>
      <c r="H623" s="235"/>
      <c r="I623" s="235"/>
      <c r="J623" s="235"/>
      <c r="K623" s="235"/>
      <c r="L623" s="235"/>
      <c r="M623" s="235"/>
      <c r="N623" s="235"/>
    </row>
    <row r="624" spans="1:14" ht="13.8">
      <c r="A624" s="235"/>
      <c r="B624" s="235"/>
      <c r="C624" s="235"/>
      <c r="D624" s="234"/>
      <c r="E624" s="234"/>
      <c r="F624" s="234"/>
      <c r="G624" s="234"/>
      <c r="H624" s="235"/>
      <c r="I624" s="235"/>
      <c r="J624" s="235"/>
      <c r="K624" s="235"/>
      <c r="L624" s="235"/>
      <c r="M624" s="235"/>
      <c r="N624" s="235"/>
    </row>
    <row r="625" spans="1:14" ht="13.8">
      <c r="A625" s="235"/>
      <c r="B625" s="235"/>
      <c r="C625" s="235"/>
      <c r="D625" s="234"/>
      <c r="E625" s="234"/>
      <c r="F625" s="234"/>
      <c r="G625" s="234"/>
      <c r="H625" s="235"/>
      <c r="I625" s="235"/>
      <c r="J625" s="235"/>
      <c r="K625" s="235"/>
      <c r="L625" s="235"/>
      <c r="M625" s="235"/>
      <c r="N625" s="235"/>
    </row>
    <row r="626" spans="1:14" ht="13.8">
      <c r="A626" s="235"/>
      <c r="B626" s="235"/>
      <c r="C626" s="235"/>
      <c r="D626" s="234"/>
      <c r="E626" s="234"/>
      <c r="F626" s="234"/>
      <c r="G626" s="234"/>
      <c r="H626" s="235"/>
      <c r="I626" s="235"/>
      <c r="J626" s="235"/>
      <c r="K626" s="235"/>
      <c r="L626" s="235"/>
      <c r="M626" s="235"/>
      <c r="N626" s="235"/>
    </row>
    <row r="627" spans="1:14" ht="13.8">
      <c r="A627" s="235"/>
      <c r="B627" s="235"/>
      <c r="C627" s="235"/>
      <c r="D627" s="234"/>
      <c r="E627" s="234"/>
      <c r="F627" s="234"/>
      <c r="G627" s="234"/>
      <c r="H627" s="235"/>
      <c r="I627" s="235"/>
      <c r="J627" s="235"/>
      <c r="K627" s="235"/>
      <c r="L627" s="235"/>
      <c r="M627" s="235"/>
      <c r="N627" s="235"/>
    </row>
    <row r="628" spans="1:14" ht="13.8">
      <c r="A628" s="235"/>
      <c r="B628" s="235"/>
      <c r="C628" s="235"/>
      <c r="D628" s="234"/>
      <c r="E628" s="234"/>
      <c r="F628" s="234"/>
      <c r="G628" s="234"/>
      <c r="H628" s="235"/>
      <c r="I628" s="235"/>
      <c r="J628" s="235"/>
      <c r="K628" s="235"/>
      <c r="L628" s="235"/>
      <c r="M628" s="235"/>
      <c r="N628" s="235"/>
    </row>
    <row r="629" spans="1:14" ht="13.8">
      <c r="A629" s="235"/>
      <c r="B629" s="235"/>
      <c r="C629" s="235"/>
      <c r="D629" s="234"/>
      <c r="E629" s="234"/>
      <c r="F629" s="234"/>
      <c r="G629" s="234"/>
      <c r="H629" s="235"/>
      <c r="I629" s="235"/>
      <c r="J629" s="235"/>
      <c r="K629" s="235"/>
      <c r="L629" s="235"/>
      <c r="M629" s="235"/>
      <c r="N629" s="235"/>
    </row>
    <row r="630" spans="1:14" ht="13.8">
      <c r="A630" s="235"/>
      <c r="B630" s="235"/>
      <c r="C630" s="235"/>
      <c r="D630" s="234"/>
      <c r="E630" s="234"/>
      <c r="F630" s="234"/>
      <c r="G630" s="234"/>
      <c r="H630" s="235"/>
      <c r="I630" s="235"/>
      <c r="J630" s="235"/>
      <c r="K630" s="235"/>
      <c r="L630" s="235"/>
      <c r="M630" s="235"/>
      <c r="N630" s="235"/>
    </row>
    <row r="631" spans="1:14" ht="13.8">
      <c r="A631" s="235"/>
      <c r="B631" s="235"/>
      <c r="C631" s="235"/>
      <c r="D631" s="234"/>
      <c r="E631" s="234"/>
      <c r="F631" s="234"/>
      <c r="G631" s="234"/>
      <c r="H631" s="235"/>
      <c r="I631" s="235"/>
      <c r="J631" s="235"/>
      <c r="K631" s="235"/>
      <c r="L631" s="235"/>
      <c r="M631" s="235"/>
      <c r="N631" s="235"/>
    </row>
    <row r="632" spans="1:14" ht="13.8">
      <c r="A632" s="235"/>
      <c r="B632" s="235"/>
      <c r="C632" s="235"/>
      <c r="D632" s="234"/>
      <c r="E632" s="234"/>
      <c r="F632" s="234"/>
      <c r="G632" s="234"/>
      <c r="H632" s="235"/>
      <c r="I632" s="235"/>
      <c r="J632" s="235"/>
      <c r="K632" s="235"/>
      <c r="L632" s="235"/>
      <c r="M632" s="235"/>
      <c r="N632" s="235"/>
    </row>
    <row r="633" spans="1:14" ht="13.8">
      <c r="A633" s="235"/>
      <c r="B633" s="235"/>
      <c r="C633" s="235"/>
      <c r="D633" s="234"/>
      <c r="E633" s="234"/>
      <c r="F633" s="234"/>
      <c r="G633" s="234"/>
      <c r="H633" s="235"/>
      <c r="I633" s="235"/>
      <c r="J633" s="235"/>
      <c r="K633" s="235"/>
      <c r="L633" s="235"/>
      <c r="M633" s="235"/>
      <c r="N633" s="235"/>
    </row>
    <row r="634" spans="1:14" ht="13.8">
      <c r="A634" s="235"/>
      <c r="B634" s="235"/>
      <c r="C634" s="235"/>
      <c r="D634" s="234"/>
      <c r="E634" s="234"/>
      <c r="F634" s="234"/>
      <c r="G634" s="234"/>
      <c r="H634" s="235"/>
      <c r="I634" s="235"/>
      <c r="J634" s="235"/>
      <c r="K634" s="235"/>
      <c r="L634" s="235"/>
      <c r="M634" s="235"/>
      <c r="N634" s="235"/>
    </row>
    <row r="635" spans="1:14" ht="13.8">
      <c r="A635" s="235"/>
      <c r="B635" s="235"/>
      <c r="C635" s="235"/>
      <c r="D635" s="234"/>
      <c r="E635" s="234"/>
      <c r="F635" s="234"/>
      <c r="G635" s="234"/>
      <c r="H635" s="235"/>
      <c r="I635" s="235"/>
      <c r="J635" s="235"/>
      <c r="K635" s="235"/>
      <c r="L635" s="235"/>
      <c r="M635" s="235"/>
      <c r="N635" s="235"/>
    </row>
    <row r="636" spans="1:14" ht="13.8">
      <c r="A636" s="235"/>
      <c r="B636" s="235"/>
      <c r="C636" s="235"/>
      <c r="D636" s="234"/>
      <c r="E636" s="234"/>
      <c r="F636" s="234"/>
      <c r="G636" s="234"/>
      <c r="H636" s="235"/>
      <c r="I636" s="235"/>
      <c r="J636" s="235"/>
      <c r="K636" s="235"/>
      <c r="L636" s="235"/>
      <c r="M636" s="235"/>
      <c r="N636" s="235"/>
    </row>
    <row r="637" spans="1:14" ht="13.8">
      <c r="A637" s="235"/>
      <c r="B637" s="235"/>
      <c r="C637" s="235"/>
      <c r="D637" s="234"/>
      <c r="E637" s="234"/>
      <c r="F637" s="234"/>
      <c r="G637" s="234"/>
      <c r="H637" s="235"/>
      <c r="I637" s="235"/>
      <c r="J637" s="235"/>
      <c r="K637" s="235"/>
      <c r="L637" s="235"/>
      <c r="M637" s="235"/>
      <c r="N637" s="235"/>
    </row>
    <row r="638" spans="1:14" ht="13.8">
      <c r="A638" s="235"/>
      <c r="B638" s="235"/>
      <c r="C638" s="235"/>
      <c r="D638" s="234"/>
      <c r="E638" s="234"/>
      <c r="F638" s="234"/>
      <c r="G638" s="234"/>
      <c r="H638" s="235"/>
      <c r="I638" s="235"/>
      <c r="J638" s="235"/>
      <c r="K638" s="235"/>
      <c r="L638" s="235"/>
      <c r="M638" s="235"/>
      <c r="N638" s="235"/>
    </row>
    <row r="639" spans="1:14" ht="13.8">
      <c r="A639" s="235"/>
      <c r="B639" s="235"/>
      <c r="C639" s="235"/>
      <c r="D639" s="234"/>
      <c r="E639" s="234"/>
      <c r="F639" s="234"/>
      <c r="G639" s="234"/>
      <c r="H639" s="235"/>
      <c r="I639" s="235"/>
      <c r="J639" s="235"/>
      <c r="K639" s="235"/>
      <c r="L639" s="235"/>
      <c r="M639" s="235"/>
      <c r="N639" s="235"/>
    </row>
    <row r="640" spans="1:14" ht="13.8">
      <c r="A640" s="235"/>
      <c r="B640" s="235"/>
      <c r="C640" s="235"/>
      <c r="D640" s="234"/>
      <c r="E640" s="234"/>
      <c r="F640" s="234"/>
      <c r="G640" s="234"/>
      <c r="H640" s="235"/>
      <c r="I640" s="235"/>
      <c r="J640" s="235"/>
      <c r="K640" s="235"/>
      <c r="L640" s="235"/>
      <c r="M640" s="235"/>
      <c r="N640" s="235"/>
    </row>
    <row r="641" spans="1:14" ht="13.8">
      <c r="A641" s="235"/>
      <c r="B641" s="235"/>
      <c r="C641" s="235"/>
      <c r="D641" s="234"/>
      <c r="E641" s="234"/>
      <c r="F641" s="234"/>
      <c r="G641" s="234"/>
      <c r="H641" s="235"/>
      <c r="I641" s="235"/>
      <c r="J641" s="235"/>
      <c r="K641" s="235"/>
      <c r="L641" s="235"/>
      <c r="M641" s="235"/>
      <c r="N641" s="235"/>
    </row>
    <row r="642" spans="1:14" ht="13.8">
      <c r="A642" s="235"/>
      <c r="B642" s="235"/>
      <c r="C642" s="235"/>
      <c r="D642" s="234"/>
      <c r="E642" s="234"/>
      <c r="F642" s="234"/>
      <c r="G642" s="234"/>
      <c r="H642" s="235"/>
      <c r="I642" s="235"/>
      <c r="J642" s="235"/>
      <c r="K642" s="235"/>
      <c r="L642" s="235"/>
      <c r="M642" s="235"/>
      <c r="N642" s="235"/>
    </row>
    <row r="643" spans="1:14" ht="13.8">
      <c r="A643" s="235"/>
      <c r="B643" s="235"/>
      <c r="C643" s="235"/>
      <c r="D643" s="234"/>
      <c r="E643" s="234"/>
      <c r="F643" s="234"/>
      <c r="G643" s="234"/>
      <c r="H643" s="235"/>
      <c r="I643" s="235"/>
      <c r="J643" s="235"/>
      <c r="K643" s="235"/>
      <c r="L643" s="235"/>
      <c r="M643" s="235"/>
      <c r="N643" s="235"/>
    </row>
    <row r="644" spans="1:14" ht="13.8">
      <c r="A644" s="235"/>
      <c r="B644" s="235"/>
      <c r="C644" s="235"/>
      <c r="D644" s="234"/>
      <c r="E644" s="234"/>
      <c r="F644" s="234"/>
      <c r="G644" s="234"/>
      <c r="H644" s="235"/>
      <c r="I644" s="235"/>
      <c r="J644" s="235"/>
      <c r="K644" s="235"/>
      <c r="L644" s="235"/>
      <c r="M644" s="235"/>
      <c r="N644" s="235"/>
    </row>
    <row r="645" spans="1:14" ht="13.8">
      <c r="A645" s="235"/>
      <c r="B645" s="235"/>
      <c r="C645" s="235"/>
      <c r="D645" s="234"/>
      <c r="E645" s="234"/>
      <c r="F645" s="234"/>
      <c r="G645" s="234"/>
      <c r="H645" s="235"/>
      <c r="I645" s="235"/>
      <c r="J645" s="235"/>
      <c r="K645" s="235"/>
      <c r="L645" s="235"/>
      <c r="M645" s="235"/>
      <c r="N645" s="235"/>
    </row>
    <row r="646" spans="1:14" ht="13.8">
      <c r="A646" s="235"/>
      <c r="B646" s="235"/>
      <c r="C646" s="235"/>
      <c r="D646" s="234"/>
      <c r="E646" s="234"/>
      <c r="F646" s="234"/>
      <c r="G646" s="234"/>
      <c r="H646" s="235"/>
      <c r="I646" s="235"/>
      <c r="J646" s="235"/>
      <c r="K646" s="235"/>
      <c r="L646" s="235"/>
      <c r="M646" s="235"/>
      <c r="N646" s="235"/>
    </row>
    <row r="647" spans="1:14" ht="13.8">
      <c r="A647" s="235"/>
      <c r="B647" s="235"/>
      <c r="C647" s="235"/>
      <c r="D647" s="234"/>
      <c r="E647" s="234"/>
      <c r="F647" s="234"/>
      <c r="G647" s="234"/>
      <c r="H647" s="235"/>
      <c r="I647" s="235"/>
      <c r="J647" s="235"/>
      <c r="K647" s="235"/>
      <c r="L647" s="235"/>
      <c r="M647" s="235"/>
      <c r="N647" s="235"/>
    </row>
    <row r="648" spans="1:14" ht="13.8">
      <c r="A648" s="235"/>
      <c r="B648" s="235"/>
      <c r="C648" s="235"/>
      <c r="D648" s="234"/>
      <c r="E648" s="234"/>
      <c r="F648" s="234"/>
      <c r="G648" s="234"/>
      <c r="H648" s="235"/>
      <c r="I648" s="235"/>
      <c r="J648" s="235"/>
      <c r="K648" s="235"/>
      <c r="L648" s="235"/>
      <c r="M648" s="235"/>
      <c r="N648" s="235"/>
    </row>
    <row r="649" spans="1:14" ht="13.8">
      <c r="A649" s="235"/>
      <c r="B649" s="235"/>
      <c r="C649" s="235"/>
      <c r="D649" s="234"/>
      <c r="E649" s="234"/>
      <c r="F649" s="234"/>
      <c r="G649" s="234"/>
      <c r="H649" s="235"/>
      <c r="I649" s="235"/>
      <c r="J649" s="235"/>
      <c r="K649" s="235"/>
      <c r="L649" s="235"/>
      <c r="M649" s="235"/>
      <c r="N649" s="235"/>
    </row>
    <row r="650" spans="1:14" ht="13.8">
      <c r="A650" s="235"/>
      <c r="B650" s="235"/>
      <c r="C650" s="235"/>
      <c r="D650" s="234"/>
      <c r="E650" s="234"/>
      <c r="F650" s="234"/>
      <c r="G650" s="234"/>
      <c r="H650" s="235"/>
      <c r="I650" s="235"/>
      <c r="J650" s="235"/>
      <c r="K650" s="235"/>
      <c r="L650" s="235"/>
      <c r="M650" s="235"/>
      <c r="N650" s="235"/>
    </row>
    <row r="651" spans="1:14" ht="13.8">
      <c r="A651" s="235"/>
      <c r="B651" s="235"/>
      <c r="C651" s="235"/>
      <c r="D651" s="234"/>
      <c r="E651" s="234"/>
      <c r="F651" s="234"/>
      <c r="G651" s="234"/>
      <c r="H651" s="235"/>
      <c r="I651" s="235"/>
      <c r="J651" s="235"/>
      <c r="K651" s="235"/>
      <c r="L651" s="235"/>
      <c r="M651" s="235"/>
      <c r="N651" s="235"/>
    </row>
    <row r="652" spans="1:14" ht="13.8">
      <c r="A652" s="235"/>
      <c r="B652" s="235"/>
      <c r="C652" s="235"/>
      <c r="D652" s="234"/>
      <c r="E652" s="234"/>
      <c r="F652" s="234"/>
      <c r="G652" s="234"/>
      <c r="H652" s="235"/>
      <c r="I652" s="235"/>
      <c r="J652" s="235"/>
      <c r="K652" s="235"/>
      <c r="L652" s="235"/>
      <c r="M652" s="235"/>
      <c r="N652" s="235"/>
    </row>
    <row r="653" spans="1:14" ht="13.8">
      <c r="A653" s="235"/>
      <c r="B653" s="235"/>
      <c r="C653" s="235"/>
      <c r="D653" s="234"/>
      <c r="E653" s="234"/>
      <c r="F653" s="234"/>
      <c r="G653" s="234"/>
      <c r="H653" s="235"/>
      <c r="I653" s="235"/>
      <c r="J653" s="235"/>
      <c r="K653" s="235"/>
      <c r="L653" s="235"/>
      <c r="M653" s="235"/>
      <c r="N653" s="235"/>
    </row>
    <row r="654" spans="1:14" ht="13.8">
      <c r="A654" s="235"/>
      <c r="B654" s="235"/>
      <c r="C654" s="235"/>
      <c r="D654" s="234"/>
      <c r="E654" s="234"/>
      <c r="F654" s="234"/>
      <c r="G654" s="234"/>
      <c r="H654" s="235"/>
      <c r="I654" s="235"/>
      <c r="J654" s="235"/>
      <c r="K654" s="235"/>
      <c r="L654" s="235"/>
      <c r="M654" s="235"/>
      <c r="N654" s="235"/>
    </row>
    <row r="655" spans="1:14" ht="13.8">
      <c r="A655" s="235"/>
      <c r="B655" s="235"/>
      <c r="C655" s="235"/>
      <c r="D655" s="234"/>
      <c r="E655" s="234"/>
      <c r="F655" s="234"/>
      <c r="G655" s="234"/>
      <c r="H655" s="235"/>
      <c r="I655" s="235"/>
      <c r="J655" s="235"/>
      <c r="K655" s="235"/>
      <c r="L655" s="235"/>
      <c r="M655" s="235"/>
      <c r="N655" s="235"/>
    </row>
    <row r="656" spans="1:14" ht="13.8">
      <c r="A656" s="235"/>
      <c r="B656" s="235"/>
      <c r="C656" s="235"/>
      <c r="D656" s="234"/>
      <c r="E656" s="234"/>
      <c r="F656" s="234"/>
      <c r="G656" s="234"/>
      <c r="H656" s="235"/>
      <c r="I656" s="235"/>
      <c r="J656" s="235"/>
      <c r="K656" s="235"/>
      <c r="L656" s="235"/>
      <c r="M656" s="235"/>
      <c r="N656" s="235"/>
    </row>
    <row r="657" spans="1:14" ht="13.8">
      <c r="A657" s="235"/>
      <c r="B657" s="235"/>
      <c r="C657" s="235"/>
      <c r="D657" s="234"/>
      <c r="E657" s="234"/>
      <c r="F657" s="234"/>
      <c r="G657" s="234"/>
      <c r="H657" s="235"/>
      <c r="I657" s="235"/>
      <c r="J657" s="235"/>
      <c r="K657" s="235"/>
      <c r="L657" s="235"/>
      <c r="M657" s="235"/>
      <c r="N657" s="235"/>
    </row>
    <row r="658" spans="1:14" ht="13.8">
      <c r="A658" s="235"/>
      <c r="B658" s="235"/>
      <c r="C658" s="235"/>
      <c r="D658" s="234"/>
      <c r="E658" s="234"/>
      <c r="F658" s="234"/>
      <c r="G658" s="234"/>
      <c r="H658" s="235"/>
      <c r="I658" s="235"/>
      <c r="J658" s="235"/>
      <c r="K658" s="235"/>
      <c r="L658" s="235"/>
      <c r="M658" s="235"/>
      <c r="N658" s="235"/>
    </row>
    <row r="659" spans="1:14" ht="13.8">
      <c r="A659" s="235"/>
      <c r="B659" s="235"/>
      <c r="C659" s="235"/>
      <c r="D659" s="234"/>
      <c r="E659" s="234"/>
      <c r="F659" s="234"/>
      <c r="G659" s="234"/>
      <c r="H659" s="235"/>
      <c r="I659" s="235"/>
      <c r="J659" s="235"/>
      <c r="K659" s="235"/>
      <c r="L659" s="235"/>
      <c r="M659" s="235"/>
      <c r="N659" s="235"/>
    </row>
    <row r="660" spans="1:14" ht="13.8">
      <c r="A660" s="235"/>
      <c r="B660" s="235"/>
      <c r="C660" s="235"/>
      <c r="D660" s="234"/>
      <c r="E660" s="234"/>
      <c r="F660" s="234"/>
      <c r="G660" s="234"/>
      <c r="H660" s="235"/>
      <c r="I660" s="235"/>
      <c r="J660" s="235"/>
      <c r="K660" s="235"/>
      <c r="L660" s="235"/>
      <c r="M660" s="235"/>
      <c r="N660" s="235"/>
    </row>
    <row r="661" spans="1:14" ht="13.8">
      <c r="A661" s="235"/>
      <c r="B661" s="235"/>
      <c r="C661" s="235"/>
      <c r="D661" s="234"/>
      <c r="E661" s="234"/>
      <c r="F661" s="234"/>
      <c r="G661" s="234"/>
      <c r="H661" s="235"/>
      <c r="I661" s="235"/>
      <c r="J661" s="235"/>
      <c r="K661" s="235"/>
      <c r="L661" s="235"/>
      <c r="M661" s="235"/>
      <c r="N661" s="235"/>
    </row>
    <row r="662" spans="1:14" ht="13.8">
      <c r="A662" s="235"/>
      <c r="B662" s="235"/>
      <c r="C662" s="235"/>
      <c r="D662" s="234"/>
      <c r="E662" s="234"/>
      <c r="F662" s="234"/>
      <c r="G662" s="234"/>
      <c r="H662" s="235"/>
      <c r="I662" s="235"/>
      <c r="J662" s="235"/>
      <c r="K662" s="235"/>
      <c r="L662" s="235"/>
      <c r="M662" s="235"/>
      <c r="N662" s="235"/>
    </row>
    <row r="663" spans="1:14" ht="13.8">
      <c r="A663" s="235"/>
      <c r="B663" s="235"/>
      <c r="C663" s="235"/>
      <c r="D663" s="234"/>
      <c r="E663" s="234"/>
      <c r="F663" s="234"/>
      <c r="G663" s="234"/>
      <c r="H663" s="235"/>
      <c r="I663" s="235"/>
      <c r="J663" s="235"/>
      <c r="K663" s="235"/>
      <c r="L663" s="235"/>
      <c r="M663" s="235"/>
      <c r="N663" s="235"/>
    </row>
    <row r="664" spans="1:14" ht="13.8">
      <c r="A664" s="235"/>
      <c r="B664" s="235"/>
      <c r="C664" s="235"/>
      <c r="D664" s="234"/>
      <c r="E664" s="234"/>
      <c r="F664" s="234"/>
      <c r="G664" s="234"/>
      <c r="H664" s="235"/>
      <c r="I664" s="235"/>
      <c r="J664" s="235"/>
      <c r="K664" s="235"/>
      <c r="L664" s="235"/>
      <c r="M664" s="235"/>
      <c r="N664" s="235"/>
    </row>
    <row r="665" spans="1:14" ht="13.8">
      <c r="A665" s="235"/>
      <c r="B665" s="235"/>
      <c r="C665" s="235"/>
      <c r="D665" s="234"/>
      <c r="E665" s="234"/>
      <c r="F665" s="234"/>
      <c r="G665" s="234"/>
      <c r="H665" s="235"/>
      <c r="I665" s="235"/>
      <c r="J665" s="235"/>
      <c r="K665" s="235"/>
      <c r="L665" s="235"/>
      <c r="M665" s="235"/>
      <c r="N665" s="235"/>
    </row>
    <row r="666" spans="1:14" ht="13.8">
      <c r="A666" s="235"/>
      <c r="B666" s="235"/>
      <c r="C666" s="235"/>
      <c r="D666" s="234"/>
      <c r="E666" s="234"/>
      <c r="F666" s="234"/>
      <c r="G666" s="234"/>
      <c r="H666" s="235"/>
      <c r="I666" s="235"/>
      <c r="J666" s="235"/>
      <c r="K666" s="235"/>
      <c r="L666" s="235"/>
      <c r="M666" s="235"/>
      <c r="N666" s="235"/>
    </row>
    <row r="667" spans="1:14" ht="13.8">
      <c r="A667" s="235"/>
      <c r="B667" s="235"/>
      <c r="C667" s="235"/>
      <c r="D667" s="234"/>
      <c r="E667" s="234"/>
      <c r="F667" s="234"/>
      <c r="G667" s="234"/>
      <c r="H667" s="235"/>
      <c r="I667" s="235"/>
      <c r="J667" s="235"/>
      <c r="K667" s="235"/>
      <c r="L667" s="235"/>
      <c r="M667" s="235"/>
      <c r="N667" s="235"/>
    </row>
    <row r="668" spans="1:14" ht="13.8">
      <c r="A668" s="235"/>
      <c r="B668" s="235"/>
      <c r="C668" s="235"/>
      <c r="D668" s="234"/>
      <c r="E668" s="234"/>
      <c r="F668" s="234"/>
      <c r="G668" s="234"/>
      <c r="H668" s="235"/>
      <c r="I668" s="235"/>
      <c r="J668" s="235"/>
      <c r="K668" s="235"/>
      <c r="L668" s="235"/>
      <c r="M668" s="235"/>
      <c r="N668" s="235"/>
    </row>
    <row r="669" spans="1:14" ht="13.8">
      <c r="A669" s="235"/>
      <c r="B669" s="235"/>
      <c r="C669" s="235"/>
      <c r="D669" s="234"/>
      <c r="E669" s="234"/>
      <c r="F669" s="234"/>
      <c r="G669" s="234"/>
      <c r="H669" s="235"/>
      <c r="I669" s="235"/>
      <c r="J669" s="235"/>
      <c r="K669" s="235"/>
      <c r="L669" s="235"/>
      <c r="M669" s="235"/>
      <c r="N669" s="235"/>
    </row>
    <row r="670" spans="1:14" ht="13.8">
      <c r="A670" s="235"/>
      <c r="B670" s="235"/>
      <c r="C670" s="235"/>
      <c r="D670" s="234"/>
      <c r="E670" s="234"/>
      <c r="F670" s="234"/>
      <c r="G670" s="234"/>
      <c r="H670" s="235"/>
      <c r="I670" s="235"/>
      <c r="J670" s="235"/>
      <c r="K670" s="235"/>
      <c r="L670" s="235"/>
      <c r="M670" s="235"/>
      <c r="N670" s="235"/>
    </row>
    <row r="671" spans="1:14" ht="13.8">
      <c r="A671" s="235"/>
      <c r="B671" s="235"/>
      <c r="C671" s="235"/>
      <c r="D671" s="234"/>
      <c r="E671" s="234"/>
      <c r="F671" s="234"/>
      <c r="G671" s="234"/>
      <c r="H671" s="235"/>
      <c r="I671" s="235"/>
      <c r="J671" s="235"/>
      <c r="K671" s="235"/>
      <c r="L671" s="235"/>
      <c r="M671" s="235"/>
      <c r="N671" s="235"/>
    </row>
    <row r="672" spans="1:14" ht="13.8">
      <c r="A672" s="235"/>
      <c r="B672" s="235"/>
      <c r="C672" s="235"/>
      <c r="D672" s="234"/>
      <c r="E672" s="234"/>
      <c r="F672" s="234"/>
      <c r="G672" s="234"/>
      <c r="H672" s="235"/>
      <c r="I672" s="235"/>
      <c r="J672" s="235"/>
      <c r="K672" s="235"/>
      <c r="L672" s="235"/>
      <c r="M672" s="235"/>
      <c r="N672" s="235"/>
    </row>
    <row r="673" spans="1:14" ht="13.8">
      <c r="A673" s="235"/>
      <c r="B673" s="235"/>
      <c r="C673" s="235"/>
      <c r="D673" s="234"/>
      <c r="E673" s="234"/>
      <c r="F673" s="234"/>
      <c r="G673" s="234"/>
      <c r="H673" s="235"/>
      <c r="I673" s="235"/>
      <c r="J673" s="235"/>
      <c r="K673" s="235"/>
      <c r="L673" s="235"/>
      <c r="M673" s="235"/>
      <c r="N673" s="235"/>
    </row>
    <row r="674" spans="1:14" ht="13.8">
      <c r="A674" s="235"/>
      <c r="B674" s="235"/>
      <c r="C674" s="235"/>
      <c r="D674" s="234"/>
      <c r="E674" s="234"/>
      <c r="F674" s="234"/>
      <c r="G674" s="234"/>
      <c r="H674" s="235"/>
      <c r="I674" s="235"/>
      <c r="J674" s="235"/>
      <c r="K674" s="235"/>
      <c r="L674" s="235"/>
      <c r="M674" s="235"/>
      <c r="N674" s="235"/>
    </row>
    <row r="675" spans="1:14" ht="13.8">
      <c r="A675" s="235"/>
      <c r="B675" s="235"/>
      <c r="C675" s="235"/>
      <c r="D675" s="234"/>
      <c r="E675" s="234"/>
      <c r="F675" s="234"/>
      <c r="G675" s="234"/>
      <c r="H675" s="235"/>
      <c r="I675" s="235"/>
      <c r="J675" s="235"/>
      <c r="K675" s="235"/>
      <c r="L675" s="235"/>
      <c r="M675" s="235"/>
      <c r="N675" s="235"/>
    </row>
    <row r="676" spans="1:14" ht="13.8">
      <c r="A676" s="235"/>
      <c r="B676" s="235"/>
      <c r="C676" s="235"/>
      <c r="D676" s="234"/>
      <c r="E676" s="234"/>
      <c r="F676" s="234"/>
      <c r="G676" s="234"/>
      <c r="H676" s="235"/>
      <c r="I676" s="235"/>
      <c r="J676" s="235"/>
      <c r="K676" s="235"/>
      <c r="L676" s="235"/>
      <c r="M676" s="235"/>
      <c r="N676" s="235"/>
    </row>
    <row r="677" spans="1:14" ht="13.8">
      <c r="A677" s="235"/>
      <c r="B677" s="235"/>
      <c r="C677" s="235"/>
      <c r="D677" s="234"/>
      <c r="E677" s="234"/>
      <c r="F677" s="234"/>
      <c r="G677" s="234"/>
      <c r="H677" s="235"/>
      <c r="I677" s="235"/>
      <c r="J677" s="235"/>
      <c r="K677" s="235"/>
      <c r="L677" s="235"/>
      <c r="M677" s="235"/>
      <c r="N677" s="235"/>
    </row>
    <row r="678" spans="1:14" ht="13.8">
      <c r="A678" s="235"/>
      <c r="B678" s="235"/>
      <c r="C678" s="235"/>
      <c r="D678" s="234"/>
      <c r="E678" s="234"/>
      <c r="F678" s="234"/>
      <c r="G678" s="234"/>
      <c r="H678" s="235"/>
      <c r="I678" s="235"/>
      <c r="J678" s="235"/>
      <c r="K678" s="235"/>
      <c r="L678" s="235"/>
      <c r="M678" s="235"/>
      <c r="N678" s="235"/>
    </row>
    <row r="679" spans="1:14" ht="13.8">
      <c r="A679" s="235"/>
      <c r="B679" s="235"/>
      <c r="C679" s="235"/>
      <c r="D679" s="234"/>
      <c r="E679" s="234"/>
      <c r="F679" s="234"/>
      <c r="G679" s="234"/>
      <c r="H679" s="235"/>
      <c r="I679" s="235"/>
      <c r="J679" s="235"/>
      <c r="K679" s="235"/>
      <c r="L679" s="235"/>
      <c r="M679" s="235"/>
      <c r="N679" s="235"/>
    </row>
    <row r="680" spans="1:14" ht="13.8">
      <c r="A680" s="235"/>
      <c r="B680" s="235"/>
      <c r="C680" s="235"/>
      <c r="D680" s="234"/>
      <c r="E680" s="234"/>
      <c r="F680" s="234"/>
      <c r="G680" s="234"/>
      <c r="H680" s="235"/>
      <c r="I680" s="235"/>
      <c r="J680" s="235"/>
      <c r="K680" s="235"/>
      <c r="L680" s="235"/>
      <c r="M680" s="235"/>
      <c r="N680" s="235"/>
    </row>
    <row r="681" spans="1:14" ht="13.8">
      <c r="A681" s="235"/>
      <c r="B681" s="235"/>
      <c r="C681" s="235"/>
      <c r="D681" s="234"/>
      <c r="E681" s="234"/>
      <c r="F681" s="234"/>
      <c r="G681" s="234"/>
      <c r="H681" s="235"/>
      <c r="I681" s="235"/>
      <c r="J681" s="235"/>
      <c r="K681" s="235"/>
      <c r="L681" s="235"/>
      <c r="M681" s="235"/>
      <c r="N681" s="235"/>
    </row>
    <row r="682" spans="1:14" ht="13.8">
      <c r="A682" s="235"/>
      <c r="B682" s="235"/>
      <c r="C682" s="235"/>
      <c r="D682" s="234"/>
      <c r="E682" s="234"/>
      <c r="F682" s="234"/>
      <c r="G682" s="234"/>
      <c r="H682" s="235"/>
      <c r="I682" s="235"/>
      <c r="J682" s="235"/>
      <c r="K682" s="235"/>
      <c r="L682" s="235"/>
      <c r="M682" s="235"/>
      <c r="N682" s="235"/>
    </row>
    <row r="683" spans="1:14" ht="13.8">
      <c r="A683" s="235"/>
      <c r="B683" s="235"/>
      <c r="C683" s="235"/>
      <c r="D683" s="234"/>
      <c r="E683" s="234"/>
      <c r="F683" s="234"/>
      <c r="G683" s="234"/>
      <c r="H683" s="235"/>
      <c r="I683" s="235"/>
      <c r="J683" s="235"/>
      <c r="K683" s="235"/>
      <c r="L683" s="235"/>
      <c r="M683" s="235"/>
      <c r="N683" s="235"/>
    </row>
    <row r="684" spans="1:14" ht="13.8">
      <c r="A684" s="235"/>
      <c r="B684" s="235"/>
      <c r="C684" s="235"/>
      <c r="D684" s="234"/>
      <c r="E684" s="234"/>
      <c r="F684" s="234"/>
      <c r="G684" s="234"/>
      <c r="H684" s="235"/>
      <c r="I684" s="235"/>
      <c r="J684" s="235"/>
      <c r="K684" s="235"/>
      <c r="L684" s="235"/>
      <c r="M684" s="235"/>
      <c r="N684" s="235"/>
    </row>
    <row r="685" spans="1:14" ht="13.8">
      <c r="A685" s="235"/>
      <c r="B685" s="235"/>
      <c r="C685" s="235"/>
      <c r="D685" s="234"/>
      <c r="E685" s="234"/>
      <c r="F685" s="234"/>
      <c r="G685" s="234"/>
      <c r="H685" s="235"/>
      <c r="I685" s="235"/>
      <c r="J685" s="235"/>
      <c r="K685" s="235"/>
      <c r="L685" s="235"/>
      <c r="M685" s="235"/>
      <c r="N685" s="235"/>
    </row>
    <row r="686" spans="1:14" ht="13.8">
      <c r="A686" s="235"/>
      <c r="B686" s="235"/>
      <c r="C686" s="235"/>
      <c r="D686" s="234"/>
      <c r="E686" s="234"/>
      <c r="F686" s="234"/>
      <c r="G686" s="234"/>
      <c r="H686" s="235"/>
      <c r="I686" s="235"/>
      <c r="J686" s="235"/>
      <c r="K686" s="235"/>
      <c r="L686" s="235"/>
      <c r="M686" s="235"/>
      <c r="N686" s="235"/>
    </row>
    <row r="687" spans="1:14" ht="13.8">
      <c r="A687" s="235"/>
      <c r="B687" s="235"/>
      <c r="C687" s="235"/>
      <c r="D687" s="234"/>
      <c r="E687" s="234"/>
      <c r="F687" s="234"/>
      <c r="G687" s="234"/>
      <c r="H687" s="235"/>
      <c r="I687" s="235"/>
      <c r="J687" s="235"/>
      <c r="K687" s="235"/>
      <c r="L687" s="235"/>
      <c r="M687" s="235"/>
      <c r="N687" s="235"/>
    </row>
    <row r="688" spans="1:14" ht="13.8">
      <c r="A688" s="235"/>
      <c r="B688" s="235"/>
      <c r="C688" s="235"/>
      <c r="D688" s="234"/>
      <c r="E688" s="234"/>
      <c r="F688" s="234"/>
      <c r="G688" s="234"/>
      <c r="H688" s="235"/>
      <c r="I688" s="235"/>
      <c r="J688" s="235"/>
      <c r="K688" s="235"/>
      <c r="L688" s="235"/>
      <c r="M688" s="235"/>
      <c r="N688" s="235"/>
    </row>
    <row r="689" spans="1:14" ht="13.8">
      <c r="A689" s="235"/>
      <c r="B689" s="235"/>
      <c r="C689" s="235"/>
      <c r="D689" s="234"/>
      <c r="E689" s="234"/>
      <c r="F689" s="234"/>
      <c r="G689" s="234"/>
      <c r="H689" s="235"/>
      <c r="I689" s="235"/>
      <c r="J689" s="235"/>
      <c r="K689" s="235"/>
      <c r="L689" s="235"/>
      <c r="M689" s="235"/>
      <c r="N689" s="235"/>
    </row>
    <row r="690" spans="1:14" ht="13.8">
      <c r="A690" s="235"/>
      <c r="B690" s="235"/>
      <c r="C690" s="235"/>
      <c r="D690" s="234"/>
      <c r="E690" s="234"/>
      <c r="F690" s="234"/>
      <c r="G690" s="234"/>
      <c r="H690" s="235"/>
      <c r="I690" s="235"/>
      <c r="J690" s="235"/>
      <c r="K690" s="235"/>
      <c r="L690" s="235"/>
      <c r="M690" s="235"/>
      <c r="N690" s="235"/>
    </row>
    <row r="691" spans="1:14" ht="13.8">
      <c r="D691" s="263"/>
      <c r="E691" s="263"/>
      <c r="F691" s="263"/>
      <c r="G691" s="263"/>
    </row>
    <row r="692" spans="1:14" ht="13.8">
      <c r="D692" s="263"/>
      <c r="E692" s="263"/>
      <c r="F692" s="263"/>
      <c r="G692" s="263"/>
    </row>
    <row r="693" spans="1:14" ht="13.8">
      <c r="D693" s="263"/>
      <c r="E693" s="263"/>
      <c r="F693" s="263"/>
      <c r="G693" s="263"/>
    </row>
    <row r="694" spans="1:14" ht="13.8">
      <c r="D694" s="263"/>
      <c r="E694" s="263"/>
      <c r="F694" s="263"/>
      <c r="G694" s="263"/>
    </row>
    <row r="695" spans="1:14" ht="13.8">
      <c r="D695" s="263"/>
      <c r="E695" s="263"/>
      <c r="F695" s="263"/>
      <c r="G695" s="263"/>
    </row>
    <row r="696" spans="1:14" ht="13.8">
      <c r="D696" s="263"/>
      <c r="E696" s="263"/>
      <c r="F696" s="263"/>
      <c r="G696" s="263"/>
    </row>
    <row r="697" spans="1:14" ht="13.8">
      <c r="D697" s="263"/>
      <c r="E697" s="263"/>
      <c r="F697" s="263"/>
      <c r="G697" s="263"/>
    </row>
    <row r="698" spans="1:14" ht="13.8">
      <c r="D698" s="263"/>
      <c r="E698" s="263"/>
      <c r="F698" s="263"/>
      <c r="G698" s="263"/>
    </row>
    <row r="699" spans="1:14" ht="13.8">
      <c r="D699" s="263"/>
      <c r="E699" s="263"/>
      <c r="F699" s="263"/>
      <c r="G699" s="263"/>
    </row>
    <row r="700" spans="1:14" ht="13.8">
      <c r="D700" s="263"/>
      <c r="E700" s="263"/>
      <c r="F700" s="263"/>
      <c r="G700" s="263"/>
    </row>
    <row r="701" spans="1:14" ht="13.8">
      <c r="D701" s="263"/>
      <c r="E701" s="263"/>
      <c r="F701" s="263"/>
      <c r="G701" s="263"/>
    </row>
    <row r="702" spans="1:14" ht="13.8">
      <c r="D702" s="263"/>
      <c r="E702" s="263"/>
      <c r="F702" s="263"/>
      <c r="G702" s="263"/>
    </row>
    <row r="703" spans="1:14" ht="13.8">
      <c r="D703" s="263"/>
      <c r="E703" s="263"/>
      <c r="F703" s="263"/>
      <c r="G703" s="263"/>
    </row>
    <row r="704" spans="1:14" ht="13.8">
      <c r="D704" s="263"/>
      <c r="E704" s="263"/>
      <c r="F704" s="263"/>
      <c r="G704" s="263"/>
    </row>
    <row r="705" spans="4:7" ht="13.8">
      <c r="D705" s="263"/>
      <c r="E705" s="263"/>
      <c r="F705" s="263"/>
      <c r="G705" s="263"/>
    </row>
    <row r="706" spans="4:7" ht="13.8">
      <c r="D706" s="263"/>
      <c r="E706" s="263"/>
      <c r="F706" s="263"/>
      <c r="G706" s="263"/>
    </row>
    <row r="707" spans="4:7" ht="13.8">
      <c r="D707" s="263"/>
      <c r="E707" s="263"/>
      <c r="F707" s="263"/>
      <c r="G707" s="263"/>
    </row>
    <row r="708" spans="4:7" ht="13.8">
      <c r="D708" s="263"/>
      <c r="E708" s="263"/>
      <c r="F708" s="263"/>
      <c r="G708" s="263"/>
    </row>
    <row r="709" spans="4:7" ht="13.8">
      <c r="D709" s="263"/>
      <c r="E709" s="263"/>
      <c r="F709" s="263"/>
      <c r="G709" s="263"/>
    </row>
    <row r="710" spans="4:7" ht="13.8">
      <c r="D710" s="263"/>
      <c r="E710" s="263"/>
      <c r="F710" s="263"/>
      <c r="G710" s="263"/>
    </row>
    <row r="711" spans="4:7" ht="13.8">
      <c r="D711" s="263"/>
      <c r="E711" s="263"/>
      <c r="F711" s="263"/>
      <c r="G711" s="263"/>
    </row>
    <row r="712" spans="4:7" ht="13.8">
      <c r="D712" s="263"/>
      <c r="E712" s="263"/>
      <c r="F712" s="263"/>
      <c r="G712" s="263"/>
    </row>
    <row r="713" spans="4:7" ht="13.8">
      <c r="D713" s="263"/>
      <c r="E713" s="263"/>
      <c r="F713" s="263"/>
      <c r="G713" s="263"/>
    </row>
    <row r="714" spans="4:7" ht="13.8">
      <c r="D714" s="263"/>
      <c r="E714" s="263"/>
      <c r="F714" s="263"/>
      <c r="G714" s="263"/>
    </row>
    <row r="715" spans="4:7" ht="13.8">
      <c r="D715" s="263"/>
      <c r="E715" s="263"/>
      <c r="F715" s="263"/>
      <c r="G715" s="263"/>
    </row>
    <row r="716" spans="4:7" ht="13.8">
      <c r="D716" s="263"/>
      <c r="E716" s="263"/>
      <c r="F716" s="263"/>
      <c r="G716" s="263"/>
    </row>
    <row r="717" spans="4:7" ht="13.8">
      <c r="D717" s="263"/>
      <c r="E717" s="263"/>
      <c r="F717" s="263"/>
      <c r="G717" s="263"/>
    </row>
    <row r="718" spans="4:7" ht="13.8">
      <c r="D718" s="263"/>
      <c r="E718" s="263"/>
      <c r="F718" s="263"/>
      <c r="G718" s="263"/>
    </row>
    <row r="719" spans="4:7" ht="13.8">
      <c r="D719" s="263"/>
      <c r="E719" s="263"/>
      <c r="F719" s="263"/>
      <c r="G719" s="263"/>
    </row>
    <row r="720" spans="4:7" ht="13.8">
      <c r="D720" s="263"/>
      <c r="E720" s="263"/>
      <c r="F720" s="263"/>
      <c r="G720" s="263"/>
    </row>
    <row r="721" spans="4:7" ht="13.8">
      <c r="D721" s="263"/>
      <c r="E721" s="263"/>
      <c r="F721" s="263"/>
      <c r="G721" s="263"/>
    </row>
    <row r="722" spans="4:7" ht="13.8">
      <c r="D722" s="263"/>
      <c r="E722" s="263"/>
      <c r="F722" s="263"/>
      <c r="G722" s="263"/>
    </row>
    <row r="723" spans="4:7" ht="13.8">
      <c r="D723" s="263"/>
      <c r="E723" s="263"/>
      <c r="F723" s="263"/>
      <c r="G723" s="263"/>
    </row>
    <row r="724" spans="4:7" ht="13.8">
      <c r="D724" s="263"/>
      <c r="E724" s="263"/>
      <c r="F724" s="263"/>
      <c r="G724" s="263"/>
    </row>
    <row r="725" spans="4:7" ht="13.8">
      <c r="D725" s="263"/>
      <c r="E725" s="263"/>
      <c r="F725" s="263"/>
      <c r="G725" s="263"/>
    </row>
    <row r="726" spans="4:7" ht="13.8">
      <c r="D726" s="263"/>
      <c r="E726" s="263"/>
      <c r="F726" s="263"/>
      <c r="G726" s="263"/>
    </row>
    <row r="727" spans="4:7" ht="13.8">
      <c r="D727" s="263"/>
      <c r="E727" s="263"/>
      <c r="F727" s="263"/>
      <c r="G727" s="263"/>
    </row>
    <row r="728" spans="4:7" ht="13.8">
      <c r="D728" s="263"/>
      <c r="E728" s="263"/>
      <c r="F728" s="263"/>
      <c r="G728" s="263"/>
    </row>
    <row r="729" spans="4:7" ht="13.8">
      <c r="D729" s="263"/>
      <c r="E729" s="263"/>
      <c r="F729" s="263"/>
      <c r="G729" s="263"/>
    </row>
    <row r="730" spans="4:7" ht="13.8">
      <c r="D730" s="263"/>
      <c r="E730" s="263"/>
      <c r="F730" s="263"/>
      <c r="G730" s="263"/>
    </row>
    <row r="731" spans="4:7" ht="13.8">
      <c r="D731" s="263"/>
      <c r="E731" s="263"/>
      <c r="F731" s="263"/>
      <c r="G731" s="263"/>
    </row>
    <row r="732" spans="4:7" ht="13.8">
      <c r="D732" s="263"/>
      <c r="E732" s="263"/>
      <c r="F732" s="263"/>
      <c r="G732" s="263"/>
    </row>
    <row r="733" spans="4:7" ht="13.8">
      <c r="D733" s="263"/>
      <c r="E733" s="263"/>
      <c r="F733" s="263"/>
      <c r="G733" s="263"/>
    </row>
    <row r="734" spans="4:7" ht="13.8">
      <c r="D734" s="263"/>
      <c r="E734" s="263"/>
      <c r="F734" s="263"/>
      <c r="G734" s="263"/>
    </row>
    <row r="735" spans="4:7" ht="13.8">
      <c r="D735" s="263"/>
      <c r="E735" s="263"/>
      <c r="F735" s="263"/>
      <c r="G735" s="263"/>
    </row>
    <row r="736" spans="4:7" ht="13.8">
      <c r="D736" s="263"/>
      <c r="E736" s="263"/>
      <c r="F736" s="263"/>
      <c r="G736" s="263"/>
    </row>
    <row r="737" spans="4:7" ht="13.8">
      <c r="D737" s="263"/>
      <c r="E737" s="263"/>
      <c r="F737" s="263"/>
      <c r="G737" s="263"/>
    </row>
    <row r="738" spans="4:7" ht="13.8">
      <c r="D738" s="263"/>
      <c r="E738" s="263"/>
      <c r="F738" s="263"/>
      <c r="G738" s="263"/>
    </row>
    <row r="739" spans="4:7" ht="13.8">
      <c r="D739" s="263"/>
      <c r="E739" s="263"/>
      <c r="F739" s="263"/>
      <c r="G739" s="263"/>
    </row>
    <row r="740" spans="4:7" ht="13.8">
      <c r="D740" s="263"/>
      <c r="E740" s="263"/>
      <c r="F740" s="263"/>
      <c r="G740" s="263"/>
    </row>
    <row r="741" spans="4:7" ht="13.8">
      <c r="D741" s="263"/>
      <c r="E741" s="263"/>
      <c r="F741" s="263"/>
      <c r="G741" s="263"/>
    </row>
    <row r="742" spans="4:7" ht="13.8">
      <c r="D742" s="263"/>
      <c r="E742" s="263"/>
      <c r="F742" s="263"/>
      <c r="G742" s="263"/>
    </row>
    <row r="743" spans="4:7" ht="13.8">
      <c r="D743" s="263"/>
      <c r="E743" s="263"/>
      <c r="F743" s="263"/>
      <c r="G743" s="263"/>
    </row>
    <row r="744" spans="4:7" ht="13.8">
      <c r="D744" s="263"/>
      <c r="E744" s="263"/>
      <c r="F744" s="263"/>
      <c r="G744" s="263"/>
    </row>
    <row r="745" spans="4:7" ht="13.8">
      <c r="D745" s="263"/>
      <c r="E745" s="263"/>
      <c r="F745" s="263"/>
      <c r="G745" s="263"/>
    </row>
    <row r="746" spans="4:7" ht="13.8">
      <c r="D746" s="263"/>
      <c r="E746" s="263"/>
      <c r="F746" s="263"/>
      <c r="G746" s="263"/>
    </row>
    <row r="747" spans="4:7" ht="13.8">
      <c r="D747" s="263"/>
      <c r="E747" s="263"/>
      <c r="F747" s="263"/>
      <c r="G747" s="263"/>
    </row>
    <row r="748" spans="4:7" ht="13.8">
      <c r="D748" s="263"/>
      <c r="E748" s="263"/>
      <c r="F748" s="263"/>
      <c r="G748" s="263"/>
    </row>
    <row r="749" spans="4:7" ht="13.8">
      <c r="D749" s="263"/>
      <c r="E749" s="263"/>
      <c r="F749" s="263"/>
      <c r="G749" s="263"/>
    </row>
    <row r="750" spans="4:7" ht="13.8">
      <c r="D750" s="263"/>
      <c r="E750" s="263"/>
      <c r="F750" s="263"/>
      <c r="G750" s="263"/>
    </row>
    <row r="751" spans="4:7" ht="13.8">
      <c r="D751" s="263"/>
      <c r="E751" s="263"/>
      <c r="F751" s="263"/>
      <c r="G751" s="263"/>
    </row>
    <row r="752" spans="4:7" ht="13.8">
      <c r="D752" s="263"/>
      <c r="E752" s="263"/>
      <c r="F752" s="263"/>
      <c r="G752" s="263"/>
    </row>
    <row r="753" spans="4:7" ht="13.8">
      <c r="D753" s="263"/>
      <c r="E753" s="263"/>
      <c r="F753" s="263"/>
      <c r="G753" s="263"/>
    </row>
    <row r="754" spans="4:7" ht="13.8">
      <c r="D754" s="263"/>
      <c r="E754" s="263"/>
      <c r="F754" s="263"/>
      <c r="G754" s="263"/>
    </row>
    <row r="755" spans="4:7" ht="13.8">
      <c r="D755" s="263"/>
      <c r="E755" s="263"/>
      <c r="F755" s="263"/>
      <c r="G755" s="263"/>
    </row>
    <row r="756" spans="4:7" ht="13.8">
      <c r="D756" s="263"/>
      <c r="E756" s="263"/>
      <c r="F756" s="263"/>
      <c r="G756" s="263"/>
    </row>
    <row r="757" spans="4:7" ht="13.8">
      <c r="D757" s="263"/>
      <c r="E757" s="263"/>
      <c r="F757" s="263"/>
      <c r="G757" s="263"/>
    </row>
    <row r="758" spans="4:7" ht="13.8">
      <c r="D758" s="263"/>
      <c r="E758" s="263"/>
      <c r="F758" s="263"/>
      <c r="G758" s="263"/>
    </row>
    <row r="759" spans="4:7" ht="13.8">
      <c r="D759" s="263"/>
      <c r="E759" s="263"/>
      <c r="F759" s="263"/>
      <c r="G759" s="263"/>
    </row>
    <row r="760" spans="4:7" ht="13.8">
      <c r="D760" s="263"/>
      <c r="E760" s="263"/>
      <c r="F760" s="263"/>
      <c r="G760" s="263"/>
    </row>
    <row r="761" spans="4:7" ht="13.8">
      <c r="D761" s="263"/>
      <c r="E761" s="263"/>
      <c r="F761" s="263"/>
      <c r="G761" s="263"/>
    </row>
    <row r="762" spans="4:7" ht="13.8">
      <c r="D762" s="263"/>
      <c r="E762" s="263"/>
      <c r="F762" s="263"/>
      <c r="G762" s="263"/>
    </row>
    <row r="763" spans="4:7" ht="13.8">
      <c r="D763" s="263"/>
      <c r="E763" s="263"/>
      <c r="F763" s="263"/>
      <c r="G763" s="263"/>
    </row>
    <row r="764" spans="4:7" ht="13.8">
      <c r="D764" s="263"/>
      <c r="E764" s="263"/>
      <c r="F764" s="263"/>
      <c r="G764" s="263"/>
    </row>
    <row r="765" spans="4:7" ht="13.8">
      <c r="D765" s="263"/>
      <c r="E765" s="263"/>
      <c r="F765" s="263"/>
      <c r="G765" s="263"/>
    </row>
    <row r="766" spans="4:7" ht="13.8">
      <c r="D766" s="263"/>
      <c r="E766" s="263"/>
      <c r="F766" s="263"/>
      <c r="G766" s="263"/>
    </row>
    <row r="767" spans="4:7" ht="13.8">
      <c r="D767" s="263"/>
      <c r="E767" s="263"/>
      <c r="F767" s="263"/>
      <c r="G767" s="263"/>
    </row>
    <row r="768" spans="4:7" ht="13.8">
      <c r="D768" s="263"/>
      <c r="E768" s="263"/>
      <c r="F768" s="263"/>
      <c r="G768" s="263"/>
    </row>
    <row r="769" spans="4:7" ht="13.8">
      <c r="D769" s="263"/>
      <c r="E769" s="263"/>
      <c r="F769" s="263"/>
      <c r="G769" s="263"/>
    </row>
    <row r="770" spans="4:7" ht="13.8">
      <c r="D770" s="263"/>
      <c r="E770" s="263"/>
      <c r="F770" s="263"/>
      <c r="G770" s="263"/>
    </row>
    <row r="771" spans="4:7" ht="13.8">
      <c r="D771" s="263"/>
      <c r="E771" s="263"/>
      <c r="F771" s="263"/>
      <c r="G771" s="263"/>
    </row>
    <row r="772" spans="4:7" ht="13.8">
      <c r="D772" s="263"/>
      <c r="E772" s="263"/>
      <c r="F772" s="263"/>
      <c r="G772" s="263"/>
    </row>
    <row r="773" spans="4:7" ht="13.8">
      <c r="D773" s="263"/>
      <c r="E773" s="263"/>
      <c r="F773" s="263"/>
      <c r="G773" s="263"/>
    </row>
    <row r="774" spans="4:7" ht="13.8">
      <c r="D774" s="263"/>
      <c r="E774" s="263"/>
      <c r="F774" s="263"/>
      <c r="G774" s="263"/>
    </row>
    <row r="775" spans="4:7" ht="13.8">
      <c r="D775" s="263"/>
      <c r="E775" s="263"/>
      <c r="F775" s="263"/>
      <c r="G775" s="263"/>
    </row>
    <row r="776" spans="4:7" ht="13.8">
      <c r="D776" s="263"/>
      <c r="E776" s="263"/>
      <c r="F776" s="263"/>
      <c r="G776" s="263"/>
    </row>
    <row r="777" spans="4:7" ht="13.8">
      <c r="D777" s="263"/>
      <c r="E777" s="263"/>
      <c r="F777" s="263"/>
      <c r="G777" s="263"/>
    </row>
    <row r="778" spans="4:7" ht="13.8">
      <c r="D778" s="263"/>
      <c r="E778" s="263"/>
      <c r="F778" s="263"/>
      <c r="G778" s="263"/>
    </row>
    <row r="779" spans="4:7" ht="13.8">
      <c r="D779" s="263"/>
      <c r="E779" s="263"/>
      <c r="F779" s="263"/>
      <c r="G779" s="263"/>
    </row>
    <row r="780" spans="4:7" ht="13.8">
      <c r="D780" s="263"/>
      <c r="E780" s="263"/>
      <c r="F780" s="263"/>
      <c r="G780" s="263"/>
    </row>
    <row r="781" spans="4:7" ht="13.8">
      <c r="D781" s="263"/>
      <c r="E781" s="263"/>
      <c r="F781" s="263"/>
      <c r="G781" s="263"/>
    </row>
    <row r="782" spans="4:7" ht="13.8">
      <c r="D782" s="263"/>
      <c r="E782" s="263"/>
      <c r="F782" s="263"/>
      <c r="G782" s="263"/>
    </row>
    <row r="783" spans="4:7" ht="13.8">
      <c r="D783" s="263"/>
      <c r="E783" s="263"/>
      <c r="F783" s="263"/>
      <c r="G783" s="263"/>
    </row>
    <row r="784" spans="4:7" ht="13.8">
      <c r="D784" s="263"/>
      <c r="E784" s="263"/>
      <c r="F784" s="263"/>
      <c r="G784" s="263"/>
    </row>
    <row r="785" spans="4:7" ht="13.8">
      <c r="D785" s="263"/>
      <c r="E785" s="263"/>
      <c r="F785" s="263"/>
      <c r="G785" s="263"/>
    </row>
    <row r="786" spans="4:7" ht="13.8">
      <c r="D786" s="263"/>
      <c r="E786" s="263"/>
      <c r="F786" s="263"/>
      <c r="G786" s="263"/>
    </row>
    <row r="787" spans="4:7" ht="13.8">
      <c r="D787" s="263"/>
      <c r="E787" s="263"/>
      <c r="F787" s="263"/>
      <c r="G787" s="263"/>
    </row>
    <row r="788" spans="4:7" ht="13.8">
      <c r="D788" s="263"/>
      <c r="E788" s="263"/>
      <c r="F788" s="263"/>
      <c r="G788" s="263"/>
    </row>
    <row r="789" spans="4:7" ht="13.8">
      <c r="D789" s="263"/>
      <c r="E789" s="263"/>
      <c r="F789" s="263"/>
      <c r="G789" s="263"/>
    </row>
    <row r="790" spans="4:7" ht="13.8">
      <c r="D790" s="263"/>
      <c r="E790" s="263"/>
      <c r="F790" s="263"/>
      <c r="G790" s="263"/>
    </row>
  </sheetData>
  <mergeCells count="12">
    <mergeCell ref="L13:L14"/>
    <mergeCell ref="B78:B79"/>
    <mergeCell ref="L78:L79"/>
    <mergeCell ref="C78:C79"/>
    <mergeCell ref="G78:H78"/>
    <mergeCell ref="I78:I79"/>
    <mergeCell ref="J78:J79"/>
    <mergeCell ref="B13:B14"/>
    <mergeCell ref="C13:C14"/>
    <mergeCell ref="G13:H13"/>
    <mergeCell ref="I13:I14"/>
    <mergeCell ref="J13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O1035"/>
  <sheetViews>
    <sheetView workbookViewId="0"/>
  </sheetViews>
  <sheetFormatPr defaultColWidth="12.59765625" defaultRowHeight="15" customHeight="1"/>
  <cols>
    <col min="1" max="1" width="3.09765625" customWidth="1"/>
    <col min="2" max="2" width="61.69921875" customWidth="1"/>
    <col min="3" max="3" width="79.5" customWidth="1"/>
  </cols>
  <sheetData>
    <row r="1" spans="1:15" ht="13.8">
      <c r="A1" s="231"/>
      <c r="B1" s="231" t="s">
        <v>54</v>
      </c>
      <c r="C1" s="232"/>
      <c r="D1" s="233"/>
      <c r="E1" s="234"/>
      <c r="F1" s="234"/>
      <c r="G1" s="234"/>
      <c r="H1" s="235"/>
      <c r="I1" s="235"/>
      <c r="J1" s="235"/>
      <c r="K1" s="235"/>
      <c r="L1" s="235"/>
      <c r="M1" s="235"/>
      <c r="N1" s="235"/>
      <c r="O1" s="235"/>
    </row>
    <row r="2" spans="1:15" ht="13.8">
      <c r="A2" s="237"/>
      <c r="B2" s="237"/>
      <c r="C2" s="237"/>
      <c r="D2" s="233"/>
      <c r="E2" s="234"/>
      <c r="F2" s="234"/>
      <c r="G2" s="234"/>
      <c r="H2" s="235"/>
      <c r="I2" s="235"/>
      <c r="J2" s="235"/>
      <c r="K2" s="235"/>
      <c r="L2" s="235"/>
      <c r="M2" s="235"/>
      <c r="N2" s="235"/>
      <c r="O2" s="235"/>
    </row>
    <row r="3" spans="1:15" ht="13.8">
      <c r="A3" s="238"/>
      <c r="B3" s="238" t="s">
        <v>185</v>
      </c>
      <c r="C3" s="237"/>
      <c r="D3" s="233"/>
      <c r="E3" s="234"/>
      <c r="F3" s="234"/>
      <c r="G3" s="234"/>
      <c r="H3" s="235"/>
      <c r="I3" s="235"/>
      <c r="J3" s="235"/>
      <c r="K3" s="235"/>
      <c r="L3" s="235"/>
      <c r="M3" s="235"/>
      <c r="N3" s="235"/>
      <c r="O3" s="235"/>
    </row>
    <row r="4" spans="1:15" ht="13.8">
      <c r="A4" s="237"/>
      <c r="B4" s="237"/>
      <c r="C4" s="237"/>
      <c r="D4" s="233"/>
      <c r="E4" s="234"/>
      <c r="F4" s="234"/>
      <c r="G4" s="234"/>
      <c r="H4" s="235"/>
      <c r="I4" s="235"/>
      <c r="J4" s="235"/>
      <c r="K4" s="235"/>
      <c r="L4" s="235"/>
      <c r="M4" s="235"/>
      <c r="N4" s="235"/>
      <c r="O4" s="235"/>
    </row>
    <row r="5" spans="1:15" ht="27.75" customHeight="1">
      <c r="A5" s="239"/>
      <c r="B5" s="542" t="s">
        <v>363</v>
      </c>
      <c r="C5" s="542" t="s">
        <v>209</v>
      </c>
      <c r="D5" s="240" t="s">
        <v>188</v>
      </c>
      <c r="E5" s="240" t="s">
        <v>364</v>
      </c>
      <c r="F5" s="240"/>
      <c r="G5" s="543" t="s">
        <v>189</v>
      </c>
      <c r="H5" s="532"/>
      <c r="I5" s="542" t="s">
        <v>91</v>
      </c>
      <c r="J5" s="542"/>
      <c r="K5" s="235"/>
      <c r="L5" s="235"/>
      <c r="M5" s="235"/>
      <c r="N5" s="235"/>
      <c r="O5" s="235"/>
    </row>
    <row r="6" spans="1:15" ht="13.8">
      <c r="A6" s="239"/>
      <c r="B6" s="540"/>
      <c r="C6" s="540"/>
      <c r="D6" s="240" t="s">
        <v>191</v>
      </c>
      <c r="E6" s="240"/>
      <c r="F6" s="240"/>
      <c r="G6" s="240"/>
      <c r="H6" s="241"/>
      <c r="I6" s="540"/>
      <c r="J6" s="540"/>
      <c r="K6" s="235"/>
      <c r="L6" s="235"/>
      <c r="M6" s="235"/>
      <c r="N6" s="235"/>
      <c r="O6" s="235"/>
    </row>
    <row r="7" spans="1:15" ht="14.4">
      <c r="A7" s="251"/>
      <c r="B7" s="350"/>
      <c r="C7" s="351"/>
      <c r="D7" s="352"/>
      <c r="E7" s="352"/>
      <c r="F7" s="352"/>
      <c r="G7" s="352"/>
      <c r="H7" s="353"/>
      <c r="I7" s="354"/>
      <c r="J7" s="353"/>
      <c r="K7" s="235"/>
      <c r="L7" s="235"/>
      <c r="M7" s="235"/>
      <c r="N7" s="235"/>
      <c r="O7" s="235"/>
    </row>
    <row r="8" spans="1:15" ht="14.4">
      <c r="A8" s="242"/>
      <c r="B8" s="355" t="s">
        <v>451</v>
      </c>
      <c r="C8" s="244"/>
      <c r="D8" s="246"/>
      <c r="E8" s="246"/>
      <c r="F8" s="246"/>
      <c r="G8" s="246"/>
      <c r="H8" s="247"/>
      <c r="I8" s="244"/>
      <c r="J8" s="243"/>
      <c r="K8" s="235"/>
      <c r="L8" s="235"/>
      <c r="M8" s="235"/>
      <c r="N8" s="235"/>
      <c r="O8" s="235"/>
    </row>
    <row r="9" spans="1:15" ht="14.4">
      <c r="A9" s="242"/>
      <c r="B9" s="244" t="s">
        <v>452</v>
      </c>
      <c r="C9" s="244" t="s">
        <v>453</v>
      </c>
      <c r="D9" s="246">
        <v>2</v>
      </c>
      <c r="E9" s="246"/>
      <c r="F9" s="246"/>
      <c r="G9" s="246">
        <f t="shared" ref="G9:G20" si="0">D9*H9</f>
        <v>0</v>
      </c>
      <c r="H9" s="247">
        <v>0</v>
      </c>
      <c r="I9" s="246">
        <f t="shared" ref="I9:I20" si="1">SUM(D9:G9)</f>
        <v>2</v>
      </c>
      <c r="J9" s="243" t="s">
        <v>97</v>
      </c>
      <c r="K9" s="235"/>
      <c r="L9" s="235"/>
      <c r="M9" s="235"/>
      <c r="N9" s="235"/>
      <c r="O9" s="235"/>
    </row>
    <row r="10" spans="1:15" ht="14.4">
      <c r="A10" s="242"/>
      <c r="B10" s="244" t="s">
        <v>454</v>
      </c>
      <c r="C10" s="244" t="s">
        <v>455</v>
      </c>
      <c r="D10" s="246">
        <v>1</v>
      </c>
      <c r="E10" s="246"/>
      <c r="F10" s="246"/>
      <c r="G10" s="246">
        <f t="shared" si="0"/>
        <v>0</v>
      </c>
      <c r="H10" s="247">
        <v>0</v>
      </c>
      <c r="I10" s="246">
        <f t="shared" si="1"/>
        <v>1</v>
      </c>
      <c r="J10" s="243" t="s">
        <v>97</v>
      </c>
      <c r="K10" s="235"/>
      <c r="L10" s="235"/>
      <c r="M10" s="235"/>
      <c r="N10" s="235"/>
      <c r="O10" s="235"/>
    </row>
    <row r="11" spans="1:15" ht="14.4">
      <c r="A11" s="242"/>
      <c r="B11" s="244" t="s">
        <v>456</v>
      </c>
      <c r="C11" s="244"/>
      <c r="D11" s="246">
        <v>2</v>
      </c>
      <c r="E11" s="246"/>
      <c r="F11" s="246"/>
      <c r="G11" s="246">
        <f t="shared" si="0"/>
        <v>0</v>
      </c>
      <c r="H11" s="247">
        <v>0</v>
      </c>
      <c r="I11" s="246">
        <f t="shared" si="1"/>
        <v>2</v>
      </c>
      <c r="J11" s="243" t="s">
        <v>97</v>
      </c>
      <c r="K11" s="235"/>
      <c r="L11" s="235"/>
      <c r="M11" s="235"/>
      <c r="N11" s="235"/>
      <c r="O11" s="235"/>
    </row>
    <row r="12" spans="1:15" ht="14.4">
      <c r="A12" s="242"/>
      <c r="B12" s="244" t="s">
        <v>457</v>
      </c>
      <c r="C12" s="244"/>
      <c r="D12" s="246">
        <v>2</v>
      </c>
      <c r="E12" s="246"/>
      <c r="F12" s="246"/>
      <c r="G12" s="246">
        <f t="shared" si="0"/>
        <v>0</v>
      </c>
      <c r="H12" s="247">
        <v>0</v>
      </c>
      <c r="I12" s="246">
        <f t="shared" si="1"/>
        <v>2</v>
      </c>
      <c r="J12" s="243" t="s">
        <v>97</v>
      </c>
      <c r="K12" s="235"/>
      <c r="L12" s="235"/>
      <c r="M12" s="235"/>
      <c r="N12" s="235"/>
      <c r="O12" s="235"/>
    </row>
    <row r="13" spans="1:15" ht="14.4">
      <c r="A13" s="242"/>
      <c r="B13" s="244" t="s">
        <v>458</v>
      </c>
      <c r="C13" s="244"/>
      <c r="D13" s="246">
        <v>2</v>
      </c>
      <c r="E13" s="246"/>
      <c r="F13" s="246"/>
      <c r="G13" s="246">
        <f t="shared" si="0"/>
        <v>0</v>
      </c>
      <c r="H13" s="247">
        <v>0</v>
      </c>
      <c r="I13" s="246">
        <f t="shared" si="1"/>
        <v>2</v>
      </c>
      <c r="J13" s="243" t="s">
        <v>97</v>
      </c>
      <c r="K13" s="235"/>
      <c r="L13" s="235"/>
      <c r="M13" s="235"/>
      <c r="N13" s="235"/>
      <c r="O13" s="235"/>
    </row>
    <row r="14" spans="1:15" ht="14.4">
      <c r="A14" s="242"/>
      <c r="B14" s="244" t="s">
        <v>459</v>
      </c>
      <c r="C14" s="244"/>
      <c r="D14" s="246">
        <v>2</v>
      </c>
      <c r="E14" s="246"/>
      <c r="F14" s="246"/>
      <c r="G14" s="246">
        <f t="shared" si="0"/>
        <v>0</v>
      </c>
      <c r="H14" s="247">
        <v>0</v>
      </c>
      <c r="I14" s="246">
        <f t="shared" si="1"/>
        <v>2</v>
      </c>
      <c r="J14" s="243" t="s">
        <v>97</v>
      </c>
      <c r="K14" s="235"/>
      <c r="L14" s="235"/>
      <c r="M14" s="235"/>
      <c r="N14" s="235"/>
      <c r="O14" s="235"/>
    </row>
    <row r="15" spans="1:15" ht="14.4">
      <c r="A15" s="242"/>
      <c r="B15" s="244" t="s">
        <v>460</v>
      </c>
      <c r="C15" s="244" t="s">
        <v>461</v>
      </c>
      <c r="D15" s="246">
        <v>2</v>
      </c>
      <c r="E15" s="246"/>
      <c r="F15" s="246"/>
      <c r="G15" s="246">
        <f t="shared" si="0"/>
        <v>0</v>
      </c>
      <c r="H15" s="247">
        <v>0</v>
      </c>
      <c r="I15" s="246">
        <f t="shared" si="1"/>
        <v>2</v>
      </c>
      <c r="J15" s="243" t="s">
        <v>97</v>
      </c>
      <c r="K15" s="235"/>
      <c r="L15" s="235"/>
      <c r="M15" s="235"/>
      <c r="N15" s="235"/>
      <c r="O15" s="235"/>
    </row>
    <row r="16" spans="1:15" ht="14.4">
      <c r="A16" s="242"/>
      <c r="B16" s="244" t="s">
        <v>462</v>
      </c>
      <c r="C16" s="244"/>
      <c r="D16" s="246">
        <v>2</v>
      </c>
      <c r="E16" s="246"/>
      <c r="F16" s="246"/>
      <c r="G16" s="246">
        <f t="shared" si="0"/>
        <v>0</v>
      </c>
      <c r="H16" s="247">
        <v>0</v>
      </c>
      <c r="I16" s="246">
        <f t="shared" si="1"/>
        <v>2</v>
      </c>
      <c r="J16" s="243" t="s">
        <v>97</v>
      </c>
      <c r="K16" s="235"/>
      <c r="L16" s="235"/>
      <c r="M16" s="235"/>
      <c r="N16" s="235"/>
      <c r="O16" s="235"/>
    </row>
    <row r="17" spans="1:15" ht="14.4">
      <c r="A17" s="242"/>
      <c r="B17" s="244" t="s">
        <v>463</v>
      </c>
      <c r="C17" s="244"/>
      <c r="D17" s="246">
        <v>1</v>
      </c>
      <c r="E17" s="246"/>
      <c r="F17" s="246"/>
      <c r="G17" s="246">
        <f t="shared" si="0"/>
        <v>0</v>
      </c>
      <c r="H17" s="247">
        <v>0</v>
      </c>
      <c r="I17" s="246">
        <f t="shared" si="1"/>
        <v>1</v>
      </c>
      <c r="J17" s="243" t="s">
        <v>97</v>
      </c>
      <c r="K17" s="235"/>
      <c r="L17" s="235"/>
      <c r="M17" s="235"/>
      <c r="N17" s="235"/>
      <c r="O17" s="235"/>
    </row>
    <row r="18" spans="1:15" ht="14.4">
      <c r="A18" s="242"/>
      <c r="B18" s="244" t="s">
        <v>464</v>
      </c>
      <c r="C18" s="244"/>
      <c r="D18" s="246">
        <v>2</v>
      </c>
      <c r="E18" s="246"/>
      <c r="F18" s="246"/>
      <c r="G18" s="246">
        <f t="shared" si="0"/>
        <v>0</v>
      </c>
      <c r="H18" s="247">
        <v>0</v>
      </c>
      <c r="I18" s="246">
        <f t="shared" si="1"/>
        <v>2</v>
      </c>
      <c r="J18" s="243" t="s">
        <v>97</v>
      </c>
      <c r="K18" s="235"/>
      <c r="L18" s="235"/>
      <c r="M18" s="235"/>
      <c r="N18" s="235"/>
      <c r="O18" s="235"/>
    </row>
    <row r="19" spans="1:15" ht="14.4">
      <c r="A19" s="242"/>
      <c r="B19" s="244" t="s">
        <v>465</v>
      </c>
      <c r="C19" s="244"/>
      <c r="D19" s="246">
        <v>1</v>
      </c>
      <c r="E19" s="246"/>
      <c r="F19" s="246"/>
      <c r="G19" s="246">
        <f t="shared" si="0"/>
        <v>0</v>
      </c>
      <c r="H19" s="247">
        <v>0</v>
      </c>
      <c r="I19" s="246">
        <f t="shared" si="1"/>
        <v>1</v>
      </c>
      <c r="J19" s="243" t="s">
        <v>97</v>
      </c>
      <c r="K19" s="235"/>
      <c r="L19" s="235"/>
      <c r="M19" s="235"/>
      <c r="N19" s="235"/>
      <c r="O19" s="235"/>
    </row>
    <row r="20" spans="1:15" ht="14.4">
      <c r="A20" s="242"/>
      <c r="B20" s="244" t="s">
        <v>466</v>
      </c>
      <c r="C20" s="244"/>
      <c r="D20" s="246">
        <v>4</v>
      </c>
      <c r="E20" s="246"/>
      <c r="F20" s="246"/>
      <c r="G20" s="246">
        <f t="shared" si="0"/>
        <v>0</v>
      </c>
      <c r="H20" s="247">
        <v>0</v>
      </c>
      <c r="I20" s="246">
        <f t="shared" si="1"/>
        <v>4</v>
      </c>
      <c r="J20" s="243" t="s">
        <v>97</v>
      </c>
      <c r="K20" s="235"/>
      <c r="L20" s="235"/>
      <c r="M20" s="235"/>
      <c r="N20" s="235"/>
      <c r="O20" s="235"/>
    </row>
    <row r="21" spans="1:15" ht="14.4">
      <c r="A21" s="242"/>
      <c r="B21" s="244"/>
      <c r="C21" s="244"/>
      <c r="D21" s="246"/>
      <c r="E21" s="246"/>
      <c r="F21" s="246"/>
      <c r="G21" s="246"/>
      <c r="H21" s="247"/>
      <c r="I21" s="244"/>
      <c r="J21" s="243"/>
      <c r="K21" s="235"/>
      <c r="L21" s="235"/>
      <c r="M21" s="235"/>
      <c r="N21" s="235"/>
      <c r="O21" s="235"/>
    </row>
    <row r="22" spans="1:15" ht="14.4">
      <c r="A22" s="242"/>
      <c r="B22" s="355" t="s">
        <v>467</v>
      </c>
      <c r="C22" s="244"/>
      <c r="D22" s="246"/>
      <c r="E22" s="246"/>
      <c r="F22" s="246"/>
      <c r="G22" s="246"/>
      <c r="H22" s="247"/>
      <c r="I22" s="244"/>
      <c r="J22" s="243"/>
      <c r="K22" s="235"/>
      <c r="L22" s="235"/>
      <c r="M22" s="235"/>
      <c r="N22" s="235"/>
      <c r="O22" s="235"/>
    </row>
    <row r="23" spans="1:15" ht="14.4">
      <c r="A23" s="242"/>
      <c r="B23" s="244" t="s">
        <v>468</v>
      </c>
      <c r="C23" s="244" t="s">
        <v>469</v>
      </c>
      <c r="D23" s="246">
        <v>11</v>
      </c>
      <c r="E23" s="246"/>
      <c r="F23" s="246"/>
      <c r="G23" s="246">
        <f t="shared" ref="G23:G26" si="2">D23*H23</f>
        <v>0</v>
      </c>
      <c r="H23" s="247">
        <v>0</v>
      </c>
      <c r="I23" s="246">
        <f t="shared" ref="I23:I26" si="3">SUM(D23:G23)</f>
        <v>11</v>
      </c>
      <c r="J23" s="243" t="s">
        <v>97</v>
      </c>
      <c r="K23" s="235"/>
      <c r="L23" s="235"/>
      <c r="M23" s="235"/>
      <c r="N23" s="235"/>
      <c r="O23" s="235"/>
    </row>
    <row r="24" spans="1:15" ht="14.4">
      <c r="A24" s="242"/>
      <c r="B24" s="244" t="s">
        <v>470</v>
      </c>
      <c r="C24" s="244"/>
      <c r="D24" s="246">
        <v>1</v>
      </c>
      <c r="E24" s="246"/>
      <c r="F24" s="246"/>
      <c r="G24" s="246">
        <f t="shared" si="2"/>
        <v>0</v>
      </c>
      <c r="H24" s="247">
        <v>0</v>
      </c>
      <c r="I24" s="246">
        <f t="shared" si="3"/>
        <v>1</v>
      </c>
      <c r="J24" s="243" t="s">
        <v>97</v>
      </c>
      <c r="K24" s="235"/>
      <c r="L24" s="235"/>
      <c r="M24" s="235"/>
      <c r="N24" s="235"/>
      <c r="O24" s="235"/>
    </row>
    <row r="25" spans="1:15" ht="14.4">
      <c r="A25" s="242"/>
      <c r="B25" s="244" t="s">
        <v>471</v>
      </c>
      <c r="C25" s="244"/>
      <c r="D25" s="246">
        <v>11</v>
      </c>
      <c r="E25" s="246"/>
      <c r="F25" s="246"/>
      <c r="G25" s="246">
        <f t="shared" si="2"/>
        <v>0</v>
      </c>
      <c r="H25" s="247">
        <v>0</v>
      </c>
      <c r="I25" s="246">
        <f t="shared" si="3"/>
        <v>11</v>
      </c>
      <c r="J25" s="243" t="s">
        <v>97</v>
      </c>
      <c r="K25" s="235"/>
      <c r="L25" s="235"/>
      <c r="M25" s="235"/>
      <c r="N25" s="235"/>
      <c r="O25" s="235"/>
    </row>
    <row r="26" spans="1:15" ht="14.4">
      <c r="A26" s="242"/>
      <c r="B26" s="244" t="s">
        <v>472</v>
      </c>
      <c r="C26" s="244"/>
      <c r="D26" s="246">
        <v>4</v>
      </c>
      <c r="E26" s="246"/>
      <c r="F26" s="246"/>
      <c r="G26" s="246">
        <f t="shared" si="2"/>
        <v>0</v>
      </c>
      <c r="H26" s="247">
        <v>0</v>
      </c>
      <c r="I26" s="246">
        <f t="shared" si="3"/>
        <v>4</v>
      </c>
      <c r="J26" s="243" t="s">
        <v>97</v>
      </c>
      <c r="K26" s="235"/>
      <c r="L26" s="235"/>
      <c r="M26" s="235"/>
      <c r="N26" s="235"/>
      <c r="O26" s="235"/>
    </row>
    <row r="27" spans="1:15" ht="14.4">
      <c r="A27" s="242"/>
      <c r="B27" s="244"/>
      <c r="C27" s="244"/>
      <c r="D27" s="246"/>
      <c r="E27" s="246"/>
      <c r="F27" s="246"/>
      <c r="G27" s="246"/>
      <c r="H27" s="247"/>
      <c r="I27" s="244"/>
      <c r="J27" s="243"/>
      <c r="K27" s="235"/>
      <c r="L27" s="235"/>
      <c r="M27" s="235"/>
      <c r="N27" s="235"/>
      <c r="O27" s="235"/>
    </row>
    <row r="28" spans="1:15" ht="14.4">
      <c r="A28" s="242"/>
      <c r="B28" s="355" t="s">
        <v>473</v>
      </c>
      <c r="C28" s="244"/>
      <c r="D28" s="246"/>
      <c r="E28" s="246"/>
      <c r="F28" s="246"/>
      <c r="G28" s="246"/>
      <c r="H28" s="247"/>
      <c r="I28" s="244"/>
      <c r="J28" s="243"/>
      <c r="K28" s="235"/>
      <c r="L28" s="235"/>
      <c r="M28" s="235"/>
      <c r="N28" s="235"/>
      <c r="O28" s="235"/>
    </row>
    <row r="29" spans="1:15" ht="14.4">
      <c r="A29" s="242"/>
      <c r="B29" s="244" t="s">
        <v>474</v>
      </c>
      <c r="C29" s="244" t="s">
        <v>475</v>
      </c>
      <c r="D29" s="246">
        <v>3</v>
      </c>
      <c r="E29" s="246"/>
      <c r="F29" s="246"/>
      <c r="G29" s="246">
        <f t="shared" ref="G29:G31" si="4">D29*H29</f>
        <v>0</v>
      </c>
      <c r="H29" s="247">
        <v>0</v>
      </c>
      <c r="I29" s="246">
        <f t="shared" ref="I29:I31" si="5">SUM(D29:G29)</f>
        <v>3</v>
      </c>
      <c r="J29" s="243" t="s">
        <v>97</v>
      </c>
      <c r="K29" s="235"/>
      <c r="L29" s="235"/>
      <c r="M29" s="235"/>
      <c r="N29" s="235"/>
      <c r="O29" s="235"/>
    </row>
    <row r="30" spans="1:15" ht="14.4">
      <c r="A30" s="242"/>
      <c r="B30" s="244" t="s">
        <v>476</v>
      </c>
      <c r="C30" s="244" t="s">
        <v>475</v>
      </c>
      <c r="D30" s="246">
        <v>12</v>
      </c>
      <c r="E30" s="246"/>
      <c r="F30" s="246"/>
      <c r="G30" s="246">
        <f t="shared" si="4"/>
        <v>0</v>
      </c>
      <c r="H30" s="247">
        <v>0</v>
      </c>
      <c r="I30" s="246">
        <f t="shared" si="5"/>
        <v>12</v>
      </c>
      <c r="J30" s="243" t="s">
        <v>97</v>
      </c>
      <c r="K30" s="235"/>
      <c r="L30" s="235"/>
      <c r="M30" s="235"/>
      <c r="N30" s="235"/>
      <c r="O30" s="235"/>
    </row>
    <row r="31" spans="1:15" ht="14.4">
      <c r="A31" s="242"/>
      <c r="B31" s="244" t="s">
        <v>477</v>
      </c>
      <c r="C31" s="244" t="s">
        <v>475</v>
      </c>
      <c r="D31" s="246">
        <v>1</v>
      </c>
      <c r="E31" s="246"/>
      <c r="F31" s="246"/>
      <c r="G31" s="246">
        <f t="shared" si="4"/>
        <v>0</v>
      </c>
      <c r="H31" s="247">
        <v>0</v>
      </c>
      <c r="I31" s="246">
        <f t="shared" si="5"/>
        <v>1</v>
      </c>
      <c r="J31" s="243" t="s">
        <v>97</v>
      </c>
      <c r="K31" s="235"/>
      <c r="L31" s="235"/>
      <c r="M31" s="235"/>
      <c r="N31" s="235"/>
      <c r="O31" s="235"/>
    </row>
    <row r="32" spans="1:15" ht="14.4">
      <c r="A32" s="242"/>
      <c r="B32" s="244"/>
      <c r="C32" s="244"/>
      <c r="D32" s="246"/>
      <c r="E32" s="246"/>
      <c r="F32" s="246"/>
      <c r="G32" s="246"/>
      <c r="H32" s="247"/>
      <c r="I32" s="244"/>
      <c r="J32" s="243"/>
      <c r="K32" s="235"/>
      <c r="L32" s="235"/>
      <c r="M32" s="235"/>
      <c r="N32" s="235"/>
      <c r="O32" s="235"/>
    </row>
    <row r="33" spans="1:15" ht="14.4">
      <c r="A33" s="242"/>
      <c r="B33" s="355" t="s">
        <v>478</v>
      </c>
      <c r="C33" s="244"/>
      <c r="D33" s="246"/>
      <c r="E33" s="246"/>
      <c r="F33" s="246"/>
      <c r="G33" s="246"/>
      <c r="H33" s="247"/>
      <c r="I33" s="244"/>
      <c r="J33" s="243"/>
      <c r="K33" s="235"/>
      <c r="L33" s="235"/>
      <c r="M33" s="235"/>
      <c r="N33" s="235"/>
      <c r="O33" s="235"/>
    </row>
    <row r="34" spans="1:15" ht="14.4">
      <c r="A34" s="242"/>
      <c r="B34" s="244" t="s">
        <v>479</v>
      </c>
      <c r="C34" s="244"/>
      <c r="D34" s="246">
        <v>1</v>
      </c>
      <c r="E34" s="246"/>
      <c r="F34" s="246"/>
      <c r="G34" s="246">
        <f>D34*H34</f>
        <v>0</v>
      </c>
      <c r="H34" s="247">
        <v>0</v>
      </c>
      <c r="I34" s="246">
        <f>SUM(D34:G34)</f>
        <v>1</v>
      </c>
      <c r="J34" s="243" t="s">
        <v>97</v>
      </c>
      <c r="K34" s="235"/>
      <c r="L34" s="235"/>
      <c r="M34" s="235"/>
      <c r="N34" s="235"/>
      <c r="O34" s="235"/>
    </row>
    <row r="35" spans="1:15" ht="14.4">
      <c r="A35" s="242"/>
      <c r="B35" s="244"/>
      <c r="C35" s="244"/>
      <c r="D35" s="246"/>
      <c r="E35" s="246"/>
      <c r="F35" s="246"/>
      <c r="G35" s="246"/>
      <c r="H35" s="247"/>
      <c r="I35" s="244"/>
      <c r="J35" s="243"/>
      <c r="K35" s="235"/>
      <c r="L35" s="235"/>
      <c r="M35" s="235"/>
      <c r="N35" s="235"/>
      <c r="O35" s="235"/>
    </row>
    <row r="36" spans="1:15" ht="14.4">
      <c r="A36" s="242"/>
      <c r="B36" s="355" t="s">
        <v>480</v>
      </c>
      <c r="C36" s="244"/>
      <c r="D36" s="246"/>
      <c r="E36" s="246"/>
      <c r="F36" s="246"/>
      <c r="G36" s="246"/>
      <c r="H36" s="247"/>
      <c r="I36" s="244"/>
      <c r="J36" s="243"/>
      <c r="K36" s="235"/>
      <c r="L36" s="235"/>
      <c r="M36" s="235"/>
      <c r="N36" s="235"/>
      <c r="O36" s="235"/>
    </row>
    <row r="37" spans="1:15" ht="14.4">
      <c r="A37" s="242"/>
      <c r="B37" s="244" t="s">
        <v>481</v>
      </c>
      <c r="C37" s="244" t="s">
        <v>482</v>
      </c>
      <c r="D37" s="246">
        <v>1</v>
      </c>
      <c r="E37" s="246"/>
      <c r="F37" s="246"/>
      <c r="G37" s="246">
        <f t="shared" ref="G37:G39" si="6">D37*H37</f>
        <v>0</v>
      </c>
      <c r="H37" s="247">
        <v>0</v>
      </c>
      <c r="I37" s="246">
        <f t="shared" ref="I37:I39" si="7">SUM(D37:G37)</f>
        <v>1</v>
      </c>
      <c r="J37" s="243" t="s">
        <v>97</v>
      </c>
      <c r="K37" s="235"/>
      <c r="L37" s="235"/>
      <c r="M37" s="235"/>
      <c r="N37" s="235"/>
      <c r="O37" s="235"/>
    </row>
    <row r="38" spans="1:15" ht="14.4">
      <c r="A38" s="242"/>
      <c r="B38" s="244" t="s">
        <v>483</v>
      </c>
      <c r="C38" s="244"/>
      <c r="D38" s="246">
        <v>1</v>
      </c>
      <c r="E38" s="246"/>
      <c r="F38" s="246"/>
      <c r="G38" s="246">
        <f t="shared" si="6"/>
        <v>0</v>
      </c>
      <c r="H38" s="247">
        <v>0</v>
      </c>
      <c r="I38" s="246">
        <f t="shared" si="7"/>
        <v>1</v>
      </c>
      <c r="J38" s="243" t="s">
        <v>97</v>
      </c>
      <c r="K38" s="235"/>
      <c r="L38" s="235"/>
      <c r="M38" s="235"/>
      <c r="N38" s="235"/>
      <c r="O38" s="235"/>
    </row>
    <row r="39" spans="1:15" ht="14.4">
      <c r="A39" s="242"/>
      <c r="B39" s="244" t="s">
        <v>484</v>
      </c>
      <c r="C39" s="244" t="s">
        <v>485</v>
      </c>
      <c r="D39" s="246">
        <v>2</v>
      </c>
      <c r="E39" s="246"/>
      <c r="F39" s="246"/>
      <c r="G39" s="246">
        <f t="shared" si="6"/>
        <v>0</v>
      </c>
      <c r="H39" s="247">
        <v>0</v>
      </c>
      <c r="I39" s="246">
        <f t="shared" si="7"/>
        <v>2</v>
      </c>
      <c r="J39" s="243" t="s">
        <v>97</v>
      </c>
      <c r="K39" s="235"/>
      <c r="L39" s="235"/>
      <c r="M39" s="235"/>
      <c r="N39" s="235"/>
      <c r="O39" s="235"/>
    </row>
    <row r="40" spans="1:15" ht="14.4">
      <c r="A40" s="242"/>
      <c r="B40" s="244"/>
      <c r="C40" s="244"/>
      <c r="D40" s="246"/>
      <c r="E40" s="246"/>
      <c r="F40" s="246"/>
      <c r="G40" s="246"/>
      <c r="H40" s="247"/>
      <c r="I40" s="244"/>
      <c r="J40" s="243"/>
      <c r="K40" s="235"/>
      <c r="L40" s="235"/>
      <c r="M40" s="235"/>
      <c r="N40" s="235"/>
      <c r="O40" s="235"/>
    </row>
    <row r="41" spans="1:15" ht="14.4">
      <c r="A41" s="242"/>
      <c r="B41" s="355" t="s">
        <v>486</v>
      </c>
      <c r="C41" s="244"/>
      <c r="D41" s="246"/>
      <c r="E41" s="246"/>
      <c r="F41" s="246"/>
      <c r="G41" s="246"/>
      <c r="H41" s="247"/>
      <c r="I41" s="244"/>
      <c r="J41" s="243"/>
      <c r="K41" s="235"/>
      <c r="L41" s="235"/>
      <c r="M41" s="235"/>
      <c r="N41" s="235"/>
      <c r="O41" s="235"/>
    </row>
    <row r="42" spans="1:15" ht="14.4">
      <c r="A42" s="242"/>
      <c r="B42" s="244" t="s">
        <v>487</v>
      </c>
      <c r="C42" s="244" t="s">
        <v>488</v>
      </c>
      <c r="D42" s="246">
        <v>8</v>
      </c>
      <c r="E42" s="246"/>
      <c r="F42" s="246"/>
      <c r="G42" s="246">
        <f t="shared" ref="G42:G76" si="8">D42*H42</f>
        <v>0</v>
      </c>
      <c r="H42" s="247">
        <v>0</v>
      </c>
      <c r="I42" s="246">
        <f t="shared" ref="I42:I76" si="9">SUM(D42:G42)</f>
        <v>8</v>
      </c>
      <c r="J42" s="243" t="s">
        <v>97</v>
      </c>
      <c r="K42" s="235"/>
      <c r="L42" s="235"/>
      <c r="M42" s="235"/>
      <c r="N42" s="235"/>
      <c r="O42" s="235"/>
    </row>
    <row r="43" spans="1:15" ht="14.4">
      <c r="A43" s="242"/>
      <c r="B43" s="244" t="s">
        <v>489</v>
      </c>
      <c r="C43" s="244" t="s">
        <v>490</v>
      </c>
      <c r="D43" s="246">
        <v>14</v>
      </c>
      <c r="E43" s="246"/>
      <c r="F43" s="246"/>
      <c r="G43" s="246">
        <f t="shared" si="8"/>
        <v>0</v>
      </c>
      <c r="H43" s="247">
        <v>0</v>
      </c>
      <c r="I43" s="246">
        <f t="shared" si="9"/>
        <v>14</v>
      </c>
      <c r="J43" s="243" t="s">
        <v>97</v>
      </c>
      <c r="K43" s="235"/>
      <c r="L43" s="235"/>
      <c r="M43" s="235"/>
      <c r="N43" s="235"/>
      <c r="O43" s="235"/>
    </row>
    <row r="44" spans="1:15" ht="14.4">
      <c r="A44" s="242"/>
      <c r="B44" s="244" t="s">
        <v>491</v>
      </c>
      <c r="C44" s="244" t="s">
        <v>492</v>
      </c>
      <c r="D44" s="246">
        <v>14</v>
      </c>
      <c r="E44" s="246"/>
      <c r="F44" s="246"/>
      <c r="G44" s="246">
        <f t="shared" si="8"/>
        <v>0</v>
      </c>
      <c r="H44" s="247">
        <v>0</v>
      </c>
      <c r="I44" s="246">
        <f t="shared" si="9"/>
        <v>14</v>
      </c>
      <c r="J44" s="243" t="s">
        <v>97</v>
      </c>
      <c r="K44" s="235"/>
      <c r="L44" s="235"/>
      <c r="M44" s="235"/>
      <c r="N44" s="235"/>
      <c r="O44" s="235"/>
    </row>
    <row r="45" spans="1:15" ht="14.4">
      <c r="A45" s="242"/>
      <c r="B45" s="244" t="s">
        <v>493</v>
      </c>
      <c r="C45" s="244" t="s">
        <v>494</v>
      </c>
      <c r="D45" s="246">
        <v>9</v>
      </c>
      <c r="E45" s="246"/>
      <c r="F45" s="246"/>
      <c r="G45" s="246">
        <f t="shared" si="8"/>
        <v>0</v>
      </c>
      <c r="H45" s="247">
        <v>0</v>
      </c>
      <c r="I45" s="246">
        <f t="shared" si="9"/>
        <v>9</v>
      </c>
      <c r="J45" s="243" t="s">
        <v>97</v>
      </c>
      <c r="K45" s="235"/>
      <c r="L45" s="235"/>
      <c r="M45" s="235"/>
      <c r="N45" s="235"/>
      <c r="O45" s="235"/>
    </row>
    <row r="46" spans="1:15" ht="14.4">
      <c r="A46" s="242"/>
      <c r="B46" s="244" t="s">
        <v>495</v>
      </c>
      <c r="C46" s="244" t="s">
        <v>490</v>
      </c>
      <c r="D46" s="246">
        <v>6</v>
      </c>
      <c r="E46" s="246"/>
      <c r="F46" s="246"/>
      <c r="G46" s="246">
        <f t="shared" si="8"/>
        <v>0</v>
      </c>
      <c r="H46" s="247">
        <v>0</v>
      </c>
      <c r="I46" s="246">
        <f t="shared" si="9"/>
        <v>6</v>
      </c>
      <c r="J46" s="243" t="s">
        <v>97</v>
      </c>
      <c r="K46" s="235"/>
      <c r="L46" s="235"/>
      <c r="M46" s="235"/>
      <c r="N46" s="235"/>
      <c r="O46" s="235"/>
    </row>
    <row r="47" spans="1:15" ht="14.4">
      <c r="A47" s="242"/>
      <c r="B47" s="244" t="s">
        <v>496</v>
      </c>
      <c r="C47" s="244" t="s">
        <v>497</v>
      </c>
      <c r="D47" s="246">
        <v>4</v>
      </c>
      <c r="E47" s="246"/>
      <c r="F47" s="246"/>
      <c r="G47" s="246">
        <f t="shared" si="8"/>
        <v>0</v>
      </c>
      <c r="H47" s="247">
        <v>0</v>
      </c>
      <c r="I47" s="246">
        <f t="shared" si="9"/>
        <v>4</v>
      </c>
      <c r="J47" s="243" t="s">
        <v>97</v>
      </c>
      <c r="K47" s="235"/>
      <c r="L47" s="235"/>
      <c r="M47" s="235"/>
      <c r="N47" s="235"/>
      <c r="O47" s="235"/>
    </row>
    <row r="48" spans="1:15" ht="14.4">
      <c r="A48" s="242"/>
      <c r="B48" s="244" t="s">
        <v>498</v>
      </c>
      <c r="C48" s="244" t="s">
        <v>499</v>
      </c>
      <c r="D48" s="246">
        <v>6</v>
      </c>
      <c r="E48" s="246"/>
      <c r="F48" s="246"/>
      <c r="G48" s="246">
        <f t="shared" si="8"/>
        <v>0</v>
      </c>
      <c r="H48" s="247">
        <v>0</v>
      </c>
      <c r="I48" s="246">
        <f t="shared" si="9"/>
        <v>6</v>
      </c>
      <c r="J48" s="243" t="s">
        <v>97</v>
      </c>
      <c r="K48" s="235"/>
      <c r="L48" s="235"/>
      <c r="M48" s="235"/>
      <c r="N48" s="235"/>
      <c r="O48" s="235"/>
    </row>
    <row r="49" spans="1:15" ht="14.4">
      <c r="A49" s="242"/>
      <c r="B49" s="244" t="s">
        <v>500</v>
      </c>
      <c r="C49" s="244" t="s">
        <v>501</v>
      </c>
      <c r="D49" s="246">
        <v>1</v>
      </c>
      <c r="E49" s="246"/>
      <c r="F49" s="246"/>
      <c r="G49" s="246">
        <f t="shared" si="8"/>
        <v>0</v>
      </c>
      <c r="H49" s="247">
        <v>0</v>
      </c>
      <c r="I49" s="246">
        <f t="shared" si="9"/>
        <v>1</v>
      </c>
      <c r="J49" s="243" t="s">
        <v>97</v>
      </c>
      <c r="K49" s="235"/>
      <c r="L49" s="235"/>
      <c r="M49" s="235"/>
      <c r="N49" s="235"/>
      <c r="O49" s="235"/>
    </row>
    <row r="50" spans="1:15" ht="14.4">
      <c r="A50" s="242"/>
      <c r="B50" s="244" t="s">
        <v>502</v>
      </c>
      <c r="C50" s="244" t="s">
        <v>494</v>
      </c>
      <c r="D50" s="246">
        <v>12</v>
      </c>
      <c r="E50" s="246"/>
      <c r="F50" s="246"/>
      <c r="G50" s="246">
        <f t="shared" si="8"/>
        <v>0</v>
      </c>
      <c r="H50" s="247">
        <v>0</v>
      </c>
      <c r="I50" s="246">
        <f t="shared" si="9"/>
        <v>12</v>
      </c>
      <c r="J50" s="243" t="s">
        <v>97</v>
      </c>
      <c r="K50" s="235"/>
      <c r="L50" s="235"/>
      <c r="M50" s="235"/>
      <c r="N50" s="235"/>
      <c r="O50" s="235"/>
    </row>
    <row r="51" spans="1:15" ht="14.4">
      <c r="A51" s="242"/>
      <c r="B51" s="244" t="s">
        <v>503</v>
      </c>
      <c r="C51" s="244" t="s">
        <v>504</v>
      </c>
      <c r="D51" s="246">
        <v>8</v>
      </c>
      <c r="E51" s="246"/>
      <c r="F51" s="246"/>
      <c r="G51" s="246">
        <f t="shared" si="8"/>
        <v>0</v>
      </c>
      <c r="H51" s="247">
        <v>0</v>
      </c>
      <c r="I51" s="246">
        <f t="shared" si="9"/>
        <v>8</v>
      </c>
      <c r="J51" s="243" t="s">
        <v>97</v>
      </c>
      <c r="K51" s="235"/>
      <c r="L51" s="235"/>
      <c r="M51" s="235"/>
      <c r="N51" s="235"/>
      <c r="O51" s="235"/>
    </row>
    <row r="52" spans="1:15" ht="14.4">
      <c r="A52" s="242"/>
      <c r="B52" s="244" t="s">
        <v>505</v>
      </c>
      <c r="C52" s="244" t="s">
        <v>492</v>
      </c>
      <c r="D52" s="246">
        <v>6</v>
      </c>
      <c r="E52" s="246"/>
      <c r="F52" s="246"/>
      <c r="G52" s="246">
        <f t="shared" si="8"/>
        <v>0</v>
      </c>
      <c r="H52" s="247">
        <v>0</v>
      </c>
      <c r="I52" s="246">
        <f t="shared" si="9"/>
        <v>6</v>
      </c>
      <c r="J52" s="243" t="s">
        <v>97</v>
      </c>
      <c r="K52" s="235"/>
      <c r="L52" s="235"/>
      <c r="M52" s="235"/>
      <c r="N52" s="235"/>
      <c r="O52" s="235"/>
    </row>
    <row r="53" spans="1:15" ht="14.4">
      <c r="A53" s="242"/>
      <c r="B53" s="244" t="s">
        <v>506</v>
      </c>
      <c r="C53" s="244" t="s">
        <v>507</v>
      </c>
      <c r="D53" s="246">
        <v>1</v>
      </c>
      <c r="E53" s="246"/>
      <c r="F53" s="246"/>
      <c r="G53" s="246">
        <f t="shared" si="8"/>
        <v>0</v>
      </c>
      <c r="H53" s="247">
        <v>0</v>
      </c>
      <c r="I53" s="246">
        <f t="shared" si="9"/>
        <v>1</v>
      </c>
      <c r="J53" s="243" t="s">
        <v>97</v>
      </c>
      <c r="K53" s="235"/>
      <c r="L53" s="235"/>
      <c r="M53" s="235"/>
      <c r="N53" s="235"/>
      <c r="O53" s="235"/>
    </row>
    <row r="54" spans="1:15" ht="14.4">
      <c r="A54" s="242"/>
      <c r="B54" s="244" t="s">
        <v>508</v>
      </c>
      <c r="C54" s="244" t="s">
        <v>507</v>
      </c>
      <c r="D54" s="246">
        <v>1</v>
      </c>
      <c r="E54" s="246"/>
      <c r="F54" s="246"/>
      <c r="G54" s="246">
        <f t="shared" si="8"/>
        <v>0</v>
      </c>
      <c r="H54" s="247">
        <v>0</v>
      </c>
      <c r="I54" s="246">
        <f t="shared" si="9"/>
        <v>1</v>
      </c>
      <c r="J54" s="243" t="s">
        <v>97</v>
      </c>
      <c r="K54" s="235"/>
      <c r="L54" s="235"/>
      <c r="M54" s="235"/>
      <c r="N54" s="235"/>
      <c r="O54" s="235"/>
    </row>
    <row r="55" spans="1:15" ht="14.4">
      <c r="A55" s="242"/>
      <c r="B55" s="244" t="s">
        <v>509</v>
      </c>
      <c r="C55" s="244"/>
      <c r="D55" s="246">
        <v>1</v>
      </c>
      <c r="E55" s="246"/>
      <c r="F55" s="246"/>
      <c r="G55" s="246">
        <f t="shared" si="8"/>
        <v>0</v>
      </c>
      <c r="H55" s="247">
        <v>0</v>
      </c>
      <c r="I55" s="246">
        <f t="shared" si="9"/>
        <v>1</v>
      </c>
      <c r="J55" s="243" t="s">
        <v>97</v>
      </c>
      <c r="K55" s="235"/>
      <c r="L55" s="235"/>
      <c r="M55" s="235"/>
      <c r="N55" s="235"/>
      <c r="O55" s="235"/>
    </row>
    <row r="56" spans="1:15" ht="14.4">
      <c r="A56" s="242"/>
      <c r="B56" s="244" t="s">
        <v>510</v>
      </c>
      <c r="C56" s="244" t="s">
        <v>511</v>
      </c>
      <c r="D56" s="246">
        <v>2</v>
      </c>
      <c r="E56" s="246"/>
      <c r="F56" s="246"/>
      <c r="G56" s="246">
        <f t="shared" si="8"/>
        <v>0</v>
      </c>
      <c r="H56" s="247">
        <v>0</v>
      </c>
      <c r="I56" s="246">
        <f t="shared" si="9"/>
        <v>2</v>
      </c>
      <c r="J56" s="243" t="s">
        <v>97</v>
      </c>
      <c r="K56" s="235"/>
      <c r="L56" s="235"/>
      <c r="M56" s="235"/>
      <c r="N56" s="235"/>
      <c r="O56" s="235"/>
    </row>
    <row r="57" spans="1:15" ht="14.4">
      <c r="A57" s="242"/>
      <c r="B57" s="244" t="s">
        <v>512</v>
      </c>
      <c r="C57" s="244" t="s">
        <v>513</v>
      </c>
      <c r="D57" s="246">
        <v>1</v>
      </c>
      <c r="E57" s="246"/>
      <c r="F57" s="246"/>
      <c r="G57" s="246">
        <f t="shared" si="8"/>
        <v>0</v>
      </c>
      <c r="H57" s="247">
        <v>0</v>
      </c>
      <c r="I57" s="246">
        <f t="shared" si="9"/>
        <v>1</v>
      </c>
      <c r="J57" s="243" t="s">
        <v>97</v>
      </c>
      <c r="K57" s="235"/>
      <c r="L57" s="235"/>
      <c r="M57" s="235"/>
      <c r="N57" s="235"/>
      <c r="O57" s="235"/>
    </row>
    <row r="58" spans="1:15" ht="14.4">
      <c r="A58" s="242"/>
      <c r="B58" s="244" t="s">
        <v>514</v>
      </c>
      <c r="C58" s="244" t="s">
        <v>515</v>
      </c>
      <c r="D58" s="246">
        <v>2</v>
      </c>
      <c r="E58" s="246"/>
      <c r="F58" s="246"/>
      <c r="G58" s="246">
        <f t="shared" si="8"/>
        <v>0</v>
      </c>
      <c r="H58" s="247">
        <v>0</v>
      </c>
      <c r="I58" s="246">
        <f t="shared" si="9"/>
        <v>2</v>
      </c>
      <c r="J58" s="243" t="s">
        <v>97</v>
      </c>
      <c r="K58" s="235"/>
      <c r="L58" s="235"/>
      <c r="M58" s="235"/>
      <c r="N58" s="235"/>
      <c r="O58" s="235"/>
    </row>
    <row r="59" spans="1:15" ht="14.4">
      <c r="A59" s="242"/>
      <c r="B59" s="244" t="s">
        <v>516</v>
      </c>
      <c r="C59" s="244"/>
      <c r="D59" s="246">
        <v>1</v>
      </c>
      <c r="E59" s="246"/>
      <c r="F59" s="246"/>
      <c r="G59" s="246">
        <f t="shared" si="8"/>
        <v>0</v>
      </c>
      <c r="H59" s="247">
        <v>0</v>
      </c>
      <c r="I59" s="246">
        <f t="shared" si="9"/>
        <v>1</v>
      </c>
      <c r="J59" s="243" t="s">
        <v>97</v>
      </c>
      <c r="K59" s="235"/>
      <c r="L59" s="235"/>
      <c r="M59" s="235"/>
      <c r="N59" s="235"/>
      <c r="O59" s="235"/>
    </row>
    <row r="60" spans="1:15" ht="14.4">
      <c r="A60" s="242"/>
      <c r="B60" s="244" t="s">
        <v>517</v>
      </c>
      <c r="C60" s="244" t="s">
        <v>518</v>
      </c>
      <c r="D60" s="246">
        <v>1</v>
      </c>
      <c r="E60" s="246"/>
      <c r="F60" s="246"/>
      <c r="G60" s="246">
        <f t="shared" si="8"/>
        <v>0</v>
      </c>
      <c r="H60" s="247">
        <v>0</v>
      </c>
      <c r="I60" s="246">
        <f t="shared" si="9"/>
        <v>1</v>
      </c>
      <c r="J60" s="243" t="s">
        <v>97</v>
      </c>
      <c r="K60" s="235"/>
      <c r="L60" s="235"/>
      <c r="M60" s="235"/>
      <c r="N60" s="235"/>
      <c r="O60" s="235"/>
    </row>
    <row r="61" spans="1:15" ht="14.4">
      <c r="A61" s="242"/>
      <c r="B61" s="244" t="s">
        <v>519</v>
      </c>
      <c r="C61" s="244" t="s">
        <v>520</v>
      </c>
      <c r="D61" s="246">
        <v>2</v>
      </c>
      <c r="E61" s="246"/>
      <c r="F61" s="246"/>
      <c r="G61" s="246">
        <f t="shared" si="8"/>
        <v>0</v>
      </c>
      <c r="H61" s="247">
        <v>0</v>
      </c>
      <c r="I61" s="246">
        <f t="shared" si="9"/>
        <v>2</v>
      </c>
      <c r="J61" s="243" t="s">
        <v>97</v>
      </c>
      <c r="K61" s="235"/>
      <c r="L61" s="235"/>
      <c r="M61" s="235"/>
      <c r="N61" s="235"/>
      <c r="O61" s="235"/>
    </row>
    <row r="62" spans="1:15" ht="14.4">
      <c r="A62" s="242"/>
      <c r="B62" s="244" t="s">
        <v>521</v>
      </c>
      <c r="C62" s="244" t="s">
        <v>522</v>
      </c>
      <c r="D62" s="246">
        <v>4</v>
      </c>
      <c r="E62" s="246"/>
      <c r="F62" s="246"/>
      <c r="G62" s="246">
        <f t="shared" si="8"/>
        <v>0</v>
      </c>
      <c r="H62" s="247">
        <v>0</v>
      </c>
      <c r="I62" s="246">
        <f t="shared" si="9"/>
        <v>4</v>
      </c>
      <c r="J62" s="243" t="s">
        <v>97</v>
      </c>
      <c r="K62" s="235"/>
      <c r="L62" s="235"/>
      <c r="M62" s="235"/>
      <c r="N62" s="235"/>
      <c r="O62" s="235"/>
    </row>
    <row r="63" spans="1:15" ht="14.4">
      <c r="A63" s="242"/>
      <c r="B63" s="244" t="s">
        <v>523</v>
      </c>
      <c r="C63" s="244" t="s">
        <v>520</v>
      </c>
      <c r="D63" s="246">
        <v>10</v>
      </c>
      <c r="E63" s="246"/>
      <c r="F63" s="246"/>
      <c r="G63" s="246">
        <f t="shared" si="8"/>
        <v>0</v>
      </c>
      <c r="H63" s="247">
        <v>0</v>
      </c>
      <c r="I63" s="246">
        <f t="shared" si="9"/>
        <v>10</v>
      </c>
      <c r="J63" s="243" t="s">
        <v>97</v>
      </c>
      <c r="K63" s="235"/>
      <c r="L63" s="235"/>
      <c r="M63" s="235"/>
      <c r="N63" s="235"/>
      <c r="O63" s="235"/>
    </row>
    <row r="64" spans="1:15" ht="14.4">
      <c r="A64" s="242"/>
      <c r="B64" s="244" t="s">
        <v>524</v>
      </c>
      <c r="C64" s="244" t="s">
        <v>520</v>
      </c>
      <c r="D64" s="246">
        <v>3</v>
      </c>
      <c r="E64" s="246"/>
      <c r="F64" s="246"/>
      <c r="G64" s="246">
        <f t="shared" si="8"/>
        <v>0</v>
      </c>
      <c r="H64" s="247">
        <v>0</v>
      </c>
      <c r="I64" s="246">
        <f t="shared" si="9"/>
        <v>3</v>
      </c>
      <c r="J64" s="243" t="s">
        <v>97</v>
      </c>
      <c r="K64" s="235"/>
      <c r="L64" s="235"/>
      <c r="M64" s="235"/>
      <c r="N64" s="235"/>
      <c r="O64" s="235"/>
    </row>
    <row r="65" spans="1:15" ht="14.4">
      <c r="A65" s="242"/>
      <c r="B65" s="244" t="s">
        <v>525</v>
      </c>
      <c r="C65" s="244" t="s">
        <v>526</v>
      </c>
      <c r="D65" s="246">
        <v>1</v>
      </c>
      <c r="E65" s="246"/>
      <c r="F65" s="246"/>
      <c r="G65" s="246">
        <f t="shared" si="8"/>
        <v>0</v>
      </c>
      <c r="H65" s="247">
        <v>0</v>
      </c>
      <c r="I65" s="246">
        <f t="shared" si="9"/>
        <v>1</v>
      </c>
      <c r="J65" s="243" t="s">
        <v>97</v>
      </c>
      <c r="K65" s="235"/>
      <c r="L65" s="235"/>
      <c r="M65" s="235"/>
      <c r="N65" s="235"/>
      <c r="O65" s="235"/>
    </row>
    <row r="66" spans="1:15" ht="14.4">
      <c r="A66" s="242"/>
      <c r="B66" s="244" t="s">
        <v>527</v>
      </c>
      <c r="C66" s="244" t="s">
        <v>528</v>
      </c>
      <c r="D66" s="246">
        <v>6</v>
      </c>
      <c r="E66" s="246"/>
      <c r="F66" s="246"/>
      <c r="G66" s="246">
        <f t="shared" si="8"/>
        <v>0</v>
      </c>
      <c r="H66" s="247">
        <v>0</v>
      </c>
      <c r="I66" s="246">
        <f t="shared" si="9"/>
        <v>6</v>
      </c>
      <c r="J66" s="243" t="s">
        <v>97</v>
      </c>
      <c r="K66" s="235"/>
      <c r="L66" s="235"/>
      <c r="M66" s="235"/>
      <c r="N66" s="235"/>
      <c r="O66" s="235"/>
    </row>
    <row r="67" spans="1:15" ht="14.4">
      <c r="A67" s="242"/>
      <c r="B67" s="244" t="s">
        <v>529</v>
      </c>
      <c r="C67" s="244" t="s">
        <v>530</v>
      </c>
      <c r="D67" s="246">
        <v>1</v>
      </c>
      <c r="E67" s="246"/>
      <c r="F67" s="246"/>
      <c r="G67" s="246">
        <f t="shared" si="8"/>
        <v>0</v>
      </c>
      <c r="H67" s="247">
        <v>0</v>
      </c>
      <c r="I67" s="246">
        <f t="shared" si="9"/>
        <v>1</v>
      </c>
      <c r="J67" s="243" t="s">
        <v>97</v>
      </c>
      <c r="K67" s="235"/>
      <c r="L67" s="235"/>
      <c r="M67" s="235"/>
      <c r="N67" s="235"/>
      <c r="O67" s="235"/>
    </row>
    <row r="68" spans="1:15" ht="14.4">
      <c r="A68" s="242"/>
      <c r="B68" s="244" t="s">
        <v>531</v>
      </c>
      <c r="C68" s="244" t="s">
        <v>532</v>
      </c>
      <c r="D68" s="246">
        <v>1</v>
      </c>
      <c r="E68" s="246"/>
      <c r="F68" s="246"/>
      <c r="G68" s="246">
        <f t="shared" si="8"/>
        <v>0</v>
      </c>
      <c r="H68" s="247">
        <v>0</v>
      </c>
      <c r="I68" s="246">
        <f t="shared" si="9"/>
        <v>1</v>
      </c>
      <c r="J68" s="243" t="s">
        <v>97</v>
      </c>
      <c r="K68" s="235"/>
      <c r="L68" s="235"/>
      <c r="M68" s="235"/>
      <c r="N68" s="235"/>
      <c r="O68" s="235"/>
    </row>
    <row r="69" spans="1:15" ht="14.4">
      <c r="A69" s="242"/>
      <c r="B69" s="244" t="s">
        <v>533</v>
      </c>
      <c r="C69" s="244" t="s">
        <v>520</v>
      </c>
      <c r="D69" s="246">
        <v>3</v>
      </c>
      <c r="E69" s="246"/>
      <c r="F69" s="246"/>
      <c r="G69" s="246">
        <f t="shared" si="8"/>
        <v>0</v>
      </c>
      <c r="H69" s="247">
        <v>0</v>
      </c>
      <c r="I69" s="246">
        <f t="shared" si="9"/>
        <v>3</v>
      </c>
      <c r="J69" s="243" t="s">
        <v>97</v>
      </c>
      <c r="K69" s="235"/>
      <c r="L69" s="235"/>
      <c r="M69" s="235"/>
      <c r="N69" s="235"/>
      <c r="O69" s="235"/>
    </row>
    <row r="70" spans="1:15" ht="14.4">
      <c r="A70" s="242"/>
      <c r="B70" s="244" t="s">
        <v>534</v>
      </c>
      <c r="C70" s="244" t="s">
        <v>492</v>
      </c>
      <c r="D70" s="246">
        <v>6</v>
      </c>
      <c r="E70" s="246"/>
      <c r="F70" s="246"/>
      <c r="G70" s="246">
        <f t="shared" si="8"/>
        <v>0</v>
      </c>
      <c r="H70" s="247">
        <v>0</v>
      </c>
      <c r="I70" s="246">
        <f t="shared" si="9"/>
        <v>6</v>
      </c>
      <c r="J70" s="243" t="s">
        <v>97</v>
      </c>
      <c r="K70" s="235"/>
      <c r="L70" s="235"/>
      <c r="M70" s="235"/>
      <c r="N70" s="235"/>
      <c r="O70" s="235"/>
    </row>
    <row r="71" spans="1:15" ht="14.4">
      <c r="A71" s="242"/>
      <c r="B71" s="244" t="s">
        <v>535</v>
      </c>
      <c r="C71" s="244" t="s">
        <v>536</v>
      </c>
      <c r="D71" s="246">
        <v>2</v>
      </c>
      <c r="E71" s="246"/>
      <c r="F71" s="246"/>
      <c r="G71" s="246">
        <f t="shared" si="8"/>
        <v>0</v>
      </c>
      <c r="H71" s="247">
        <v>0</v>
      </c>
      <c r="I71" s="246">
        <f t="shared" si="9"/>
        <v>2</v>
      </c>
      <c r="J71" s="243" t="s">
        <v>97</v>
      </c>
      <c r="K71" s="235"/>
      <c r="L71" s="235"/>
      <c r="M71" s="235"/>
      <c r="N71" s="235"/>
      <c r="O71" s="235"/>
    </row>
    <row r="72" spans="1:15" ht="14.4">
      <c r="A72" s="242"/>
      <c r="B72" s="244" t="s">
        <v>537</v>
      </c>
      <c r="C72" s="244" t="s">
        <v>538</v>
      </c>
      <c r="D72" s="246">
        <v>2</v>
      </c>
      <c r="E72" s="246"/>
      <c r="F72" s="246"/>
      <c r="G72" s="246">
        <f t="shared" si="8"/>
        <v>0</v>
      </c>
      <c r="H72" s="247">
        <v>0</v>
      </c>
      <c r="I72" s="246">
        <f t="shared" si="9"/>
        <v>2</v>
      </c>
      <c r="J72" s="243" t="s">
        <v>97</v>
      </c>
      <c r="K72" s="235"/>
      <c r="L72" s="235"/>
      <c r="M72" s="235"/>
      <c r="N72" s="235"/>
      <c r="O72" s="235"/>
    </row>
    <row r="73" spans="1:15" ht="14.4">
      <c r="A73" s="242"/>
      <c r="B73" s="244" t="s">
        <v>539</v>
      </c>
      <c r="C73" s="244" t="s">
        <v>540</v>
      </c>
      <c r="D73" s="246">
        <v>4</v>
      </c>
      <c r="E73" s="246"/>
      <c r="F73" s="246"/>
      <c r="G73" s="246">
        <f t="shared" si="8"/>
        <v>0</v>
      </c>
      <c r="H73" s="247">
        <v>0</v>
      </c>
      <c r="I73" s="246">
        <f t="shared" si="9"/>
        <v>4</v>
      </c>
      <c r="J73" s="243" t="s">
        <v>97</v>
      </c>
      <c r="K73" s="235"/>
      <c r="L73" s="235"/>
      <c r="M73" s="235"/>
      <c r="N73" s="235"/>
      <c r="O73" s="235"/>
    </row>
    <row r="74" spans="1:15" ht="14.4">
      <c r="A74" s="242"/>
      <c r="B74" s="244" t="s">
        <v>541</v>
      </c>
      <c r="C74" s="244" t="s">
        <v>542</v>
      </c>
      <c r="D74" s="246">
        <v>6</v>
      </c>
      <c r="E74" s="246"/>
      <c r="F74" s="246"/>
      <c r="G74" s="246">
        <f t="shared" si="8"/>
        <v>0</v>
      </c>
      <c r="H74" s="247">
        <v>0</v>
      </c>
      <c r="I74" s="246">
        <f t="shared" si="9"/>
        <v>6</v>
      </c>
      <c r="J74" s="243" t="s">
        <v>97</v>
      </c>
      <c r="K74" s="235"/>
      <c r="L74" s="235"/>
      <c r="M74" s="235"/>
      <c r="N74" s="235"/>
      <c r="O74" s="235"/>
    </row>
    <row r="75" spans="1:15" ht="14.4">
      <c r="A75" s="242"/>
      <c r="B75" s="244" t="s">
        <v>543</v>
      </c>
      <c r="C75" s="244" t="s">
        <v>544</v>
      </c>
      <c r="D75" s="246">
        <v>7</v>
      </c>
      <c r="E75" s="246"/>
      <c r="F75" s="246"/>
      <c r="G75" s="246">
        <f t="shared" si="8"/>
        <v>0</v>
      </c>
      <c r="H75" s="247">
        <v>0</v>
      </c>
      <c r="I75" s="246">
        <f t="shared" si="9"/>
        <v>7</v>
      </c>
      <c r="J75" s="243" t="s">
        <v>97</v>
      </c>
      <c r="K75" s="235"/>
      <c r="L75" s="235"/>
      <c r="M75" s="235"/>
      <c r="N75" s="235"/>
      <c r="O75" s="235"/>
    </row>
    <row r="76" spans="1:15" ht="14.4">
      <c r="A76" s="242"/>
      <c r="B76" s="244" t="s">
        <v>545</v>
      </c>
      <c r="C76" s="244" t="s">
        <v>520</v>
      </c>
      <c r="D76" s="246">
        <v>1</v>
      </c>
      <c r="E76" s="246"/>
      <c r="F76" s="246"/>
      <c r="G76" s="246">
        <f t="shared" si="8"/>
        <v>0</v>
      </c>
      <c r="H76" s="247">
        <v>0</v>
      </c>
      <c r="I76" s="246">
        <f t="shared" si="9"/>
        <v>1</v>
      </c>
      <c r="J76" s="243" t="s">
        <v>97</v>
      </c>
      <c r="K76" s="235"/>
      <c r="L76" s="235"/>
      <c r="M76" s="235"/>
      <c r="N76" s="235"/>
      <c r="O76" s="235"/>
    </row>
    <row r="77" spans="1:15" ht="14.4">
      <c r="A77" s="242"/>
      <c r="B77" s="355"/>
      <c r="C77" s="244"/>
      <c r="D77" s="246"/>
      <c r="E77" s="246"/>
      <c r="F77" s="246"/>
      <c r="G77" s="246"/>
      <c r="H77" s="247"/>
      <c r="I77" s="244"/>
      <c r="J77" s="243"/>
      <c r="K77" s="235"/>
      <c r="L77" s="235"/>
      <c r="M77" s="235"/>
      <c r="N77" s="235"/>
      <c r="O77" s="235"/>
    </row>
    <row r="78" spans="1:15" ht="14.4">
      <c r="A78" s="242"/>
      <c r="B78" s="355" t="s">
        <v>293</v>
      </c>
      <c r="C78" s="244"/>
      <c r="D78" s="246"/>
      <c r="E78" s="246"/>
      <c r="F78" s="246"/>
      <c r="G78" s="246"/>
      <c r="H78" s="247"/>
      <c r="I78" s="244"/>
      <c r="J78" s="243"/>
      <c r="K78" s="235"/>
      <c r="L78" s="235"/>
      <c r="M78" s="235"/>
      <c r="N78" s="235"/>
      <c r="O78" s="235"/>
    </row>
    <row r="79" spans="1:15" ht="14.4">
      <c r="A79" s="242"/>
      <c r="B79" s="244" t="s">
        <v>546</v>
      </c>
      <c r="C79" s="244" t="s">
        <v>547</v>
      </c>
      <c r="D79" s="246">
        <v>2</v>
      </c>
      <c r="E79" s="246"/>
      <c r="F79" s="246"/>
      <c r="G79" s="246">
        <f t="shared" ref="G79:G81" si="10">D79*H79</f>
        <v>0</v>
      </c>
      <c r="H79" s="247">
        <v>0</v>
      </c>
      <c r="I79" s="246">
        <f t="shared" ref="I79:I81" si="11">SUM(D79:G79)</f>
        <v>2</v>
      </c>
      <c r="J79" s="243" t="s">
        <v>97</v>
      </c>
      <c r="K79" s="235"/>
      <c r="L79" s="235"/>
      <c r="M79" s="235"/>
      <c r="N79" s="235"/>
      <c r="O79" s="235"/>
    </row>
    <row r="80" spans="1:15" ht="14.4">
      <c r="A80" s="242"/>
      <c r="B80" s="244" t="s">
        <v>548</v>
      </c>
      <c r="C80" s="244"/>
      <c r="D80" s="246">
        <v>2</v>
      </c>
      <c r="E80" s="246"/>
      <c r="F80" s="246"/>
      <c r="G80" s="246">
        <f t="shared" si="10"/>
        <v>0</v>
      </c>
      <c r="H80" s="247">
        <v>0</v>
      </c>
      <c r="I80" s="246">
        <f t="shared" si="11"/>
        <v>2</v>
      </c>
      <c r="J80" s="243" t="s">
        <v>97</v>
      </c>
      <c r="K80" s="235"/>
      <c r="L80" s="235"/>
      <c r="M80" s="235"/>
      <c r="N80" s="235"/>
      <c r="O80" s="235"/>
    </row>
    <row r="81" spans="1:15" ht="14.4">
      <c r="A81" s="242"/>
      <c r="B81" s="244" t="s">
        <v>549</v>
      </c>
      <c r="C81" s="244"/>
      <c r="D81" s="246">
        <v>1</v>
      </c>
      <c r="E81" s="246"/>
      <c r="F81" s="246"/>
      <c r="G81" s="246">
        <f t="shared" si="10"/>
        <v>0</v>
      </c>
      <c r="H81" s="247">
        <v>0</v>
      </c>
      <c r="I81" s="246">
        <f t="shared" si="11"/>
        <v>1</v>
      </c>
      <c r="J81" s="243" t="s">
        <v>97</v>
      </c>
      <c r="K81" s="235"/>
      <c r="L81" s="235"/>
      <c r="M81" s="235"/>
      <c r="N81" s="235"/>
      <c r="O81" s="235"/>
    </row>
    <row r="82" spans="1:15" ht="14.4">
      <c r="A82" s="251"/>
      <c r="B82" s="252"/>
      <c r="C82" s="252"/>
      <c r="D82" s="252"/>
      <c r="E82" s="252"/>
      <c r="F82" s="252"/>
      <c r="G82" s="252"/>
      <c r="H82" s="252"/>
      <c r="I82" s="252"/>
      <c r="J82" s="252"/>
      <c r="K82" s="235"/>
      <c r="L82" s="235"/>
      <c r="M82" s="235"/>
      <c r="N82" s="235"/>
      <c r="O82" s="235"/>
    </row>
    <row r="83" spans="1:15" ht="13.8">
      <c r="A83" s="254"/>
      <c r="B83" s="235"/>
      <c r="C83" s="235"/>
      <c r="D83" s="234"/>
      <c r="E83" s="234"/>
      <c r="F83" s="234"/>
      <c r="G83" s="234"/>
      <c r="H83" s="235"/>
      <c r="I83" s="235"/>
      <c r="J83" s="235"/>
      <c r="K83" s="235"/>
      <c r="L83" s="235"/>
      <c r="M83" s="235"/>
      <c r="N83" s="235"/>
      <c r="O83" s="235"/>
    </row>
    <row r="84" spans="1:15" ht="13.8">
      <c r="A84" s="254"/>
      <c r="B84" s="235"/>
      <c r="C84" s="235"/>
      <c r="D84" s="234"/>
      <c r="E84" s="234"/>
      <c r="F84" s="234"/>
      <c r="G84" s="234"/>
      <c r="H84" s="235"/>
      <c r="I84" s="235"/>
      <c r="J84" s="235"/>
      <c r="K84" s="235"/>
      <c r="L84" s="235"/>
      <c r="M84" s="235"/>
      <c r="N84" s="235"/>
      <c r="O84" s="235"/>
    </row>
    <row r="85" spans="1:15" ht="21">
      <c r="A85" s="254"/>
      <c r="B85" s="255" t="s">
        <v>208</v>
      </c>
      <c r="C85" s="256"/>
      <c r="D85" s="257"/>
      <c r="E85" s="234"/>
      <c r="F85" s="234"/>
      <c r="G85" s="234"/>
      <c r="H85" s="235"/>
      <c r="I85" s="235"/>
      <c r="J85" s="235"/>
      <c r="K85" s="235"/>
      <c r="L85" s="235"/>
      <c r="M85" s="235"/>
      <c r="N85" s="235"/>
      <c r="O85" s="235"/>
    </row>
    <row r="86" spans="1:15" ht="14.4">
      <c r="A86" s="254"/>
      <c r="B86" s="258" t="str">
        <f>B1</f>
        <v>Specialties</v>
      </c>
      <c r="C86" s="23"/>
      <c r="D86" s="105"/>
      <c r="E86" s="234"/>
      <c r="F86" s="234"/>
      <c r="G86" s="234"/>
      <c r="H86" s="235"/>
      <c r="I86" s="235"/>
      <c r="J86" s="235"/>
      <c r="K86" s="235"/>
      <c r="L86" s="235"/>
      <c r="M86" s="235"/>
      <c r="N86" s="235"/>
      <c r="O86" s="235"/>
    </row>
    <row r="87" spans="1:15" ht="14.4">
      <c r="A87" s="254"/>
      <c r="B87" s="259" t="s">
        <v>55</v>
      </c>
      <c r="C87" s="23"/>
      <c r="D87" s="105"/>
      <c r="E87" s="234"/>
      <c r="F87" s="234"/>
      <c r="G87" s="234"/>
      <c r="H87" s="235"/>
      <c r="I87" s="235"/>
      <c r="J87" s="235"/>
      <c r="K87" s="235"/>
      <c r="L87" s="235"/>
      <c r="M87" s="235"/>
      <c r="N87" s="235"/>
      <c r="O87" s="235"/>
    </row>
    <row r="88" spans="1:15" ht="14.4">
      <c r="A88" s="254"/>
      <c r="B88" s="259" t="s">
        <v>56</v>
      </c>
      <c r="C88" s="23"/>
      <c r="D88" s="105"/>
      <c r="E88" s="234"/>
      <c r="F88" s="234"/>
      <c r="G88" s="234"/>
      <c r="H88" s="235"/>
      <c r="I88" s="235"/>
      <c r="J88" s="235"/>
      <c r="K88" s="235"/>
      <c r="L88" s="235"/>
      <c r="M88" s="235"/>
      <c r="N88" s="235"/>
      <c r="O88" s="235"/>
    </row>
    <row r="89" spans="1:15" ht="14.4">
      <c r="A89" s="254"/>
      <c r="B89" s="259" t="s">
        <v>57</v>
      </c>
      <c r="C89" s="23"/>
      <c r="D89" s="105"/>
      <c r="E89" s="234"/>
      <c r="F89" s="234"/>
      <c r="G89" s="234"/>
      <c r="H89" s="235"/>
      <c r="I89" s="235"/>
      <c r="J89" s="235"/>
      <c r="K89" s="235"/>
      <c r="L89" s="235"/>
      <c r="M89" s="235"/>
      <c r="N89" s="235"/>
      <c r="O89" s="235"/>
    </row>
    <row r="90" spans="1:15" ht="14.4">
      <c r="A90" s="254"/>
      <c r="B90" s="259" t="s">
        <v>58</v>
      </c>
      <c r="C90" s="23"/>
      <c r="D90" s="105"/>
      <c r="E90" s="234"/>
      <c r="F90" s="234"/>
      <c r="G90" s="234"/>
      <c r="H90" s="235"/>
      <c r="I90" s="235"/>
      <c r="J90" s="235"/>
      <c r="K90" s="235"/>
      <c r="L90" s="235"/>
      <c r="M90" s="235"/>
      <c r="N90" s="235"/>
      <c r="O90" s="235"/>
    </row>
    <row r="91" spans="1:15" ht="14.4">
      <c r="A91" s="254"/>
      <c r="B91" s="259" t="s">
        <v>59</v>
      </c>
      <c r="C91" s="23"/>
      <c r="D91" s="105"/>
      <c r="E91" s="234"/>
      <c r="F91" s="234"/>
      <c r="G91" s="234"/>
      <c r="H91" s="235"/>
      <c r="I91" s="235"/>
      <c r="J91" s="235"/>
      <c r="K91" s="235"/>
      <c r="L91" s="235"/>
      <c r="M91" s="235"/>
      <c r="N91" s="235"/>
      <c r="O91" s="235"/>
    </row>
    <row r="92" spans="1:15" ht="14.4">
      <c r="A92" s="254"/>
      <c r="B92" s="259" t="s">
        <v>60</v>
      </c>
      <c r="C92" s="23"/>
      <c r="D92" s="105"/>
      <c r="E92" s="234"/>
      <c r="F92" s="234"/>
      <c r="G92" s="234"/>
      <c r="H92" s="235"/>
      <c r="I92" s="235"/>
      <c r="J92" s="235"/>
      <c r="K92" s="235"/>
      <c r="L92" s="235"/>
      <c r="M92" s="235"/>
      <c r="N92" s="235"/>
      <c r="O92" s="235"/>
    </row>
    <row r="93" spans="1:15" ht="14.4">
      <c r="A93" s="254"/>
      <c r="B93" s="259" t="s">
        <v>61</v>
      </c>
      <c r="C93" s="23"/>
      <c r="D93" s="105"/>
      <c r="E93" s="234"/>
      <c r="F93" s="234"/>
      <c r="G93" s="234"/>
      <c r="H93" s="235"/>
      <c r="I93" s="235"/>
      <c r="J93" s="235"/>
      <c r="K93" s="235"/>
      <c r="L93" s="235"/>
      <c r="M93" s="235"/>
      <c r="N93" s="235"/>
      <c r="O93" s="235"/>
    </row>
    <row r="94" spans="1:15" ht="14.4">
      <c r="A94" s="254"/>
      <c r="B94" s="259" t="s">
        <v>62</v>
      </c>
      <c r="C94" s="23"/>
      <c r="D94" s="105"/>
      <c r="E94" s="234"/>
      <c r="F94" s="234"/>
      <c r="G94" s="234"/>
      <c r="H94" s="235"/>
      <c r="I94" s="235"/>
      <c r="J94" s="235"/>
      <c r="K94" s="235"/>
      <c r="L94" s="235"/>
      <c r="M94" s="235"/>
      <c r="N94" s="235"/>
      <c r="O94" s="235"/>
    </row>
    <row r="95" spans="1:15" ht="14.4">
      <c r="A95" s="254"/>
      <c r="B95" s="259"/>
      <c r="C95" s="23"/>
      <c r="D95" s="105"/>
      <c r="E95" s="234"/>
      <c r="F95" s="234"/>
      <c r="G95" s="234"/>
      <c r="H95" s="235"/>
      <c r="I95" s="235"/>
      <c r="J95" s="235"/>
      <c r="K95" s="235"/>
      <c r="L95" s="235"/>
      <c r="M95" s="235"/>
      <c r="N95" s="235"/>
      <c r="O95" s="235"/>
    </row>
    <row r="96" spans="1:15" ht="14.4">
      <c r="A96" s="254"/>
      <c r="B96" s="260"/>
      <c r="C96" s="261"/>
      <c r="D96" s="262"/>
      <c r="E96" s="234"/>
      <c r="F96" s="234"/>
      <c r="G96" s="234"/>
      <c r="H96" s="235"/>
      <c r="I96" s="235"/>
      <c r="J96" s="235"/>
      <c r="K96" s="235"/>
      <c r="L96" s="235"/>
      <c r="M96" s="235"/>
      <c r="N96" s="235"/>
      <c r="O96" s="235"/>
    </row>
    <row r="97" spans="1:15" ht="13.8">
      <c r="A97" s="254"/>
      <c r="B97" s="235"/>
      <c r="C97" s="235"/>
      <c r="D97" s="234"/>
      <c r="E97" s="234"/>
      <c r="F97" s="234"/>
      <c r="G97" s="234"/>
      <c r="H97" s="235"/>
      <c r="I97" s="235"/>
      <c r="J97" s="235"/>
      <c r="K97" s="235"/>
      <c r="L97" s="235"/>
      <c r="M97" s="235"/>
      <c r="N97" s="235"/>
      <c r="O97" s="235"/>
    </row>
    <row r="98" spans="1:15" ht="13.8">
      <c r="A98" s="254"/>
      <c r="B98" s="235"/>
      <c r="C98" s="235"/>
      <c r="D98" s="234"/>
      <c r="E98" s="234"/>
      <c r="F98" s="234"/>
      <c r="G98" s="234"/>
      <c r="H98" s="235"/>
      <c r="I98" s="235"/>
      <c r="J98" s="235"/>
      <c r="K98" s="235"/>
      <c r="L98" s="235"/>
      <c r="M98" s="235"/>
      <c r="N98" s="235"/>
      <c r="O98" s="235"/>
    </row>
    <row r="99" spans="1:15" ht="13.8">
      <c r="A99" s="254"/>
      <c r="B99" s="235"/>
      <c r="C99" s="235"/>
      <c r="D99" s="234"/>
      <c r="E99" s="234"/>
      <c r="F99" s="234"/>
      <c r="G99" s="234"/>
      <c r="H99" s="235"/>
      <c r="I99" s="235"/>
      <c r="J99" s="235"/>
      <c r="K99" s="235"/>
      <c r="L99" s="235"/>
      <c r="M99" s="235"/>
      <c r="N99" s="235"/>
      <c r="O99" s="235"/>
    </row>
    <row r="100" spans="1:15" ht="13.8">
      <c r="A100" s="254"/>
      <c r="B100" s="235"/>
      <c r="C100" s="235"/>
      <c r="D100" s="234"/>
      <c r="E100" s="234"/>
      <c r="F100" s="234"/>
      <c r="G100" s="234"/>
      <c r="H100" s="235"/>
      <c r="I100" s="235"/>
      <c r="J100" s="235"/>
      <c r="K100" s="235"/>
      <c r="L100" s="235"/>
      <c r="M100" s="235"/>
      <c r="N100" s="235"/>
      <c r="O100" s="235"/>
    </row>
    <row r="101" spans="1:15" ht="13.8">
      <c r="A101" s="254"/>
      <c r="B101" s="235"/>
      <c r="C101" s="235"/>
      <c r="D101" s="234"/>
      <c r="E101" s="234"/>
      <c r="F101" s="234"/>
      <c r="G101" s="234"/>
      <c r="H101" s="235"/>
      <c r="I101" s="235"/>
      <c r="J101" s="235"/>
      <c r="K101" s="235"/>
      <c r="L101" s="235"/>
      <c r="M101" s="235"/>
      <c r="N101" s="235"/>
      <c r="O101" s="235"/>
    </row>
    <row r="102" spans="1:15" ht="13.8">
      <c r="A102" s="254"/>
      <c r="B102" s="235"/>
      <c r="C102" s="235"/>
      <c r="D102" s="234"/>
      <c r="E102" s="234"/>
      <c r="F102" s="234"/>
      <c r="G102" s="234"/>
      <c r="H102" s="235"/>
      <c r="I102" s="235"/>
      <c r="J102" s="235"/>
      <c r="K102" s="235"/>
      <c r="L102" s="235"/>
      <c r="M102" s="235"/>
      <c r="N102" s="235"/>
      <c r="O102" s="235"/>
    </row>
    <row r="103" spans="1:15" ht="13.8">
      <c r="A103" s="254"/>
      <c r="B103" s="235"/>
      <c r="C103" s="235"/>
      <c r="D103" s="234"/>
      <c r="E103" s="234"/>
      <c r="F103" s="234"/>
      <c r="G103" s="234"/>
      <c r="H103" s="235"/>
      <c r="I103" s="235"/>
      <c r="J103" s="235"/>
      <c r="K103" s="235"/>
      <c r="L103" s="235"/>
      <c r="M103" s="235"/>
      <c r="N103" s="235"/>
      <c r="O103" s="235"/>
    </row>
    <row r="104" spans="1:15" ht="13.8">
      <c r="A104" s="254"/>
      <c r="B104" s="235"/>
      <c r="C104" s="235"/>
      <c r="D104" s="234"/>
      <c r="E104" s="234"/>
      <c r="F104" s="234"/>
      <c r="G104" s="234"/>
      <c r="H104" s="235"/>
      <c r="I104" s="235"/>
      <c r="J104" s="235"/>
      <c r="K104" s="235"/>
      <c r="L104" s="235"/>
      <c r="M104" s="235"/>
      <c r="N104" s="235"/>
      <c r="O104" s="235"/>
    </row>
    <row r="105" spans="1:15" ht="13.8">
      <c r="A105" s="254"/>
      <c r="B105" s="235"/>
      <c r="C105" s="235"/>
      <c r="D105" s="234"/>
      <c r="E105" s="234"/>
      <c r="F105" s="234"/>
      <c r="G105" s="234"/>
      <c r="H105" s="235"/>
      <c r="I105" s="235"/>
      <c r="J105" s="235"/>
      <c r="K105" s="235"/>
      <c r="L105" s="235"/>
      <c r="M105" s="235"/>
      <c r="N105" s="235"/>
      <c r="O105" s="235"/>
    </row>
    <row r="106" spans="1:15" ht="13.8">
      <c r="A106" s="254"/>
      <c r="B106" s="235"/>
      <c r="C106" s="235"/>
      <c r="D106" s="234"/>
      <c r="E106" s="234"/>
      <c r="F106" s="234"/>
      <c r="G106" s="234"/>
      <c r="H106" s="235"/>
      <c r="I106" s="235"/>
      <c r="J106" s="235"/>
      <c r="K106" s="235"/>
      <c r="L106" s="235"/>
      <c r="M106" s="235"/>
      <c r="N106" s="235"/>
      <c r="O106" s="235"/>
    </row>
    <row r="107" spans="1:15" ht="13.8">
      <c r="A107" s="254"/>
      <c r="B107" s="235"/>
      <c r="C107" s="235"/>
      <c r="D107" s="234"/>
      <c r="E107" s="234"/>
      <c r="F107" s="234"/>
      <c r="G107" s="234"/>
      <c r="H107" s="235"/>
      <c r="I107" s="235"/>
      <c r="J107" s="235"/>
      <c r="K107" s="235"/>
      <c r="L107" s="235"/>
      <c r="M107" s="235"/>
      <c r="N107" s="235"/>
      <c r="O107" s="235"/>
    </row>
    <row r="108" spans="1:15" ht="13.8">
      <c r="A108" s="254"/>
      <c r="B108" s="235"/>
      <c r="C108" s="235"/>
      <c r="D108" s="234"/>
      <c r="E108" s="234"/>
      <c r="F108" s="234"/>
      <c r="G108" s="234"/>
      <c r="H108" s="235"/>
      <c r="I108" s="235"/>
      <c r="J108" s="235"/>
      <c r="K108" s="235"/>
      <c r="L108" s="235"/>
      <c r="M108" s="235"/>
      <c r="N108" s="235"/>
      <c r="O108" s="235"/>
    </row>
    <row r="109" spans="1:15" ht="13.8">
      <c r="A109" s="254"/>
      <c r="B109" s="235"/>
      <c r="C109" s="235"/>
      <c r="D109" s="234"/>
      <c r="E109" s="234"/>
      <c r="F109" s="234"/>
      <c r="G109" s="234"/>
      <c r="H109" s="235"/>
      <c r="I109" s="235"/>
      <c r="J109" s="235"/>
      <c r="K109" s="235"/>
      <c r="L109" s="235"/>
      <c r="M109" s="235"/>
      <c r="N109" s="235"/>
      <c r="O109" s="235"/>
    </row>
    <row r="110" spans="1:15" ht="13.8">
      <c r="A110" s="254"/>
      <c r="B110" s="235"/>
      <c r="C110" s="235"/>
      <c r="D110" s="234"/>
      <c r="E110" s="234"/>
      <c r="F110" s="234"/>
      <c r="G110" s="234"/>
      <c r="H110" s="235"/>
      <c r="I110" s="235"/>
      <c r="J110" s="235"/>
      <c r="K110" s="235"/>
      <c r="L110" s="235"/>
      <c r="M110" s="235"/>
      <c r="N110" s="235"/>
      <c r="O110" s="235"/>
    </row>
    <row r="111" spans="1:15" ht="13.8">
      <c r="A111" s="254"/>
      <c r="B111" s="235"/>
      <c r="C111" s="235"/>
      <c r="D111" s="234"/>
      <c r="E111" s="234"/>
      <c r="F111" s="234"/>
      <c r="G111" s="234"/>
      <c r="H111" s="235"/>
      <c r="I111" s="235"/>
      <c r="J111" s="235"/>
      <c r="K111" s="235"/>
      <c r="L111" s="235"/>
      <c r="M111" s="235"/>
      <c r="N111" s="235"/>
      <c r="O111" s="235"/>
    </row>
    <row r="112" spans="1:15" ht="13.8">
      <c r="A112" s="254"/>
      <c r="B112" s="235"/>
      <c r="C112" s="235"/>
      <c r="D112" s="234"/>
      <c r="E112" s="234"/>
      <c r="F112" s="234"/>
      <c r="G112" s="234"/>
      <c r="H112" s="235"/>
      <c r="I112" s="235"/>
      <c r="J112" s="235"/>
      <c r="K112" s="235"/>
      <c r="L112" s="235"/>
      <c r="M112" s="235"/>
      <c r="N112" s="235"/>
      <c r="O112" s="235"/>
    </row>
    <row r="113" spans="1:15" ht="13.8">
      <c r="A113" s="254"/>
      <c r="B113" s="235"/>
      <c r="C113" s="235"/>
      <c r="D113" s="234"/>
      <c r="E113" s="234"/>
      <c r="F113" s="234"/>
      <c r="G113" s="234"/>
      <c r="H113" s="235"/>
      <c r="I113" s="235"/>
      <c r="J113" s="235"/>
      <c r="K113" s="235"/>
      <c r="L113" s="235"/>
      <c r="M113" s="235"/>
      <c r="N113" s="235"/>
      <c r="O113" s="235"/>
    </row>
    <row r="114" spans="1:15" ht="13.8">
      <c r="A114" s="254"/>
      <c r="B114" s="235"/>
      <c r="C114" s="235"/>
      <c r="D114" s="234"/>
      <c r="E114" s="234"/>
      <c r="F114" s="234"/>
      <c r="G114" s="234"/>
      <c r="H114" s="235"/>
      <c r="I114" s="235"/>
      <c r="J114" s="235"/>
      <c r="K114" s="235"/>
      <c r="L114" s="235"/>
      <c r="M114" s="235"/>
      <c r="N114" s="235"/>
      <c r="O114" s="235"/>
    </row>
    <row r="115" spans="1:15" ht="13.8">
      <c r="A115" s="254"/>
      <c r="B115" s="235"/>
      <c r="C115" s="235"/>
      <c r="D115" s="234"/>
      <c r="E115" s="234"/>
      <c r="F115" s="234"/>
      <c r="G115" s="234"/>
      <c r="H115" s="235"/>
      <c r="I115" s="235"/>
      <c r="J115" s="235"/>
      <c r="K115" s="235"/>
      <c r="L115" s="235"/>
      <c r="M115" s="235"/>
      <c r="N115" s="235"/>
      <c r="O115" s="235"/>
    </row>
    <row r="116" spans="1:15" ht="13.8">
      <c r="A116" s="254"/>
      <c r="B116" s="235"/>
      <c r="C116" s="235"/>
      <c r="D116" s="234"/>
      <c r="E116" s="234"/>
      <c r="F116" s="234"/>
      <c r="G116" s="234"/>
      <c r="H116" s="235"/>
      <c r="I116" s="235"/>
      <c r="J116" s="235"/>
      <c r="K116" s="235"/>
      <c r="L116" s="235"/>
      <c r="M116" s="235"/>
      <c r="N116" s="235"/>
      <c r="O116" s="235"/>
    </row>
    <row r="117" spans="1:15" ht="13.8">
      <c r="A117" s="254"/>
      <c r="B117" s="235"/>
      <c r="C117" s="235"/>
      <c r="D117" s="234"/>
      <c r="E117" s="234"/>
      <c r="F117" s="234"/>
      <c r="G117" s="234"/>
      <c r="H117" s="235"/>
      <c r="I117" s="235"/>
      <c r="J117" s="235"/>
      <c r="K117" s="235"/>
      <c r="L117" s="235"/>
      <c r="M117" s="235"/>
      <c r="N117" s="235"/>
      <c r="O117" s="235"/>
    </row>
    <row r="118" spans="1:15" ht="13.8">
      <c r="A118" s="254"/>
      <c r="B118" s="235"/>
      <c r="C118" s="235"/>
      <c r="D118" s="234"/>
      <c r="E118" s="234"/>
      <c r="F118" s="234"/>
      <c r="G118" s="234"/>
      <c r="H118" s="235"/>
      <c r="I118" s="235"/>
      <c r="J118" s="235"/>
      <c r="K118" s="235"/>
      <c r="L118" s="235"/>
      <c r="M118" s="235"/>
      <c r="N118" s="235"/>
      <c r="O118" s="235"/>
    </row>
    <row r="119" spans="1:15" ht="13.8">
      <c r="A119" s="254"/>
      <c r="B119" s="235"/>
      <c r="C119" s="235"/>
      <c r="D119" s="234"/>
      <c r="E119" s="234"/>
      <c r="F119" s="234"/>
      <c r="G119" s="234"/>
      <c r="H119" s="235"/>
      <c r="I119" s="235"/>
      <c r="J119" s="235"/>
      <c r="K119" s="235"/>
      <c r="L119" s="235"/>
      <c r="M119" s="235"/>
      <c r="N119" s="235"/>
      <c r="O119" s="235"/>
    </row>
    <row r="120" spans="1:15" ht="13.8">
      <c r="A120" s="254"/>
      <c r="B120" s="235"/>
      <c r="C120" s="235"/>
      <c r="D120" s="234"/>
      <c r="E120" s="234"/>
      <c r="F120" s="234"/>
      <c r="G120" s="234"/>
      <c r="H120" s="235"/>
      <c r="I120" s="235"/>
      <c r="J120" s="235"/>
      <c r="K120" s="235"/>
      <c r="L120" s="235"/>
      <c r="M120" s="235"/>
      <c r="N120" s="235"/>
      <c r="O120" s="235"/>
    </row>
    <row r="121" spans="1:15" ht="13.8">
      <c r="A121" s="254"/>
      <c r="B121" s="235"/>
      <c r="C121" s="235"/>
      <c r="D121" s="234"/>
      <c r="E121" s="234"/>
      <c r="F121" s="234"/>
      <c r="G121" s="234"/>
      <c r="H121" s="235"/>
      <c r="I121" s="235"/>
      <c r="J121" s="235"/>
      <c r="K121" s="235"/>
      <c r="L121" s="235"/>
      <c r="M121" s="235"/>
      <c r="N121" s="235"/>
      <c r="O121" s="235"/>
    </row>
    <row r="122" spans="1:15" ht="13.8">
      <c r="A122" s="254"/>
      <c r="B122" s="235"/>
      <c r="C122" s="235"/>
      <c r="D122" s="234"/>
      <c r="E122" s="234"/>
      <c r="F122" s="234"/>
      <c r="G122" s="234"/>
      <c r="H122" s="235"/>
      <c r="I122" s="235"/>
      <c r="J122" s="235"/>
      <c r="K122" s="235"/>
      <c r="L122" s="235"/>
      <c r="M122" s="235"/>
      <c r="N122" s="235"/>
      <c r="O122" s="235"/>
    </row>
    <row r="123" spans="1:15" ht="13.8">
      <c r="A123" s="235"/>
      <c r="B123" s="235"/>
      <c r="C123" s="235"/>
      <c r="D123" s="234"/>
      <c r="E123" s="234"/>
      <c r="F123" s="234"/>
      <c r="G123" s="234"/>
      <c r="H123" s="235"/>
      <c r="I123" s="235"/>
      <c r="J123" s="235"/>
      <c r="K123" s="235"/>
      <c r="L123" s="235"/>
      <c r="M123" s="235"/>
      <c r="N123" s="235"/>
      <c r="O123" s="235"/>
    </row>
    <row r="124" spans="1:15" ht="13.8">
      <c r="A124" s="235"/>
      <c r="B124" s="235"/>
      <c r="C124" s="235"/>
      <c r="D124" s="234"/>
      <c r="E124" s="234"/>
      <c r="F124" s="234"/>
      <c r="G124" s="234"/>
      <c r="H124" s="235"/>
      <c r="I124" s="235"/>
      <c r="J124" s="235"/>
      <c r="K124" s="235"/>
      <c r="L124" s="235"/>
      <c r="M124" s="235"/>
      <c r="N124" s="235"/>
      <c r="O124" s="235"/>
    </row>
    <row r="125" spans="1:15" ht="13.8">
      <c r="A125" s="235"/>
      <c r="B125" s="235"/>
      <c r="C125" s="235"/>
      <c r="D125" s="234"/>
      <c r="E125" s="234"/>
      <c r="F125" s="234"/>
      <c r="G125" s="234"/>
      <c r="H125" s="235"/>
      <c r="I125" s="235"/>
      <c r="J125" s="235"/>
      <c r="K125" s="235"/>
      <c r="L125" s="235"/>
      <c r="M125" s="235"/>
      <c r="N125" s="235"/>
      <c r="O125" s="235"/>
    </row>
    <row r="126" spans="1:15" ht="13.8">
      <c r="A126" s="235"/>
      <c r="B126" s="235"/>
      <c r="C126" s="235"/>
      <c r="D126" s="234"/>
      <c r="E126" s="234"/>
      <c r="F126" s="234"/>
      <c r="G126" s="234"/>
      <c r="H126" s="235"/>
      <c r="I126" s="235"/>
      <c r="J126" s="235"/>
      <c r="K126" s="235"/>
      <c r="L126" s="235"/>
      <c r="M126" s="235"/>
      <c r="N126" s="235"/>
      <c r="O126" s="235"/>
    </row>
    <row r="127" spans="1:15" ht="13.8">
      <c r="A127" s="235"/>
      <c r="B127" s="235"/>
      <c r="C127" s="235"/>
      <c r="D127" s="234"/>
      <c r="E127" s="234"/>
      <c r="F127" s="234"/>
      <c r="G127" s="234"/>
      <c r="H127" s="235"/>
      <c r="I127" s="235"/>
      <c r="J127" s="235"/>
      <c r="K127" s="235"/>
      <c r="L127" s="235"/>
      <c r="M127" s="235"/>
      <c r="N127" s="235"/>
      <c r="O127" s="235"/>
    </row>
    <row r="128" spans="1:15" ht="13.8">
      <c r="A128" s="235"/>
      <c r="B128" s="235"/>
      <c r="C128" s="235"/>
      <c r="D128" s="234"/>
      <c r="E128" s="234"/>
      <c r="F128" s="234"/>
      <c r="G128" s="234"/>
      <c r="H128" s="235"/>
      <c r="I128" s="235"/>
      <c r="J128" s="235"/>
      <c r="K128" s="235"/>
      <c r="L128" s="235"/>
      <c r="M128" s="235"/>
      <c r="N128" s="235"/>
      <c r="O128" s="235"/>
    </row>
    <row r="129" spans="1:15" ht="13.8">
      <c r="A129" s="235"/>
      <c r="B129" s="235"/>
      <c r="C129" s="235"/>
      <c r="D129" s="234"/>
      <c r="E129" s="234"/>
      <c r="F129" s="234"/>
      <c r="G129" s="234"/>
      <c r="H129" s="235"/>
      <c r="I129" s="235"/>
      <c r="J129" s="235"/>
      <c r="K129" s="235"/>
      <c r="L129" s="235"/>
      <c r="M129" s="235"/>
      <c r="N129" s="235"/>
      <c r="O129" s="235"/>
    </row>
    <row r="130" spans="1:15" ht="13.8">
      <c r="A130" s="235"/>
      <c r="B130" s="235"/>
      <c r="C130" s="235"/>
      <c r="D130" s="234"/>
      <c r="E130" s="234"/>
      <c r="F130" s="234"/>
      <c r="G130" s="234"/>
      <c r="H130" s="235"/>
      <c r="I130" s="235"/>
      <c r="J130" s="235"/>
      <c r="K130" s="235"/>
      <c r="L130" s="235"/>
      <c r="M130" s="235"/>
      <c r="N130" s="235"/>
      <c r="O130" s="235"/>
    </row>
    <row r="131" spans="1:15" ht="13.8">
      <c r="A131" s="235"/>
      <c r="B131" s="235"/>
      <c r="C131" s="235"/>
      <c r="D131" s="234"/>
      <c r="E131" s="234"/>
      <c r="F131" s="234"/>
      <c r="G131" s="234"/>
      <c r="H131" s="235"/>
      <c r="I131" s="235"/>
      <c r="J131" s="235"/>
      <c r="K131" s="235"/>
      <c r="L131" s="235"/>
      <c r="M131" s="235"/>
      <c r="N131" s="235"/>
      <c r="O131" s="235"/>
    </row>
    <row r="132" spans="1:15" ht="13.8">
      <c r="A132" s="235"/>
      <c r="B132" s="235"/>
      <c r="C132" s="235"/>
      <c r="D132" s="234"/>
      <c r="E132" s="234"/>
      <c r="F132" s="234"/>
      <c r="G132" s="234"/>
      <c r="H132" s="235"/>
      <c r="I132" s="235"/>
      <c r="J132" s="235"/>
      <c r="K132" s="235"/>
      <c r="L132" s="235"/>
      <c r="M132" s="235"/>
      <c r="N132" s="235"/>
      <c r="O132" s="235"/>
    </row>
    <row r="133" spans="1:15" ht="13.8">
      <c r="A133" s="235"/>
      <c r="B133" s="235"/>
      <c r="C133" s="235"/>
      <c r="D133" s="234"/>
      <c r="E133" s="234"/>
      <c r="F133" s="234"/>
      <c r="G133" s="234"/>
      <c r="H133" s="235"/>
      <c r="I133" s="235"/>
      <c r="J133" s="235"/>
      <c r="K133" s="235"/>
      <c r="L133" s="235"/>
      <c r="M133" s="235"/>
      <c r="N133" s="235"/>
      <c r="O133" s="235"/>
    </row>
    <row r="134" spans="1:15" ht="13.8">
      <c r="A134" s="235"/>
      <c r="B134" s="235"/>
      <c r="C134" s="235"/>
      <c r="D134" s="234"/>
      <c r="E134" s="234"/>
      <c r="F134" s="234"/>
      <c r="G134" s="234"/>
      <c r="H134" s="235"/>
      <c r="I134" s="235"/>
      <c r="J134" s="235"/>
      <c r="K134" s="235"/>
      <c r="L134" s="235"/>
      <c r="M134" s="235"/>
      <c r="N134" s="235"/>
      <c r="O134" s="235"/>
    </row>
    <row r="135" spans="1:15" ht="13.8">
      <c r="A135" s="235"/>
      <c r="B135" s="235"/>
      <c r="C135" s="235"/>
      <c r="D135" s="234"/>
      <c r="E135" s="234"/>
      <c r="F135" s="234"/>
      <c r="G135" s="234"/>
      <c r="H135" s="235"/>
      <c r="I135" s="235"/>
      <c r="J135" s="235"/>
      <c r="K135" s="235"/>
      <c r="L135" s="235"/>
      <c r="M135" s="235"/>
      <c r="N135" s="235"/>
      <c r="O135" s="235"/>
    </row>
    <row r="136" spans="1:15" ht="13.8">
      <c r="A136" s="235"/>
      <c r="B136" s="235"/>
      <c r="C136" s="235"/>
      <c r="D136" s="234"/>
      <c r="E136" s="234"/>
      <c r="F136" s="234"/>
      <c r="G136" s="234"/>
      <c r="H136" s="235"/>
      <c r="I136" s="235"/>
      <c r="J136" s="235"/>
      <c r="K136" s="235"/>
      <c r="L136" s="235"/>
      <c r="M136" s="235"/>
      <c r="N136" s="235"/>
      <c r="O136" s="235"/>
    </row>
    <row r="137" spans="1:15" ht="13.8">
      <c r="A137" s="235"/>
      <c r="B137" s="235"/>
      <c r="C137" s="235"/>
      <c r="D137" s="234"/>
      <c r="E137" s="234"/>
      <c r="F137" s="234"/>
      <c r="G137" s="234"/>
      <c r="H137" s="235"/>
      <c r="I137" s="235"/>
      <c r="J137" s="235"/>
      <c r="K137" s="235"/>
      <c r="L137" s="235"/>
      <c r="M137" s="235"/>
      <c r="N137" s="235"/>
      <c r="O137" s="235"/>
    </row>
    <row r="138" spans="1:15" ht="13.8">
      <c r="A138" s="235"/>
      <c r="B138" s="235"/>
      <c r="C138" s="235"/>
      <c r="D138" s="234"/>
      <c r="E138" s="234"/>
      <c r="F138" s="234"/>
      <c r="G138" s="234"/>
      <c r="H138" s="235"/>
      <c r="I138" s="235"/>
      <c r="J138" s="235"/>
      <c r="K138" s="235"/>
      <c r="L138" s="235"/>
      <c r="M138" s="235"/>
      <c r="N138" s="235"/>
      <c r="O138" s="235"/>
    </row>
    <row r="139" spans="1:15" ht="13.8">
      <c r="A139" s="235"/>
      <c r="B139" s="235"/>
      <c r="C139" s="235"/>
      <c r="D139" s="234"/>
      <c r="E139" s="234"/>
      <c r="F139" s="234"/>
      <c r="G139" s="234"/>
      <c r="H139" s="235"/>
      <c r="I139" s="235"/>
      <c r="J139" s="235"/>
      <c r="K139" s="235"/>
      <c r="L139" s="235"/>
      <c r="M139" s="235"/>
      <c r="N139" s="235"/>
      <c r="O139" s="235"/>
    </row>
    <row r="140" spans="1:15" ht="13.8">
      <c r="A140" s="235"/>
      <c r="B140" s="235"/>
      <c r="C140" s="235"/>
      <c r="D140" s="234"/>
      <c r="E140" s="234"/>
      <c r="F140" s="234"/>
      <c r="G140" s="234"/>
      <c r="H140" s="235"/>
      <c r="I140" s="235"/>
      <c r="J140" s="235"/>
      <c r="K140" s="235"/>
      <c r="L140" s="235"/>
      <c r="M140" s="235"/>
      <c r="N140" s="235"/>
      <c r="O140" s="235"/>
    </row>
    <row r="141" spans="1:15" ht="13.8">
      <c r="A141" s="235"/>
      <c r="B141" s="235"/>
      <c r="C141" s="235"/>
      <c r="D141" s="234"/>
      <c r="E141" s="234"/>
      <c r="F141" s="234"/>
      <c r="G141" s="234"/>
      <c r="H141" s="235"/>
      <c r="I141" s="235"/>
      <c r="J141" s="235"/>
      <c r="K141" s="235"/>
      <c r="L141" s="235"/>
      <c r="M141" s="235"/>
      <c r="N141" s="235"/>
      <c r="O141" s="235"/>
    </row>
    <row r="142" spans="1:15" ht="13.8">
      <c r="A142" s="235"/>
      <c r="B142" s="235"/>
      <c r="C142" s="235"/>
      <c r="D142" s="234"/>
      <c r="E142" s="234"/>
      <c r="F142" s="234"/>
      <c r="G142" s="234"/>
      <c r="H142" s="235"/>
      <c r="I142" s="235"/>
      <c r="J142" s="235"/>
      <c r="K142" s="235"/>
      <c r="L142" s="235"/>
      <c r="M142" s="235"/>
      <c r="N142" s="235"/>
      <c r="O142" s="235"/>
    </row>
    <row r="143" spans="1:15" ht="13.8">
      <c r="A143" s="235"/>
      <c r="B143" s="235"/>
      <c r="C143" s="235"/>
      <c r="D143" s="234"/>
      <c r="E143" s="234"/>
      <c r="F143" s="234"/>
      <c r="G143" s="234"/>
      <c r="H143" s="235"/>
      <c r="I143" s="235"/>
      <c r="J143" s="235"/>
      <c r="K143" s="235"/>
      <c r="L143" s="235"/>
      <c r="M143" s="235"/>
      <c r="N143" s="235"/>
      <c r="O143" s="235"/>
    </row>
    <row r="144" spans="1:15" ht="13.8">
      <c r="A144" s="235"/>
      <c r="B144" s="235"/>
      <c r="C144" s="235"/>
      <c r="D144" s="234"/>
      <c r="E144" s="234"/>
      <c r="F144" s="234"/>
      <c r="G144" s="234"/>
      <c r="H144" s="235"/>
      <c r="I144" s="235"/>
      <c r="J144" s="235"/>
      <c r="K144" s="235"/>
      <c r="L144" s="235"/>
      <c r="M144" s="235"/>
      <c r="N144" s="235"/>
      <c r="O144" s="235"/>
    </row>
    <row r="145" spans="1:15" ht="13.8">
      <c r="A145" s="235"/>
      <c r="B145" s="235"/>
      <c r="C145" s="235"/>
      <c r="D145" s="234"/>
      <c r="E145" s="234"/>
      <c r="F145" s="234"/>
      <c r="G145" s="234"/>
      <c r="H145" s="235"/>
      <c r="I145" s="235"/>
      <c r="J145" s="235"/>
      <c r="K145" s="235"/>
      <c r="L145" s="235"/>
      <c r="M145" s="235"/>
      <c r="N145" s="235"/>
      <c r="O145" s="235"/>
    </row>
    <row r="146" spans="1:15" ht="13.8">
      <c r="A146" s="235"/>
      <c r="B146" s="235"/>
      <c r="C146" s="235"/>
      <c r="D146" s="234"/>
      <c r="E146" s="234"/>
      <c r="F146" s="234"/>
      <c r="G146" s="234"/>
      <c r="H146" s="235"/>
      <c r="I146" s="235"/>
      <c r="J146" s="235"/>
      <c r="K146" s="235"/>
      <c r="L146" s="235"/>
      <c r="M146" s="235"/>
      <c r="N146" s="235"/>
      <c r="O146" s="235"/>
    </row>
    <row r="147" spans="1:15" ht="13.8">
      <c r="A147" s="235"/>
      <c r="B147" s="235"/>
      <c r="C147" s="235"/>
      <c r="D147" s="234"/>
      <c r="E147" s="234"/>
      <c r="F147" s="234"/>
      <c r="G147" s="234"/>
      <c r="H147" s="235"/>
      <c r="I147" s="235"/>
      <c r="J147" s="235"/>
      <c r="K147" s="235"/>
      <c r="L147" s="235"/>
      <c r="M147" s="235"/>
      <c r="N147" s="235"/>
      <c r="O147" s="235"/>
    </row>
    <row r="148" spans="1:15" ht="13.8">
      <c r="A148" s="235"/>
      <c r="B148" s="235"/>
      <c r="C148" s="235"/>
      <c r="D148" s="234"/>
      <c r="E148" s="234"/>
      <c r="F148" s="234"/>
      <c r="G148" s="234"/>
      <c r="H148" s="235"/>
      <c r="I148" s="235"/>
      <c r="J148" s="235"/>
      <c r="K148" s="235"/>
      <c r="L148" s="235"/>
      <c r="M148" s="235"/>
      <c r="N148" s="235"/>
      <c r="O148" s="235"/>
    </row>
    <row r="149" spans="1:15" ht="13.8">
      <c r="A149" s="235"/>
      <c r="B149" s="235"/>
      <c r="C149" s="235"/>
      <c r="D149" s="234"/>
      <c r="E149" s="234"/>
      <c r="F149" s="234"/>
      <c r="G149" s="234"/>
      <c r="H149" s="235"/>
      <c r="I149" s="235"/>
      <c r="J149" s="235"/>
      <c r="K149" s="235"/>
      <c r="L149" s="235"/>
      <c r="M149" s="235"/>
      <c r="N149" s="235"/>
      <c r="O149" s="235"/>
    </row>
    <row r="150" spans="1:15" ht="13.8">
      <c r="A150" s="235"/>
      <c r="B150" s="235"/>
      <c r="C150" s="235"/>
      <c r="D150" s="234"/>
      <c r="E150" s="234"/>
      <c r="F150" s="234"/>
      <c r="G150" s="234"/>
      <c r="H150" s="235"/>
      <c r="I150" s="235"/>
      <c r="J150" s="235"/>
      <c r="K150" s="235"/>
      <c r="L150" s="235"/>
      <c r="M150" s="235"/>
      <c r="N150" s="235"/>
      <c r="O150" s="235"/>
    </row>
    <row r="151" spans="1:15" ht="13.8">
      <c r="A151" s="235"/>
      <c r="B151" s="235"/>
      <c r="C151" s="235"/>
      <c r="D151" s="234"/>
      <c r="E151" s="234"/>
      <c r="F151" s="234"/>
      <c r="G151" s="234"/>
      <c r="H151" s="235"/>
      <c r="I151" s="235"/>
      <c r="J151" s="235"/>
      <c r="K151" s="235"/>
      <c r="L151" s="235"/>
      <c r="M151" s="235"/>
      <c r="N151" s="235"/>
      <c r="O151" s="235"/>
    </row>
    <row r="152" spans="1:15" ht="13.8">
      <c r="A152" s="235"/>
      <c r="B152" s="235"/>
      <c r="C152" s="235"/>
      <c r="D152" s="234"/>
      <c r="E152" s="234"/>
      <c r="F152" s="234"/>
      <c r="G152" s="234"/>
      <c r="H152" s="235"/>
      <c r="I152" s="235"/>
      <c r="J152" s="235"/>
      <c r="K152" s="235"/>
      <c r="L152" s="235"/>
      <c r="M152" s="235"/>
      <c r="N152" s="235"/>
      <c r="O152" s="235"/>
    </row>
    <row r="153" spans="1:15" ht="13.8">
      <c r="A153" s="235"/>
      <c r="B153" s="235"/>
      <c r="C153" s="235"/>
      <c r="D153" s="234"/>
      <c r="E153" s="234"/>
      <c r="F153" s="234"/>
      <c r="G153" s="234"/>
      <c r="H153" s="235"/>
      <c r="I153" s="235"/>
      <c r="J153" s="235"/>
      <c r="K153" s="235"/>
      <c r="L153" s="235"/>
      <c r="M153" s="235"/>
      <c r="N153" s="235"/>
      <c r="O153" s="235"/>
    </row>
    <row r="154" spans="1:15" ht="13.8">
      <c r="A154" s="235"/>
      <c r="B154" s="235"/>
      <c r="C154" s="235"/>
      <c r="D154" s="234"/>
      <c r="E154" s="234"/>
      <c r="F154" s="234"/>
      <c r="G154" s="234"/>
      <c r="H154" s="235"/>
      <c r="I154" s="235"/>
      <c r="J154" s="235"/>
      <c r="K154" s="235"/>
      <c r="L154" s="235"/>
      <c r="M154" s="235"/>
      <c r="N154" s="235"/>
      <c r="O154" s="235"/>
    </row>
    <row r="155" spans="1:15" ht="13.8">
      <c r="A155" s="235"/>
      <c r="B155" s="235"/>
      <c r="C155" s="235"/>
      <c r="D155" s="234"/>
      <c r="E155" s="234"/>
      <c r="F155" s="234"/>
      <c r="G155" s="234"/>
      <c r="H155" s="235"/>
      <c r="I155" s="235"/>
      <c r="J155" s="235"/>
      <c r="K155" s="235"/>
      <c r="L155" s="235"/>
      <c r="M155" s="235"/>
      <c r="N155" s="235"/>
      <c r="O155" s="235"/>
    </row>
    <row r="156" spans="1:15" ht="13.8">
      <c r="A156" s="235"/>
      <c r="B156" s="235"/>
      <c r="C156" s="235"/>
      <c r="D156" s="234"/>
      <c r="E156" s="234"/>
      <c r="F156" s="234"/>
      <c r="G156" s="234"/>
      <c r="H156" s="235"/>
      <c r="I156" s="235"/>
      <c r="J156" s="235"/>
      <c r="K156" s="235"/>
      <c r="L156" s="235"/>
      <c r="M156" s="235"/>
      <c r="N156" s="235"/>
      <c r="O156" s="235"/>
    </row>
    <row r="157" spans="1:15" ht="13.8">
      <c r="A157" s="235"/>
      <c r="B157" s="235"/>
      <c r="C157" s="235"/>
      <c r="D157" s="234"/>
      <c r="E157" s="234"/>
      <c r="F157" s="234"/>
      <c r="G157" s="234"/>
      <c r="H157" s="235"/>
      <c r="I157" s="235"/>
      <c r="J157" s="235"/>
      <c r="K157" s="235"/>
      <c r="L157" s="235"/>
      <c r="M157" s="235"/>
      <c r="N157" s="235"/>
      <c r="O157" s="235"/>
    </row>
    <row r="158" spans="1:15" ht="13.8">
      <c r="A158" s="235"/>
      <c r="B158" s="235"/>
      <c r="C158" s="235"/>
      <c r="D158" s="234"/>
      <c r="E158" s="234"/>
      <c r="F158" s="234"/>
      <c r="G158" s="234"/>
      <c r="H158" s="235"/>
      <c r="I158" s="235"/>
      <c r="J158" s="235"/>
      <c r="K158" s="235"/>
      <c r="L158" s="235"/>
      <c r="M158" s="235"/>
      <c r="N158" s="235"/>
      <c r="O158" s="235"/>
    </row>
    <row r="159" spans="1:15" ht="13.8">
      <c r="A159" s="235"/>
      <c r="B159" s="235"/>
      <c r="C159" s="235"/>
      <c r="D159" s="234"/>
      <c r="E159" s="234"/>
      <c r="F159" s="234"/>
      <c r="G159" s="234"/>
      <c r="H159" s="235"/>
      <c r="I159" s="235"/>
      <c r="J159" s="235"/>
      <c r="K159" s="235"/>
      <c r="L159" s="235"/>
      <c r="M159" s="235"/>
      <c r="N159" s="235"/>
      <c r="O159" s="235"/>
    </row>
    <row r="160" spans="1:15" ht="13.8">
      <c r="A160" s="235"/>
      <c r="B160" s="235"/>
      <c r="C160" s="235"/>
      <c r="D160" s="234"/>
      <c r="E160" s="234"/>
      <c r="F160" s="234"/>
      <c r="G160" s="234"/>
      <c r="H160" s="235"/>
      <c r="I160" s="235"/>
      <c r="J160" s="235"/>
      <c r="K160" s="235"/>
      <c r="L160" s="235"/>
      <c r="M160" s="235"/>
      <c r="N160" s="235"/>
      <c r="O160" s="235"/>
    </row>
    <row r="161" spans="1:15" ht="13.8">
      <c r="A161" s="235"/>
      <c r="B161" s="235"/>
      <c r="C161" s="235"/>
      <c r="D161" s="234"/>
      <c r="E161" s="234"/>
      <c r="F161" s="234"/>
      <c r="G161" s="234"/>
      <c r="H161" s="235"/>
      <c r="I161" s="235"/>
      <c r="J161" s="235"/>
      <c r="K161" s="235"/>
      <c r="L161" s="235"/>
      <c r="M161" s="235"/>
      <c r="N161" s="235"/>
      <c r="O161" s="235"/>
    </row>
    <row r="162" spans="1:15" ht="13.8">
      <c r="A162" s="235"/>
      <c r="B162" s="235"/>
      <c r="C162" s="235"/>
      <c r="D162" s="234"/>
      <c r="E162" s="234"/>
      <c r="F162" s="234"/>
      <c r="G162" s="234"/>
      <c r="H162" s="235"/>
      <c r="I162" s="235"/>
      <c r="J162" s="235"/>
      <c r="K162" s="235"/>
      <c r="L162" s="235"/>
      <c r="M162" s="235"/>
      <c r="N162" s="235"/>
      <c r="O162" s="235"/>
    </row>
    <row r="163" spans="1:15" ht="13.8">
      <c r="A163" s="235"/>
      <c r="B163" s="235"/>
      <c r="C163" s="235"/>
      <c r="D163" s="234"/>
      <c r="E163" s="234"/>
      <c r="F163" s="234"/>
      <c r="G163" s="234"/>
      <c r="H163" s="235"/>
      <c r="I163" s="235"/>
      <c r="J163" s="235"/>
      <c r="K163" s="235"/>
      <c r="L163" s="235"/>
      <c r="M163" s="235"/>
      <c r="N163" s="235"/>
      <c r="O163" s="235"/>
    </row>
    <row r="164" spans="1:15" ht="13.8">
      <c r="A164" s="235"/>
      <c r="B164" s="235"/>
      <c r="C164" s="235"/>
      <c r="D164" s="234"/>
      <c r="E164" s="234"/>
      <c r="F164" s="234"/>
      <c r="G164" s="234"/>
      <c r="H164" s="235"/>
      <c r="I164" s="235"/>
      <c r="J164" s="235"/>
      <c r="K164" s="235"/>
      <c r="L164" s="235"/>
      <c r="M164" s="235"/>
      <c r="N164" s="235"/>
      <c r="O164" s="235"/>
    </row>
    <row r="165" spans="1:15" ht="13.8">
      <c r="A165" s="235"/>
      <c r="B165" s="235"/>
      <c r="C165" s="235"/>
      <c r="D165" s="234"/>
      <c r="E165" s="234"/>
      <c r="F165" s="234"/>
      <c r="G165" s="234"/>
      <c r="H165" s="235"/>
      <c r="I165" s="235"/>
      <c r="J165" s="235"/>
      <c r="K165" s="235"/>
      <c r="L165" s="235"/>
      <c r="M165" s="235"/>
      <c r="N165" s="235"/>
      <c r="O165" s="235"/>
    </row>
    <row r="166" spans="1:15" ht="13.8">
      <c r="A166" s="235"/>
      <c r="B166" s="235"/>
      <c r="C166" s="235"/>
      <c r="D166" s="234"/>
      <c r="E166" s="234"/>
      <c r="F166" s="234"/>
      <c r="G166" s="234"/>
      <c r="H166" s="235"/>
      <c r="I166" s="235"/>
      <c r="J166" s="235"/>
      <c r="K166" s="235"/>
      <c r="L166" s="235"/>
      <c r="M166" s="235"/>
      <c r="N166" s="235"/>
      <c r="O166" s="235"/>
    </row>
    <row r="167" spans="1:15" ht="13.8">
      <c r="A167" s="235"/>
      <c r="B167" s="235"/>
      <c r="C167" s="235"/>
      <c r="D167" s="234"/>
      <c r="E167" s="234"/>
      <c r="F167" s="234"/>
      <c r="G167" s="234"/>
      <c r="H167" s="235"/>
      <c r="I167" s="235"/>
      <c r="J167" s="235"/>
      <c r="K167" s="235"/>
      <c r="L167" s="235"/>
      <c r="M167" s="235"/>
      <c r="N167" s="235"/>
      <c r="O167" s="235"/>
    </row>
    <row r="168" spans="1:15" ht="13.8">
      <c r="A168" s="235"/>
      <c r="B168" s="235"/>
      <c r="C168" s="235"/>
      <c r="D168" s="234"/>
      <c r="E168" s="234"/>
      <c r="F168" s="234"/>
      <c r="G168" s="234"/>
      <c r="H168" s="235"/>
      <c r="I168" s="235"/>
      <c r="J168" s="235"/>
      <c r="K168" s="235"/>
      <c r="L168" s="235"/>
      <c r="M168" s="235"/>
      <c r="N168" s="235"/>
      <c r="O168" s="235"/>
    </row>
    <row r="169" spans="1:15" ht="13.8">
      <c r="A169" s="235"/>
      <c r="B169" s="235"/>
      <c r="C169" s="235"/>
      <c r="D169" s="234"/>
      <c r="E169" s="234"/>
      <c r="F169" s="234"/>
      <c r="G169" s="234"/>
      <c r="H169" s="235"/>
      <c r="I169" s="235"/>
      <c r="J169" s="235"/>
      <c r="K169" s="235"/>
      <c r="L169" s="235"/>
      <c r="M169" s="235"/>
      <c r="N169" s="235"/>
      <c r="O169" s="235"/>
    </row>
    <row r="170" spans="1:15" ht="13.8">
      <c r="A170" s="235"/>
      <c r="B170" s="235"/>
      <c r="C170" s="235"/>
      <c r="D170" s="234"/>
      <c r="E170" s="234"/>
      <c r="F170" s="234"/>
      <c r="G170" s="234"/>
      <c r="H170" s="235"/>
      <c r="I170" s="235"/>
      <c r="J170" s="235"/>
      <c r="K170" s="235"/>
      <c r="L170" s="235"/>
      <c r="M170" s="235"/>
      <c r="N170" s="235"/>
      <c r="O170" s="235"/>
    </row>
    <row r="171" spans="1:15" ht="13.8">
      <c r="A171" s="235"/>
      <c r="B171" s="235"/>
      <c r="C171" s="235"/>
      <c r="D171" s="234"/>
      <c r="E171" s="234"/>
      <c r="F171" s="234"/>
      <c r="G171" s="234"/>
      <c r="H171" s="235"/>
      <c r="I171" s="235"/>
      <c r="J171" s="235"/>
      <c r="K171" s="235"/>
      <c r="L171" s="235"/>
      <c r="M171" s="235"/>
      <c r="N171" s="235"/>
      <c r="O171" s="235"/>
    </row>
    <row r="172" spans="1:15" ht="13.8">
      <c r="A172" s="235"/>
      <c r="B172" s="235"/>
      <c r="C172" s="235"/>
      <c r="D172" s="234"/>
      <c r="E172" s="234"/>
      <c r="F172" s="234"/>
      <c r="G172" s="234"/>
      <c r="H172" s="235"/>
      <c r="I172" s="235"/>
      <c r="J172" s="235"/>
      <c r="K172" s="235"/>
      <c r="L172" s="235"/>
      <c r="M172" s="235"/>
      <c r="N172" s="235"/>
      <c r="O172" s="235"/>
    </row>
    <row r="173" spans="1:15" ht="13.8">
      <c r="A173" s="235"/>
      <c r="B173" s="235"/>
      <c r="C173" s="235"/>
      <c r="D173" s="234"/>
      <c r="E173" s="234"/>
      <c r="F173" s="234"/>
      <c r="G173" s="234"/>
      <c r="H173" s="235"/>
      <c r="I173" s="235"/>
      <c r="J173" s="235"/>
      <c r="K173" s="235"/>
      <c r="L173" s="235"/>
      <c r="M173" s="235"/>
      <c r="N173" s="235"/>
      <c r="O173" s="235"/>
    </row>
    <row r="174" spans="1:15" ht="13.8">
      <c r="A174" s="235"/>
      <c r="B174" s="235"/>
      <c r="C174" s="235"/>
      <c r="D174" s="234"/>
      <c r="E174" s="234"/>
      <c r="F174" s="234"/>
      <c r="G174" s="234"/>
      <c r="H174" s="235"/>
      <c r="I174" s="235"/>
      <c r="J174" s="235"/>
      <c r="K174" s="235"/>
      <c r="L174" s="235"/>
      <c r="M174" s="235"/>
      <c r="N174" s="235"/>
      <c r="O174" s="235"/>
    </row>
    <row r="175" spans="1:15" ht="13.8">
      <c r="A175" s="235"/>
      <c r="B175" s="235"/>
      <c r="C175" s="235"/>
      <c r="D175" s="234"/>
      <c r="E175" s="234"/>
      <c r="F175" s="234"/>
      <c r="G175" s="234"/>
      <c r="H175" s="235"/>
      <c r="I175" s="235"/>
      <c r="J175" s="235"/>
      <c r="K175" s="235"/>
      <c r="L175" s="235"/>
      <c r="M175" s="235"/>
      <c r="N175" s="235"/>
      <c r="O175" s="235"/>
    </row>
    <row r="176" spans="1:15" ht="13.8">
      <c r="A176" s="235"/>
      <c r="B176" s="235"/>
      <c r="C176" s="235"/>
      <c r="D176" s="234"/>
      <c r="E176" s="234"/>
      <c r="F176" s="234"/>
      <c r="G176" s="234"/>
      <c r="H176" s="235"/>
      <c r="I176" s="235"/>
      <c r="J176" s="235"/>
      <c r="K176" s="235"/>
      <c r="L176" s="235"/>
      <c r="M176" s="235"/>
      <c r="N176" s="235"/>
      <c r="O176" s="235"/>
    </row>
    <row r="177" spans="1:15" ht="13.8">
      <c r="A177" s="235"/>
      <c r="B177" s="235"/>
      <c r="C177" s="235"/>
      <c r="D177" s="234"/>
      <c r="E177" s="234"/>
      <c r="F177" s="234"/>
      <c r="G177" s="234"/>
      <c r="H177" s="235"/>
      <c r="I177" s="235"/>
      <c r="J177" s="235"/>
      <c r="K177" s="235"/>
      <c r="L177" s="235"/>
      <c r="M177" s="235"/>
      <c r="N177" s="235"/>
      <c r="O177" s="235"/>
    </row>
    <row r="178" spans="1:15" ht="13.8">
      <c r="A178" s="235"/>
      <c r="B178" s="235"/>
      <c r="C178" s="235"/>
      <c r="D178" s="234"/>
      <c r="E178" s="234"/>
      <c r="F178" s="234"/>
      <c r="G178" s="234"/>
      <c r="H178" s="235"/>
      <c r="I178" s="235"/>
      <c r="J178" s="235"/>
      <c r="K178" s="235"/>
      <c r="L178" s="235"/>
      <c r="M178" s="235"/>
      <c r="N178" s="235"/>
      <c r="O178" s="235"/>
    </row>
    <row r="179" spans="1:15" ht="13.8">
      <c r="A179" s="235"/>
      <c r="B179" s="235"/>
      <c r="C179" s="235"/>
      <c r="D179" s="234"/>
      <c r="E179" s="234"/>
      <c r="F179" s="234"/>
      <c r="G179" s="234"/>
      <c r="H179" s="235"/>
      <c r="I179" s="235"/>
      <c r="J179" s="235"/>
      <c r="K179" s="235"/>
      <c r="L179" s="235"/>
      <c r="M179" s="235"/>
      <c r="N179" s="235"/>
      <c r="O179" s="235"/>
    </row>
    <row r="180" spans="1:15" ht="13.8">
      <c r="A180" s="235"/>
      <c r="B180" s="235"/>
      <c r="C180" s="235"/>
      <c r="D180" s="234"/>
      <c r="E180" s="234"/>
      <c r="F180" s="234"/>
      <c r="G180" s="234"/>
      <c r="H180" s="235"/>
      <c r="I180" s="235"/>
      <c r="J180" s="235"/>
      <c r="K180" s="235"/>
      <c r="L180" s="235"/>
      <c r="M180" s="235"/>
      <c r="N180" s="235"/>
      <c r="O180" s="235"/>
    </row>
    <row r="181" spans="1:15" ht="13.8">
      <c r="A181" s="235"/>
      <c r="B181" s="235"/>
      <c r="C181" s="235"/>
      <c r="D181" s="234"/>
      <c r="E181" s="234"/>
      <c r="F181" s="234"/>
      <c r="G181" s="234"/>
      <c r="H181" s="235"/>
      <c r="I181" s="235"/>
      <c r="J181" s="235"/>
      <c r="K181" s="235"/>
      <c r="L181" s="235"/>
      <c r="M181" s="235"/>
      <c r="N181" s="235"/>
      <c r="O181" s="235"/>
    </row>
    <row r="182" spans="1:15" ht="13.8">
      <c r="A182" s="235"/>
      <c r="B182" s="235"/>
      <c r="C182" s="235"/>
      <c r="D182" s="234"/>
      <c r="E182" s="234"/>
      <c r="F182" s="234"/>
      <c r="G182" s="234"/>
      <c r="H182" s="235"/>
      <c r="I182" s="235"/>
      <c r="J182" s="235"/>
      <c r="K182" s="235"/>
      <c r="L182" s="235"/>
      <c r="M182" s="235"/>
      <c r="N182" s="235"/>
      <c r="O182" s="235"/>
    </row>
    <row r="183" spans="1:15" ht="13.8">
      <c r="A183" s="235"/>
      <c r="B183" s="235"/>
      <c r="C183" s="235"/>
      <c r="D183" s="234"/>
      <c r="E183" s="234"/>
      <c r="F183" s="234"/>
      <c r="G183" s="234"/>
      <c r="H183" s="235"/>
      <c r="I183" s="235"/>
      <c r="J183" s="235"/>
      <c r="K183" s="235"/>
      <c r="L183" s="235"/>
      <c r="M183" s="235"/>
      <c r="N183" s="235"/>
      <c r="O183" s="235"/>
    </row>
    <row r="184" spans="1:15" ht="13.8">
      <c r="A184" s="235"/>
      <c r="B184" s="235"/>
      <c r="C184" s="235"/>
      <c r="D184" s="234"/>
      <c r="E184" s="234"/>
      <c r="F184" s="234"/>
      <c r="G184" s="234"/>
      <c r="H184" s="235"/>
      <c r="I184" s="235"/>
      <c r="J184" s="235"/>
      <c r="K184" s="235"/>
      <c r="L184" s="235"/>
      <c r="M184" s="235"/>
      <c r="N184" s="235"/>
      <c r="O184" s="235"/>
    </row>
    <row r="185" spans="1:15" ht="13.8">
      <c r="A185" s="235"/>
      <c r="B185" s="235"/>
      <c r="C185" s="235"/>
      <c r="D185" s="234"/>
      <c r="E185" s="234"/>
      <c r="F185" s="234"/>
      <c r="G185" s="234"/>
      <c r="H185" s="235"/>
      <c r="I185" s="235"/>
      <c r="J185" s="235"/>
      <c r="K185" s="235"/>
      <c r="L185" s="235"/>
      <c r="M185" s="235"/>
      <c r="N185" s="235"/>
      <c r="O185" s="235"/>
    </row>
    <row r="186" spans="1:15" ht="13.8">
      <c r="A186" s="235"/>
      <c r="B186" s="235"/>
      <c r="C186" s="235"/>
      <c r="D186" s="234"/>
      <c r="E186" s="234"/>
      <c r="F186" s="234"/>
      <c r="G186" s="234"/>
      <c r="H186" s="235"/>
      <c r="I186" s="235"/>
      <c r="J186" s="235"/>
      <c r="K186" s="235"/>
      <c r="L186" s="235"/>
      <c r="M186" s="235"/>
      <c r="N186" s="235"/>
      <c r="O186" s="235"/>
    </row>
    <row r="187" spans="1:15" ht="13.8">
      <c r="A187" s="235"/>
      <c r="B187" s="235"/>
      <c r="C187" s="235"/>
      <c r="D187" s="234"/>
      <c r="E187" s="234"/>
      <c r="F187" s="234"/>
      <c r="G187" s="234"/>
      <c r="H187" s="235"/>
      <c r="I187" s="235"/>
      <c r="J187" s="235"/>
      <c r="K187" s="235"/>
      <c r="L187" s="235"/>
      <c r="M187" s="235"/>
      <c r="N187" s="235"/>
      <c r="O187" s="235"/>
    </row>
    <row r="188" spans="1:15" ht="13.8">
      <c r="A188" s="235"/>
      <c r="B188" s="235"/>
      <c r="C188" s="235"/>
      <c r="D188" s="234"/>
      <c r="E188" s="234"/>
      <c r="F188" s="234"/>
      <c r="G188" s="234"/>
      <c r="H188" s="235"/>
      <c r="I188" s="235"/>
      <c r="J188" s="235"/>
      <c r="K188" s="235"/>
      <c r="L188" s="235"/>
      <c r="M188" s="235"/>
      <c r="N188" s="235"/>
      <c r="O188" s="235"/>
    </row>
    <row r="189" spans="1:15" ht="13.8">
      <c r="A189" s="235"/>
      <c r="B189" s="235"/>
      <c r="C189" s="235"/>
      <c r="D189" s="234"/>
      <c r="E189" s="234"/>
      <c r="F189" s="234"/>
      <c r="G189" s="234"/>
      <c r="H189" s="235"/>
      <c r="I189" s="235"/>
      <c r="J189" s="235"/>
      <c r="K189" s="235"/>
      <c r="L189" s="235"/>
      <c r="M189" s="235"/>
      <c r="N189" s="235"/>
      <c r="O189" s="235"/>
    </row>
    <row r="190" spans="1:15" ht="13.8">
      <c r="A190" s="235"/>
      <c r="B190" s="235"/>
      <c r="C190" s="235"/>
      <c r="D190" s="234"/>
      <c r="E190" s="234"/>
      <c r="F190" s="234"/>
      <c r="G190" s="234"/>
      <c r="H190" s="235"/>
      <c r="I190" s="235"/>
      <c r="J190" s="235"/>
      <c r="K190" s="235"/>
      <c r="L190" s="235"/>
      <c r="M190" s="235"/>
      <c r="N190" s="235"/>
      <c r="O190" s="235"/>
    </row>
    <row r="191" spans="1:15" ht="13.8">
      <c r="A191" s="235"/>
      <c r="B191" s="235"/>
      <c r="C191" s="235"/>
      <c r="D191" s="234"/>
      <c r="E191" s="234"/>
      <c r="F191" s="234"/>
      <c r="G191" s="234"/>
      <c r="H191" s="235"/>
      <c r="I191" s="235"/>
      <c r="J191" s="235"/>
      <c r="K191" s="235"/>
      <c r="L191" s="235"/>
      <c r="M191" s="235"/>
      <c r="N191" s="235"/>
      <c r="O191" s="235"/>
    </row>
    <row r="192" spans="1:15" ht="13.8">
      <c r="A192" s="235"/>
      <c r="B192" s="235"/>
      <c r="C192" s="235"/>
      <c r="D192" s="234"/>
      <c r="E192" s="234"/>
      <c r="F192" s="234"/>
      <c r="G192" s="234"/>
      <c r="H192" s="235"/>
      <c r="I192" s="235"/>
      <c r="J192" s="235"/>
      <c r="K192" s="235"/>
      <c r="L192" s="235"/>
      <c r="M192" s="235"/>
      <c r="N192" s="235"/>
      <c r="O192" s="235"/>
    </row>
    <row r="193" spans="1:15" ht="13.8">
      <c r="A193" s="235"/>
      <c r="B193" s="235"/>
      <c r="C193" s="235"/>
      <c r="D193" s="234"/>
      <c r="E193" s="234"/>
      <c r="F193" s="234"/>
      <c r="G193" s="234"/>
      <c r="H193" s="235"/>
      <c r="I193" s="235"/>
      <c r="J193" s="235"/>
      <c r="K193" s="235"/>
      <c r="L193" s="235"/>
      <c r="M193" s="235"/>
      <c r="N193" s="235"/>
      <c r="O193" s="235"/>
    </row>
    <row r="194" spans="1:15" ht="13.8">
      <c r="A194" s="235"/>
      <c r="B194" s="235"/>
      <c r="C194" s="235"/>
      <c r="D194" s="234"/>
      <c r="E194" s="234"/>
      <c r="F194" s="234"/>
      <c r="G194" s="234"/>
      <c r="H194" s="235"/>
      <c r="I194" s="235"/>
      <c r="J194" s="235"/>
      <c r="K194" s="235"/>
      <c r="L194" s="235"/>
      <c r="M194" s="235"/>
      <c r="N194" s="235"/>
      <c r="O194" s="235"/>
    </row>
    <row r="195" spans="1:15" ht="13.8">
      <c r="A195" s="235"/>
      <c r="B195" s="235"/>
      <c r="C195" s="235"/>
      <c r="D195" s="234"/>
      <c r="E195" s="234"/>
      <c r="F195" s="234"/>
      <c r="G195" s="234"/>
      <c r="H195" s="235"/>
      <c r="I195" s="235"/>
      <c r="J195" s="235"/>
      <c r="K195" s="235"/>
      <c r="L195" s="235"/>
      <c r="M195" s="235"/>
      <c r="N195" s="235"/>
      <c r="O195" s="235"/>
    </row>
    <row r="196" spans="1:15" ht="13.8">
      <c r="A196" s="235"/>
      <c r="B196" s="235"/>
      <c r="C196" s="235"/>
      <c r="D196" s="234"/>
      <c r="E196" s="234"/>
      <c r="F196" s="234"/>
      <c r="G196" s="234"/>
      <c r="H196" s="235"/>
      <c r="I196" s="235"/>
      <c r="J196" s="235"/>
      <c r="K196" s="235"/>
      <c r="L196" s="235"/>
      <c r="M196" s="235"/>
      <c r="N196" s="235"/>
      <c r="O196" s="235"/>
    </row>
    <row r="197" spans="1:15" ht="13.8">
      <c r="A197" s="235"/>
      <c r="B197" s="235"/>
      <c r="C197" s="235"/>
      <c r="D197" s="234"/>
      <c r="E197" s="234"/>
      <c r="F197" s="234"/>
      <c r="G197" s="234"/>
      <c r="H197" s="235"/>
      <c r="I197" s="235"/>
      <c r="J197" s="235"/>
      <c r="K197" s="235"/>
      <c r="L197" s="235"/>
      <c r="M197" s="235"/>
      <c r="N197" s="235"/>
      <c r="O197" s="235"/>
    </row>
    <row r="198" spans="1:15" ht="13.8">
      <c r="A198" s="235"/>
      <c r="B198" s="235"/>
      <c r="C198" s="235"/>
      <c r="D198" s="234"/>
      <c r="E198" s="234"/>
      <c r="F198" s="234"/>
      <c r="G198" s="234"/>
      <c r="H198" s="235"/>
      <c r="I198" s="235"/>
      <c r="J198" s="235"/>
      <c r="K198" s="235"/>
      <c r="L198" s="235"/>
      <c r="M198" s="235"/>
      <c r="N198" s="235"/>
      <c r="O198" s="235"/>
    </row>
    <row r="199" spans="1:15" ht="13.8">
      <c r="A199" s="235"/>
      <c r="B199" s="235"/>
      <c r="C199" s="235"/>
      <c r="D199" s="234"/>
      <c r="E199" s="234"/>
      <c r="F199" s="234"/>
      <c r="G199" s="234"/>
      <c r="H199" s="235"/>
      <c r="I199" s="235"/>
      <c r="J199" s="235"/>
      <c r="K199" s="235"/>
      <c r="L199" s="235"/>
      <c r="M199" s="235"/>
      <c r="N199" s="235"/>
      <c r="O199" s="235"/>
    </row>
    <row r="200" spans="1:15" ht="13.8">
      <c r="A200" s="235"/>
      <c r="B200" s="235"/>
      <c r="C200" s="235"/>
      <c r="D200" s="234"/>
      <c r="E200" s="234"/>
      <c r="F200" s="234"/>
      <c r="G200" s="234"/>
      <c r="H200" s="235"/>
      <c r="I200" s="235"/>
      <c r="J200" s="235"/>
      <c r="K200" s="235"/>
      <c r="L200" s="235"/>
      <c r="M200" s="235"/>
      <c r="N200" s="235"/>
      <c r="O200" s="235"/>
    </row>
    <row r="201" spans="1:15" ht="13.8">
      <c r="A201" s="235"/>
      <c r="B201" s="235"/>
      <c r="C201" s="235"/>
      <c r="D201" s="234"/>
      <c r="E201" s="234"/>
      <c r="F201" s="234"/>
      <c r="G201" s="234"/>
      <c r="H201" s="235"/>
      <c r="I201" s="235"/>
      <c r="J201" s="235"/>
      <c r="K201" s="235"/>
      <c r="L201" s="235"/>
      <c r="M201" s="235"/>
      <c r="N201" s="235"/>
      <c r="O201" s="235"/>
    </row>
    <row r="202" spans="1:15" ht="13.8">
      <c r="A202" s="235"/>
      <c r="B202" s="235"/>
      <c r="C202" s="235"/>
      <c r="D202" s="234"/>
      <c r="E202" s="234"/>
      <c r="F202" s="234"/>
      <c r="G202" s="234"/>
      <c r="H202" s="235"/>
      <c r="I202" s="235"/>
      <c r="J202" s="235"/>
      <c r="K202" s="235"/>
      <c r="L202" s="235"/>
      <c r="M202" s="235"/>
      <c r="N202" s="235"/>
      <c r="O202" s="235"/>
    </row>
    <row r="203" spans="1:15" ht="13.8">
      <c r="A203" s="235"/>
      <c r="B203" s="235"/>
      <c r="C203" s="235"/>
      <c r="D203" s="234"/>
      <c r="E203" s="234"/>
      <c r="F203" s="234"/>
      <c r="G203" s="234"/>
      <c r="H203" s="235"/>
      <c r="I203" s="235"/>
      <c r="J203" s="235"/>
      <c r="K203" s="235"/>
      <c r="L203" s="235"/>
      <c r="M203" s="235"/>
      <c r="N203" s="235"/>
      <c r="O203" s="235"/>
    </row>
    <row r="204" spans="1:15" ht="13.8">
      <c r="A204" s="235"/>
      <c r="B204" s="235"/>
      <c r="C204" s="235"/>
      <c r="D204" s="234"/>
      <c r="E204" s="234"/>
      <c r="F204" s="234"/>
      <c r="G204" s="234"/>
      <c r="H204" s="235"/>
      <c r="I204" s="235"/>
      <c r="J204" s="235"/>
      <c r="K204" s="235"/>
      <c r="L204" s="235"/>
      <c r="M204" s="235"/>
      <c r="N204" s="235"/>
      <c r="O204" s="235"/>
    </row>
    <row r="205" spans="1:15" ht="13.8">
      <c r="A205" s="235"/>
      <c r="B205" s="235"/>
      <c r="C205" s="235"/>
      <c r="D205" s="234"/>
      <c r="E205" s="234"/>
      <c r="F205" s="234"/>
      <c r="G205" s="234"/>
      <c r="H205" s="235"/>
      <c r="I205" s="235"/>
      <c r="J205" s="235"/>
      <c r="K205" s="235"/>
      <c r="L205" s="235"/>
      <c r="M205" s="235"/>
      <c r="N205" s="235"/>
      <c r="O205" s="235"/>
    </row>
    <row r="206" spans="1:15" ht="13.8">
      <c r="A206" s="235"/>
      <c r="B206" s="235"/>
      <c r="C206" s="235"/>
      <c r="D206" s="234"/>
      <c r="E206" s="234"/>
      <c r="F206" s="234"/>
      <c r="G206" s="234"/>
      <c r="H206" s="235"/>
      <c r="I206" s="235"/>
      <c r="J206" s="235"/>
      <c r="K206" s="235"/>
      <c r="L206" s="235"/>
      <c r="M206" s="235"/>
      <c r="N206" s="235"/>
      <c r="O206" s="235"/>
    </row>
    <row r="207" spans="1:15" ht="13.8">
      <c r="A207" s="235"/>
      <c r="B207" s="235"/>
      <c r="C207" s="235"/>
      <c r="D207" s="234"/>
      <c r="E207" s="234"/>
      <c r="F207" s="234"/>
      <c r="G207" s="234"/>
      <c r="H207" s="235"/>
      <c r="I207" s="235"/>
      <c r="J207" s="235"/>
      <c r="K207" s="235"/>
      <c r="L207" s="235"/>
      <c r="M207" s="235"/>
      <c r="N207" s="235"/>
      <c r="O207" s="235"/>
    </row>
    <row r="208" spans="1:15" ht="13.8">
      <c r="A208" s="235"/>
      <c r="B208" s="235"/>
      <c r="C208" s="235"/>
      <c r="D208" s="234"/>
      <c r="E208" s="234"/>
      <c r="F208" s="234"/>
      <c r="G208" s="234"/>
      <c r="H208" s="235"/>
      <c r="I208" s="235"/>
      <c r="J208" s="235"/>
      <c r="K208" s="235"/>
      <c r="L208" s="235"/>
      <c r="M208" s="235"/>
      <c r="N208" s="235"/>
      <c r="O208" s="235"/>
    </row>
    <row r="209" spans="1:15" ht="13.8">
      <c r="A209" s="235"/>
      <c r="B209" s="235"/>
      <c r="C209" s="235"/>
      <c r="D209" s="234"/>
      <c r="E209" s="234"/>
      <c r="F209" s="234"/>
      <c r="G209" s="234"/>
      <c r="H209" s="235"/>
      <c r="I209" s="235"/>
      <c r="J209" s="235"/>
      <c r="K209" s="235"/>
      <c r="L209" s="235"/>
      <c r="M209" s="235"/>
      <c r="N209" s="235"/>
      <c r="O209" s="235"/>
    </row>
    <row r="210" spans="1:15" ht="13.8">
      <c r="A210" s="235"/>
      <c r="B210" s="235"/>
      <c r="C210" s="235"/>
      <c r="D210" s="234"/>
      <c r="E210" s="234"/>
      <c r="F210" s="234"/>
      <c r="G210" s="234"/>
      <c r="H210" s="235"/>
      <c r="I210" s="235"/>
      <c r="J210" s="235"/>
      <c r="K210" s="235"/>
      <c r="L210" s="235"/>
      <c r="M210" s="235"/>
      <c r="N210" s="235"/>
      <c r="O210" s="235"/>
    </row>
    <row r="211" spans="1:15" ht="13.8">
      <c r="A211" s="235"/>
      <c r="B211" s="235"/>
      <c r="C211" s="235"/>
      <c r="D211" s="234"/>
      <c r="E211" s="234"/>
      <c r="F211" s="234"/>
      <c r="G211" s="234"/>
      <c r="H211" s="235"/>
      <c r="I211" s="235"/>
      <c r="J211" s="235"/>
      <c r="K211" s="235"/>
      <c r="L211" s="235"/>
      <c r="M211" s="235"/>
      <c r="N211" s="235"/>
      <c r="O211" s="235"/>
    </row>
    <row r="212" spans="1:15" ht="13.8">
      <c r="A212" s="235"/>
      <c r="B212" s="235"/>
      <c r="C212" s="235"/>
      <c r="D212" s="234"/>
      <c r="E212" s="234"/>
      <c r="F212" s="234"/>
      <c r="G212" s="234"/>
      <c r="H212" s="235"/>
      <c r="I212" s="235"/>
      <c r="J212" s="235"/>
      <c r="K212" s="235"/>
      <c r="L212" s="235"/>
      <c r="M212" s="235"/>
      <c r="N212" s="235"/>
      <c r="O212" s="235"/>
    </row>
    <row r="213" spans="1:15" ht="13.8">
      <c r="A213" s="235"/>
      <c r="B213" s="235"/>
      <c r="C213" s="235"/>
      <c r="D213" s="234"/>
      <c r="E213" s="234"/>
      <c r="F213" s="234"/>
      <c r="G213" s="234"/>
      <c r="H213" s="235"/>
      <c r="I213" s="235"/>
      <c r="J213" s="235"/>
      <c r="K213" s="235"/>
      <c r="L213" s="235"/>
      <c r="M213" s="235"/>
      <c r="N213" s="235"/>
      <c r="O213" s="235"/>
    </row>
    <row r="214" spans="1:15" ht="13.8">
      <c r="A214" s="235"/>
      <c r="B214" s="235"/>
      <c r="C214" s="235"/>
      <c r="D214" s="234"/>
      <c r="E214" s="234"/>
      <c r="F214" s="234"/>
      <c r="G214" s="234"/>
      <c r="H214" s="235"/>
      <c r="I214" s="235"/>
      <c r="J214" s="235"/>
      <c r="K214" s="235"/>
      <c r="L214" s="235"/>
      <c r="M214" s="235"/>
      <c r="N214" s="235"/>
      <c r="O214" s="235"/>
    </row>
    <row r="215" spans="1:15" ht="13.8">
      <c r="A215" s="235"/>
      <c r="B215" s="235"/>
      <c r="C215" s="235"/>
      <c r="D215" s="234"/>
      <c r="E215" s="234"/>
      <c r="F215" s="234"/>
      <c r="G215" s="234"/>
      <c r="H215" s="235"/>
      <c r="I215" s="235"/>
      <c r="J215" s="235"/>
      <c r="K215" s="235"/>
      <c r="L215" s="235"/>
      <c r="M215" s="235"/>
      <c r="N215" s="235"/>
      <c r="O215" s="235"/>
    </row>
    <row r="216" spans="1:15" ht="13.8">
      <c r="A216" s="235"/>
      <c r="B216" s="235"/>
      <c r="C216" s="235"/>
      <c r="D216" s="234"/>
      <c r="E216" s="234"/>
      <c r="F216" s="234"/>
      <c r="G216" s="234"/>
      <c r="H216" s="235"/>
      <c r="I216" s="235"/>
      <c r="J216" s="235"/>
      <c r="K216" s="235"/>
      <c r="L216" s="235"/>
      <c r="M216" s="235"/>
      <c r="N216" s="235"/>
      <c r="O216" s="235"/>
    </row>
    <row r="217" spans="1:15" ht="13.8">
      <c r="A217" s="235"/>
      <c r="B217" s="235"/>
      <c r="C217" s="235"/>
      <c r="D217" s="234"/>
      <c r="E217" s="234"/>
      <c r="F217" s="234"/>
      <c r="G217" s="234"/>
      <c r="H217" s="235"/>
      <c r="I217" s="235"/>
      <c r="J217" s="235"/>
      <c r="K217" s="235"/>
      <c r="L217" s="235"/>
      <c r="M217" s="235"/>
      <c r="N217" s="235"/>
      <c r="O217" s="235"/>
    </row>
    <row r="218" spans="1:15" ht="13.8">
      <c r="A218" s="235"/>
      <c r="B218" s="235"/>
      <c r="C218" s="235"/>
      <c r="D218" s="234"/>
      <c r="E218" s="234"/>
      <c r="F218" s="234"/>
      <c r="G218" s="234"/>
      <c r="H218" s="235"/>
      <c r="I218" s="235"/>
      <c r="J218" s="235"/>
      <c r="K218" s="235"/>
      <c r="L218" s="235"/>
      <c r="M218" s="235"/>
      <c r="N218" s="235"/>
      <c r="O218" s="235"/>
    </row>
    <row r="219" spans="1:15" ht="13.8">
      <c r="A219" s="235"/>
      <c r="B219" s="235"/>
      <c r="C219" s="235"/>
      <c r="D219" s="234"/>
      <c r="E219" s="234"/>
      <c r="F219" s="234"/>
      <c r="G219" s="234"/>
      <c r="H219" s="235"/>
      <c r="I219" s="235"/>
      <c r="J219" s="235"/>
      <c r="K219" s="235"/>
      <c r="L219" s="235"/>
      <c r="M219" s="235"/>
      <c r="N219" s="235"/>
      <c r="O219" s="235"/>
    </row>
    <row r="220" spans="1:15" ht="13.8">
      <c r="A220" s="235"/>
      <c r="B220" s="235"/>
      <c r="C220" s="235"/>
      <c r="D220" s="234"/>
      <c r="E220" s="234"/>
      <c r="F220" s="234"/>
      <c r="G220" s="234"/>
      <c r="H220" s="235"/>
      <c r="I220" s="235"/>
      <c r="J220" s="235"/>
      <c r="K220" s="235"/>
      <c r="L220" s="235"/>
      <c r="M220" s="235"/>
      <c r="N220" s="235"/>
      <c r="O220" s="235"/>
    </row>
    <row r="221" spans="1:15" ht="13.8">
      <c r="A221" s="235"/>
      <c r="B221" s="235"/>
      <c r="C221" s="235"/>
      <c r="D221" s="234"/>
      <c r="E221" s="234"/>
      <c r="F221" s="234"/>
      <c r="G221" s="234"/>
      <c r="H221" s="235"/>
      <c r="I221" s="235"/>
      <c r="J221" s="235"/>
      <c r="K221" s="235"/>
      <c r="L221" s="235"/>
      <c r="M221" s="235"/>
      <c r="N221" s="235"/>
      <c r="O221" s="235"/>
    </row>
    <row r="222" spans="1:15" ht="13.8">
      <c r="A222" s="235"/>
      <c r="B222" s="235"/>
      <c r="C222" s="235"/>
      <c r="D222" s="234"/>
      <c r="E222" s="234"/>
      <c r="F222" s="234"/>
      <c r="G222" s="234"/>
      <c r="H222" s="235"/>
      <c r="I222" s="235"/>
      <c r="J222" s="235"/>
      <c r="K222" s="235"/>
      <c r="L222" s="235"/>
      <c r="M222" s="235"/>
      <c r="N222" s="235"/>
      <c r="O222" s="235"/>
    </row>
    <row r="223" spans="1:15" ht="13.8">
      <c r="A223" s="235"/>
      <c r="B223" s="235"/>
      <c r="C223" s="235"/>
      <c r="D223" s="234"/>
      <c r="E223" s="234"/>
      <c r="F223" s="234"/>
      <c r="G223" s="234"/>
      <c r="H223" s="235"/>
      <c r="I223" s="235"/>
      <c r="J223" s="235"/>
      <c r="K223" s="235"/>
      <c r="L223" s="235"/>
      <c r="M223" s="235"/>
      <c r="N223" s="235"/>
      <c r="O223" s="235"/>
    </row>
    <row r="224" spans="1:15" ht="13.8">
      <c r="A224" s="235"/>
      <c r="B224" s="235"/>
      <c r="C224" s="235"/>
      <c r="D224" s="234"/>
      <c r="E224" s="234"/>
      <c r="F224" s="234"/>
      <c r="G224" s="234"/>
      <c r="H224" s="235"/>
      <c r="I224" s="235"/>
      <c r="J224" s="235"/>
      <c r="K224" s="235"/>
      <c r="L224" s="235"/>
      <c r="M224" s="235"/>
      <c r="N224" s="235"/>
      <c r="O224" s="235"/>
    </row>
    <row r="225" spans="1:15" ht="13.8">
      <c r="A225" s="235"/>
      <c r="B225" s="235"/>
      <c r="C225" s="235"/>
      <c r="D225" s="234"/>
      <c r="E225" s="234"/>
      <c r="F225" s="234"/>
      <c r="G225" s="234"/>
      <c r="H225" s="235"/>
      <c r="I225" s="235"/>
      <c r="J225" s="235"/>
      <c r="K225" s="235"/>
      <c r="L225" s="235"/>
      <c r="M225" s="235"/>
      <c r="N225" s="235"/>
      <c r="O225" s="235"/>
    </row>
    <row r="226" spans="1:15" ht="13.8">
      <c r="A226" s="235"/>
      <c r="B226" s="235"/>
      <c r="C226" s="235"/>
      <c r="D226" s="234"/>
      <c r="E226" s="234"/>
      <c r="F226" s="234"/>
      <c r="G226" s="234"/>
      <c r="H226" s="235"/>
      <c r="I226" s="235"/>
      <c r="J226" s="235"/>
      <c r="K226" s="235"/>
      <c r="L226" s="235"/>
      <c r="M226" s="235"/>
      <c r="N226" s="235"/>
      <c r="O226" s="235"/>
    </row>
    <row r="227" spans="1:15" ht="13.8">
      <c r="A227" s="235"/>
      <c r="B227" s="235"/>
      <c r="C227" s="235"/>
      <c r="D227" s="234"/>
      <c r="E227" s="234"/>
      <c r="F227" s="234"/>
      <c r="G227" s="234"/>
      <c r="H227" s="235"/>
      <c r="I227" s="235"/>
      <c r="J227" s="235"/>
      <c r="K227" s="235"/>
      <c r="L227" s="235"/>
      <c r="M227" s="235"/>
      <c r="N227" s="235"/>
      <c r="O227" s="235"/>
    </row>
    <row r="228" spans="1:15" ht="13.8">
      <c r="A228" s="235"/>
      <c r="B228" s="235"/>
      <c r="C228" s="235"/>
      <c r="D228" s="234"/>
      <c r="E228" s="234"/>
      <c r="F228" s="234"/>
      <c r="G228" s="234"/>
      <c r="H228" s="235"/>
      <c r="I228" s="235"/>
      <c r="J228" s="235"/>
      <c r="K228" s="235"/>
      <c r="L228" s="235"/>
      <c r="M228" s="235"/>
      <c r="N228" s="235"/>
      <c r="O228" s="235"/>
    </row>
    <row r="229" spans="1:15" ht="13.8">
      <c r="A229" s="235"/>
      <c r="B229" s="235"/>
      <c r="C229" s="235"/>
      <c r="D229" s="234"/>
      <c r="E229" s="234"/>
      <c r="F229" s="234"/>
      <c r="G229" s="234"/>
      <c r="H229" s="235"/>
      <c r="I229" s="235"/>
      <c r="J229" s="235"/>
      <c r="K229" s="235"/>
      <c r="L229" s="235"/>
      <c r="M229" s="235"/>
      <c r="N229" s="235"/>
      <c r="O229" s="235"/>
    </row>
    <row r="230" spans="1:15" ht="13.8">
      <c r="A230" s="235"/>
      <c r="B230" s="235"/>
      <c r="C230" s="235"/>
      <c r="D230" s="234"/>
      <c r="E230" s="234"/>
      <c r="F230" s="234"/>
      <c r="G230" s="234"/>
      <c r="H230" s="235"/>
      <c r="I230" s="235"/>
      <c r="J230" s="235"/>
      <c r="K230" s="235"/>
      <c r="L230" s="235"/>
      <c r="M230" s="235"/>
      <c r="N230" s="235"/>
      <c r="O230" s="235"/>
    </row>
    <row r="231" spans="1:15" ht="13.8">
      <c r="A231" s="235"/>
      <c r="B231" s="235"/>
      <c r="C231" s="235"/>
      <c r="D231" s="234"/>
      <c r="E231" s="234"/>
      <c r="F231" s="234"/>
      <c r="G231" s="234"/>
      <c r="H231" s="235"/>
      <c r="I231" s="235"/>
      <c r="J231" s="235"/>
      <c r="K231" s="235"/>
      <c r="L231" s="235"/>
      <c r="M231" s="235"/>
      <c r="N231" s="235"/>
      <c r="O231" s="235"/>
    </row>
    <row r="232" spans="1:15" ht="13.8">
      <c r="A232" s="235"/>
      <c r="B232" s="235"/>
      <c r="C232" s="235"/>
      <c r="D232" s="234"/>
      <c r="E232" s="234"/>
      <c r="F232" s="234"/>
      <c r="G232" s="234"/>
      <c r="H232" s="235"/>
      <c r="I232" s="235"/>
      <c r="J232" s="235"/>
      <c r="K232" s="235"/>
      <c r="L232" s="235"/>
      <c r="M232" s="235"/>
      <c r="N232" s="235"/>
      <c r="O232" s="235"/>
    </row>
    <row r="233" spans="1:15" ht="13.8">
      <c r="A233" s="235"/>
      <c r="B233" s="235"/>
      <c r="C233" s="235"/>
      <c r="D233" s="234"/>
      <c r="E233" s="234"/>
      <c r="F233" s="234"/>
      <c r="G233" s="234"/>
      <c r="H233" s="235"/>
      <c r="I233" s="235"/>
      <c r="J233" s="235"/>
      <c r="K233" s="235"/>
      <c r="L233" s="235"/>
      <c r="M233" s="235"/>
      <c r="N233" s="235"/>
      <c r="O233" s="235"/>
    </row>
    <row r="234" spans="1:15" ht="13.8">
      <c r="A234" s="235"/>
      <c r="B234" s="235"/>
      <c r="C234" s="235"/>
      <c r="D234" s="234"/>
      <c r="E234" s="234"/>
      <c r="F234" s="234"/>
      <c r="G234" s="234"/>
      <c r="H234" s="235"/>
      <c r="I234" s="235"/>
      <c r="J234" s="235"/>
      <c r="K234" s="235"/>
      <c r="L234" s="235"/>
      <c r="M234" s="235"/>
      <c r="N234" s="235"/>
      <c r="O234" s="235"/>
    </row>
    <row r="235" spans="1:15" ht="13.8">
      <c r="A235" s="235"/>
      <c r="B235" s="235"/>
      <c r="C235" s="235"/>
      <c r="D235" s="234"/>
      <c r="E235" s="234"/>
      <c r="F235" s="234"/>
      <c r="G235" s="234"/>
      <c r="H235" s="235"/>
      <c r="I235" s="235"/>
      <c r="J235" s="235"/>
      <c r="K235" s="235"/>
      <c r="L235" s="235"/>
      <c r="M235" s="235"/>
      <c r="N235" s="235"/>
      <c r="O235" s="235"/>
    </row>
    <row r="236" spans="1:15" ht="13.8">
      <c r="A236" s="235"/>
      <c r="B236" s="235"/>
      <c r="C236" s="235"/>
      <c r="D236" s="234"/>
      <c r="E236" s="234"/>
      <c r="F236" s="234"/>
      <c r="G236" s="234"/>
      <c r="H236" s="235"/>
      <c r="I236" s="235"/>
      <c r="J236" s="235"/>
      <c r="K236" s="235"/>
      <c r="L236" s="235"/>
      <c r="M236" s="235"/>
      <c r="N236" s="235"/>
      <c r="O236" s="235"/>
    </row>
    <row r="237" spans="1:15" ht="13.8">
      <c r="A237" s="235"/>
      <c r="B237" s="235"/>
      <c r="C237" s="235"/>
      <c r="D237" s="234"/>
      <c r="E237" s="234"/>
      <c r="F237" s="234"/>
      <c r="G237" s="234"/>
      <c r="H237" s="235"/>
      <c r="I237" s="235"/>
      <c r="J237" s="235"/>
      <c r="K237" s="235"/>
      <c r="L237" s="235"/>
      <c r="M237" s="235"/>
      <c r="N237" s="235"/>
      <c r="O237" s="235"/>
    </row>
    <row r="238" spans="1:15" ht="13.8">
      <c r="A238" s="235"/>
      <c r="B238" s="235"/>
      <c r="C238" s="235"/>
      <c r="D238" s="234"/>
      <c r="E238" s="234"/>
      <c r="F238" s="234"/>
      <c r="G238" s="234"/>
      <c r="H238" s="235"/>
      <c r="I238" s="235"/>
      <c r="J238" s="235"/>
      <c r="K238" s="235"/>
      <c r="L238" s="235"/>
      <c r="M238" s="235"/>
      <c r="N238" s="235"/>
      <c r="O238" s="235"/>
    </row>
    <row r="239" spans="1:15" ht="13.8">
      <c r="A239" s="235"/>
      <c r="B239" s="235"/>
      <c r="C239" s="235"/>
      <c r="D239" s="234"/>
      <c r="E239" s="234"/>
      <c r="F239" s="234"/>
      <c r="G239" s="234"/>
      <c r="H239" s="235"/>
      <c r="I239" s="235"/>
      <c r="J239" s="235"/>
      <c r="K239" s="235"/>
      <c r="L239" s="235"/>
      <c r="M239" s="235"/>
      <c r="N239" s="235"/>
      <c r="O239" s="235"/>
    </row>
    <row r="240" spans="1:15" ht="13.8">
      <c r="A240" s="235"/>
      <c r="B240" s="235"/>
      <c r="C240" s="235"/>
      <c r="D240" s="234"/>
      <c r="E240" s="234"/>
      <c r="F240" s="234"/>
      <c r="G240" s="234"/>
      <c r="H240" s="235"/>
      <c r="I240" s="235"/>
      <c r="J240" s="235"/>
      <c r="K240" s="235"/>
      <c r="L240" s="235"/>
      <c r="M240" s="235"/>
      <c r="N240" s="235"/>
      <c r="O240" s="235"/>
    </row>
    <row r="241" spans="1:15" ht="13.8">
      <c r="A241" s="235"/>
      <c r="B241" s="235"/>
      <c r="C241" s="235"/>
      <c r="D241" s="234"/>
      <c r="E241" s="234"/>
      <c r="F241" s="234"/>
      <c r="G241" s="234"/>
      <c r="H241" s="235"/>
      <c r="I241" s="235"/>
      <c r="J241" s="235"/>
      <c r="K241" s="235"/>
      <c r="L241" s="235"/>
      <c r="M241" s="235"/>
      <c r="N241" s="235"/>
      <c r="O241" s="235"/>
    </row>
    <row r="242" spans="1:15" ht="13.8">
      <c r="A242" s="235"/>
      <c r="B242" s="235"/>
      <c r="C242" s="235"/>
      <c r="D242" s="234"/>
      <c r="E242" s="234"/>
      <c r="F242" s="234"/>
      <c r="G242" s="234"/>
      <c r="H242" s="235"/>
      <c r="I242" s="235"/>
      <c r="J242" s="235"/>
      <c r="K242" s="235"/>
      <c r="L242" s="235"/>
      <c r="M242" s="235"/>
      <c r="N242" s="235"/>
      <c r="O242" s="235"/>
    </row>
    <row r="243" spans="1:15" ht="13.8">
      <c r="A243" s="235"/>
      <c r="B243" s="235"/>
      <c r="C243" s="235"/>
      <c r="D243" s="234"/>
      <c r="E243" s="234"/>
      <c r="F243" s="234"/>
      <c r="G243" s="234"/>
      <c r="H243" s="235"/>
      <c r="I243" s="235"/>
      <c r="J243" s="235"/>
      <c r="K243" s="235"/>
      <c r="L243" s="235"/>
      <c r="M243" s="235"/>
      <c r="N243" s="235"/>
      <c r="O243" s="235"/>
    </row>
    <row r="244" spans="1:15" ht="13.8">
      <c r="A244" s="235"/>
      <c r="B244" s="235"/>
      <c r="C244" s="235"/>
      <c r="D244" s="234"/>
      <c r="E244" s="234"/>
      <c r="F244" s="234"/>
      <c r="G244" s="234"/>
      <c r="H244" s="235"/>
      <c r="I244" s="235"/>
      <c r="J244" s="235"/>
      <c r="K244" s="235"/>
      <c r="L244" s="235"/>
      <c r="M244" s="235"/>
      <c r="N244" s="235"/>
      <c r="O244" s="235"/>
    </row>
    <row r="245" spans="1:15" ht="13.8">
      <c r="A245" s="235"/>
      <c r="B245" s="235"/>
      <c r="C245" s="235"/>
      <c r="D245" s="234"/>
      <c r="E245" s="234"/>
      <c r="F245" s="234"/>
      <c r="G245" s="234"/>
      <c r="H245" s="235"/>
      <c r="I245" s="235"/>
      <c r="J245" s="235"/>
      <c r="K245" s="235"/>
      <c r="L245" s="235"/>
      <c r="M245" s="235"/>
      <c r="N245" s="235"/>
      <c r="O245" s="235"/>
    </row>
    <row r="246" spans="1:15" ht="13.8">
      <c r="A246" s="235"/>
      <c r="B246" s="235"/>
      <c r="C246" s="235"/>
      <c r="D246" s="234"/>
      <c r="E246" s="234"/>
      <c r="F246" s="234"/>
      <c r="G246" s="234"/>
      <c r="H246" s="235"/>
      <c r="I246" s="235"/>
      <c r="J246" s="235"/>
      <c r="K246" s="235"/>
      <c r="L246" s="235"/>
      <c r="M246" s="235"/>
      <c r="N246" s="235"/>
      <c r="O246" s="235"/>
    </row>
    <row r="247" spans="1:15" ht="13.8">
      <c r="A247" s="235"/>
      <c r="B247" s="235"/>
      <c r="C247" s="235"/>
      <c r="D247" s="234"/>
      <c r="E247" s="234"/>
      <c r="F247" s="234"/>
      <c r="G247" s="234"/>
      <c r="H247" s="235"/>
      <c r="I247" s="235"/>
      <c r="J247" s="235"/>
      <c r="K247" s="235"/>
      <c r="L247" s="235"/>
      <c r="M247" s="235"/>
      <c r="N247" s="235"/>
      <c r="O247" s="235"/>
    </row>
    <row r="248" spans="1:15" ht="13.8">
      <c r="A248" s="235"/>
      <c r="B248" s="235"/>
      <c r="C248" s="235"/>
      <c r="D248" s="234"/>
      <c r="E248" s="234"/>
      <c r="F248" s="234"/>
      <c r="G248" s="234"/>
      <c r="H248" s="235"/>
      <c r="I248" s="235"/>
      <c r="J248" s="235"/>
      <c r="K248" s="235"/>
      <c r="L248" s="235"/>
      <c r="M248" s="235"/>
      <c r="N248" s="235"/>
      <c r="O248" s="235"/>
    </row>
    <row r="249" spans="1:15" ht="13.8">
      <c r="A249" s="235"/>
      <c r="B249" s="235"/>
      <c r="C249" s="235"/>
      <c r="D249" s="234"/>
      <c r="E249" s="234"/>
      <c r="F249" s="234"/>
      <c r="G249" s="234"/>
      <c r="H249" s="235"/>
      <c r="I249" s="235"/>
      <c r="J249" s="235"/>
      <c r="K249" s="235"/>
      <c r="L249" s="235"/>
      <c r="M249" s="235"/>
      <c r="N249" s="235"/>
      <c r="O249" s="235"/>
    </row>
    <row r="250" spans="1:15" ht="13.8">
      <c r="A250" s="235"/>
      <c r="B250" s="235"/>
      <c r="C250" s="235"/>
      <c r="D250" s="234"/>
      <c r="E250" s="234"/>
      <c r="F250" s="234"/>
      <c r="G250" s="234"/>
      <c r="H250" s="235"/>
      <c r="I250" s="235"/>
      <c r="J250" s="235"/>
      <c r="K250" s="235"/>
      <c r="L250" s="235"/>
      <c r="M250" s="235"/>
      <c r="N250" s="235"/>
      <c r="O250" s="235"/>
    </row>
    <row r="251" spans="1:15" ht="13.8">
      <c r="A251" s="235"/>
      <c r="B251" s="235"/>
      <c r="C251" s="235"/>
      <c r="D251" s="234"/>
      <c r="E251" s="234"/>
      <c r="F251" s="234"/>
      <c r="G251" s="234"/>
      <c r="H251" s="235"/>
      <c r="I251" s="235"/>
      <c r="J251" s="235"/>
      <c r="K251" s="235"/>
      <c r="L251" s="235"/>
      <c r="M251" s="235"/>
      <c r="N251" s="235"/>
      <c r="O251" s="235"/>
    </row>
    <row r="252" spans="1:15" ht="13.8">
      <c r="A252" s="235"/>
      <c r="B252" s="235"/>
      <c r="C252" s="235"/>
      <c r="D252" s="234"/>
      <c r="E252" s="234"/>
      <c r="F252" s="234"/>
      <c r="G252" s="234"/>
      <c r="H252" s="235"/>
      <c r="I252" s="235"/>
      <c r="J252" s="235"/>
      <c r="K252" s="235"/>
      <c r="L252" s="235"/>
      <c r="M252" s="235"/>
      <c r="N252" s="235"/>
      <c r="O252" s="235"/>
    </row>
    <row r="253" spans="1:15" ht="13.8">
      <c r="A253" s="235"/>
      <c r="B253" s="235"/>
      <c r="C253" s="235"/>
      <c r="D253" s="234"/>
      <c r="E253" s="234"/>
      <c r="F253" s="234"/>
      <c r="G253" s="234"/>
      <c r="H253" s="235"/>
      <c r="I253" s="235"/>
      <c r="J253" s="235"/>
      <c r="K253" s="235"/>
      <c r="L253" s="235"/>
      <c r="M253" s="235"/>
      <c r="N253" s="235"/>
      <c r="O253" s="235"/>
    </row>
    <row r="254" spans="1:15" ht="13.8">
      <c r="A254" s="235"/>
      <c r="B254" s="235"/>
      <c r="C254" s="235"/>
      <c r="D254" s="234"/>
      <c r="E254" s="234"/>
      <c r="F254" s="234"/>
      <c r="G254" s="234"/>
      <c r="H254" s="235"/>
      <c r="I254" s="235"/>
      <c r="J254" s="235"/>
      <c r="K254" s="235"/>
      <c r="L254" s="235"/>
      <c r="M254" s="235"/>
      <c r="N254" s="235"/>
      <c r="O254" s="235"/>
    </row>
    <row r="255" spans="1:15" ht="13.8">
      <c r="A255" s="235"/>
      <c r="B255" s="235"/>
      <c r="C255" s="235"/>
      <c r="D255" s="234"/>
      <c r="E255" s="234"/>
      <c r="F255" s="234"/>
      <c r="G255" s="234"/>
      <c r="H255" s="235"/>
      <c r="I255" s="235"/>
      <c r="J255" s="235"/>
      <c r="K255" s="235"/>
      <c r="L255" s="235"/>
      <c r="M255" s="235"/>
      <c r="N255" s="235"/>
      <c r="O255" s="235"/>
    </row>
    <row r="256" spans="1:15" ht="13.8">
      <c r="A256" s="235"/>
      <c r="B256" s="235"/>
      <c r="C256" s="235"/>
      <c r="D256" s="234"/>
      <c r="E256" s="234"/>
      <c r="F256" s="234"/>
      <c r="G256" s="234"/>
      <c r="H256" s="235"/>
      <c r="I256" s="235"/>
      <c r="J256" s="235"/>
      <c r="K256" s="235"/>
      <c r="L256" s="235"/>
      <c r="M256" s="235"/>
      <c r="N256" s="235"/>
      <c r="O256" s="235"/>
    </row>
    <row r="257" spans="1:15" ht="13.8">
      <c r="A257" s="235"/>
      <c r="B257" s="235"/>
      <c r="C257" s="235"/>
      <c r="D257" s="234"/>
      <c r="E257" s="234"/>
      <c r="F257" s="234"/>
      <c r="G257" s="234"/>
      <c r="H257" s="235"/>
      <c r="I257" s="235"/>
      <c r="J257" s="235"/>
      <c r="K257" s="235"/>
      <c r="L257" s="235"/>
      <c r="M257" s="235"/>
      <c r="N257" s="235"/>
      <c r="O257" s="235"/>
    </row>
    <row r="258" spans="1:15" ht="13.8">
      <c r="A258" s="235"/>
      <c r="B258" s="235"/>
      <c r="C258" s="235"/>
      <c r="D258" s="234"/>
      <c r="E258" s="234"/>
      <c r="F258" s="234"/>
      <c r="G258" s="234"/>
      <c r="H258" s="235"/>
      <c r="I258" s="235"/>
      <c r="J258" s="235"/>
      <c r="K258" s="235"/>
      <c r="L258" s="235"/>
      <c r="M258" s="235"/>
      <c r="N258" s="235"/>
      <c r="O258" s="235"/>
    </row>
    <row r="259" spans="1:15" ht="13.8">
      <c r="A259" s="235"/>
      <c r="B259" s="235"/>
      <c r="C259" s="235"/>
      <c r="D259" s="234"/>
      <c r="E259" s="234"/>
      <c r="F259" s="234"/>
      <c r="G259" s="234"/>
      <c r="H259" s="235"/>
      <c r="I259" s="235"/>
      <c r="J259" s="235"/>
      <c r="K259" s="235"/>
      <c r="L259" s="235"/>
      <c r="M259" s="235"/>
      <c r="N259" s="235"/>
      <c r="O259" s="235"/>
    </row>
    <row r="260" spans="1:15" ht="13.8">
      <c r="A260" s="235"/>
      <c r="B260" s="235"/>
      <c r="C260" s="235"/>
      <c r="D260" s="234"/>
      <c r="E260" s="234"/>
      <c r="F260" s="234"/>
      <c r="G260" s="234"/>
      <c r="H260" s="235"/>
      <c r="I260" s="235"/>
      <c r="J260" s="235"/>
      <c r="K260" s="235"/>
      <c r="L260" s="235"/>
      <c r="M260" s="235"/>
      <c r="N260" s="235"/>
      <c r="O260" s="235"/>
    </row>
    <row r="261" spans="1:15" ht="13.8">
      <c r="A261" s="235"/>
      <c r="B261" s="235"/>
      <c r="C261" s="235"/>
      <c r="D261" s="234"/>
      <c r="E261" s="234"/>
      <c r="F261" s="234"/>
      <c r="G261" s="234"/>
      <c r="H261" s="235"/>
      <c r="I261" s="235"/>
      <c r="J261" s="235"/>
      <c r="K261" s="235"/>
      <c r="L261" s="235"/>
      <c r="M261" s="235"/>
      <c r="N261" s="235"/>
      <c r="O261" s="235"/>
    </row>
    <row r="262" spans="1:15" ht="13.8">
      <c r="A262" s="235"/>
      <c r="B262" s="235"/>
      <c r="C262" s="235"/>
      <c r="D262" s="234"/>
      <c r="E262" s="234"/>
      <c r="F262" s="234"/>
      <c r="G262" s="234"/>
      <c r="H262" s="235"/>
      <c r="I262" s="235"/>
      <c r="J262" s="235"/>
      <c r="K262" s="235"/>
      <c r="L262" s="235"/>
      <c r="M262" s="235"/>
      <c r="N262" s="235"/>
      <c r="O262" s="235"/>
    </row>
    <row r="263" spans="1:15" ht="13.8">
      <c r="A263" s="235"/>
      <c r="B263" s="235"/>
      <c r="C263" s="235"/>
      <c r="D263" s="234"/>
      <c r="E263" s="234"/>
      <c r="F263" s="234"/>
      <c r="G263" s="234"/>
      <c r="H263" s="235"/>
      <c r="I263" s="235"/>
      <c r="J263" s="235"/>
      <c r="K263" s="235"/>
      <c r="L263" s="235"/>
      <c r="M263" s="235"/>
      <c r="N263" s="235"/>
      <c r="O263" s="235"/>
    </row>
    <row r="264" spans="1:15" ht="13.8">
      <c r="A264" s="235"/>
      <c r="B264" s="235"/>
      <c r="C264" s="235"/>
      <c r="D264" s="234"/>
      <c r="E264" s="234"/>
      <c r="F264" s="234"/>
      <c r="G264" s="234"/>
      <c r="H264" s="235"/>
      <c r="I264" s="235"/>
      <c r="J264" s="235"/>
      <c r="K264" s="235"/>
      <c r="L264" s="235"/>
      <c r="M264" s="235"/>
      <c r="N264" s="235"/>
      <c r="O264" s="235"/>
    </row>
    <row r="265" spans="1:15" ht="13.8">
      <c r="A265" s="235"/>
      <c r="B265" s="235"/>
      <c r="C265" s="235"/>
      <c r="D265" s="234"/>
      <c r="E265" s="234"/>
      <c r="F265" s="234"/>
      <c r="G265" s="234"/>
      <c r="H265" s="235"/>
      <c r="I265" s="235"/>
      <c r="J265" s="235"/>
      <c r="K265" s="235"/>
      <c r="L265" s="235"/>
      <c r="M265" s="235"/>
      <c r="N265" s="235"/>
      <c r="O265" s="235"/>
    </row>
    <row r="266" spans="1:15" ht="13.8">
      <c r="A266" s="235"/>
      <c r="B266" s="235"/>
      <c r="C266" s="235"/>
      <c r="D266" s="234"/>
      <c r="E266" s="234"/>
      <c r="F266" s="234"/>
      <c r="G266" s="234"/>
      <c r="H266" s="235"/>
      <c r="I266" s="235"/>
      <c r="J266" s="235"/>
      <c r="K266" s="235"/>
      <c r="L266" s="235"/>
      <c r="M266" s="235"/>
      <c r="N266" s="235"/>
      <c r="O266" s="235"/>
    </row>
    <row r="267" spans="1:15" ht="13.8">
      <c r="A267" s="235"/>
      <c r="B267" s="235"/>
      <c r="C267" s="235"/>
      <c r="D267" s="234"/>
      <c r="E267" s="234"/>
      <c r="F267" s="234"/>
      <c r="G267" s="234"/>
      <c r="H267" s="235"/>
      <c r="I267" s="235"/>
      <c r="J267" s="235"/>
      <c r="K267" s="235"/>
      <c r="L267" s="235"/>
      <c r="M267" s="235"/>
      <c r="N267" s="235"/>
      <c r="O267" s="235"/>
    </row>
    <row r="268" spans="1:15" ht="13.8">
      <c r="A268" s="235"/>
      <c r="B268" s="235"/>
      <c r="C268" s="235"/>
      <c r="D268" s="234"/>
      <c r="E268" s="234"/>
      <c r="F268" s="234"/>
      <c r="G268" s="234"/>
      <c r="H268" s="235"/>
      <c r="I268" s="235"/>
      <c r="J268" s="235"/>
      <c r="K268" s="235"/>
      <c r="L268" s="235"/>
      <c r="M268" s="235"/>
      <c r="N268" s="235"/>
      <c r="O268" s="235"/>
    </row>
    <row r="269" spans="1:15" ht="13.8">
      <c r="A269" s="235"/>
      <c r="B269" s="235"/>
      <c r="C269" s="235"/>
      <c r="D269" s="234"/>
      <c r="E269" s="234"/>
      <c r="F269" s="234"/>
      <c r="G269" s="234"/>
      <c r="H269" s="235"/>
      <c r="I269" s="235"/>
      <c r="J269" s="235"/>
      <c r="K269" s="235"/>
      <c r="L269" s="235"/>
      <c r="M269" s="235"/>
      <c r="N269" s="235"/>
      <c r="O269" s="235"/>
    </row>
    <row r="270" spans="1:15" ht="13.8">
      <c r="A270" s="235"/>
      <c r="B270" s="235"/>
      <c r="C270" s="235"/>
      <c r="D270" s="234"/>
      <c r="E270" s="234"/>
      <c r="F270" s="234"/>
      <c r="G270" s="234"/>
      <c r="H270" s="235"/>
      <c r="I270" s="235"/>
      <c r="J270" s="235"/>
      <c r="K270" s="235"/>
      <c r="L270" s="235"/>
      <c r="M270" s="235"/>
      <c r="N270" s="235"/>
      <c r="O270" s="235"/>
    </row>
    <row r="271" spans="1:15" ht="13.8">
      <c r="A271" s="235"/>
      <c r="B271" s="235"/>
      <c r="C271" s="235"/>
      <c r="D271" s="234"/>
      <c r="E271" s="234"/>
      <c r="F271" s="234"/>
      <c r="G271" s="234"/>
      <c r="H271" s="235"/>
      <c r="I271" s="235"/>
      <c r="J271" s="235"/>
      <c r="K271" s="235"/>
      <c r="L271" s="235"/>
      <c r="M271" s="235"/>
      <c r="N271" s="235"/>
      <c r="O271" s="235"/>
    </row>
    <row r="272" spans="1:15" ht="13.8">
      <c r="A272" s="235"/>
      <c r="B272" s="235"/>
      <c r="C272" s="235"/>
      <c r="D272" s="234"/>
      <c r="E272" s="234"/>
      <c r="F272" s="234"/>
      <c r="G272" s="234"/>
      <c r="H272" s="235"/>
      <c r="I272" s="235"/>
      <c r="J272" s="235"/>
      <c r="K272" s="235"/>
      <c r="L272" s="235"/>
      <c r="M272" s="235"/>
      <c r="N272" s="235"/>
      <c r="O272" s="235"/>
    </row>
    <row r="273" spans="1:15" ht="13.8">
      <c r="A273" s="235"/>
      <c r="B273" s="235"/>
      <c r="C273" s="235"/>
      <c r="D273" s="234"/>
      <c r="E273" s="234"/>
      <c r="F273" s="234"/>
      <c r="G273" s="234"/>
      <c r="H273" s="235"/>
      <c r="I273" s="235"/>
      <c r="J273" s="235"/>
      <c r="K273" s="235"/>
      <c r="L273" s="235"/>
      <c r="M273" s="235"/>
      <c r="N273" s="235"/>
      <c r="O273" s="235"/>
    </row>
    <row r="274" spans="1:15" ht="13.8">
      <c r="A274" s="235"/>
      <c r="B274" s="235"/>
      <c r="C274" s="235"/>
      <c r="D274" s="234"/>
      <c r="E274" s="234"/>
      <c r="F274" s="234"/>
      <c r="G274" s="234"/>
      <c r="H274" s="235"/>
      <c r="I274" s="235"/>
      <c r="J274" s="235"/>
      <c r="K274" s="235"/>
      <c r="L274" s="235"/>
      <c r="M274" s="235"/>
      <c r="N274" s="235"/>
      <c r="O274" s="235"/>
    </row>
    <row r="275" spans="1:15" ht="13.8">
      <c r="A275" s="235"/>
      <c r="B275" s="235"/>
      <c r="C275" s="235"/>
      <c r="D275" s="234"/>
      <c r="E275" s="234"/>
      <c r="F275" s="234"/>
      <c r="G275" s="234"/>
      <c r="H275" s="235"/>
      <c r="I275" s="235"/>
      <c r="J275" s="235"/>
      <c r="K275" s="235"/>
      <c r="L275" s="235"/>
      <c r="M275" s="235"/>
      <c r="N275" s="235"/>
      <c r="O275" s="235"/>
    </row>
    <row r="276" spans="1:15" ht="13.8">
      <c r="A276" s="235"/>
      <c r="B276" s="235"/>
      <c r="C276" s="235"/>
      <c r="D276" s="234"/>
      <c r="E276" s="234"/>
      <c r="F276" s="234"/>
      <c r="G276" s="234"/>
      <c r="H276" s="235"/>
      <c r="I276" s="235"/>
      <c r="J276" s="235"/>
      <c r="K276" s="235"/>
      <c r="L276" s="235"/>
      <c r="M276" s="235"/>
      <c r="N276" s="235"/>
      <c r="O276" s="235"/>
    </row>
    <row r="277" spans="1:15" ht="13.8">
      <c r="A277" s="235"/>
      <c r="B277" s="235"/>
      <c r="C277" s="235"/>
      <c r="D277" s="234"/>
      <c r="E277" s="234"/>
      <c r="F277" s="234"/>
      <c r="G277" s="234"/>
      <c r="H277" s="235"/>
      <c r="I277" s="235"/>
      <c r="J277" s="235"/>
      <c r="K277" s="235"/>
      <c r="L277" s="235"/>
      <c r="M277" s="235"/>
      <c r="N277" s="235"/>
      <c r="O277" s="235"/>
    </row>
    <row r="278" spans="1:15" ht="13.8">
      <c r="A278" s="235"/>
      <c r="B278" s="235"/>
      <c r="C278" s="235"/>
      <c r="D278" s="234"/>
      <c r="E278" s="234"/>
      <c r="F278" s="234"/>
      <c r="G278" s="234"/>
      <c r="H278" s="235"/>
      <c r="I278" s="235"/>
      <c r="J278" s="235"/>
      <c r="K278" s="235"/>
      <c r="L278" s="235"/>
      <c r="M278" s="235"/>
      <c r="N278" s="235"/>
      <c r="O278" s="235"/>
    </row>
    <row r="279" spans="1:15" ht="13.8">
      <c r="A279" s="235"/>
      <c r="B279" s="235"/>
      <c r="C279" s="235"/>
      <c r="D279" s="234"/>
      <c r="E279" s="234"/>
      <c r="F279" s="234"/>
      <c r="G279" s="234"/>
      <c r="H279" s="235"/>
      <c r="I279" s="235"/>
      <c r="J279" s="235"/>
      <c r="K279" s="235"/>
      <c r="L279" s="235"/>
      <c r="M279" s="235"/>
      <c r="N279" s="235"/>
      <c r="O279" s="235"/>
    </row>
    <row r="280" spans="1:15" ht="13.8">
      <c r="A280" s="235"/>
      <c r="B280" s="235"/>
      <c r="C280" s="235"/>
      <c r="D280" s="234"/>
      <c r="E280" s="234"/>
      <c r="F280" s="234"/>
      <c r="G280" s="234"/>
      <c r="H280" s="235"/>
      <c r="I280" s="235"/>
      <c r="J280" s="235"/>
      <c r="K280" s="235"/>
      <c r="L280" s="235"/>
      <c r="M280" s="235"/>
      <c r="N280" s="235"/>
      <c r="O280" s="235"/>
    </row>
    <row r="281" spans="1:15" ht="13.8">
      <c r="A281" s="235"/>
      <c r="B281" s="235"/>
      <c r="C281" s="235"/>
      <c r="D281" s="234"/>
      <c r="E281" s="234"/>
      <c r="F281" s="234"/>
      <c r="G281" s="234"/>
      <c r="H281" s="235"/>
      <c r="I281" s="235"/>
      <c r="J281" s="235"/>
      <c r="K281" s="235"/>
      <c r="L281" s="235"/>
      <c r="M281" s="235"/>
      <c r="N281" s="235"/>
      <c r="O281" s="235"/>
    </row>
    <row r="282" spans="1:15" ht="13.8">
      <c r="A282" s="235"/>
      <c r="B282" s="235"/>
      <c r="C282" s="235"/>
      <c r="D282" s="234"/>
      <c r="E282" s="234"/>
      <c r="F282" s="234"/>
      <c r="G282" s="234"/>
      <c r="H282" s="235"/>
      <c r="I282" s="235"/>
      <c r="J282" s="235"/>
      <c r="K282" s="235"/>
      <c r="L282" s="235"/>
      <c r="M282" s="235"/>
      <c r="N282" s="235"/>
      <c r="O282" s="235"/>
    </row>
    <row r="283" spans="1:15" ht="13.8">
      <c r="A283" s="235"/>
      <c r="B283" s="235"/>
      <c r="C283" s="235"/>
      <c r="D283" s="234"/>
      <c r="E283" s="234"/>
      <c r="F283" s="234"/>
      <c r="G283" s="234"/>
      <c r="H283" s="235"/>
      <c r="I283" s="235"/>
      <c r="J283" s="235"/>
      <c r="K283" s="235"/>
      <c r="L283" s="235"/>
      <c r="M283" s="235"/>
      <c r="N283" s="235"/>
      <c r="O283" s="235"/>
    </row>
    <row r="284" spans="1:15" ht="13.8">
      <c r="A284" s="235"/>
      <c r="B284" s="235"/>
      <c r="C284" s="235"/>
      <c r="D284" s="234"/>
      <c r="E284" s="234"/>
      <c r="F284" s="234"/>
      <c r="G284" s="234"/>
      <c r="H284" s="235"/>
      <c r="I284" s="235"/>
      <c r="J284" s="235"/>
      <c r="K284" s="235"/>
      <c r="L284" s="235"/>
      <c r="M284" s="235"/>
      <c r="N284" s="235"/>
      <c r="O284" s="235"/>
    </row>
    <row r="285" spans="1:15" ht="13.8">
      <c r="A285" s="235"/>
      <c r="B285" s="235"/>
      <c r="C285" s="235"/>
      <c r="D285" s="234"/>
      <c r="E285" s="234"/>
      <c r="F285" s="234"/>
      <c r="G285" s="234"/>
      <c r="H285" s="235"/>
      <c r="I285" s="235"/>
      <c r="J285" s="235"/>
      <c r="K285" s="235"/>
      <c r="L285" s="235"/>
      <c r="M285" s="235"/>
      <c r="N285" s="235"/>
      <c r="O285" s="235"/>
    </row>
    <row r="286" spans="1:15" ht="13.8">
      <c r="A286" s="235"/>
      <c r="B286" s="235"/>
      <c r="C286" s="235"/>
      <c r="D286" s="234"/>
      <c r="E286" s="234"/>
      <c r="F286" s="234"/>
      <c r="G286" s="234"/>
      <c r="H286" s="235"/>
      <c r="I286" s="235"/>
      <c r="J286" s="235"/>
      <c r="K286" s="235"/>
      <c r="L286" s="235"/>
      <c r="M286" s="235"/>
      <c r="N286" s="235"/>
      <c r="O286" s="235"/>
    </row>
    <row r="287" spans="1:15" ht="13.8">
      <c r="A287" s="235"/>
      <c r="B287" s="235"/>
      <c r="C287" s="235"/>
      <c r="D287" s="234"/>
      <c r="E287" s="234"/>
      <c r="F287" s="234"/>
      <c r="G287" s="234"/>
      <c r="H287" s="235"/>
      <c r="I287" s="235"/>
      <c r="J287" s="235"/>
      <c r="K287" s="235"/>
      <c r="L287" s="235"/>
      <c r="M287" s="235"/>
      <c r="N287" s="235"/>
      <c r="O287" s="235"/>
    </row>
    <row r="288" spans="1:15" ht="13.8">
      <c r="A288" s="235"/>
      <c r="B288" s="235"/>
      <c r="C288" s="235"/>
      <c r="D288" s="234"/>
      <c r="E288" s="234"/>
      <c r="F288" s="234"/>
      <c r="G288" s="234"/>
      <c r="H288" s="235"/>
      <c r="I288" s="235"/>
      <c r="J288" s="235"/>
      <c r="K288" s="235"/>
      <c r="L288" s="235"/>
      <c r="M288" s="235"/>
      <c r="N288" s="235"/>
      <c r="O288" s="235"/>
    </row>
    <row r="289" spans="1:15" ht="13.8">
      <c r="A289" s="235"/>
      <c r="B289" s="235"/>
      <c r="C289" s="235"/>
      <c r="D289" s="234"/>
      <c r="E289" s="234"/>
      <c r="F289" s="234"/>
      <c r="G289" s="234"/>
      <c r="H289" s="235"/>
      <c r="I289" s="235"/>
      <c r="J289" s="235"/>
      <c r="K289" s="235"/>
      <c r="L289" s="235"/>
      <c r="M289" s="235"/>
      <c r="N289" s="235"/>
      <c r="O289" s="235"/>
    </row>
    <row r="290" spans="1:15" ht="13.8">
      <c r="A290" s="235"/>
      <c r="B290" s="235"/>
      <c r="C290" s="235"/>
      <c r="D290" s="234"/>
      <c r="E290" s="234"/>
      <c r="F290" s="234"/>
      <c r="G290" s="234"/>
      <c r="H290" s="235"/>
      <c r="I290" s="235"/>
      <c r="J290" s="235"/>
      <c r="K290" s="235"/>
      <c r="L290" s="235"/>
      <c r="M290" s="235"/>
      <c r="N290" s="235"/>
      <c r="O290" s="235"/>
    </row>
    <row r="291" spans="1:15" ht="13.8">
      <c r="A291" s="235"/>
      <c r="B291" s="235"/>
      <c r="C291" s="235"/>
      <c r="D291" s="234"/>
      <c r="E291" s="234"/>
      <c r="F291" s="234"/>
      <c r="G291" s="234"/>
      <c r="H291" s="235"/>
      <c r="I291" s="235"/>
      <c r="J291" s="235"/>
      <c r="K291" s="235"/>
      <c r="L291" s="235"/>
      <c r="M291" s="235"/>
      <c r="N291" s="235"/>
      <c r="O291" s="235"/>
    </row>
    <row r="292" spans="1:15" ht="13.8">
      <c r="A292" s="235"/>
      <c r="B292" s="235"/>
      <c r="C292" s="235"/>
      <c r="D292" s="234"/>
      <c r="E292" s="234"/>
      <c r="F292" s="234"/>
      <c r="G292" s="234"/>
      <c r="H292" s="235"/>
      <c r="I292" s="235"/>
      <c r="J292" s="235"/>
      <c r="K292" s="235"/>
      <c r="L292" s="235"/>
      <c r="M292" s="235"/>
      <c r="N292" s="235"/>
      <c r="O292" s="235"/>
    </row>
    <row r="293" spans="1:15" ht="13.8">
      <c r="A293" s="235"/>
      <c r="B293" s="235"/>
      <c r="C293" s="235"/>
      <c r="D293" s="234"/>
      <c r="E293" s="234"/>
      <c r="F293" s="234"/>
      <c r="G293" s="234"/>
      <c r="H293" s="235"/>
      <c r="I293" s="235"/>
      <c r="J293" s="235"/>
      <c r="K293" s="235"/>
      <c r="L293" s="235"/>
      <c r="M293" s="235"/>
      <c r="N293" s="235"/>
      <c r="O293" s="235"/>
    </row>
    <row r="294" spans="1:15" ht="13.8">
      <c r="A294" s="235"/>
      <c r="B294" s="235"/>
      <c r="C294" s="235"/>
      <c r="D294" s="234"/>
      <c r="E294" s="234"/>
      <c r="F294" s="234"/>
      <c r="G294" s="234"/>
      <c r="H294" s="235"/>
      <c r="I294" s="235"/>
      <c r="J294" s="235"/>
      <c r="K294" s="235"/>
      <c r="L294" s="235"/>
      <c r="M294" s="235"/>
      <c r="N294" s="235"/>
      <c r="O294" s="235"/>
    </row>
    <row r="295" spans="1:15" ht="13.8">
      <c r="A295" s="235"/>
      <c r="B295" s="235"/>
      <c r="C295" s="235"/>
      <c r="D295" s="234"/>
      <c r="E295" s="234"/>
      <c r="F295" s="234"/>
      <c r="G295" s="234"/>
      <c r="H295" s="235"/>
      <c r="I295" s="235"/>
      <c r="J295" s="235"/>
      <c r="K295" s="235"/>
      <c r="L295" s="235"/>
      <c r="M295" s="235"/>
      <c r="N295" s="235"/>
      <c r="O295" s="235"/>
    </row>
    <row r="296" spans="1:15" ht="13.8">
      <c r="A296" s="235"/>
      <c r="B296" s="235"/>
      <c r="C296" s="235"/>
      <c r="D296" s="234"/>
      <c r="E296" s="234"/>
      <c r="F296" s="234"/>
      <c r="G296" s="234"/>
      <c r="H296" s="235"/>
      <c r="I296" s="235"/>
      <c r="J296" s="235"/>
      <c r="K296" s="235"/>
      <c r="L296" s="235"/>
      <c r="M296" s="235"/>
      <c r="N296" s="235"/>
      <c r="O296" s="235"/>
    </row>
    <row r="297" spans="1:15" ht="13.8">
      <c r="A297" s="235"/>
      <c r="B297" s="235"/>
      <c r="C297" s="235"/>
      <c r="D297" s="234"/>
      <c r="E297" s="234"/>
      <c r="F297" s="234"/>
      <c r="G297" s="234"/>
      <c r="H297" s="235"/>
      <c r="I297" s="235"/>
      <c r="J297" s="235"/>
      <c r="K297" s="235"/>
      <c r="L297" s="235"/>
      <c r="M297" s="235"/>
      <c r="N297" s="235"/>
      <c r="O297" s="235"/>
    </row>
    <row r="298" spans="1:15" ht="13.8">
      <c r="A298" s="235"/>
      <c r="B298" s="235"/>
      <c r="C298" s="235"/>
      <c r="D298" s="234"/>
      <c r="E298" s="234"/>
      <c r="F298" s="234"/>
      <c r="G298" s="234"/>
      <c r="H298" s="235"/>
      <c r="I298" s="235"/>
      <c r="J298" s="235"/>
      <c r="K298" s="235"/>
      <c r="L298" s="235"/>
      <c r="M298" s="235"/>
      <c r="N298" s="235"/>
      <c r="O298" s="235"/>
    </row>
    <row r="299" spans="1:15" ht="13.8">
      <c r="A299" s="235"/>
      <c r="B299" s="235"/>
      <c r="C299" s="235"/>
      <c r="D299" s="234"/>
      <c r="E299" s="234"/>
      <c r="F299" s="234"/>
      <c r="G299" s="234"/>
      <c r="H299" s="235"/>
      <c r="I299" s="235"/>
      <c r="J299" s="235"/>
      <c r="K299" s="235"/>
      <c r="L299" s="235"/>
      <c r="M299" s="235"/>
      <c r="N299" s="235"/>
      <c r="O299" s="235"/>
    </row>
    <row r="300" spans="1:15" ht="13.8">
      <c r="A300" s="235"/>
      <c r="B300" s="235"/>
      <c r="C300" s="235"/>
      <c r="D300" s="234"/>
      <c r="E300" s="234"/>
      <c r="F300" s="234"/>
      <c r="G300" s="234"/>
      <c r="H300" s="235"/>
      <c r="I300" s="235"/>
      <c r="J300" s="235"/>
      <c r="K300" s="235"/>
      <c r="L300" s="235"/>
      <c r="M300" s="235"/>
      <c r="N300" s="235"/>
      <c r="O300" s="235"/>
    </row>
    <row r="301" spans="1:15" ht="13.8">
      <c r="A301" s="235"/>
      <c r="B301" s="235"/>
      <c r="C301" s="235"/>
      <c r="D301" s="234"/>
      <c r="E301" s="234"/>
      <c r="F301" s="234"/>
      <c r="G301" s="234"/>
      <c r="H301" s="235"/>
      <c r="I301" s="235"/>
      <c r="J301" s="235"/>
      <c r="K301" s="235"/>
      <c r="L301" s="235"/>
      <c r="M301" s="235"/>
      <c r="N301" s="235"/>
      <c r="O301" s="235"/>
    </row>
    <row r="302" spans="1:15" ht="13.8">
      <c r="A302" s="235"/>
      <c r="B302" s="235"/>
      <c r="C302" s="235"/>
      <c r="D302" s="234"/>
      <c r="E302" s="234"/>
      <c r="F302" s="234"/>
      <c r="G302" s="234"/>
      <c r="H302" s="235"/>
      <c r="I302" s="235"/>
      <c r="J302" s="235"/>
      <c r="K302" s="235"/>
      <c r="L302" s="235"/>
      <c r="M302" s="235"/>
      <c r="N302" s="235"/>
      <c r="O302" s="235"/>
    </row>
    <row r="303" spans="1:15" ht="13.8">
      <c r="A303" s="235"/>
      <c r="B303" s="235"/>
      <c r="C303" s="235"/>
      <c r="D303" s="234"/>
      <c r="E303" s="234"/>
      <c r="F303" s="234"/>
      <c r="G303" s="234"/>
      <c r="H303" s="235"/>
      <c r="I303" s="235"/>
      <c r="J303" s="235"/>
      <c r="K303" s="235"/>
      <c r="L303" s="235"/>
      <c r="M303" s="235"/>
      <c r="N303" s="235"/>
      <c r="O303" s="235"/>
    </row>
    <row r="304" spans="1:15" ht="13.8">
      <c r="A304" s="235"/>
      <c r="B304" s="235"/>
      <c r="C304" s="235"/>
      <c r="D304" s="234"/>
      <c r="E304" s="234"/>
      <c r="F304" s="234"/>
      <c r="G304" s="234"/>
      <c r="H304" s="235"/>
      <c r="I304" s="235"/>
      <c r="J304" s="235"/>
      <c r="K304" s="235"/>
      <c r="L304" s="235"/>
      <c r="M304" s="235"/>
      <c r="N304" s="235"/>
      <c r="O304" s="235"/>
    </row>
    <row r="305" spans="1:15" ht="13.8">
      <c r="A305" s="235"/>
      <c r="B305" s="235"/>
      <c r="C305" s="235"/>
      <c r="D305" s="234"/>
      <c r="E305" s="234"/>
      <c r="F305" s="234"/>
      <c r="G305" s="234"/>
      <c r="H305" s="235"/>
      <c r="I305" s="235"/>
      <c r="J305" s="235"/>
      <c r="K305" s="235"/>
      <c r="L305" s="235"/>
      <c r="M305" s="235"/>
      <c r="N305" s="235"/>
      <c r="O305" s="235"/>
    </row>
    <row r="306" spans="1:15" ht="13.8">
      <c r="A306" s="235"/>
      <c r="B306" s="235"/>
      <c r="C306" s="235"/>
      <c r="D306" s="234"/>
      <c r="E306" s="234"/>
      <c r="F306" s="234"/>
      <c r="G306" s="234"/>
      <c r="H306" s="235"/>
      <c r="I306" s="235"/>
      <c r="J306" s="235"/>
      <c r="K306" s="235"/>
      <c r="L306" s="235"/>
      <c r="M306" s="235"/>
      <c r="N306" s="235"/>
      <c r="O306" s="235"/>
    </row>
    <row r="307" spans="1:15" ht="13.8">
      <c r="A307" s="235"/>
      <c r="B307" s="235"/>
      <c r="C307" s="235"/>
      <c r="D307" s="234"/>
      <c r="E307" s="234"/>
      <c r="F307" s="234"/>
      <c r="G307" s="234"/>
      <c r="H307" s="235"/>
      <c r="I307" s="235"/>
      <c r="J307" s="235"/>
      <c r="K307" s="235"/>
      <c r="L307" s="235"/>
      <c r="M307" s="235"/>
      <c r="N307" s="235"/>
      <c r="O307" s="235"/>
    </row>
    <row r="308" spans="1:15" ht="13.8">
      <c r="A308" s="235"/>
      <c r="B308" s="235"/>
      <c r="C308" s="235"/>
      <c r="D308" s="234"/>
      <c r="E308" s="234"/>
      <c r="F308" s="234"/>
      <c r="G308" s="234"/>
      <c r="H308" s="235"/>
      <c r="I308" s="235"/>
      <c r="J308" s="235"/>
      <c r="K308" s="235"/>
      <c r="L308" s="235"/>
      <c r="M308" s="235"/>
      <c r="N308" s="235"/>
      <c r="O308" s="235"/>
    </row>
    <row r="309" spans="1:15" ht="13.8">
      <c r="A309" s="235"/>
      <c r="B309" s="235"/>
      <c r="C309" s="235"/>
      <c r="D309" s="234"/>
      <c r="E309" s="234"/>
      <c r="F309" s="234"/>
      <c r="G309" s="234"/>
      <c r="H309" s="235"/>
      <c r="I309" s="235"/>
      <c r="J309" s="235"/>
      <c r="K309" s="235"/>
      <c r="L309" s="235"/>
      <c r="M309" s="235"/>
      <c r="N309" s="235"/>
      <c r="O309" s="235"/>
    </row>
    <row r="310" spans="1:15" ht="13.8">
      <c r="A310" s="235"/>
      <c r="B310" s="235"/>
      <c r="C310" s="235"/>
      <c r="D310" s="234"/>
      <c r="E310" s="234"/>
      <c r="F310" s="234"/>
      <c r="G310" s="234"/>
      <c r="H310" s="235"/>
      <c r="I310" s="235"/>
      <c r="J310" s="235"/>
      <c r="K310" s="235"/>
      <c r="L310" s="235"/>
      <c r="M310" s="235"/>
      <c r="N310" s="235"/>
      <c r="O310" s="235"/>
    </row>
    <row r="311" spans="1:15" ht="13.8">
      <c r="A311" s="235"/>
      <c r="B311" s="235"/>
      <c r="C311" s="235"/>
      <c r="D311" s="234"/>
      <c r="E311" s="234"/>
      <c r="F311" s="234"/>
      <c r="G311" s="234"/>
      <c r="H311" s="235"/>
      <c r="I311" s="235"/>
      <c r="J311" s="235"/>
      <c r="K311" s="235"/>
      <c r="L311" s="235"/>
      <c r="M311" s="235"/>
      <c r="N311" s="235"/>
      <c r="O311" s="235"/>
    </row>
    <row r="312" spans="1:15" ht="13.8">
      <c r="A312" s="235"/>
      <c r="B312" s="235"/>
      <c r="C312" s="235"/>
      <c r="D312" s="234"/>
      <c r="E312" s="234"/>
      <c r="F312" s="234"/>
      <c r="G312" s="234"/>
      <c r="H312" s="235"/>
      <c r="I312" s="235"/>
      <c r="J312" s="235"/>
      <c r="K312" s="235"/>
      <c r="L312" s="235"/>
      <c r="M312" s="235"/>
      <c r="N312" s="235"/>
      <c r="O312" s="235"/>
    </row>
    <row r="313" spans="1:15" ht="13.8">
      <c r="A313" s="235"/>
      <c r="B313" s="235"/>
      <c r="C313" s="235"/>
      <c r="D313" s="234"/>
      <c r="E313" s="234"/>
      <c r="F313" s="234"/>
      <c r="G313" s="234"/>
      <c r="H313" s="235"/>
      <c r="I313" s="235"/>
      <c r="J313" s="235"/>
      <c r="K313" s="235"/>
      <c r="L313" s="235"/>
      <c r="M313" s="235"/>
      <c r="N313" s="235"/>
      <c r="O313" s="235"/>
    </row>
    <row r="314" spans="1:15" ht="13.8">
      <c r="A314" s="235"/>
      <c r="B314" s="235"/>
      <c r="C314" s="235"/>
      <c r="D314" s="234"/>
      <c r="E314" s="234"/>
      <c r="F314" s="234"/>
      <c r="G314" s="234"/>
      <c r="H314" s="235"/>
      <c r="I314" s="235"/>
      <c r="J314" s="235"/>
      <c r="K314" s="235"/>
      <c r="L314" s="235"/>
      <c r="M314" s="235"/>
      <c r="N314" s="235"/>
      <c r="O314" s="235"/>
    </row>
    <row r="315" spans="1:15" ht="13.8">
      <c r="A315" s="235"/>
      <c r="B315" s="235"/>
      <c r="C315" s="235"/>
      <c r="D315" s="234"/>
      <c r="E315" s="234"/>
      <c r="F315" s="234"/>
      <c r="G315" s="234"/>
      <c r="H315" s="235"/>
      <c r="I315" s="235"/>
      <c r="J315" s="235"/>
      <c r="K315" s="235"/>
      <c r="L315" s="235"/>
      <c r="M315" s="235"/>
      <c r="N315" s="235"/>
      <c r="O315" s="235"/>
    </row>
    <row r="316" spans="1:15" ht="13.8">
      <c r="A316" s="235"/>
      <c r="B316" s="235"/>
      <c r="C316" s="235"/>
      <c r="D316" s="234"/>
      <c r="E316" s="234"/>
      <c r="F316" s="234"/>
      <c r="G316" s="234"/>
      <c r="H316" s="235"/>
      <c r="I316" s="235"/>
      <c r="J316" s="235"/>
      <c r="K316" s="235"/>
      <c r="L316" s="235"/>
      <c r="M316" s="235"/>
      <c r="N316" s="235"/>
      <c r="O316" s="235"/>
    </row>
    <row r="317" spans="1:15" ht="13.8">
      <c r="A317" s="235"/>
      <c r="B317" s="235"/>
      <c r="C317" s="235"/>
      <c r="D317" s="234"/>
      <c r="E317" s="234"/>
      <c r="F317" s="234"/>
      <c r="G317" s="234"/>
      <c r="H317" s="235"/>
      <c r="I317" s="235"/>
      <c r="J317" s="235"/>
      <c r="K317" s="235"/>
      <c r="L317" s="235"/>
      <c r="M317" s="235"/>
      <c r="N317" s="235"/>
      <c r="O317" s="235"/>
    </row>
    <row r="318" spans="1:15" ht="13.8">
      <c r="A318" s="235"/>
      <c r="B318" s="235"/>
      <c r="C318" s="235"/>
      <c r="D318" s="234"/>
      <c r="E318" s="234"/>
      <c r="F318" s="234"/>
      <c r="G318" s="234"/>
      <c r="H318" s="235"/>
      <c r="I318" s="235"/>
      <c r="J318" s="235"/>
      <c r="K318" s="235"/>
      <c r="L318" s="235"/>
      <c r="M318" s="235"/>
      <c r="N318" s="235"/>
      <c r="O318" s="235"/>
    </row>
    <row r="319" spans="1:15" ht="13.8">
      <c r="A319" s="235"/>
      <c r="B319" s="235"/>
      <c r="C319" s="235"/>
      <c r="D319" s="234"/>
      <c r="E319" s="234"/>
      <c r="F319" s="234"/>
      <c r="G319" s="234"/>
      <c r="H319" s="235"/>
      <c r="I319" s="235"/>
      <c r="J319" s="235"/>
      <c r="K319" s="235"/>
      <c r="L319" s="235"/>
      <c r="M319" s="235"/>
      <c r="N319" s="235"/>
      <c r="O319" s="235"/>
    </row>
    <row r="320" spans="1:15" ht="13.8">
      <c r="A320" s="235"/>
      <c r="B320" s="235"/>
      <c r="C320" s="235"/>
      <c r="D320" s="234"/>
      <c r="E320" s="234"/>
      <c r="F320" s="234"/>
      <c r="G320" s="234"/>
      <c r="H320" s="235"/>
      <c r="I320" s="235"/>
      <c r="J320" s="235"/>
      <c r="K320" s="235"/>
      <c r="L320" s="235"/>
      <c r="M320" s="235"/>
      <c r="N320" s="235"/>
      <c r="O320" s="235"/>
    </row>
    <row r="321" spans="1:15" ht="13.8">
      <c r="A321" s="235"/>
      <c r="B321" s="235"/>
      <c r="C321" s="235"/>
      <c r="D321" s="234"/>
      <c r="E321" s="234"/>
      <c r="F321" s="234"/>
      <c r="G321" s="234"/>
      <c r="H321" s="235"/>
      <c r="I321" s="235"/>
      <c r="J321" s="235"/>
      <c r="K321" s="235"/>
      <c r="L321" s="235"/>
      <c r="M321" s="235"/>
      <c r="N321" s="235"/>
      <c r="O321" s="235"/>
    </row>
    <row r="322" spans="1:15" ht="13.8">
      <c r="A322" s="235"/>
      <c r="B322" s="235"/>
      <c r="C322" s="235"/>
      <c r="D322" s="234"/>
      <c r="E322" s="234"/>
      <c r="F322" s="234"/>
      <c r="G322" s="234"/>
      <c r="H322" s="235"/>
      <c r="I322" s="235"/>
      <c r="J322" s="235"/>
      <c r="K322" s="235"/>
      <c r="L322" s="235"/>
      <c r="M322" s="235"/>
      <c r="N322" s="235"/>
      <c r="O322" s="235"/>
    </row>
    <row r="323" spans="1:15" ht="13.8">
      <c r="A323" s="235"/>
      <c r="B323" s="235"/>
      <c r="C323" s="235"/>
      <c r="D323" s="234"/>
      <c r="E323" s="234"/>
      <c r="F323" s="234"/>
      <c r="G323" s="234"/>
      <c r="H323" s="235"/>
      <c r="I323" s="235"/>
      <c r="J323" s="235"/>
      <c r="K323" s="235"/>
      <c r="L323" s="235"/>
      <c r="M323" s="235"/>
      <c r="N323" s="235"/>
      <c r="O323" s="235"/>
    </row>
    <row r="324" spans="1:15" ht="13.8">
      <c r="A324" s="235"/>
      <c r="B324" s="235"/>
      <c r="C324" s="235"/>
      <c r="D324" s="234"/>
      <c r="E324" s="234"/>
      <c r="F324" s="234"/>
      <c r="G324" s="234"/>
      <c r="H324" s="235"/>
      <c r="I324" s="235"/>
      <c r="J324" s="235"/>
      <c r="K324" s="235"/>
      <c r="L324" s="235"/>
      <c r="M324" s="235"/>
      <c r="N324" s="235"/>
      <c r="O324" s="235"/>
    </row>
    <row r="325" spans="1:15" ht="13.8">
      <c r="A325" s="235"/>
      <c r="B325" s="235"/>
      <c r="C325" s="235"/>
      <c r="D325" s="234"/>
      <c r="E325" s="234"/>
      <c r="F325" s="234"/>
      <c r="G325" s="234"/>
      <c r="H325" s="235"/>
      <c r="I325" s="235"/>
      <c r="J325" s="235"/>
      <c r="K325" s="235"/>
      <c r="L325" s="235"/>
      <c r="M325" s="235"/>
      <c r="N325" s="235"/>
      <c r="O325" s="235"/>
    </row>
    <row r="326" spans="1:15" ht="13.8">
      <c r="A326" s="235"/>
      <c r="B326" s="235"/>
      <c r="C326" s="235"/>
      <c r="D326" s="234"/>
      <c r="E326" s="234"/>
      <c r="F326" s="234"/>
      <c r="G326" s="234"/>
      <c r="H326" s="235"/>
      <c r="I326" s="235"/>
      <c r="J326" s="235"/>
      <c r="K326" s="235"/>
      <c r="L326" s="235"/>
      <c r="M326" s="235"/>
      <c r="N326" s="235"/>
      <c r="O326" s="235"/>
    </row>
    <row r="327" spans="1:15" ht="13.8">
      <c r="A327" s="235"/>
      <c r="B327" s="235"/>
      <c r="C327" s="235"/>
      <c r="D327" s="234"/>
      <c r="E327" s="234"/>
      <c r="F327" s="234"/>
      <c r="G327" s="234"/>
      <c r="H327" s="235"/>
      <c r="I327" s="235"/>
      <c r="J327" s="235"/>
      <c r="K327" s="235"/>
      <c r="L327" s="235"/>
      <c r="M327" s="235"/>
      <c r="N327" s="235"/>
      <c r="O327" s="235"/>
    </row>
    <row r="328" spans="1:15" ht="13.8">
      <c r="A328" s="235"/>
      <c r="B328" s="235"/>
      <c r="C328" s="235"/>
      <c r="D328" s="234"/>
      <c r="E328" s="234"/>
      <c r="F328" s="234"/>
      <c r="G328" s="234"/>
      <c r="H328" s="235"/>
      <c r="I328" s="235"/>
      <c r="J328" s="235"/>
      <c r="K328" s="235"/>
      <c r="L328" s="235"/>
      <c r="M328" s="235"/>
      <c r="N328" s="235"/>
      <c r="O328" s="235"/>
    </row>
    <row r="329" spans="1:15" ht="13.8">
      <c r="A329" s="235"/>
      <c r="B329" s="235"/>
      <c r="C329" s="235"/>
      <c r="D329" s="234"/>
      <c r="E329" s="234"/>
      <c r="F329" s="234"/>
      <c r="G329" s="234"/>
      <c r="H329" s="235"/>
      <c r="I329" s="235"/>
      <c r="J329" s="235"/>
      <c r="K329" s="235"/>
      <c r="L329" s="235"/>
      <c r="M329" s="235"/>
      <c r="N329" s="235"/>
      <c r="O329" s="235"/>
    </row>
    <row r="330" spans="1:15" ht="13.8">
      <c r="A330" s="235"/>
      <c r="B330" s="235"/>
      <c r="C330" s="235"/>
      <c r="D330" s="234"/>
      <c r="E330" s="234"/>
      <c r="F330" s="234"/>
      <c r="G330" s="234"/>
      <c r="H330" s="235"/>
      <c r="I330" s="235"/>
      <c r="J330" s="235"/>
      <c r="K330" s="235"/>
      <c r="L330" s="235"/>
      <c r="M330" s="235"/>
      <c r="N330" s="235"/>
      <c r="O330" s="235"/>
    </row>
    <row r="331" spans="1:15" ht="13.8">
      <c r="A331" s="235"/>
      <c r="B331" s="235"/>
      <c r="C331" s="235"/>
      <c r="D331" s="234"/>
      <c r="E331" s="234"/>
      <c r="F331" s="234"/>
      <c r="G331" s="234"/>
      <c r="H331" s="235"/>
      <c r="I331" s="235"/>
      <c r="J331" s="235"/>
      <c r="K331" s="235"/>
      <c r="L331" s="235"/>
      <c r="M331" s="235"/>
      <c r="N331" s="235"/>
      <c r="O331" s="235"/>
    </row>
    <row r="332" spans="1:15" ht="13.8">
      <c r="A332" s="235"/>
      <c r="B332" s="235"/>
      <c r="C332" s="235"/>
      <c r="D332" s="234"/>
      <c r="E332" s="234"/>
      <c r="F332" s="234"/>
      <c r="G332" s="234"/>
      <c r="H332" s="235"/>
      <c r="I332" s="235"/>
      <c r="J332" s="235"/>
      <c r="K332" s="235"/>
      <c r="L332" s="235"/>
      <c r="M332" s="235"/>
      <c r="N332" s="235"/>
      <c r="O332" s="235"/>
    </row>
    <row r="333" spans="1:15" ht="13.8">
      <c r="A333" s="235"/>
      <c r="B333" s="235"/>
      <c r="C333" s="235"/>
      <c r="D333" s="234"/>
      <c r="E333" s="234"/>
      <c r="F333" s="234"/>
      <c r="G333" s="234"/>
      <c r="H333" s="235"/>
      <c r="I333" s="235"/>
      <c r="J333" s="235"/>
      <c r="K333" s="235"/>
      <c r="L333" s="235"/>
      <c r="M333" s="235"/>
      <c r="N333" s="235"/>
      <c r="O333" s="235"/>
    </row>
    <row r="334" spans="1:15" ht="13.8">
      <c r="A334" s="235"/>
      <c r="B334" s="235"/>
      <c r="C334" s="235"/>
      <c r="D334" s="234"/>
      <c r="E334" s="234"/>
      <c r="F334" s="234"/>
      <c r="G334" s="234"/>
      <c r="H334" s="235"/>
      <c r="I334" s="235"/>
      <c r="J334" s="235"/>
      <c r="K334" s="235"/>
      <c r="L334" s="235"/>
      <c r="M334" s="235"/>
      <c r="N334" s="235"/>
      <c r="O334" s="235"/>
    </row>
    <row r="335" spans="1:15" ht="13.8">
      <c r="A335" s="235"/>
      <c r="B335" s="235"/>
      <c r="C335" s="235"/>
      <c r="D335" s="234"/>
      <c r="E335" s="234"/>
      <c r="F335" s="234"/>
      <c r="G335" s="234"/>
      <c r="H335" s="235"/>
      <c r="I335" s="235"/>
      <c r="J335" s="235"/>
      <c r="K335" s="235"/>
      <c r="L335" s="235"/>
      <c r="M335" s="235"/>
      <c r="N335" s="235"/>
      <c r="O335" s="235"/>
    </row>
    <row r="336" spans="1:15" ht="13.8">
      <c r="A336" s="235"/>
      <c r="B336" s="235"/>
      <c r="C336" s="235"/>
      <c r="D336" s="234"/>
      <c r="E336" s="234"/>
      <c r="F336" s="234"/>
      <c r="G336" s="234"/>
      <c r="H336" s="235"/>
      <c r="I336" s="235"/>
      <c r="J336" s="235"/>
      <c r="K336" s="235"/>
      <c r="L336" s="235"/>
      <c r="M336" s="235"/>
      <c r="N336" s="235"/>
      <c r="O336" s="235"/>
    </row>
    <row r="337" spans="1:15" ht="13.8">
      <c r="A337" s="235"/>
      <c r="B337" s="235"/>
      <c r="C337" s="235"/>
      <c r="D337" s="234"/>
      <c r="E337" s="234"/>
      <c r="F337" s="234"/>
      <c r="G337" s="234"/>
      <c r="H337" s="235"/>
      <c r="I337" s="235"/>
      <c r="J337" s="235"/>
      <c r="K337" s="235"/>
      <c r="L337" s="235"/>
      <c r="M337" s="235"/>
      <c r="N337" s="235"/>
      <c r="O337" s="235"/>
    </row>
    <row r="338" spans="1:15" ht="13.8">
      <c r="A338" s="235"/>
      <c r="B338" s="235"/>
      <c r="C338" s="235"/>
      <c r="D338" s="234"/>
      <c r="E338" s="234"/>
      <c r="F338" s="234"/>
      <c r="G338" s="234"/>
      <c r="H338" s="235"/>
      <c r="I338" s="235"/>
      <c r="J338" s="235"/>
      <c r="K338" s="235"/>
      <c r="L338" s="235"/>
      <c r="M338" s="235"/>
      <c r="N338" s="235"/>
      <c r="O338" s="235"/>
    </row>
    <row r="339" spans="1:15" ht="13.8">
      <c r="A339" s="235"/>
      <c r="B339" s="235"/>
      <c r="C339" s="235"/>
      <c r="D339" s="234"/>
      <c r="E339" s="234"/>
      <c r="F339" s="234"/>
      <c r="G339" s="234"/>
      <c r="H339" s="235"/>
      <c r="I339" s="235"/>
      <c r="J339" s="235"/>
      <c r="K339" s="235"/>
      <c r="L339" s="235"/>
      <c r="M339" s="235"/>
      <c r="N339" s="235"/>
      <c r="O339" s="235"/>
    </row>
    <row r="340" spans="1:15" ht="13.8">
      <c r="A340" s="235"/>
      <c r="B340" s="235"/>
      <c r="C340" s="235"/>
      <c r="D340" s="234"/>
      <c r="E340" s="234"/>
      <c r="F340" s="234"/>
      <c r="G340" s="234"/>
      <c r="H340" s="235"/>
      <c r="I340" s="235"/>
      <c r="J340" s="235"/>
      <c r="K340" s="235"/>
      <c r="L340" s="235"/>
      <c r="M340" s="235"/>
      <c r="N340" s="235"/>
      <c r="O340" s="235"/>
    </row>
    <row r="341" spans="1:15" ht="13.8">
      <c r="A341" s="235"/>
      <c r="B341" s="235"/>
      <c r="C341" s="235"/>
      <c r="D341" s="234"/>
      <c r="E341" s="234"/>
      <c r="F341" s="234"/>
      <c r="G341" s="234"/>
      <c r="H341" s="235"/>
      <c r="I341" s="235"/>
      <c r="J341" s="235"/>
      <c r="K341" s="235"/>
      <c r="L341" s="235"/>
      <c r="M341" s="235"/>
      <c r="N341" s="235"/>
      <c r="O341" s="235"/>
    </row>
    <row r="342" spans="1:15" ht="13.8">
      <c r="A342" s="235"/>
      <c r="B342" s="235"/>
      <c r="C342" s="235"/>
      <c r="D342" s="234"/>
      <c r="E342" s="234"/>
      <c r="F342" s="234"/>
      <c r="G342" s="234"/>
      <c r="H342" s="235"/>
      <c r="I342" s="235"/>
      <c r="J342" s="235"/>
      <c r="K342" s="235"/>
      <c r="L342" s="235"/>
      <c r="M342" s="235"/>
      <c r="N342" s="235"/>
      <c r="O342" s="235"/>
    </row>
    <row r="343" spans="1:15" ht="13.8">
      <c r="A343" s="235"/>
      <c r="B343" s="235"/>
      <c r="C343" s="235"/>
      <c r="D343" s="234"/>
      <c r="E343" s="234"/>
      <c r="F343" s="234"/>
      <c r="G343" s="234"/>
      <c r="H343" s="235"/>
      <c r="I343" s="235"/>
      <c r="J343" s="235"/>
      <c r="K343" s="235"/>
      <c r="L343" s="235"/>
      <c r="M343" s="235"/>
      <c r="N343" s="235"/>
      <c r="O343" s="235"/>
    </row>
    <row r="344" spans="1:15" ht="13.8">
      <c r="A344" s="235"/>
      <c r="B344" s="235"/>
      <c r="C344" s="235"/>
      <c r="D344" s="234"/>
      <c r="E344" s="234"/>
      <c r="F344" s="234"/>
      <c r="G344" s="234"/>
      <c r="H344" s="235"/>
      <c r="I344" s="235"/>
      <c r="J344" s="235"/>
      <c r="K344" s="235"/>
      <c r="L344" s="235"/>
      <c r="M344" s="235"/>
      <c r="N344" s="235"/>
      <c r="O344" s="235"/>
    </row>
    <row r="345" spans="1:15" ht="13.8">
      <c r="A345" s="235"/>
      <c r="B345" s="235"/>
      <c r="C345" s="235"/>
      <c r="D345" s="234"/>
      <c r="E345" s="234"/>
      <c r="F345" s="234"/>
      <c r="G345" s="234"/>
      <c r="H345" s="235"/>
      <c r="I345" s="235"/>
      <c r="J345" s="235"/>
      <c r="K345" s="235"/>
      <c r="L345" s="235"/>
      <c r="M345" s="235"/>
      <c r="N345" s="235"/>
      <c r="O345" s="235"/>
    </row>
    <row r="346" spans="1:15" ht="13.8">
      <c r="A346" s="235"/>
      <c r="B346" s="235"/>
      <c r="C346" s="235"/>
      <c r="D346" s="234"/>
      <c r="E346" s="234"/>
      <c r="F346" s="234"/>
      <c r="G346" s="234"/>
      <c r="H346" s="235"/>
      <c r="I346" s="235"/>
      <c r="J346" s="235"/>
      <c r="K346" s="235"/>
      <c r="L346" s="235"/>
      <c r="M346" s="235"/>
      <c r="N346" s="235"/>
      <c r="O346" s="235"/>
    </row>
    <row r="347" spans="1:15" ht="13.8">
      <c r="A347" s="235"/>
      <c r="B347" s="235"/>
      <c r="C347" s="235"/>
      <c r="D347" s="234"/>
      <c r="E347" s="234"/>
      <c r="F347" s="234"/>
      <c r="G347" s="234"/>
      <c r="H347" s="235"/>
      <c r="I347" s="235"/>
      <c r="J347" s="235"/>
      <c r="K347" s="235"/>
      <c r="L347" s="235"/>
      <c r="M347" s="235"/>
      <c r="N347" s="235"/>
      <c r="O347" s="235"/>
    </row>
    <row r="348" spans="1:15" ht="13.8">
      <c r="A348" s="235"/>
      <c r="B348" s="235"/>
      <c r="C348" s="235"/>
      <c r="D348" s="234"/>
      <c r="E348" s="234"/>
      <c r="F348" s="234"/>
      <c r="G348" s="234"/>
      <c r="H348" s="235"/>
      <c r="I348" s="235"/>
      <c r="J348" s="235"/>
      <c r="K348" s="235"/>
      <c r="L348" s="235"/>
      <c r="M348" s="235"/>
      <c r="N348" s="235"/>
      <c r="O348" s="235"/>
    </row>
    <row r="349" spans="1:15" ht="13.8">
      <c r="A349" s="235"/>
      <c r="B349" s="235"/>
      <c r="C349" s="235"/>
      <c r="D349" s="234"/>
      <c r="E349" s="234"/>
      <c r="F349" s="234"/>
      <c r="G349" s="234"/>
      <c r="H349" s="235"/>
      <c r="I349" s="235"/>
      <c r="J349" s="235"/>
      <c r="K349" s="235"/>
      <c r="L349" s="235"/>
      <c r="M349" s="235"/>
      <c r="N349" s="235"/>
      <c r="O349" s="235"/>
    </row>
    <row r="350" spans="1:15" ht="13.8">
      <c r="A350" s="235"/>
      <c r="B350" s="235"/>
      <c r="C350" s="235"/>
      <c r="D350" s="234"/>
      <c r="E350" s="234"/>
      <c r="F350" s="234"/>
      <c r="G350" s="234"/>
      <c r="H350" s="235"/>
      <c r="I350" s="235"/>
      <c r="J350" s="235"/>
      <c r="K350" s="235"/>
      <c r="L350" s="235"/>
      <c r="M350" s="235"/>
      <c r="N350" s="235"/>
      <c r="O350" s="235"/>
    </row>
    <row r="351" spans="1:15" ht="13.8">
      <c r="A351" s="235"/>
      <c r="B351" s="235"/>
      <c r="C351" s="235"/>
      <c r="D351" s="234"/>
      <c r="E351" s="234"/>
      <c r="F351" s="234"/>
      <c r="G351" s="234"/>
      <c r="H351" s="235"/>
      <c r="I351" s="235"/>
      <c r="J351" s="235"/>
      <c r="K351" s="235"/>
      <c r="L351" s="235"/>
      <c r="M351" s="235"/>
      <c r="N351" s="235"/>
      <c r="O351" s="235"/>
    </row>
    <row r="352" spans="1:15" ht="13.8">
      <c r="A352" s="235"/>
      <c r="B352" s="235"/>
      <c r="C352" s="235"/>
      <c r="D352" s="234"/>
      <c r="E352" s="234"/>
      <c r="F352" s="234"/>
      <c r="G352" s="234"/>
      <c r="H352" s="235"/>
      <c r="I352" s="235"/>
      <c r="J352" s="235"/>
      <c r="K352" s="235"/>
      <c r="L352" s="235"/>
      <c r="M352" s="235"/>
      <c r="N352" s="235"/>
      <c r="O352" s="235"/>
    </row>
    <row r="353" spans="1:15" ht="13.8">
      <c r="A353" s="235"/>
      <c r="B353" s="235"/>
      <c r="C353" s="235"/>
      <c r="D353" s="234"/>
      <c r="E353" s="234"/>
      <c r="F353" s="234"/>
      <c r="G353" s="234"/>
      <c r="H353" s="235"/>
      <c r="I353" s="235"/>
      <c r="J353" s="235"/>
      <c r="K353" s="235"/>
      <c r="L353" s="235"/>
      <c r="M353" s="235"/>
      <c r="N353" s="235"/>
      <c r="O353" s="235"/>
    </row>
    <row r="354" spans="1:15" ht="13.8">
      <c r="A354" s="235"/>
      <c r="B354" s="235"/>
      <c r="C354" s="235"/>
      <c r="D354" s="234"/>
      <c r="E354" s="234"/>
      <c r="F354" s="234"/>
      <c r="G354" s="234"/>
      <c r="H354" s="235"/>
      <c r="I354" s="235"/>
      <c r="J354" s="235"/>
      <c r="K354" s="235"/>
      <c r="L354" s="235"/>
      <c r="M354" s="235"/>
      <c r="N354" s="235"/>
      <c r="O354" s="235"/>
    </row>
    <row r="355" spans="1:15" ht="13.8">
      <c r="A355" s="235"/>
      <c r="B355" s="235"/>
      <c r="C355" s="235"/>
      <c r="D355" s="234"/>
      <c r="E355" s="234"/>
      <c r="F355" s="234"/>
      <c r="G355" s="234"/>
      <c r="H355" s="235"/>
      <c r="I355" s="235"/>
      <c r="J355" s="235"/>
      <c r="K355" s="235"/>
      <c r="L355" s="235"/>
      <c r="M355" s="235"/>
      <c r="N355" s="235"/>
      <c r="O355" s="235"/>
    </row>
    <row r="356" spans="1:15" ht="13.8">
      <c r="A356" s="235"/>
      <c r="B356" s="235"/>
      <c r="C356" s="235"/>
      <c r="D356" s="234"/>
      <c r="E356" s="234"/>
      <c r="F356" s="234"/>
      <c r="G356" s="234"/>
      <c r="H356" s="235"/>
      <c r="I356" s="235"/>
      <c r="J356" s="235"/>
      <c r="K356" s="235"/>
      <c r="L356" s="235"/>
      <c r="M356" s="235"/>
      <c r="N356" s="235"/>
      <c r="O356" s="235"/>
    </row>
    <row r="357" spans="1:15" ht="13.8">
      <c r="A357" s="235"/>
      <c r="B357" s="235"/>
      <c r="C357" s="235"/>
      <c r="D357" s="234"/>
      <c r="E357" s="234"/>
      <c r="F357" s="234"/>
      <c r="G357" s="234"/>
      <c r="H357" s="235"/>
      <c r="I357" s="235"/>
      <c r="J357" s="235"/>
      <c r="K357" s="235"/>
      <c r="L357" s="235"/>
      <c r="M357" s="235"/>
      <c r="N357" s="235"/>
      <c r="O357" s="235"/>
    </row>
    <row r="358" spans="1:15" ht="13.8">
      <c r="A358" s="235"/>
      <c r="B358" s="235"/>
      <c r="C358" s="235"/>
      <c r="D358" s="234"/>
      <c r="E358" s="234"/>
      <c r="F358" s="234"/>
      <c r="G358" s="234"/>
      <c r="H358" s="235"/>
      <c r="I358" s="235"/>
      <c r="J358" s="235"/>
      <c r="K358" s="235"/>
      <c r="L358" s="235"/>
      <c r="M358" s="235"/>
      <c r="N358" s="235"/>
      <c r="O358" s="235"/>
    </row>
    <row r="359" spans="1:15" ht="13.8">
      <c r="A359" s="235"/>
      <c r="B359" s="235"/>
      <c r="C359" s="235"/>
      <c r="D359" s="234"/>
      <c r="E359" s="234"/>
      <c r="F359" s="234"/>
      <c r="G359" s="234"/>
      <c r="H359" s="235"/>
      <c r="I359" s="235"/>
      <c r="J359" s="235"/>
      <c r="K359" s="235"/>
      <c r="L359" s="235"/>
      <c r="M359" s="235"/>
      <c r="N359" s="235"/>
      <c r="O359" s="235"/>
    </row>
    <row r="360" spans="1:15" ht="13.8">
      <c r="A360" s="235"/>
      <c r="B360" s="235"/>
      <c r="C360" s="235"/>
      <c r="D360" s="234"/>
      <c r="E360" s="234"/>
      <c r="F360" s="234"/>
      <c r="G360" s="234"/>
      <c r="H360" s="235"/>
      <c r="I360" s="235"/>
      <c r="J360" s="235"/>
      <c r="K360" s="235"/>
      <c r="L360" s="235"/>
      <c r="M360" s="235"/>
      <c r="N360" s="235"/>
      <c r="O360" s="235"/>
    </row>
    <row r="361" spans="1:15" ht="13.8">
      <c r="A361" s="235"/>
      <c r="B361" s="235"/>
      <c r="C361" s="235"/>
      <c r="D361" s="234"/>
      <c r="E361" s="234"/>
      <c r="F361" s="234"/>
      <c r="G361" s="234"/>
      <c r="H361" s="235"/>
      <c r="I361" s="235"/>
      <c r="J361" s="235"/>
      <c r="K361" s="235"/>
      <c r="L361" s="235"/>
      <c r="M361" s="235"/>
      <c r="N361" s="235"/>
      <c r="O361" s="235"/>
    </row>
    <row r="362" spans="1:15" ht="13.8">
      <c r="A362" s="235"/>
      <c r="B362" s="235"/>
      <c r="C362" s="235"/>
      <c r="D362" s="234"/>
      <c r="E362" s="234"/>
      <c r="F362" s="234"/>
      <c r="G362" s="234"/>
      <c r="H362" s="235"/>
      <c r="I362" s="235"/>
      <c r="J362" s="235"/>
      <c r="K362" s="235"/>
      <c r="L362" s="235"/>
      <c r="M362" s="235"/>
      <c r="N362" s="235"/>
      <c r="O362" s="235"/>
    </row>
    <row r="363" spans="1:15" ht="13.8">
      <c r="A363" s="235"/>
      <c r="B363" s="235"/>
      <c r="C363" s="235"/>
      <c r="D363" s="234"/>
      <c r="E363" s="234"/>
      <c r="F363" s="234"/>
      <c r="G363" s="234"/>
      <c r="H363" s="235"/>
      <c r="I363" s="235"/>
      <c r="J363" s="235"/>
      <c r="K363" s="235"/>
      <c r="L363" s="235"/>
      <c r="M363" s="235"/>
      <c r="N363" s="235"/>
      <c r="O363" s="235"/>
    </row>
    <row r="364" spans="1:15" ht="13.8">
      <c r="A364" s="235"/>
      <c r="B364" s="235"/>
      <c r="C364" s="235"/>
      <c r="D364" s="234"/>
      <c r="E364" s="234"/>
      <c r="F364" s="234"/>
      <c r="G364" s="234"/>
      <c r="H364" s="235"/>
      <c r="I364" s="235"/>
      <c r="J364" s="235"/>
      <c r="K364" s="235"/>
      <c r="L364" s="235"/>
      <c r="M364" s="235"/>
      <c r="N364" s="235"/>
      <c r="O364" s="235"/>
    </row>
    <row r="365" spans="1:15" ht="13.8">
      <c r="A365" s="235"/>
      <c r="B365" s="235"/>
      <c r="C365" s="235"/>
      <c r="D365" s="234"/>
      <c r="E365" s="234"/>
      <c r="F365" s="234"/>
      <c r="G365" s="234"/>
      <c r="H365" s="235"/>
      <c r="I365" s="235"/>
      <c r="J365" s="235"/>
      <c r="K365" s="235"/>
      <c r="L365" s="235"/>
      <c r="M365" s="235"/>
      <c r="N365" s="235"/>
      <c r="O365" s="235"/>
    </row>
    <row r="366" spans="1:15" ht="13.8">
      <c r="A366" s="235"/>
      <c r="B366" s="235"/>
      <c r="C366" s="235"/>
      <c r="D366" s="234"/>
      <c r="E366" s="234"/>
      <c r="F366" s="234"/>
      <c r="G366" s="234"/>
      <c r="H366" s="235"/>
      <c r="I366" s="235"/>
      <c r="J366" s="235"/>
      <c r="K366" s="235"/>
      <c r="L366" s="235"/>
      <c r="M366" s="235"/>
      <c r="N366" s="235"/>
      <c r="O366" s="235"/>
    </row>
    <row r="367" spans="1:15" ht="13.8">
      <c r="A367" s="235"/>
      <c r="B367" s="235"/>
      <c r="C367" s="235"/>
      <c r="D367" s="234"/>
      <c r="E367" s="234"/>
      <c r="F367" s="234"/>
      <c r="G367" s="234"/>
      <c r="H367" s="235"/>
      <c r="I367" s="235"/>
      <c r="J367" s="235"/>
      <c r="K367" s="235"/>
      <c r="L367" s="235"/>
      <c r="M367" s="235"/>
      <c r="N367" s="235"/>
      <c r="O367" s="235"/>
    </row>
    <row r="368" spans="1:15" ht="13.8">
      <c r="A368" s="235"/>
      <c r="B368" s="235"/>
      <c r="C368" s="235"/>
      <c r="D368" s="234"/>
      <c r="E368" s="234"/>
      <c r="F368" s="234"/>
      <c r="G368" s="234"/>
      <c r="H368" s="235"/>
      <c r="I368" s="235"/>
      <c r="J368" s="235"/>
      <c r="K368" s="235"/>
      <c r="L368" s="235"/>
      <c r="M368" s="235"/>
      <c r="N368" s="235"/>
      <c r="O368" s="235"/>
    </row>
    <row r="369" spans="1:15" ht="13.8">
      <c r="A369" s="235"/>
      <c r="B369" s="235"/>
      <c r="C369" s="235"/>
      <c r="D369" s="234"/>
      <c r="E369" s="234"/>
      <c r="F369" s="234"/>
      <c r="G369" s="234"/>
      <c r="H369" s="235"/>
      <c r="I369" s="235"/>
      <c r="J369" s="235"/>
      <c r="K369" s="235"/>
      <c r="L369" s="235"/>
      <c r="M369" s="235"/>
      <c r="N369" s="235"/>
      <c r="O369" s="235"/>
    </row>
    <row r="370" spans="1:15" ht="13.8">
      <c r="A370" s="235"/>
      <c r="B370" s="235"/>
      <c r="C370" s="235"/>
      <c r="D370" s="234"/>
      <c r="E370" s="234"/>
      <c r="F370" s="234"/>
      <c r="G370" s="234"/>
      <c r="H370" s="235"/>
      <c r="I370" s="235"/>
      <c r="J370" s="235"/>
      <c r="K370" s="235"/>
      <c r="L370" s="235"/>
      <c r="M370" s="235"/>
      <c r="N370" s="235"/>
      <c r="O370" s="235"/>
    </row>
    <row r="371" spans="1:15" ht="13.8">
      <c r="A371" s="235"/>
      <c r="B371" s="235"/>
      <c r="C371" s="235"/>
      <c r="D371" s="234"/>
      <c r="E371" s="234"/>
      <c r="F371" s="234"/>
      <c r="G371" s="234"/>
      <c r="H371" s="235"/>
      <c r="I371" s="235"/>
      <c r="J371" s="235"/>
      <c r="K371" s="235"/>
      <c r="L371" s="235"/>
      <c r="M371" s="235"/>
      <c r="N371" s="235"/>
      <c r="O371" s="235"/>
    </row>
    <row r="372" spans="1:15" ht="13.8">
      <c r="A372" s="235"/>
      <c r="B372" s="235"/>
      <c r="C372" s="235"/>
      <c r="D372" s="234"/>
      <c r="E372" s="234"/>
      <c r="F372" s="234"/>
      <c r="G372" s="234"/>
      <c r="H372" s="235"/>
      <c r="I372" s="235"/>
      <c r="J372" s="235"/>
      <c r="K372" s="235"/>
      <c r="L372" s="235"/>
      <c r="M372" s="235"/>
      <c r="N372" s="235"/>
      <c r="O372" s="235"/>
    </row>
    <row r="373" spans="1:15" ht="13.8">
      <c r="A373" s="235"/>
      <c r="B373" s="235"/>
      <c r="C373" s="235"/>
      <c r="D373" s="234"/>
      <c r="E373" s="234"/>
      <c r="F373" s="234"/>
      <c r="G373" s="234"/>
      <c r="H373" s="235"/>
      <c r="I373" s="235"/>
      <c r="J373" s="235"/>
      <c r="K373" s="235"/>
      <c r="L373" s="235"/>
      <c r="M373" s="235"/>
      <c r="N373" s="235"/>
      <c r="O373" s="235"/>
    </row>
    <row r="374" spans="1:15" ht="13.8">
      <c r="A374" s="235"/>
      <c r="B374" s="235"/>
      <c r="C374" s="235"/>
      <c r="D374" s="234"/>
      <c r="E374" s="234"/>
      <c r="F374" s="234"/>
      <c r="G374" s="234"/>
      <c r="H374" s="235"/>
      <c r="I374" s="235"/>
      <c r="J374" s="235"/>
      <c r="K374" s="235"/>
      <c r="L374" s="235"/>
      <c r="M374" s="235"/>
      <c r="N374" s="235"/>
      <c r="O374" s="235"/>
    </row>
    <row r="375" spans="1:15" ht="13.8">
      <c r="A375" s="235"/>
      <c r="B375" s="235"/>
      <c r="C375" s="235"/>
      <c r="D375" s="234"/>
      <c r="E375" s="234"/>
      <c r="F375" s="234"/>
      <c r="G375" s="234"/>
      <c r="H375" s="235"/>
      <c r="I375" s="235"/>
      <c r="J375" s="235"/>
      <c r="K375" s="235"/>
      <c r="L375" s="235"/>
      <c r="M375" s="235"/>
      <c r="N375" s="235"/>
      <c r="O375" s="235"/>
    </row>
    <row r="376" spans="1:15" ht="13.8">
      <c r="A376" s="235"/>
      <c r="B376" s="235"/>
      <c r="C376" s="235"/>
      <c r="D376" s="234"/>
      <c r="E376" s="234"/>
      <c r="F376" s="234"/>
      <c r="G376" s="234"/>
      <c r="H376" s="235"/>
      <c r="I376" s="235"/>
      <c r="J376" s="235"/>
      <c r="K376" s="235"/>
      <c r="L376" s="235"/>
      <c r="M376" s="235"/>
      <c r="N376" s="235"/>
      <c r="O376" s="235"/>
    </row>
    <row r="377" spans="1:15" ht="13.8">
      <c r="A377" s="235"/>
      <c r="B377" s="235"/>
      <c r="C377" s="235"/>
      <c r="D377" s="234"/>
      <c r="E377" s="234"/>
      <c r="F377" s="234"/>
      <c r="G377" s="234"/>
      <c r="H377" s="235"/>
      <c r="I377" s="235"/>
      <c r="J377" s="235"/>
      <c r="K377" s="235"/>
      <c r="L377" s="235"/>
      <c r="M377" s="235"/>
      <c r="N377" s="235"/>
      <c r="O377" s="235"/>
    </row>
    <row r="378" spans="1:15" ht="13.8">
      <c r="A378" s="235"/>
      <c r="B378" s="235"/>
      <c r="C378" s="235"/>
      <c r="D378" s="234"/>
      <c r="E378" s="234"/>
      <c r="F378" s="234"/>
      <c r="G378" s="234"/>
      <c r="H378" s="235"/>
      <c r="I378" s="235"/>
      <c r="J378" s="235"/>
      <c r="K378" s="235"/>
      <c r="L378" s="235"/>
      <c r="M378" s="235"/>
      <c r="N378" s="235"/>
      <c r="O378" s="235"/>
    </row>
    <row r="379" spans="1:15" ht="13.8">
      <c r="A379" s="235"/>
      <c r="B379" s="235"/>
      <c r="C379" s="235"/>
      <c r="D379" s="234"/>
      <c r="E379" s="234"/>
      <c r="F379" s="234"/>
      <c r="G379" s="234"/>
      <c r="H379" s="235"/>
      <c r="I379" s="235"/>
      <c r="J379" s="235"/>
      <c r="K379" s="235"/>
      <c r="L379" s="235"/>
      <c r="M379" s="235"/>
      <c r="N379" s="235"/>
      <c r="O379" s="235"/>
    </row>
    <row r="380" spans="1:15" ht="13.8">
      <c r="A380" s="235"/>
      <c r="B380" s="235"/>
      <c r="C380" s="235"/>
      <c r="D380" s="234"/>
      <c r="E380" s="234"/>
      <c r="F380" s="234"/>
      <c r="G380" s="234"/>
      <c r="H380" s="235"/>
      <c r="I380" s="235"/>
      <c r="J380" s="235"/>
      <c r="K380" s="235"/>
      <c r="L380" s="235"/>
      <c r="M380" s="235"/>
      <c r="N380" s="235"/>
      <c r="O380" s="235"/>
    </row>
    <row r="381" spans="1:15" ht="13.8">
      <c r="A381" s="235"/>
      <c r="B381" s="235"/>
      <c r="C381" s="235"/>
      <c r="D381" s="234"/>
      <c r="E381" s="234"/>
      <c r="F381" s="234"/>
      <c r="G381" s="234"/>
      <c r="H381" s="235"/>
      <c r="I381" s="235"/>
      <c r="J381" s="235"/>
      <c r="K381" s="235"/>
      <c r="L381" s="235"/>
      <c r="M381" s="235"/>
      <c r="N381" s="235"/>
      <c r="O381" s="235"/>
    </row>
    <row r="382" spans="1:15" ht="13.8">
      <c r="A382" s="235"/>
      <c r="B382" s="235"/>
      <c r="C382" s="235"/>
      <c r="D382" s="234"/>
      <c r="E382" s="234"/>
      <c r="F382" s="234"/>
      <c r="G382" s="234"/>
      <c r="H382" s="235"/>
      <c r="I382" s="235"/>
      <c r="J382" s="235"/>
      <c r="K382" s="235"/>
      <c r="L382" s="235"/>
      <c r="M382" s="235"/>
      <c r="N382" s="235"/>
      <c r="O382" s="235"/>
    </row>
    <row r="383" spans="1:15" ht="13.8">
      <c r="A383" s="235"/>
      <c r="B383" s="235"/>
      <c r="C383" s="235"/>
      <c r="D383" s="234"/>
      <c r="E383" s="234"/>
      <c r="F383" s="234"/>
      <c r="G383" s="234"/>
      <c r="H383" s="235"/>
      <c r="I383" s="235"/>
      <c r="J383" s="235"/>
      <c r="K383" s="235"/>
      <c r="L383" s="235"/>
      <c r="M383" s="235"/>
      <c r="N383" s="235"/>
      <c r="O383" s="235"/>
    </row>
    <row r="384" spans="1:15" ht="13.8">
      <c r="A384" s="235"/>
      <c r="B384" s="235"/>
      <c r="C384" s="235"/>
      <c r="D384" s="234"/>
      <c r="E384" s="234"/>
      <c r="F384" s="234"/>
      <c r="G384" s="234"/>
      <c r="H384" s="235"/>
      <c r="I384" s="235"/>
      <c r="J384" s="235"/>
      <c r="K384" s="235"/>
      <c r="L384" s="235"/>
      <c r="M384" s="235"/>
      <c r="N384" s="235"/>
      <c r="O384" s="235"/>
    </row>
    <row r="385" spans="1:15" ht="13.8">
      <c r="A385" s="235"/>
      <c r="B385" s="235"/>
      <c r="C385" s="235"/>
      <c r="D385" s="234"/>
      <c r="E385" s="234"/>
      <c r="F385" s="234"/>
      <c r="G385" s="234"/>
      <c r="H385" s="235"/>
      <c r="I385" s="235"/>
      <c r="J385" s="235"/>
      <c r="K385" s="235"/>
      <c r="L385" s="235"/>
      <c r="M385" s="235"/>
      <c r="N385" s="235"/>
      <c r="O385" s="235"/>
    </row>
    <row r="386" spans="1:15" ht="13.8">
      <c r="A386" s="235"/>
      <c r="B386" s="235"/>
      <c r="C386" s="235"/>
      <c r="D386" s="234"/>
      <c r="E386" s="234"/>
      <c r="F386" s="234"/>
      <c r="G386" s="234"/>
      <c r="H386" s="235"/>
      <c r="I386" s="235"/>
      <c r="J386" s="235"/>
      <c r="K386" s="235"/>
      <c r="L386" s="235"/>
      <c r="M386" s="235"/>
      <c r="N386" s="235"/>
      <c r="O386" s="235"/>
    </row>
    <row r="387" spans="1:15" ht="13.8">
      <c r="A387" s="235"/>
      <c r="B387" s="235"/>
      <c r="C387" s="235"/>
      <c r="D387" s="234"/>
      <c r="E387" s="234"/>
      <c r="F387" s="234"/>
      <c r="G387" s="234"/>
      <c r="H387" s="235"/>
      <c r="I387" s="235"/>
      <c r="J387" s="235"/>
      <c r="K387" s="235"/>
      <c r="L387" s="235"/>
      <c r="M387" s="235"/>
      <c r="N387" s="235"/>
      <c r="O387" s="235"/>
    </row>
    <row r="388" spans="1:15" ht="13.8">
      <c r="A388" s="235"/>
      <c r="B388" s="235"/>
      <c r="C388" s="235"/>
      <c r="D388" s="234"/>
      <c r="E388" s="234"/>
      <c r="F388" s="234"/>
      <c r="G388" s="234"/>
      <c r="H388" s="235"/>
      <c r="I388" s="235"/>
      <c r="J388" s="235"/>
      <c r="K388" s="235"/>
      <c r="L388" s="235"/>
      <c r="M388" s="235"/>
      <c r="N388" s="235"/>
      <c r="O388" s="235"/>
    </row>
    <row r="389" spans="1:15" ht="13.8">
      <c r="A389" s="235"/>
      <c r="B389" s="235"/>
      <c r="C389" s="235"/>
      <c r="D389" s="234"/>
      <c r="E389" s="234"/>
      <c r="F389" s="234"/>
      <c r="G389" s="234"/>
      <c r="H389" s="235"/>
      <c r="I389" s="235"/>
      <c r="J389" s="235"/>
      <c r="K389" s="235"/>
      <c r="L389" s="235"/>
      <c r="M389" s="235"/>
      <c r="N389" s="235"/>
      <c r="O389" s="235"/>
    </row>
    <row r="390" spans="1:15" ht="13.8">
      <c r="A390" s="235"/>
      <c r="B390" s="235"/>
      <c r="C390" s="235"/>
      <c r="D390" s="234"/>
      <c r="E390" s="234"/>
      <c r="F390" s="234"/>
      <c r="G390" s="234"/>
      <c r="H390" s="235"/>
      <c r="I390" s="235"/>
      <c r="J390" s="235"/>
      <c r="K390" s="235"/>
      <c r="L390" s="235"/>
      <c r="M390" s="235"/>
      <c r="N390" s="235"/>
      <c r="O390" s="235"/>
    </row>
    <row r="391" spans="1:15" ht="13.8">
      <c r="A391" s="235"/>
      <c r="B391" s="235"/>
      <c r="C391" s="235"/>
      <c r="D391" s="234"/>
      <c r="E391" s="234"/>
      <c r="F391" s="234"/>
      <c r="G391" s="234"/>
      <c r="H391" s="235"/>
      <c r="I391" s="235"/>
      <c r="J391" s="235"/>
      <c r="K391" s="235"/>
      <c r="L391" s="235"/>
      <c r="M391" s="235"/>
      <c r="N391" s="235"/>
      <c r="O391" s="235"/>
    </row>
    <row r="392" spans="1:15" ht="13.8">
      <c r="A392" s="235"/>
      <c r="B392" s="235"/>
      <c r="C392" s="235"/>
      <c r="D392" s="234"/>
      <c r="E392" s="234"/>
      <c r="F392" s="234"/>
      <c r="G392" s="234"/>
      <c r="H392" s="235"/>
      <c r="I392" s="235"/>
      <c r="J392" s="235"/>
      <c r="K392" s="235"/>
      <c r="L392" s="235"/>
      <c r="M392" s="235"/>
      <c r="N392" s="235"/>
      <c r="O392" s="235"/>
    </row>
    <row r="393" spans="1:15" ht="13.8">
      <c r="A393" s="235"/>
      <c r="B393" s="235"/>
      <c r="C393" s="235"/>
      <c r="D393" s="234"/>
      <c r="E393" s="234"/>
      <c r="F393" s="234"/>
      <c r="G393" s="234"/>
      <c r="H393" s="235"/>
      <c r="I393" s="235"/>
      <c r="J393" s="235"/>
      <c r="K393" s="235"/>
      <c r="L393" s="235"/>
      <c r="M393" s="235"/>
      <c r="N393" s="235"/>
      <c r="O393" s="235"/>
    </row>
    <row r="394" spans="1:15" ht="13.8">
      <c r="A394" s="235"/>
      <c r="B394" s="235"/>
      <c r="C394" s="235"/>
      <c r="D394" s="234"/>
      <c r="E394" s="234"/>
      <c r="F394" s="234"/>
      <c r="G394" s="234"/>
      <c r="H394" s="235"/>
      <c r="I394" s="235"/>
      <c r="J394" s="235"/>
      <c r="K394" s="235"/>
      <c r="L394" s="235"/>
      <c r="M394" s="235"/>
      <c r="N394" s="235"/>
      <c r="O394" s="235"/>
    </row>
    <row r="395" spans="1:15" ht="13.8">
      <c r="A395" s="235"/>
      <c r="B395" s="235"/>
      <c r="C395" s="235"/>
      <c r="D395" s="234"/>
      <c r="E395" s="234"/>
      <c r="F395" s="234"/>
      <c r="G395" s="234"/>
      <c r="H395" s="235"/>
      <c r="I395" s="235"/>
      <c r="J395" s="235"/>
      <c r="K395" s="235"/>
      <c r="L395" s="235"/>
      <c r="M395" s="235"/>
      <c r="N395" s="235"/>
      <c r="O395" s="235"/>
    </row>
    <row r="396" spans="1:15" ht="13.8">
      <c r="A396" s="235"/>
      <c r="B396" s="235"/>
      <c r="C396" s="235"/>
      <c r="D396" s="234"/>
      <c r="E396" s="234"/>
      <c r="F396" s="234"/>
      <c r="G396" s="234"/>
      <c r="H396" s="235"/>
      <c r="I396" s="235"/>
      <c r="J396" s="235"/>
      <c r="K396" s="235"/>
      <c r="L396" s="235"/>
      <c r="M396" s="235"/>
      <c r="N396" s="235"/>
      <c r="O396" s="235"/>
    </row>
    <row r="397" spans="1:15" ht="13.8">
      <c r="A397" s="235"/>
      <c r="B397" s="235"/>
      <c r="C397" s="235"/>
      <c r="D397" s="234"/>
      <c r="E397" s="234"/>
      <c r="F397" s="234"/>
      <c r="G397" s="234"/>
      <c r="H397" s="235"/>
      <c r="I397" s="235"/>
      <c r="J397" s="235"/>
      <c r="K397" s="235"/>
      <c r="L397" s="235"/>
      <c r="M397" s="235"/>
      <c r="N397" s="235"/>
      <c r="O397" s="235"/>
    </row>
    <row r="398" spans="1:15" ht="13.8">
      <c r="A398" s="235"/>
      <c r="B398" s="235"/>
      <c r="C398" s="235"/>
      <c r="D398" s="234"/>
      <c r="E398" s="234"/>
      <c r="F398" s="234"/>
      <c r="G398" s="234"/>
      <c r="H398" s="235"/>
      <c r="I398" s="235"/>
      <c r="J398" s="235"/>
      <c r="K398" s="235"/>
      <c r="L398" s="235"/>
      <c r="M398" s="235"/>
      <c r="N398" s="235"/>
      <c r="O398" s="235"/>
    </row>
    <row r="399" spans="1:15" ht="13.8">
      <c r="A399" s="235"/>
      <c r="B399" s="235"/>
      <c r="C399" s="235"/>
      <c r="D399" s="234"/>
      <c r="E399" s="234"/>
      <c r="F399" s="234"/>
      <c r="G399" s="234"/>
      <c r="H399" s="235"/>
      <c r="I399" s="235"/>
      <c r="J399" s="235"/>
      <c r="K399" s="235"/>
      <c r="L399" s="235"/>
      <c r="M399" s="235"/>
      <c r="N399" s="235"/>
      <c r="O399" s="235"/>
    </row>
    <row r="400" spans="1:15" ht="13.8">
      <c r="A400" s="235"/>
      <c r="B400" s="235"/>
      <c r="C400" s="235"/>
      <c r="D400" s="234"/>
      <c r="E400" s="234"/>
      <c r="F400" s="234"/>
      <c r="G400" s="234"/>
      <c r="H400" s="235"/>
      <c r="I400" s="235"/>
      <c r="J400" s="235"/>
      <c r="K400" s="235"/>
      <c r="L400" s="235"/>
      <c r="M400" s="235"/>
      <c r="N400" s="235"/>
      <c r="O400" s="235"/>
    </row>
    <row r="401" spans="1:15" ht="13.8">
      <c r="A401" s="235"/>
      <c r="B401" s="235"/>
      <c r="C401" s="235"/>
      <c r="D401" s="234"/>
      <c r="E401" s="234"/>
      <c r="F401" s="234"/>
      <c r="G401" s="234"/>
      <c r="H401" s="235"/>
      <c r="I401" s="235"/>
      <c r="J401" s="235"/>
      <c r="K401" s="235"/>
      <c r="L401" s="235"/>
      <c r="M401" s="235"/>
      <c r="N401" s="235"/>
      <c r="O401" s="235"/>
    </row>
    <row r="402" spans="1:15" ht="13.8">
      <c r="A402" s="235"/>
      <c r="B402" s="235"/>
      <c r="C402" s="235"/>
      <c r="D402" s="234"/>
      <c r="E402" s="234"/>
      <c r="F402" s="234"/>
      <c r="G402" s="234"/>
      <c r="H402" s="235"/>
      <c r="I402" s="235"/>
      <c r="J402" s="235"/>
      <c r="K402" s="235"/>
      <c r="L402" s="235"/>
      <c r="M402" s="235"/>
      <c r="N402" s="235"/>
      <c r="O402" s="235"/>
    </row>
    <row r="403" spans="1:15" ht="13.8">
      <c r="A403" s="235"/>
      <c r="B403" s="235"/>
      <c r="C403" s="235"/>
      <c r="D403" s="234"/>
      <c r="E403" s="234"/>
      <c r="F403" s="234"/>
      <c r="G403" s="234"/>
      <c r="H403" s="235"/>
      <c r="I403" s="235"/>
      <c r="J403" s="235"/>
      <c r="K403" s="235"/>
      <c r="L403" s="235"/>
      <c r="M403" s="235"/>
      <c r="N403" s="235"/>
      <c r="O403" s="235"/>
    </row>
    <row r="404" spans="1:15" ht="13.8">
      <c r="A404" s="235"/>
      <c r="B404" s="235"/>
      <c r="C404" s="235"/>
      <c r="D404" s="234"/>
      <c r="E404" s="234"/>
      <c r="F404" s="234"/>
      <c r="G404" s="234"/>
      <c r="H404" s="235"/>
      <c r="I404" s="235"/>
      <c r="J404" s="235"/>
      <c r="K404" s="235"/>
      <c r="L404" s="235"/>
      <c r="M404" s="235"/>
      <c r="N404" s="235"/>
      <c r="O404" s="235"/>
    </row>
    <row r="405" spans="1:15" ht="13.8">
      <c r="A405" s="235"/>
      <c r="B405" s="235"/>
      <c r="C405" s="235"/>
      <c r="D405" s="234"/>
      <c r="E405" s="234"/>
      <c r="F405" s="234"/>
      <c r="G405" s="234"/>
      <c r="H405" s="235"/>
      <c r="I405" s="235"/>
      <c r="J405" s="235"/>
      <c r="K405" s="235"/>
      <c r="L405" s="235"/>
      <c r="M405" s="235"/>
      <c r="N405" s="235"/>
      <c r="O405" s="235"/>
    </row>
    <row r="406" spans="1:15" ht="13.8">
      <c r="A406" s="235"/>
      <c r="B406" s="235"/>
      <c r="C406" s="235"/>
      <c r="D406" s="234"/>
      <c r="E406" s="234"/>
      <c r="F406" s="234"/>
      <c r="G406" s="234"/>
      <c r="H406" s="235"/>
      <c r="I406" s="235"/>
      <c r="J406" s="235"/>
      <c r="K406" s="235"/>
      <c r="L406" s="235"/>
      <c r="M406" s="235"/>
      <c r="N406" s="235"/>
      <c r="O406" s="235"/>
    </row>
    <row r="407" spans="1:15" ht="13.8">
      <c r="A407" s="235"/>
      <c r="B407" s="235"/>
      <c r="C407" s="235"/>
      <c r="D407" s="234"/>
      <c r="E407" s="234"/>
      <c r="F407" s="234"/>
      <c r="G407" s="234"/>
      <c r="H407" s="235"/>
      <c r="I407" s="235"/>
      <c r="J407" s="235"/>
      <c r="K407" s="235"/>
      <c r="L407" s="235"/>
      <c r="M407" s="235"/>
      <c r="N407" s="235"/>
      <c r="O407" s="235"/>
    </row>
    <row r="408" spans="1:15" ht="13.8">
      <c r="A408" s="235"/>
      <c r="B408" s="235"/>
      <c r="C408" s="235"/>
      <c r="D408" s="234"/>
      <c r="E408" s="234"/>
      <c r="F408" s="234"/>
      <c r="G408" s="234"/>
      <c r="H408" s="235"/>
      <c r="I408" s="235"/>
      <c r="J408" s="235"/>
      <c r="K408" s="235"/>
      <c r="L408" s="235"/>
      <c r="M408" s="235"/>
      <c r="N408" s="235"/>
      <c r="O408" s="235"/>
    </row>
    <row r="409" spans="1:15" ht="13.8">
      <c r="A409" s="235"/>
      <c r="B409" s="235"/>
      <c r="C409" s="235"/>
      <c r="D409" s="234"/>
      <c r="E409" s="234"/>
      <c r="F409" s="234"/>
      <c r="G409" s="234"/>
      <c r="H409" s="235"/>
      <c r="I409" s="235"/>
      <c r="J409" s="235"/>
      <c r="K409" s="235"/>
      <c r="L409" s="235"/>
      <c r="M409" s="235"/>
      <c r="N409" s="235"/>
      <c r="O409" s="235"/>
    </row>
    <row r="410" spans="1:15" ht="13.8">
      <c r="A410" s="235"/>
      <c r="B410" s="235"/>
      <c r="C410" s="235"/>
      <c r="D410" s="234"/>
      <c r="E410" s="234"/>
      <c r="F410" s="234"/>
      <c r="G410" s="234"/>
      <c r="H410" s="235"/>
      <c r="I410" s="235"/>
      <c r="J410" s="235"/>
      <c r="K410" s="235"/>
      <c r="L410" s="235"/>
      <c r="M410" s="235"/>
      <c r="N410" s="235"/>
      <c r="O410" s="235"/>
    </row>
    <row r="411" spans="1:15" ht="13.8">
      <c r="A411" s="235"/>
      <c r="B411" s="235"/>
      <c r="C411" s="235"/>
      <c r="D411" s="234"/>
      <c r="E411" s="234"/>
      <c r="F411" s="234"/>
      <c r="G411" s="234"/>
      <c r="H411" s="235"/>
      <c r="I411" s="235"/>
      <c r="J411" s="235"/>
      <c r="K411" s="235"/>
      <c r="L411" s="235"/>
      <c r="M411" s="235"/>
      <c r="N411" s="235"/>
      <c r="O411" s="235"/>
    </row>
    <row r="412" spans="1:15" ht="13.8">
      <c r="A412" s="235"/>
      <c r="B412" s="235"/>
      <c r="C412" s="235"/>
      <c r="D412" s="234"/>
      <c r="E412" s="234"/>
      <c r="F412" s="234"/>
      <c r="G412" s="234"/>
      <c r="H412" s="235"/>
      <c r="I412" s="235"/>
      <c r="J412" s="235"/>
      <c r="K412" s="235"/>
      <c r="L412" s="235"/>
      <c r="M412" s="235"/>
      <c r="N412" s="235"/>
      <c r="O412" s="235"/>
    </row>
    <row r="413" spans="1:15" ht="13.8">
      <c r="A413" s="235"/>
      <c r="B413" s="235"/>
      <c r="C413" s="235"/>
      <c r="D413" s="234"/>
      <c r="E413" s="234"/>
      <c r="F413" s="234"/>
      <c r="G413" s="234"/>
      <c r="H413" s="235"/>
      <c r="I413" s="235"/>
      <c r="J413" s="235"/>
      <c r="K413" s="235"/>
      <c r="L413" s="235"/>
      <c r="M413" s="235"/>
      <c r="N413" s="235"/>
      <c r="O413" s="235"/>
    </row>
    <row r="414" spans="1:15" ht="13.8">
      <c r="A414" s="235"/>
      <c r="B414" s="235"/>
      <c r="C414" s="235"/>
      <c r="D414" s="234"/>
      <c r="E414" s="234"/>
      <c r="F414" s="234"/>
      <c r="G414" s="234"/>
      <c r="H414" s="235"/>
      <c r="I414" s="235"/>
      <c r="J414" s="235"/>
      <c r="K414" s="235"/>
      <c r="L414" s="235"/>
      <c r="M414" s="235"/>
      <c r="N414" s="235"/>
      <c r="O414" s="235"/>
    </row>
    <row r="415" spans="1:15" ht="13.8">
      <c r="A415" s="235"/>
      <c r="B415" s="235"/>
      <c r="C415" s="235"/>
      <c r="D415" s="234"/>
      <c r="E415" s="234"/>
      <c r="F415" s="234"/>
      <c r="G415" s="234"/>
      <c r="H415" s="235"/>
      <c r="I415" s="235"/>
      <c r="J415" s="235"/>
      <c r="K415" s="235"/>
      <c r="L415" s="235"/>
      <c r="M415" s="235"/>
      <c r="N415" s="235"/>
      <c r="O415" s="235"/>
    </row>
    <row r="416" spans="1:15" ht="13.8">
      <c r="A416" s="235"/>
      <c r="B416" s="235"/>
      <c r="C416" s="235"/>
      <c r="D416" s="234"/>
      <c r="E416" s="234"/>
      <c r="F416" s="234"/>
      <c r="G416" s="234"/>
      <c r="H416" s="235"/>
      <c r="I416" s="235"/>
      <c r="J416" s="235"/>
      <c r="K416" s="235"/>
      <c r="L416" s="235"/>
      <c r="M416" s="235"/>
      <c r="N416" s="235"/>
      <c r="O416" s="235"/>
    </row>
    <row r="417" spans="1:15" ht="13.8">
      <c r="A417" s="235"/>
      <c r="B417" s="235"/>
      <c r="C417" s="235"/>
      <c r="D417" s="234"/>
      <c r="E417" s="234"/>
      <c r="F417" s="234"/>
      <c r="G417" s="234"/>
      <c r="H417" s="235"/>
      <c r="I417" s="235"/>
      <c r="J417" s="235"/>
      <c r="K417" s="235"/>
      <c r="L417" s="235"/>
      <c r="M417" s="235"/>
      <c r="N417" s="235"/>
      <c r="O417" s="235"/>
    </row>
    <row r="418" spans="1:15" ht="13.8">
      <c r="A418" s="235"/>
      <c r="B418" s="235"/>
      <c r="C418" s="235"/>
      <c r="D418" s="234"/>
      <c r="E418" s="234"/>
      <c r="F418" s="234"/>
      <c r="G418" s="234"/>
      <c r="H418" s="235"/>
      <c r="I418" s="235"/>
      <c r="J418" s="235"/>
      <c r="K418" s="235"/>
      <c r="L418" s="235"/>
      <c r="M418" s="235"/>
      <c r="N418" s="235"/>
      <c r="O418" s="235"/>
    </row>
    <row r="419" spans="1:15" ht="13.8">
      <c r="A419" s="235"/>
      <c r="B419" s="235"/>
      <c r="C419" s="235"/>
      <c r="D419" s="234"/>
      <c r="E419" s="234"/>
      <c r="F419" s="234"/>
      <c r="G419" s="234"/>
      <c r="H419" s="235"/>
      <c r="I419" s="235"/>
      <c r="J419" s="235"/>
      <c r="K419" s="235"/>
      <c r="L419" s="235"/>
      <c r="M419" s="235"/>
      <c r="N419" s="235"/>
      <c r="O419" s="235"/>
    </row>
    <row r="420" spans="1:15" ht="13.8">
      <c r="A420" s="235"/>
      <c r="B420" s="235"/>
      <c r="C420" s="235"/>
      <c r="D420" s="234"/>
      <c r="E420" s="234"/>
      <c r="F420" s="234"/>
      <c r="G420" s="234"/>
      <c r="H420" s="235"/>
      <c r="I420" s="235"/>
      <c r="J420" s="235"/>
      <c r="K420" s="235"/>
      <c r="L420" s="235"/>
      <c r="M420" s="235"/>
      <c r="N420" s="235"/>
      <c r="O420" s="235"/>
    </row>
    <row r="421" spans="1:15" ht="13.8">
      <c r="A421" s="235"/>
      <c r="B421" s="235"/>
      <c r="C421" s="235"/>
      <c r="D421" s="234"/>
      <c r="E421" s="234"/>
      <c r="F421" s="234"/>
      <c r="G421" s="234"/>
      <c r="H421" s="235"/>
      <c r="I421" s="235"/>
      <c r="J421" s="235"/>
      <c r="K421" s="235"/>
      <c r="L421" s="235"/>
      <c r="M421" s="235"/>
      <c r="N421" s="235"/>
      <c r="O421" s="235"/>
    </row>
    <row r="422" spans="1:15" ht="13.8">
      <c r="A422" s="235"/>
      <c r="B422" s="235"/>
      <c r="C422" s="235"/>
      <c r="D422" s="234"/>
      <c r="E422" s="234"/>
      <c r="F422" s="234"/>
      <c r="G422" s="234"/>
      <c r="H422" s="235"/>
      <c r="I422" s="235"/>
      <c r="J422" s="235"/>
      <c r="K422" s="235"/>
      <c r="L422" s="235"/>
      <c r="M422" s="235"/>
      <c r="N422" s="235"/>
      <c r="O422" s="235"/>
    </row>
    <row r="423" spans="1:15" ht="13.8">
      <c r="A423" s="235"/>
      <c r="B423" s="235"/>
      <c r="C423" s="235"/>
      <c r="D423" s="234"/>
      <c r="E423" s="234"/>
      <c r="F423" s="234"/>
      <c r="G423" s="234"/>
      <c r="H423" s="235"/>
      <c r="I423" s="235"/>
      <c r="J423" s="235"/>
      <c r="K423" s="235"/>
      <c r="L423" s="235"/>
      <c r="M423" s="235"/>
      <c r="N423" s="235"/>
      <c r="O423" s="235"/>
    </row>
    <row r="424" spans="1:15" ht="13.8">
      <c r="A424" s="235"/>
      <c r="B424" s="235"/>
      <c r="C424" s="235"/>
      <c r="D424" s="234"/>
      <c r="E424" s="234"/>
      <c r="F424" s="234"/>
      <c r="G424" s="234"/>
      <c r="H424" s="235"/>
      <c r="I424" s="235"/>
      <c r="J424" s="235"/>
      <c r="K424" s="235"/>
      <c r="L424" s="235"/>
      <c r="M424" s="235"/>
      <c r="N424" s="235"/>
      <c r="O424" s="235"/>
    </row>
    <row r="425" spans="1:15" ht="13.8">
      <c r="A425" s="235"/>
      <c r="B425" s="235"/>
      <c r="C425" s="235"/>
      <c r="D425" s="234"/>
      <c r="E425" s="234"/>
      <c r="F425" s="234"/>
      <c r="G425" s="234"/>
      <c r="H425" s="235"/>
      <c r="I425" s="235"/>
      <c r="J425" s="235"/>
      <c r="K425" s="235"/>
      <c r="L425" s="235"/>
      <c r="M425" s="235"/>
      <c r="N425" s="235"/>
      <c r="O425" s="235"/>
    </row>
    <row r="426" spans="1:15" ht="13.8">
      <c r="A426" s="235"/>
      <c r="B426" s="235"/>
      <c r="C426" s="235"/>
      <c r="D426" s="234"/>
      <c r="E426" s="234"/>
      <c r="F426" s="234"/>
      <c r="G426" s="234"/>
      <c r="H426" s="235"/>
      <c r="I426" s="235"/>
      <c r="J426" s="235"/>
      <c r="K426" s="235"/>
      <c r="L426" s="235"/>
      <c r="M426" s="235"/>
      <c r="N426" s="235"/>
      <c r="O426" s="235"/>
    </row>
    <row r="427" spans="1:15" ht="13.8">
      <c r="A427" s="235"/>
      <c r="B427" s="235"/>
      <c r="C427" s="235"/>
      <c r="D427" s="234"/>
      <c r="E427" s="234"/>
      <c r="F427" s="234"/>
      <c r="G427" s="234"/>
      <c r="H427" s="235"/>
      <c r="I427" s="235"/>
      <c r="J427" s="235"/>
      <c r="K427" s="235"/>
      <c r="L427" s="235"/>
      <c r="M427" s="235"/>
      <c r="N427" s="235"/>
      <c r="O427" s="235"/>
    </row>
    <row r="428" spans="1:15" ht="13.8">
      <c r="A428" s="235"/>
      <c r="B428" s="235"/>
      <c r="C428" s="235"/>
      <c r="D428" s="234"/>
      <c r="E428" s="234"/>
      <c r="F428" s="234"/>
      <c r="G428" s="234"/>
      <c r="H428" s="235"/>
      <c r="I428" s="235"/>
      <c r="J428" s="235"/>
      <c r="K428" s="235"/>
      <c r="L428" s="235"/>
      <c r="M428" s="235"/>
      <c r="N428" s="235"/>
      <c r="O428" s="235"/>
    </row>
    <row r="429" spans="1:15" ht="13.8">
      <c r="A429" s="235"/>
      <c r="B429" s="235"/>
      <c r="C429" s="235"/>
      <c r="D429" s="234"/>
      <c r="E429" s="234"/>
      <c r="F429" s="234"/>
      <c r="G429" s="234"/>
      <c r="H429" s="235"/>
      <c r="I429" s="235"/>
      <c r="J429" s="235"/>
      <c r="K429" s="235"/>
      <c r="L429" s="235"/>
      <c r="M429" s="235"/>
      <c r="N429" s="235"/>
      <c r="O429" s="235"/>
    </row>
    <row r="430" spans="1:15" ht="13.8">
      <c r="A430" s="235"/>
      <c r="B430" s="235"/>
      <c r="C430" s="235"/>
      <c r="D430" s="234"/>
      <c r="E430" s="234"/>
      <c r="F430" s="234"/>
      <c r="G430" s="234"/>
      <c r="H430" s="235"/>
      <c r="I430" s="235"/>
      <c r="J430" s="235"/>
      <c r="K430" s="235"/>
      <c r="L430" s="235"/>
      <c r="M430" s="235"/>
      <c r="N430" s="235"/>
      <c r="O430" s="235"/>
    </row>
    <row r="431" spans="1:15" ht="13.8">
      <c r="A431" s="235"/>
      <c r="B431" s="235"/>
      <c r="C431" s="235"/>
      <c r="D431" s="234"/>
      <c r="E431" s="234"/>
      <c r="F431" s="234"/>
      <c r="G431" s="234"/>
      <c r="H431" s="235"/>
      <c r="I431" s="235"/>
      <c r="J431" s="235"/>
      <c r="K431" s="235"/>
      <c r="L431" s="235"/>
      <c r="M431" s="235"/>
      <c r="N431" s="235"/>
      <c r="O431" s="235"/>
    </row>
    <row r="432" spans="1:15" ht="13.8">
      <c r="A432" s="235"/>
      <c r="B432" s="235"/>
      <c r="C432" s="235"/>
      <c r="D432" s="234"/>
      <c r="E432" s="234"/>
      <c r="F432" s="234"/>
      <c r="G432" s="234"/>
      <c r="H432" s="235"/>
      <c r="I432" s="235"/>
      <c r="J432" s="235"/>
      <c r="K432" s="235"/>
      <c r="L432" s="235"/>
      <c r="M432" s="235"/>
      <c r="N432" s="235"/>
      <c r="O432" s="235"/>
    </row>
    <row r="433" spans="1:15" ht="13.8">
      <c r="A433" s="235"/>
      <c r="B433" s="235"/>
      <c r="C433" s="235"/>
      <c r="D433" s="234"/>
      <c r="E433" s="234"/>
      <c r="F433" s="234"/>
      <c r="G433" s="234"/>
      <c r="H433" s="235"/>
      <c r="I433" s="235"/>
      <c r="J433" s="235"/>
      <c r="K433" s="235"/>
      <c r="L433" s="235"/>
      <c r="M433" s="235"/>
      <c r="N433" s="235"/>
      <c r="O433" s="235"/>
    </row>
    <row r="434" spans="1:15" ht="13.8">
      <c r="A434" s="235"/>
      <c r="B434" s="235"/>
      <c r="C434" s="235"/>
      <c r="D434" s="234"/>
      <c r="E434" s="234"/>
      <c r="F434" s="234"/>
      <c r="G434" s="234"/>
      <c r="H434" s="235"/>
      <c r="I434" s="235"/>
      <c r="J434" s="235"/>
      <c r="K434" s="235"/>
      <c r="L434" s="235"/>
      <c r="M434" s="235"/>
      <c r="N434" s="235"/>
      <c r="O434" s="235"/>
    </row>
    <row r="435" spans="1:15" ht="13.8">
      <c r="A435" s="235"/>
      <c r="B435" s="235"/>
      <c r="C435" s="235"/>
      <c r="D435" s="234"/>
      <c r="E435" s="234"/>
      <c r="F435" s="234"/>
      <c r="G435" s="234"/>
      <c r="H435" s="235"/>
      <c r="I435" s="235"/>
      <c r="J435" s="235"/>
      <c r="K435" s="235"/>
      <c r="L435" s="235"/>
      <c r="M435" s="235"/>
      <c r="N435" s="235"/>
      <c r="O435" s="235"/>
    </row>
    <row r="436" spans="1:15" ht="13.8">
      <c r="A436" s="235"/>
      <c r="B436" s="235"/>
      <c r="C436" s="235"/>
      <c r="D436" s="234"/>
      <c r="E436" s="234"/>
      <c r="F436" s="234"/>
      <c r="G436" s="234"/>
      <c r="H436" s="235"/>
      <c r="I436" s="235"/>
      <c r="J436" s="235"/>
      <c r="K436" s="235"/>
      <c r="L436" s="235"/>
      <c r="M436" s="235"/>
      <c r="N436" s="235"/>
      <c r="O436" s="235"/>
    </row>
    <row r="437" spans="1:15" ht="13.8">
      <c r="A437" s="235"/>
      <c r="B437" s="235"/>
      <c r="C437" s="235"/>
      <c r="D437" s="234"/>
      <c r="E437" s="234"/>
      <c r="F437" s="234"/>
      <c r="G437" s="234"/>
      <c r="H437" s="235"/>
      <c r="I437" s="235"/>
      <c r="J437" s="235"/>
      <c r="K437" s="235"/>
      <c r="L437" s="235"/>
      <c r="M437" s="235"/>
      <c r="N437" s="235"/>
      <c r="O437" s="235"/>
    </row>
    <row r="438" spans="1:15" ht="13.8">
      <c r="A438" s="235"/>
      <c r="B438" s="235"/>
      <c r="C438" s="235"/>
      <c r="D438" s="234"/>
      <c r="E438" s="234"/>
      <c r="F438" s="234"/>
      <c r="G438" s="234"/>
      <c r="H438" s="235"/>
      <c r="I438" s="235"/>
      <c r="J438" s="235"/>
      <c r="K438" s="235"/>
      <c r="L438" s="235"/>
      <c r="M438" s="235"/>
      <c r="N438" s="235"/>
      <c r="O438" s="235"/>
    </row>
    <row r="439" spans="1:15" ht="13.8">
      <c r="A439" s="235"/>
      <c r="B439" s="235"/>
      <c r="C439" s="235"/>
      <c r="D439" s="234"/>
      <c r="E439" s="234"/>
      <c r="F439" s="234"/>
      <c r="G439" s="234"/>
      <c r="H439" s="235"/>
      <c r="I439" s="235"/>
      <c r="J439" s="235"/>
      <c r="K439" s="235"/>
      <c r="L439" s="235"/>
      <c r="M439" s="235"/>
      <c r="N439" s="235"/>
      <c r="O439" s="235"/>
    </row>
    <row r="440" spans="1:15" ht="13.8">
      <c r="A440" s="235"/>
      <c r="B440" s="235"/>
      <c r="C440" s="235"/>
      <c r="D440" s="234"/>
      <c r="E440" s="234"/>
      <c r="F440" s="234"/>
      <c r="G440" s="234"/>
      <c r="H440" s="235"/>
      <c r="I440" s="235"/>
      <c r="J440" s="235"/>
      <c r="K440" s="235"/>
      <c r="L440" s="235"/>
      <c r="M440" s="235"/>
      <c r="N440" s="235"/>
      <c r="O440" s="235"/>
    </row>
    <row r="441" spans="1:15" ht="13.8">
      <c r="A441" s="235"/>
      <c r="B441" s="235"/>
      <c r="C441" s="235"/>
      <c r="D441" s="234"/>
      <c r="E441" s="234"/>
      <c r="F441" s="234"/>
      <c r="G441" s="234"/>
      <c r="H441" s="235"/>
      <c r="I441" s="235"/>
      <c r="J441" s="235"/>
      <c r="K441" s="235"/>
      <c r="L441" s="235"/>
      <c r="M441" s="235"/>
      <c r="N441" s="235"/>
      <c r="O441" s="235"/>
    </row>
    <row r="442" spans="1:15" ht="13.8">
      <c r="A442" s="235"/>
      <c r="B442" s="235"/>
      <c r="C442" s="235"/>
      <c r="D442" s="234"/>
      <c r="E442" s="234"/>
      <c r="F442" s="234"/>
      <c r="G442" s="234"/>
      <c r="H442" s="235"/>
      <c r="I442" s="235"/>
      <c r="J442" s="235"/>
      <c r="K442" s="235"/>
      <c r="L442" s="235"/>
      <c r="M442" s="235"/>
      <c r="N442" s="235"/>
      <c r="O442" s="235"/>
    </row>
    <row r="443" spans="1:15" ht="13.8">
      <c r="A443" s="235"/>
      <c r="B443" s="235"/>
      <c r="C443" s="235"/>
      <c r="D443" s="234"/>
      <c r="E443" s="234"/>
      <c r="F443" s="234"/>
      <c r="G443" s="234"/>
      <c r="H443" s="235"/>
      <c r="I443" s="235"/>
      <c r="J443" s="235"/>
      <c r="K443" s="235"/>
      <c r="L443" s="235"/>
      <c r="M443" s="235"/>
      <c r="N443" s="235"/>
      <c r="O443" s="235"/>
    </row>
    <row r="444" spans="1:15" ht="13.8">
      <c r="A444" s="235"/>
      <c r="B444" s="235"/>
      <c r="C444" s="235"/>
      <c r="D444" s="234"/>
      <c r="E444" s="234"/>
      <c r="F444" s="234"/>
      <c r="G444" s="234"/>
      <c r="H444" s="235"/>
      <c r="I444" s="235"/>
      <c r="J444" s="235"/>
      <c r="K444" s="235"/>
      <c r="L444" s="235"/>
      <c r="M444" s="235"/>
      <c r="N444" s="235"/>
      <c r="O444" s="235"/>
    </row>
    <row r="445" spans="1:15" ht="13.8">
      <c r="A445" s="235"/>
      <c r="B445" s="235"/>
      <c r="C445" s="235"/>
      <c r="D445" s="234"/>
      <c r="E445" s="234"/>
      <c r="F445" s="234"/>
      <c r="G445" s="234"/>
      <c r="H445" s="235"/>
      <c r="I445" s="235"/>
      <c r="J445" s="235"/>
      <c r="K445" s="235"/>
      <c r="L445" s="235"/>
      <c r="M445" s="235"/>
      <c r="N445" s="235"/>
      <c r="O445" s="235"/>
    </row>
    <row r="446" spans="1:15" ht="13.8">
      <c r="A446" s="235"/>
      <c r="B446" s="235"/>
      <c r="C446" s="235"/>
      <c r="D446" s="234"/>
      <c r="E446" s="234"/>
      <c r="F446" s="234"/>
      <c r="G446" s="234"/>
      <c r="H446" s="235"/>
      <c r="I446" s="235"/>
      <c r="J446" s="235"/>
      <c r="K446" s="235"/>
      <c r="L446" s="235"/>
      <c r="M446" s="235"/>
      <c r="N446" s="235"/>
      <c r="O446" s="235"/>
    </row>
    <row r="447" spans="1:15" ht="13.8">
      <c r="A447" s="235"/>
      <c r="B447" s="235"/>
      <c r="C447" s="235"/>
      <c r="D447" s="234"/>
      <c r="E447" s="234"/>
      <c r="F447" s="234"/>
      <c r="G447" s="234"/>
      <c r="H447" s="235"/>
      <c r="I447" s="235"/>
      <c r="J447" s="235"/>
      <c r="K447" s="235"/>
      <c r="L447" s="235"/>
      <c r="M447" s="235"/>
      <c r="N447" s="235"/>
      <c r="O447" s="235"/>
    </row>
    <row r="448" spans="1:15" ht="13.8">
      <c r="A448" s="235"/>
      <c r="B448" s="235"/>
      <c r="C448" s="235"/>
      <c r="D448" s="234"/>
      <c r="E448" s="234"/>
      <c r="F448" s="234"/>
      <c r="G448" s="234"/>
      <c r="H448" s="235"/>
      <c r="I448" s="235"/>
      <c r="J448" s="235"/>
      <c r="K448" s="235"/>
      <c r="L448" s="235"/>
      <c r="M448" s="235"/>
      <c r="N448" s="235"/>
      <c r="O448" s="235"/>
    </row>
    <row r="449" spans="1:15" ht="13.8">
      <c r="A449" s="235"/>
      <c r="B449" s="235"/>
      <c r="C449" s="235"/>
      <c r="D449" s="234"/>
      <c r="E449" s="234"/>
      <c r="F449" s="234"/>
      <c r="G449" s="234"/>
      <c r="H449" s="235"/>
      <c r="I449" s="235"/>
      <c r="J449" s="235"/>
      <c r="K449" s="235"/>
      <c r="L449" s="235"/>
      <c r="M449" s="235"/>
      <c r="N449" s="235"/>
      <c r="O449" s="235"/>
    </row>
    <row r="450" spans="1:15" ht="13.8">
      <c r="A450" s="235"/>
      <c r="B450" s="235"/>
      <c r="C450" s="235"/>
      <c r="D450" s="234"/>
      <c r="E450" s="234"/>
      <c r="F450" s="234"/>
      <c r="G450" s="234"/>
      <c r="H450" s="235"/>
      <c r="I450" s="235"/>
      <c r="J450" s="235"/>
      <c r="K450" s="235"/>
      <c r="L450" s="235"/>
      <c r="M450" s="235"/>
      <c r="N450" s="235"/>
      <c r="O450" s="235"/>
    </row>
    <row r="451" spans="1:15" ht="13.8">
      <c r="A451" s="235"/>
      <c r="B451" s="235"/>
      <c r="C451" s="235"/>
      <c r="D451" s="234"/>
      <c r="E451" s="234"/>
      <c r="F451" s="234"/>
      <c r="G451" s="234"/>
      <c r="H451" s="235"/>
      <c r="I451" s="235"/>
      <c r="J451" s="235"/>
      <c r="K451" s="235"/>
      <c r="L451" s="235"/>
      <c r="M451" s="235"/>
      <c r="N451" s="235"/>
      <c r="O451" s="235"/>
    </row>
    <row r="452" spans="1:15" ht="13.8">
      <c r="A452" s="235"/>
      <c r="B452" s="235"/>
      <c r="C452" s="235"/>
      <c r="D452" s="234"/>
      <c r="E452" s="234"/>
      <c r="F452" s="234"/>
      <c r="G452" s="234"/>
      <c r="H452" s="235"/>
      <c r="I452" s="235"/>
      <c r="J452" s="235"/>
      <c r="K452" s="235"/>
      <c r="L452" s="235"/>
      <c r="M452" s="235"/>
      <c r="N452" s="235"/>
      <c r="O452" s="235"/>
    </row>
    <row r="453" spans="1:15" ht="13.8">
      <c r="A453" s="235"/>
      <c r="B453" s="235"/>
      <c r="C453" s="235"/>
      <c r="D453" s="234"/>
      <c r="E453" s="234"/>
      <c r="F453" s="234"/>
      <c r="G453" s="234"/>
      <c r="H453" s="235"/>
      <c r="I453" s="235"/>
      <c r="J453" s="235"/>
      <c r="K453" s="235"/>
      <c r="L453" s="235"/>
      <c r="M453" s="235"/>
      <c r="N453" s="235"/>
      <c r="O453" s="235"/>
    </row>
    <row r="454" spans="1:15" ht="13.8">
      <c r="A454" s="235"/>
      <c r="B454" s="235"/>
      <c r="C454" s="235"/>
      <c r="D454" s="234"/>
      <c r="E454" s="234"/>
      <c r="F454" s="234"/>
      <c r="G454" s="234"/>
      <c r="H454" s="235"/>
      <c r="I454" s="235"/>
      <c r="J454" s="235"/>
      <c r="K454" s="235"/>
      <c r="L454" s="235"/>
      <c r="M454" s="235"/>
      <c r="N454" s="235"/>
      <c r="O454" s="235"/>
    </row>
    <row r="455" spans="1:15" ht="13.8">
      <c r="A455" s="235"/>
      <c r="B455" s="235"/>
      <c r="C455" s="235"/>
      <c r="D455" s="234"/>
      <c r="E455" s="234"/>
      <c r="F455" s="234"/>
      <c r="G455" s="234"/>
      <c r="H455" s="235"/>
      <c r="I455" s="235"/>
      <c r="J455" s="235"/>
      <c r="K455" s="235"/>
      <c r="L455" s="235"/>
      <c r="M455" s="235"/>
      <c r="N455" s="235"/>
      <c r="O455" s="235"/>
    </row>
    <row r="456" spans="1:15" ht="13.8">
      <c r="A456" s="235"/>
      <c r="B456" s="235"/>
      <c r="C456" s="235"/>
      <c r="D456" s="234"/>
      <c r="E456" s="234"/>
      <c r="F456" s="234"/>
      <c r="G456" s="234"/>
      <c r="H456" s="235"/>
      <c r="I456" s="235"/>
      <c r="J456" s="235"/>
      <c r="K456" s="235"/>
      <c r="L456" s="235"/>
      <c r="M456" s="235"/>
      <c r="N456" s="235"/>
      <c r="O456" s="235"/>
    </row>
    <row r="457" spans="1:15" ht="13.8">
      <c r="A457" s="235"/>
      <c r="B457" s="235"/>
      <c r="C457" s="235"/>
      <c r="D457" s="234"/>
      <c r="E457" s="234"/>
      <c r="F457" s="234"/>
      <c r="G457" s="234"/>
      <c r="H457" s="235"/>
      <c r="I457" s="235"/>
      <c r="J457" s="235"/>
      <c r="K457" s="235"/>
      <c r="L457" s="235"/>
      <c r="M457" s="235"/>
      <c r="N457" s="235"/>
      <c r="O457" s="235"/>
    </row>
    <row r="458" spans="1:15" ht="13.8">
      <c r="A458" s="235"/>
      <c r="B458" s="235"/>
      <c r="C458" s="235"/>
      <c r="D458" s="234"/>
      <c r="E458" s="234"/>
      <c r="F458" s="234"/>
      <c r="G458" s="234"/>
      <c r="H458" s="235"/>
      <c r="I458" s="235"/>
      <c r="J458" s="235"/>
      <c r="K458" s="235"/>
      <c r="L458" s="235"/>
      <c r="M458" s="235"/>
      <c r="N458" s="235"/>
      <c r="O458" s="235"/>
    </row>
    <row r="459" spans="1:15" ht="13.8">
      <c r="A459" s="235"/>
      <c r="B459" s="235"/>
      <c r="C459" s="235"/>
      <c r="D459" s="234"/>
      <c r="E459" s="234"/>
      <c r="F459" s="234"/>
      <c r="G459" s="234"/>
      <c r="H459" s="235"/>
      <c r="I459" s="235"/>
      <c r="J459" s="235"/>
      <c r="K459" s="235"/>
      <c r="L459" s="235"/>
      <c r="M459" s="235"/>
      <c r="N459" s="235"/>
      <c r="O459" s="235"/>
    </row>
    <row r="460" spans="1:15" ht="13.8">
      <c r="A460" s="235"/>
      <c r="B460" s="235"/>
      <c r="C460" s="235"/>
      <c r="D460" s="234"/>
      <c r="E460" s="234"/>
      <c r="F460" s="234"/>
      <c r="G460" s="234"/>
      <c r="H460" s="235"/>
      <c r="I460" s="235"/>
      <c r="J460" s="235"/>
      <c r="K460" s="235"/>
      <c r="L460" s="235"/>
      <c r="M460" s="235"/>
      <c r="N460" s="235"/>
      <c r="O460" s="235"/>
    </row>
    <row r="461" spans="1:15" ht="13.8">
      <c r="A461" s="235"/>
      <c r="B461" s="235"/>
      <c r="C461" s="235"/>
      <c r="D461" s="234"/>
      <c r="E461" s="234"/>
      <c r="F461" s="234"/>
      <c r="G461" s="234"/>
      <c r="H461" s="235"/>
      <c r="I461" s="235"/>
      <c r="J461" s="235"/>
      <c r="K461" s="235"/>
      <c r="L461" s="235"/>
      <c r="M461" s="235"/>
      <c r="N461" s="235"/>
      <c r="O461" s="235"/>
    </row>
    <row r="462" spans="1:15" ht="13.8">
      <c r="A462" s="235"/>
      <c r="B462" s="235"/>
      <c r="C462" s="235"/>
      <c r="D462" s="234"/>
      <c r="E462" s="234"/>
      <c r="F462" s="234"/>
      <c r="G462" s="234"/>
      <c r="H462" s="235"/>
      <c r="I462" s="235"/>
      <c r="J462" s="235"/>
      <c r="K462" s="235"/>
      <c r="L462" s="235"/>
      <c r="M462" s="235"/>
      <c r="N462" s="235"/>
      <c r="O462" s="235"/>
    </row>
    <row r="463" spans="1:15" ht="13.8">
      <c r="A463" s="235"/>
      <c r="B463" s="235"/>
      <c r="C463" s="235"/>
      <c r="D463" s="234"/>
      <c r="E463" s="234"/>
      <c r="F463" s="234"/>
      <c r="G463" s="234"/>
      <c r="H463" s="235"/>
      <c r="I463" s="235"/>
      <c r="J463" s="235"/>
      <c r="K463" s="235"/>
      <c r="L463" s="235"/>
      <c r="M463" s="235"/>
      <c r="N463" s="235"/>
      <c r="O463" s="235"/>
    </row>
    <row r="464" spans="1:15" ht="13.8">
      <c r="A464" s="235"/>
      <c r="B464" s="235"/>
      <c r="C464" s="235"/>
      <c r="D464" s="234"/>
      <c r="E464" s="234"/>
      <c r="F464" s="234"/>
      <c r="G464" s="234"/>
      <c r="H464" s="235"/>
      <c r="I464" s="235"/>
      <c r="J464" s="235"/>
      <c r="K464" s="235"/>
      <c r="L464" s="235"/>
      <c r="M464" s="235"/>
      <c r="N464" s="235"/>
      <c r="O464" s="235"/>
    </row>
    <row r="465" spans="1:15" ht="13.8">
      <c r="A465" s="235"/>
      <c r="B465" s="235"/>
      <c r="C465" s="235"/>
      <c r="D465" s="234"/>
      <c r="E465" s="234"/>
      <c r="F465" s="234"/>
      <c r="G465" s="234"/>
      <c r="H465" s="235"/>
      <c r="I465" s="235"/>
      <c r="J465" s="235"/>
      <c r="K465" s="235"/>
      <c r="L465" s="235"/>
      <c r="M465" s="235"/>
      <c r="N465" s="235"/>
      <c r="O465" s="235"/>
    </row>
    <row r="466" spans="1:15" ht="13.8">
      <c r="A466" s="235"/>
      <c r="B466" s="235"/>
      <c r="C466" s="235"/>
      <c r="D466" s="234"/>
      <c r="E466" s="234"/>
      <c r="F466" s="234"/>
      <c r="G466" s="234"/>
      <c r="H466" s="235"/>
      <c r="I466" s="235"/>
      <c r="J466" s="235"/>
      <c r="K466" s="235"/>
      <c r="L466" s="235"/>
      <c r="M466" s="235"/>
      <c r="N466" s="235"/>
      <c r="O466" s="235"/>
    </row>
    <row r="467" spans="1:15" ht="13.8">
      <c r="A467" s="235"/>
      <c r="B467" s="235"/>
      <c r="C467" s="235"/>
      <c r="D467" s="234"/>
      <c r="E467" s="234"/>
      <c r="F467" s="234"/>
      <c r="G467" s="234"/>
      <c r="H467" s="235"/>
      <c r="I467" s="235"/>
      <c r="J467" s="235"/>
      <c r="K467" s="235"/>
      <c r="L467" s="235"/>
      <c r="M467" s="235"/>
      <c r="N467" s="235"/>
      <c r="O467" s="235"/>
    </row>
    <row r="468" spans="1:15" ht="13.8">
      <c r="A468" s="235"/>
      <c r="B468" s="235"/>
      <c r="C468" s="235"/>
      <c r="D468" s="234"/>
      <c r="E468" s="234"/>
      <c r="F468" s="234"/>
      <c r="G468" s="234"/>
      <c r="H468" s="235"/>
      <c r="I468" s="235"/>
      <c r="J468" s="235"/>
      <c r="K468" s="235"/>
      <c r="L468" s="235"/>
      <c r="M468" s="235"/>
      <c r="N468" s="235"/>
      <c r="O468" s="235"/>
    </row>
    <row r="469" spans="1:15" ht="13.8">
      <c r="A469" s="235"/>
      <c r="B469" s="235"/>
      <c r="C469" s="235"/>
      <c r="D469" s="234"/>
      <c r="E469" s="234"/>
      <c r="F469" s="234"/>
      <c r="G469" s="234"/>
      <c r="H469" s="235"/>
      <c r="I469" s="235"/>
      <c r="J469" s="235"/>
      <c r="K469" s="235"/>
      <c r="L469" s="235"/>
      <c r="M469" s="235"/>
      <c r="N469" s="235"/>
      <c r="O469" s="235"/>
    </row>
    <row r="470" spans="1:15" ht="13.8">
      <c r="A470" s="235"/>
      <c r="B470" s="235"/>
      <c r="C470" s="235"/>
      <c r="D470" s="234"/>
      <c r="E470" s="234"/>
      <c r="F470" s="234"/>
      <c r="G470" s="234"/>
      <c r="H470" s="235"/>
      <c r="I470" s="235"/>
      <c r="J470" s="235"/>
      <c r="K470" s="235"/>
      <c r="L470" s="235"/>
      <c r="M470" s="235"/>
      <c r="N470" s="235"/>
      <c r="O470" s="235"/>
    </row>
    <row r="471" spans="1:15" ht="13.8">
      <c r="A471" s="235"/>
      <c r="B471" s="235"/>
      <c r="C471" s="235"/>
      <c r="D471" s="234"/>
      <c r="E471" s="234"/>
      <c r="F471" s="234"/>
      <c r="G471" s="234"/>
      <c r="H471" s="235"/>
      <c r="I471" s="235"/>
      <c r="J471" s="235"/>
      <c r="K471" s="235"/>
      <c r="L471" s="235"/>
      <c r="M471" s="235"/>
      <c r="N471" s="235"/>
      <c r="O471" s="235"/>
    </row>
    <row r="472" spans="1:15" ht="13.8">
      <c r="A472" s="235"/>
      <c r="B472" s="235"/>
      <c r="C472" s="235"/>
      <c r="D472" s="234"/>
      <c r="E472" s="234"/>
      <c r="F472" s="234"/>
      <c r="G472" s="234"/>
      <c r="H472" s="235"/>
      <c r="I472" s="235"/>
      <c r="J472" s="235"/>
      <c r="K472" s="235"/>
      <c r="L472" s="235"/>
      <c r="M472" s="235"/>
      <c r="N472" s="235"/>
      <c r="O472" s="235"/>
    </row>
    <row r="473" spans="1:15" ht="13.8">
      <c r="A473" s="235"/>
      <c r="B473" s="235"/>
      <c r="C473" s="235"/>
      <c r="D473" s="234"/>
      <c r="E473" s="234"/>
      <c r="F473" s="234"/>
      <c r="G473" s="234"/>
      <c r="H473" s="235"/>
      <c r="I473" s="235"/>
      <c r="J473" s="235"/>
      <c r="K473" s="235"/>
      <c r="L473" s="235"/>
      <c r="M473" s="235"/>
      <c r="N473" s="235"/>
      <c r="O473" s="235"/>
    </row>
    <row r="474" spans="1:15" ht="13.8">
      <c r="A474" s="235"/>
      <c r="B474" s="235"/>
      <c r="C474" s="235"/>
      <c r="D474" s="234"/>
      <c r="E474" s="234"/>
      <c r="F474" s="234"/>
      <c r="G474" s="234"/>
      <c r="H474" s="235"/>
      <c r="I474" s="235"/>
      <c r="J474" s="235"/>
      <c r="K474" s="235"/>
      <c r="L474" s="235"/>
      <c r="M474" s="235"/>
      <c r="N474" s="235"/>
      <c r="O474" s="235"/>
    </row>
    <row r="475" spans="1:15" ht="13.8">
      <c r="A475" s="235"/>
      <c r="B475" s="235"/>
      <c r="C475" s="235"/>
      <c r="D475" s="234"/>
      <c r="E475" s="234"/>
      <c r="F475" s="234"/>
      <c r="G475" s="234"/>
      <c r="H475" s="235"/>
      <c r="I475" s="235"/>
      <c r="J475" s="235"/>
      <c r="K475" s="235"/>
      <c r="L475" s="235"/>
      <c r="M475" s="235"/>
      <c r="N475" s="235"/>
      <c r="O475" s="235"/>
    </row>
    <row r="476" spans="1:15" ht="13.8">
      <c r="A476" s="235"/>
      <c r="B476" s="235"/>
      <c r="C476" s="235"/>
      <c r="D476" s="234"/>
      <c r="E476" s="234"/>
      <c r="F476" s="234"/>
      <c r="G476" s="234"/>
      <c r="H476" s="235"/>
      <c r="I476" s="235"/>
      <c r="J476" s="235"/>
      <c r="K476" s="235"/>
      <c r="L476" s="235"/>
      <c r="M476" s="235"/>
      <c r="N476" s="235"/>
      <c r="O476" s="235"/>
    </row>
    <row r="477" spans="1:15" ht="13.8">
      <c r="A477" s="235"/>
      <c r="B477" s="235"/>
      <c r="C477" s="235"/>
      <c r="D477" s="234"/>
      <c r="E477" s="234"/>
      <c r="F477" s="234"/>
      <c r="G477" s="234"/>
      <c r="H477" s="235"/>
      <c r="I477" s="235"/>
      <c r="J477" s="235"/>
      <c r="K477" s="235"/>
      <c r="L477" s="235"/>
      <c r="M477" s="235"/>
      <c r="N477" s="235"/>
      <c r="O477" s="235"/>
    </row>
    <row r="478" spans="1:15" ht="13.8">
      <c r="A478" s="235"/>
      <c r="B478" s="235"/>
      <c r="C478" s="235"/>
      <c r="D478" s="234"/>
      <c r="E478" s="234"/>
      <c r="F478" s="234"/>
      <c r="G478" s="234"/>
      <c r="H478" s="235"/>
      <c r="I478" s="235"/>
      <c r="J478" s="235"/>
      <c r="K478" s="235"/>
      <c r="L478" s="235"/>
      <c r="M478" s="235"/>
      <c r="N478" s="235"/>
      <c r="O478" s="235"/>
    </row>
    <row r="479" spans="1:15" ht="13.8">
      <c r="A479" s="235"/>
      <c r="B479" s="235"/>
      <c r="C479" s="235"/>
      <c r="D479" s="234"/>
      <c r="E479" s="234"/>
      <c r="F479" s="234"/>
      <c r="G479" s="234"/>
      <c r="H479" s="235"/>
      <c r="I479" s="235"/>
      <c r="J479" s="235"/>
      <c r="K479" s="235"/>
      <c r="L479" s="235"/>
      <c r="M479" s="235"/>
      <c r="N479" s="235"/>
      <c r="O479" s="235"/>
    </row>
    <row r="480" spans="1:15" ht="13.8">
      <c r="A480" s="235"/>
      <c r="B480" s="235"/>
      <c r="C480" s="235"/>
      <c r="D480" s="234"/>
      <c r="E480" s="234"/>
      <c r="F480" s="234"/>
      <c r="G480" s="234"/>
      <c r="H480" s="235"/>
      <c r="I480" s="235"/>
      <c r="J480" s="235"/>
      <c r="K480" s="235"/>
      <c r="L480" s="235"/>
      <c r="M480" s="235"/>
      <c r="N480" s="235"/>
      <c r="O480" s="235"/>
    </row>
    <row r="481" spans="1:15" ht="13.8">
      <c r="A481" s="235"/>
      <c r="B481" s="235"/>
      <c r="C481" s="235"/>
      <c r="D481" s="234"/>
      <c r="E481" s="234"/>
      <c r="F481" s="234"/>
      <c r="G481" s="234"/>
      <c r="H481" s="235"/>
      <c r="I481" s="235"/>
      <c r="J481" s="235"/>
      <c r="K481" s="235"/>
      <c r="L481" s="235"/>
      <c r="M481" s="235"/>
      <c r="N481" s="235"/>
      <c r="O481" s="235"/>
    </row>
    <row r="482" spans="1:15" ht="13.8">
      <c r="A482" s="235"/>
      <c r="B482" s="235"/>
      <c r="C482" s="235"/>
      <c r="D482" s="234"/>
      <c r="E482" s="234"/>
      <c r="F482" s="234"/>
      <c r="G482" s="234"/>
      <c r="H482" s="235"/>
      <c r="I482" s="235"/>
      <c r="J482" s="235"/>
      <c r="K482" s="235"/>
      <c r="L482" s="235"/>
      <c r="M482" s="235"/>
      <c r="N482" s="235"/>
      <c r="O482" s="235"/>
    </row>
    <row r="483" spans="1:15" ht="13.8">
      <c r="A483" s="235"/>
      <c r="B483" s="235"/>
      <c r="C483" s="235"/>
      <c r="D483" s="234"/>
      <c r="E483" s="234"/>
      <c r="F483" s="234"/>
      <c r="G483" s="234"/>
      <c r="H483" s="235"/>
      <c r="I483" s="235"/>
      <c r="J483" s="235"/>
      <c r="K483" s="235"/>
      <c r="L483" s="235"/>
      <c r="M483" s="235"/>
      <c r="N483" s="235"/>
      <c r="O483" s="235"/>
    </row>
    <row r="484" spans="1:15" ht="13.8">
      <c r="A484" s="235"/>
      <c r="B484" s="235"/>
      <c r="C484" s="235"/>
      <c r="D484" s="234"/>
      <c r="E484" s="234"/>
      <c r="F484" s="234"/>
      <c r="G484" s="234"/>
      <c r="H484" s="235"/>
      <c r="I484" s="235"/>
      <c r="J484" s="235"/>
      <c r="K484" s="235"/>
      <c r="L484" s="235"/>
      <c r="M484" s="235"/>
      <c r="N484" s="235"/>
      <c r="O484" s="235"/>
    </row>
    <row r="485" spans="1:15" ht="13.8">
      <c r="A485" s="235"/>
      <c r="B485" s="235"/>
      <c r="C485" s="235"/>
      <c r="D485" s="234"/>
      <c r="E485" s="234"/>
      <c r="F485" s="234"/>
      <c r="G485" s="234"/>
      <c r="H485" s="235"/>
      <c r="I485" s="235"/>
      <c r="J485" s="235"/>
      <c r="K485" s="235"/>
      <c r="L485" s="235"/>
      <c r="M485" s="235"/>
      <c r="N485" s="235"/>
      <c r="O485" s="235"/>
    </row>
    <row r="486" spans="1:15" ht="13.8">
      <c r="A486" s="235"/>
      <c r="B486" s="235"/>
      <c r="C486" s="235"/>
      <c r="D486" s="234"/>
      <c r="E486" s="234"/>
      <c r="F486" s="234"/>
      <c r="G486" s="234"/>
      <c r="H486" s="235"/>
      <c r="I486" s="235"/>
      <c r="J486" s="235"/>
      <c r="K486" s="235"/>
      <c r="L486" s="235"/>
      <c r="M486" s="235"/>
      <c r="N486" s="235"/>
      <c r="O486" s="235"/>
    </row>
    <row r="487" spans="1:15" ht="13.8">
      <c r="A487" s="235"/>
      <c r="B487" s="235"/>
      <c r="C487" s="235"/>
      <c r="D487" s="234"/>
      <c r="E487" s="234"/>
      <c r="F487" s="234"/>
      <c r="G487" s="234"/>
      <c r="H487" s="235"/>
      <c r="I487" s="235"/>
      <c r="J487" s="235"/>
      <c r="K487" s="235"/>
      <c r="L487" s="235"/>
      <c r="M487" s="235"/>
      <c r="N487" s="235"/>
      <c r="O487" s="235"/>
    </row>
    <row r="488" spans="1:15" ht="13.8">
      <c r="A488" s="235"/>
      <c r="B488" s="235"/>
      <c r="C488" s="235"/>
      <c r="D488" s="234"/>
      <c r="E488" s="234"/>
      <c r="F488" s="234"/>
      <c r="G488" s="234"/>
      <c r="H488" s="235"/>
      <c r="I488" s="235"/>
      <c r="J488" s="235"/>
      <c r="K488" s="235"/>
      <c r="L488" s="235"/>
      <c r="M488" s="235"/>
      <c r="N488" s="235"/>
      <c r="O488" s="235"/>
    </row>
    <row r="489" spans="1:15" ht="13.8">
      <c r="A489" s="235"/>
      <c r="B489" s="235"/>
      <c r="C489" s="235"/>
      <c r="D489" s="234"/>
      <c r="E489" s="234"/>
      <c r="F489" s="234"/>
      <c r="G489" s="234"/>
      <c r="H489" s="235"/>
      <c r="I489" s="235"/>
      <c r="J489" s="235"/>
      <c r="K489" s="235"/>
      <c r="L489" s="235"/>
      <c r="M489" s="235"/>
      <c r="N489" s="235"/>
      <c r="O489" s="235"/>
    </row>
    <row r="490" spans="1:15" ht="13.8">
      <c r="A490" s="235"/>
      <c r="B490" s="235"/>
      <c r="C490" s="235"/>
      <c r="D490" s="234"/>
      <c r="E490" s="234"/>
      <c r="F490" s="234"/>
      <c r="G490" s="234"/>
      <c r="H490" s="235"/>
      <c r="I490" s="235"/>
      <c r="J490" s="235"/>
      <c r="K490" s="235"/>
      <c r="L490" s="235"/>
      <c r="M490" s="235"/>
      <c r="N490" s="235"/>
      <c r="O490" s="235"/>
    </row>
    <row r="491" spans="1:15" ht="13.8">
      <c r="A491" s="235"/>
      <c r="B491" s="235"/>
      <c r="C491" s="235"/>
      <c r="D491" s="234"/>
      <c r="E491" s="234"/>
      <c r="F491" s="234"/>
      <c r="G491" s="234"/>
      <c r="H491" s="235"/>
      <c r="I491" s="235"/>
      <c r="J491" s="235"/>
      <c r="K491" s="235"/>
      <c r="L491" s="235"/>
      <c r="M491" s="235"/>
      <c r="N491" s="235"/>
      <c r="O491" s="235"/>
    </row>
    <row r="492" spans="1:15" ht="13.8">
      <c r="A492" s="235"/>
      <c r="B492" s="235"/>
      <c r="C492" s="235"/>
      <c r="D492" s="234"/>
      <c r="E492" s="234"/>
      <c r="F492" s="234"/>
      <c r="G492" s="234"/>
      <c r="H492" s="235"/>
      <c r="I492" s="235"/>
      <c r="J492" s="235"/>
      <c r="K492" s="235"/>
      <c r="L492" s="235"/>
      <c r="M492" s="235"/>
      <c r="N492" s="235"/>
      <c r="O492" s="235"/>
    </row>
    <row r="493" spans="1:15" ht="13.8">
      <c r="A493" s="235"/>
      <c r="B493" s="235"/>
      <c r="C493" s="235"/>
      <c r="D493" s="234"/>
      <c r="E493" s="234"/>
      <c r="F493" s="234"/>
      <c r="G493" s="234"/>
      <c r="H493" s="235"/>
      <c r="I493" s="235"/>
      <c r="J493" s="235"/>
      <c r="K493" s="235"/>
      <c r="L493" s="235"/>
      <c r="M493" s="235"/>
      <c r="N493" s="235"/>
      <c r="O493" s="235"/>
    </row>
    <row r="494" spans="1:15" ht="13.8">
      <c r="A494" s="235"/>
      <c r="B494" s="235"/>
      <c r="C494" s="235"/>
      <c r="D494" s="234"/>
      <c r="E494" s="234"/>
      <c r="F494" s="234"/>
      <c r="G494" s="234"/>
      <c r="H494" s="235"/>
      <c r="I494" s="235"/>
      <c r="J494" s="235"/>
      <c r="K494" s="235"/>
      <c r="L494" s="235"/>
      <c r="M494" s="235"/>
      <c r="N494" s="235"/>
      <c r="O494" s="235"/>
    </row>
    <row r="495" spans="1:15" ht="13.8">
      <c r="A495" s="235"/>
      <c r="B495" s="235"/>
      <c r="C495" s="235"/>
      <c r="D495" s="234"/>
      <c r="E495" s="234"/>
      <c r="F495" s="234"/>
      <c r="G495" s="234"/>
      <c r="H495" s="235"/>
      <c r="I495" s="235"/>
      <c r="J495" s="235"/>
      <c r="K495" s="235"/>
      <c r="L495" s="235"/>
      <c r="M495" s="235"/>
      <c r="N495" s="235"/>
      <c r="O495" s="235"/>
    </row>
    <row r="496" spans="1:15" ht="13.8">
      <c r="A496" s="235"/>
      <c r="B496" s="235"/>
      <c r="C496" s="235"/>
      <c r="D496" s="234"/>
      <c r="E496" s="234"/>
      <c r="F496" s="234"/>
      <c r="G496" s="234"/>
      <c r="H496" s="235"/>
      <c r="I496" s="235"/>
      <c r="J496" s="235"/>
      <c r="K496" s="235"/>
      <c r="L496" s="235"/>
      <c r="M496" s="235"/>
      <c r="N496" s="235"/>
      <c r="O496" s="235"/>
    </row>
    <row r="497" spans="1:15" ht="13.8">
      <c r="A497" s="235"/>
      <c r="B497" s="235"/>
      <c r="C497" s="235"/>
      <c r="D497" s="234"/>
      <c r="E497" s="234"/>
      <c r="F497" s="234"/>
      <c r="G497" s="234"/>
      <c r="H497" s="235"/>
      <c r="I497" s="235"/>
      <c r="J497" s="235"/>
      <c r="K497" s="235"/>
      <c r="L497" s="235"/>
      <c r="M497" s="235"/>
      <c r="N497" s="235"/>
      <c r="O497" s="235"/>
    </row>
    <row r="498" spans="1:15" ht="13.8">
      <c r="A498" s="235"/>
      <c r="B498" s="235"/>
      <c r="C498" s="235"/>
      <c r="D498" s="234"/>
      <c r="E498" s="234"/>
      <c r="F498" s="234"/>
      <c r="G498" s="234"/>
      <c r="H498" s="235"/>
      <c r="I498" s="235"/>
      <c r="J498" s="235"/>
      <c r="K498" s="235"/>
      <c r="L498" s="235"/>
      <c r="M498" s="235"/>
      <c r="N498" s="235"/>
      <c r="O498" s="235"/>
    </row>
    <row r="499" spans="1:15" ht="13.8">
      <c r="A499" s="235"/>
      <c r="B499" s="235"/>
      <c r="C499" s="235"/>
      <c r="D499" s="234"/>
      <c r="E499" s="234"/>
      <c r="F499" s="234"/>
      <c r="G499" s="234"/>
      <c r="H499" s="235"/>
      <c r="I499" s="235"/>
      <c r="J499" s="235"/>
      <c r="K499" s="235"/>
      <c r="L499" s="235"/>
      <c r="M499" s="235"/>
      <c r="N499" s="235"/>
      <c r="O499" s="235"/>
    </row>
    <row r="500" spans="1:15" ht="13.8">
      <c r="A500" s="235"/>
      <c r="B500" s="235"/>
      <c r="C500" s="235"/>
      <c r="D500" s="234"/>
      <c r="E500" s="234"/>
      <c r="F500" s="234"/>
      <c r="G500" s="234"/>
      <c r="H500" s="235"/>
      <c r="I500" s="235"/>
      <c r="J500" s="235"/>
      <c r="K500" s="235"/>
      <c r="L500" s="235"/>
      <c r="M500" s="235"/>
      <c r="N500" s="235"/>
      <c r="O500" s="235"/>
    </row>
    <row r="501" spans="1:15" ht="13.8">
      <c r="A501" s="235"/>
      <c r="B501" s="235"/>
      <c r="C501" s="235"/>
      <c r="D501" s="234"/>
      <c r="E501" s="234"/>
      <c r="F501" s="234"/>
      <c r="G501" s="234"/>
      <c r="H501" s="235"/>
      <c r="I501" s="235"/>
      <c r="J501" s="235"/>
      <c r="K501" s="235"/>
      <c r="L501" s="235"/>
      <c r="M501" s="235"/>
      <c r="N501" s="235"/>
      <c r="O501" s="235"/>
    </row>
    <row r="502" spans="1:15" ht="13.8">
      <c r="A502" s="235"/>
      <c r="B502" s="235"/>
      <c r="C502" s="235"/>
      <c r="D502" s="234"/>
      <c r="E502" s="234"/>
      <c r="F502" s="234"/>
      <c r="G502" s="234"/>
      <c r="H502" s="235"/>
      <c r="I502" s="235"/>
      <c r="J502" s="235"/>
      <c r="K502" s="235"/>
      <c r="L502" s="235"/>
      <c r="M502" s="235"/>
      <c r="N502" s="235"/>
      <c r="O502" s="235"/>
    </row>
    <row r="503" spans="1:15" ht="13.8">
      <c r="A503" s="235"/>
      <c r="B503" s="235"/>
      <c r="C503" s="235"/>
      <c r="D503" s="234"/>
      <c r="E503" s="234"/>
      <c r="F503" s="234"/>
      <c r="G503" s="234"/>
      <c r="H503" s="235"/>
      <c r="I503" s="235"/>
      <c r="J503" s="235"/>
      <c r="K503" s="235"/>
      <c r="L503" s="235"/>
      <c r="M503" s="235"/>
      <c r="N503" s="235"/>
      <c r="O503" s="235"/>
    </row>
    <row r="504" spans="1:15" ht="13.8">
      <c r="A504" s="235"/>
      <c r="B504" s="235"/>
      <c r="C504" s="235"/>
      <c r="D504" s="234"/>
      <c r="E504" s="234"/>
      <c r="F504" s="234"/>
      <c r="G504" s="234"/>
      <c r="H504" s="235"/>
      <c r="I504" s="235"/>
      <c r="J504" s="235"/>
      <c r="K504" s="235"/>
      <c r="L504" s="235"/>
      <c r="M504" s="235"/>
      <c r="N504" s="235"/>
      <c r="O504" s="235"/>
    </row>
    <row r="505" spans="1:15" ht="13.8">
      <c r="A505" s="235"/>
      <c r="B505" s="235"/>
      <c r="C505" s="235"/>
      <c r="D505" s="234"/>
      <c r="E505" s="234"/>
      <c r="F505" s="234"/>
      <c r="G505" s="234"/>
      <c r="H505" s="235"/>
      <c r="I505" s="235"/>
      <c r="J505" s="235"/>
      <c r="K505" s="235"/>
      <c r="L505" s="235"/>
      <c r="M505" s="235"/>
      <c r="N505" s="235"/>
      <c r="O505" s="235"/>
    </row>
    <row r="506" spans="1:15" ht="13.8">
      <c r="A506" s="235"/>
      <c r="B506" s="235"/>
      <c r="C506" s="235"/>
      <c r="D506" s="234"/>
      <c r="E506" s="234"/>
      <c r="F506" s="234"/>
      <c r="G506" s="234"/>
      <c r="H506" s="235"/>
      <c r="I506" s="235"/>
      <c r="J506" s="235"/>
      <c r="K506" s="235"/>
      <c r="L506" s="235"/>
      <c r="M506" s="235"/>
      <c r="N506" s="235"/>
      <c r="O506" s="235"/>
    </row>
    <row r="507" spans="1:15" ht="13.8">
      <c r="A507" s="235"/>
      <c r="B507" s="235"/>
      <c r="C507" s="235"/>
      <c r="D507" s="234"/>
      <c r="E507" s="234"/>
      <c r="F507" s="234"/>
      <c r="G507" s="234"/>
      <c r="H507" s="235"/>
      <c r="I507" s="235"/>
      <c r="J507" s="235"/>
      <c r="K507" s="235"/>
      <c r="L507" s="235"/>
      <c r="M507" s="235"/>
      <c r="N507" s="235"/>
      <c r="O507" s="235"/>
    </row>
    <row r="508" spans="1:15" ht="13.8">
      <c r="A508" s="235"/>
      <c r="B508" s="235"/>
      <c r="C508" s="235"/>
      <c r="D508" s="234"/>
      <c r="E508" s="234"/>
      <c r="F508" s="234"/>
      <c r="G508" s="234"/>
      <c r="H508" s="235"/>
      <c r="I508" s="235"/>
      <c r="J508" s="235"/>
      <c r="K508" s="235"/>
      <c r="L508" s="235"/>
      <c r="M508" s="235"/>
      <c r="N508" s="235"/>
      <c r="O508" s="235"/>
    </row>
    <row r="509" spans="1:15" ht="13.8">
      <c r="A509" s="235"/>
      <c r="B509" s="235"/>
      <c r="C509" s="235"/>
      <c r="D509" s="234"/>
      <c r="E509" s="234"/>
      <c r="F509" s="234"/>
      <c r="G509" s="234"/>
      <c r="H509" s="235"/>
      <c r="I509" s="235"/>
      <c r="J509" s="235"/>
      <c r="K509" s="235"/>
      <c r="L509" s="235"/>
      <c r="M509" s="235"/>
      <c r="N509" s="235"/>
      <c r="O509" s="235"/>
    </row>
    <row r="510" spans="1:15" ht="13.8">
      <c r="A510" s="235"/>
      <c r="B510" s="235"/>
      <c r="C510" s="235"/>
      <c r="D510" s="234"/>
      <c r="E510" s="234"/>
      <c r="F510" s="234"/>
      <c r="G510" s="234"/>
      <c r="H510" s="235"/>
      <c r="I510" s="235"/>
      <c r="J510" s="235"/>
      <c r="K510" s="235"/>
      <c r="L510" s="235"/>
      <c r="M510" s="235"/>
      <c r="N510" s="235"/>
      <c r="O510" s="235"/>
    </row>
    <row r="511" spans="1:15" ht="13.8">
      <c r="A511" s="235"/>
      <c r="B511" s="235"/>
      <c r="C511" s="235"/>
      <c r="D511" s="234"/>
      <c r="E511" s="234"/>
      <c r="F511" s="234"/>
      <c r="G511" s="234"/>
      <c r="H511" s="235"/>
      <c r="I511" s="235"/>
      <c r="J511" s="235"/>
      <c r="K511" s="235"/>
      <c r="L511" s="235"/>
      <c r="M511" s="235"/>
      <c r="N511" s="235"/>
      <c r="O511" s="235"/>
    </row>
    <row r="512" spans="1:15" ht="13.8">
      <c r="A512" s="235"/>
      <c r="B512" s="235"/>
      <c r="C512" s="235"/>
      <c r="D512" s="234"/>
      <c r="E512" s="234"/>
      <c r="F512" s="234"/>
      <c r="G512" s="234"/>
      <c r="H512" s="235"/>
      <c r="I512" s="235"/>
      <c r="J512" s="235"/>
      <c r="K512" s="235"/>
      <c r="L512" s="235"/>
      <c r="M512" s="235"/>
      <c r="N512" s="235"/>
      <c r="O512" s="235"/>
    </row>
    <row r="513" spans="1:15" ht="13.8">
      <c r="A513" s="235"/>
      <c r="B513" s="235"/>
      <c r="C513" s="235"/>
      <c r="D513" s="234"/>
      <c r="E513" s="234"/>
      <c r="F513" s="234"/>
      <c r="G513" s="234"/>
      <c r="H513" s="235"/>
      <c r="I513" s="235"/>
      <c r="J513" s="235"/>
      <c r="K513" s="235"/>
      <c r="L513" s="235"/>
      <c r="M513" s="235"/>
      <c r="N513" s="235"/>
      <c r="O513" s="235"/>
    </row>
    <row r="514" spans="1:15" ht="13.8">
      <c r="A514" s="235"/>
      <c r="B514" s="235"/>
      <c r="C514" s="235"/>
      <c r="D514" s="234"/>
      <c r="E514" s="234"/>
      <c r="F514" s="234"/>
      <c r="G514" s="234"/>
      <c r="H514" s="235"/>
      <c r="I514" s="235"/>
      <c r="J514" s="235"/>
      <c r="K514" s="235"/>
      <c r="L514" s="235"/>
      <c r="M514" s="235"/>
      <c r="N514" s="235"/>
      <c r="O514" s="235"/>
    </row>
    <row r="515" spans="1:15" ht="13.8">
      <c r="A515" s="235"/>
      <c r="B515" s="235"/>
      <c r="C515" s="235"/>
      <c r="D515" s="234"/>
      <c r="E515" s="234"/>
      <c r="F515" s="234"/>
      <c r="G515" s="234"/>
      <c r="H515" s="235"/>
      <c r="I515" s="235"/>
      <c r="J515" s="235"/>
      <c r="K515" s="235"/>
      <c r="L515" s="235"/>
      <c r="M515" s="235"/>
      <c r="N515" s="235"/>
      <c r="O515" s="235"/>
    </row>
    <row r="516" spans="1:15" ht="13.8">
      <c r="A516" s="235"/>
      <c r="B516" s="235"/>
      <c r="C516" s="235"/>
      <c r="D516" s="234"/>
      <c r="E516" s="234"/>
      <c r="F516" s="234"/>
      <c r="G516" s="234"/>
      <c r="H516" s="235"/>
      <c r="I516" s="235"/>
      <c r="J516" s="235"/>
      <c r="K516" s="235"/>
      <c r="L516" s="235"/>
      <c r="M516" s="235"/>
      <c r="N516" s="235"/>
      <c r="O516" s="235"/>
    </row>
    <row r="517" spans="1:15" ht="13.8">
      <c r="A517" s="235"/>
      <c r="B517" s="235"/>
      <c r="C517" s="235"/>
      <c r="D517" s="234"/>
      <c r="E517" s="234"/>
      <c r="F517" s="234"/>
      <c r="G517" s="234"/>
      <c r="H517" s="235"/>
      <c r="I517" s="235"/>
      <c r="J517" s="235"/>
      <c r="K517" s="235"/>
      <c r="L517" s="235"/>
      <c r="M517" s="235"/>
      <c r="N517" s="235"/>
      <c r="O517" s="235"/>
    </row>
    <row r="518" spans="1:15" ht="13.8">
      <c r="A518" s="235"/>
      <c r="B518" s="235"/>
      <c r="C518" s="235"/>
      <c r="D518" s="234"/>
      <c r="E518" s="234"/>
      <c r="F518" s="234"/>
      <c r="G518" s="234"/>
      <c r="H518" s="235"/>
      <c r="I518" s="235"/>
      <c r="J518" s="235"/>
      <c r="K518" s="235"/>
      <c r="L518" s="235"/>
      <c r="M518" s="235"/>
      <c r="N518" s="235"/>
      <c r="O518" s="235"/>
    </row>
    <row r="519" spans="1:15" ht="13.8">
      <c r="A519" s="235"/>
      <c r="B519" s="235"/>
      <c r="C519" s="235"/>
      <c r="D519" s="234"/>
      <c r="E519" s="234"/>
      <c r="F519" s="234"/>
      <c r="G519" s="234"/>
      <c r="H519" s="235"/>
      <c r="I519" s="235"/>
      <c r="J519" s="235"/>
      <c r="K519" s="235"/>
      <c r="L519" s="235"/>
      <c r="M519" s="235"/>
      <c r="N519" s="235"/>
      <c r="O519" s="235"/>
    </row>
    <row r="520" spans="1:15" ht="13.8">
      <c r="A520" s="235"/>
      <c r="B520" s="235"/>
      <c r="C520" s="235"/>
      <c r="D520" s="234"/>
      <c r="E520" s="234"/>
      <c r="F520" s="234"/>
      <c r="G520" s="234"/>
      <c r="H520" s="235"/>
      <c r="I520" s="235"/>
      <c r="J520" s="235"/>
      <c r="K520" s="235"/>
      <c r="L520" s="235"/>
      <c r="M520" s="235"/>
      <c r="N520" s="235"/>
      <c r="O520" s="235"/>
    </row>
    <row r="521" spans="1:15" ht="13.8">
      <c r="A521" s="235"/>
      <c r="B521" s="235"/>
      <c r="C521" s="235"/>
      <c r="D521" s="234"/>
      <c r="E521" s="234"/>
      <c r="F521" s="234"/>
      <c r="G521" s="234"/>
      <c r="H521" s="235"/>
      <c r="I521" s="235"/>
      <c r="J521" s="235"/>
      <c r="K521" s="235"/>
      <c r="L521" s="235"/>
      <c r="M521" s="235"/>
      <c r="N521" s="235"/>
      <c r="O521" s="235"/>
    </row>
    <row r="522" spans="1:15" ht="13.8">
      <c r="A522" s="235"/>
      <c r="B522" s="235"/>
      <c r="C522" s="235"/>
      <c r="D522" s="234"/>
      <c r="E522" s="234"/>
      <c r="F522" s="234"/>
      <c r="G522" s="234"/>
      <c r="H522" s="235"/>
      <c r="I522" s="235"/>
      <c r="J522" s="235"/>
      <c r="K522" s="235"/>
      <c r="L522" s="235"/>
      <c r="M522" s="235"/>
      <c r="N522" s="235"/>
      <c r="O522" s="235"/>
    </row>
    <row r="523" spans="1:15" ht="13.8">
      <c r="A523" s="235"/>
      <c r="B523" s="235"/>
      <c r="C523" s="235"/>
      <c r="D523" s="234"/>
      <c r="E523" s="234"/>
      <c r="F523" s="234"/>
      <c r="G523" s="234"/>
      <c r="H523" s="235"/>
      <c r="I523" s="235"/>
      <c r="J523" s="235"/>
      <c r="K523" s="235"/>
      <c r="L523" s="235"/>
      <c r="M523" s="235"/>
      <c r="N523" s="235"/>
      <c r="O523" s="235"/>
    </row>
    <row r="524" spans="1:15" ht="13.8">
      <c r="A524" s="235"/>
      <c r="B524" s="235"/>
      <c r="C524" s="235"/>
      <c r="D524" s="234"/>
      <c r="E524" s="234"/>
      <c r="F524" s="234"/>
      <c r="G524" s="234"/>
      <c r="H524" s="235"/>
      <c r="I524" s="235"/>
      <c r="J524" s="235"/>
      <c r="K524" s="235"/>
      <c r="L524" s="235"/>
      <c r="M524" s="235"/>
      <c r="N524" s="235"/>
      <c r="O524" s="235"/>
    </row>
    <row r="525" spans="1:15" ht="13.8">
      <c r="A525" s="235"/>
      <c r="B525" s="235"/>
      <c r="C525" s="235"/>
      <c r="D525" s="234"/>
      <c r="E525" s="234"/>
      <c r="F525" s="234"/>
      <c r="G525" s="234"/>
      <c r="H525" s="235"/>
      <c r="I525" s="235"/>
      <c r="J525" s="235"/>
      <c r="K525" s="235"/>
      <c r="L525" s="235"/>
      <c r="M525" s="235"/>
      <c r="N525" s="235"/>
      <c r="O525" s="235"/>
    </row>
    <row r="526" spans="1:15" ht="13.8">
      <c r="A526" s="235"/>
      <c r="B526" s="235"/>
      <c r="C526" s="235"/>
      <c r="D526" s="234"/>
      <c r="E526" s="234"/>
      <c r="F526" s="234"/>
      <c r="G526" s="234"/>
      <c r="H526" s="235"/>
      <c r="I526" s="235"/>
      <c r="J526" s="235"/>
      <c r="K526" s="235"/>
      <c r="L526" s="235"/>
      <c r="M526" s="235"/>
      <c r="N526" s="235"/>
      <c r="O526" s="235"/>
    </row>
    <row r="527" spans="1:15" ht="13.8">
      <c r="A527" s="235"/>
      <c r="B527" s="235"/>
      <c r="C527" s="235"/>
      <c r="D527" s="234"/>
      <c r="E527" s="234"/>
      <c r="F527" s="234"/>
      <c r="G527" s="234"/>
      <c r="H527" s="235"/>
      <c r="I527" s="235"/>
      <c r="J527" s="235"/>
      <c r="K527" s="235"/>
      <c r="L527" s="235"/>
      <c r="M527" s="235"/>
      <c r="N527" s="235"/>
      <c r="O527" s="235"/>
    </row>
    <row r="528" spans="1:15" ht="13.8">
      <c r="A528" s="235"/>
      <c r="B528" s="235"/>
      <c r="C528" s="235"/>
      <c r="D528" s="234"/>
      <c r="E528" s="234"/>
      <c r="F528" s="234"/>
      <c r="G528" s="234"/>
      <c r="H528" s="235"/>
      <c r="I528" s="235"/>
      <c r="J528" s="235"/>
      <c r="K528" s="235"/>
      <c r="L528" s="235"/>
      <c r="M528" s="235"/>
      <c r="N528" s="235"/>
      <c r="O528" s="235"/>
    </row>
    <row r="529" spans="1:15" ht="13.8">
      <c r="A529" s="235"/>
      <c r="B529" s="235"/>
      <c r="C529" s="235"/>
      <c r="D529" s="234"/>
      <c r="E529" s="234"/>
      <c r="F529" s="234"/>
      <c r="G529" s="234"/>
      <c r="H529" s="235"/>
      <c r="I529" s="235"/>
      <c r="J529" s="235"/>
      <c r="K529" s="235"/>
      <c r="L529" s="235"/>
      <c r="M529" s="235"/>
      <c r="N529" s="235"/>
      <c r="O529" s="235"/>
    </row>
    <row r="530" spans="1:15" ht="13.8">
      <c r="A530" s="235"/>
      <c r="B530" s="235"/>
      <c r="C530" s="235"/>
      <c r="D530" s="234"/>
      <c r="E530" s="234"/>
      <c r="F530" s="234"/>
      <c r="G530" s="234"/>
      <c r="H530" s="235"/>
      <c r="I530" s="235"/>
      <c r="J530" s="235"/>
      <c r="K530" s="235"/>
      <c r="L530" s="235"/>
      <c r="M530" s="235"/>
      <c r="N530" s="235"/>
      <c r="O530" s="235"/>
    </row>
    <row r="531" spans="1:15" ht="13.8">
      <c r="A531" s="235"/>
      <c r="B531" s="235"/>
      <c r="C531" s="235"/>
      <c r="D531" s="234"/>
      <c r="E531" s="234"/>
      <c r="F531" s="234"/>
      <c r="G531" s="234"/>
      <c r="H531" s="235"/>
      <c r="I531" s="235"/>
      <c r="J531" s="235"/>
      <c r="K531" s="235"/>
      <c r="L531" s="235"/>
      <c r="M531" s="235"/>
      <c r="N531" s="235"/>
      <c r="O531" s="235"/>
    </row>
    <row r="532" spans="1:15" ht="13.8">
      <c r="A532" s="235"/>
      <c r="B532" s="235"/>
      <c r="C532" s="235"/>
      <c r="D532" s="234"/>
      <c r="E532" s="234"/>
      <c r="F532" s="234"/>
      <c r="G532" s="234"/>
      <c r="H532" s="235"/>
      <c r="I532" s="235"/>
      <c r="J532" s="235"/>
      <c r="K532" s="235"/>
      <c r="L532" s="235"/>
      <c r="M532" s="235"/>
      <c r="N532" s="235"/>
      <c r="O532" s="235"/>
    </row>
    <row r="533" spans="1:15" ht="13.8">
      <c r="A533" s="235"/>
      <c r="B533" s="235"/>
      <c r="C533" s="235"/>
      <c r="D533" s="234"/>
      <c r="E533" s="234"/>
      <c r="F533" s="234"/>
      <c r="G533" s="234"/>
      <c r="H533" s="235"/>
      <c r="I533" s="235"/>
      <c r="J533" s="235"/>
      <c r="K533" s="235"/>
      <c r="L533" s="235"/>
      <c r="M533" s="235"/>
      <c r="N533" s="235"/>
      <c r="O533" s="235"/>
    </row>
    <row r="534" spans="1:15" ht="13.8">
      <c r="A534" s="235"/>
      <c r="B534" s="235"/>
      <c r="C534" s="235"/>
      <c r="D534" s="234"/>
      <c r="E534" s="234"/>
      <c r="F534" s="234"/>
      <c r="G534" s="234"/>
      <c r="H534" s="235"/>
      <c r="I534" s="235"/>
      <c r="J534" s="235"/>
      <c r="K534" s="235"/>
      <c r="L534" s="235"/>
      <c r="M534" s="235"/>
      <c r="N534" s="235"/>
      <c r="O534" s="235"/>
    </row>
    <row r="535" spans="1:15" ht="13.8">
      <c r="A535" s="235"/>
      <c r="B535" s="235"/>
      <c r="C535" s="235"/>
      <c r="D535" s="234"/>
      <c r="E535" s="234"/>
      <c r="F535" s="234"/>
      <c r="G535" s="234"/>
      <c r="H535" s="235"/>
      <c r="I535" s="235"/>
      <c r="J535" s="235"/>
      <c r="K535" s="235"/>
      <c r="L535" s="235"/>
      <c r="M535" s="235"/>
      <c r="N535" s="235"/>
      <c r="O535" s="235"/>
    </row>
    <row r="536" spans="1:15" ht="13.8">
      <c r="A536" s="235"/>
      <c r="B536" s="235"/>
      <c r="C536" s="235"/>
      <c r="D536" s="234"/>
      <c r="E536" s="234"/>
      <c r="F536" s="234"/>
      <c r="G536" s="234"/>
      <c r="H536" s="235"/>
      <c r="I536" s="235"/>
      <c r="J536" s="235"/>
      <c r="K536" s="235"/>
      <c r="L536" s="235"/>
      <c r="M536" s="235"/>
      <c r="N536" s="235"/>
      <c r="O536" s="235"/>
    </row>
    <row r="537" spans="1:15" ht="13.8">
      <c r="A537" s="235"/>
      <c r="B537" s="235"/>
      <c r="C537" s="235"/>
      <c r="D537" s="234"/>
      <c r="E537" s="234"/>
      <c r="F537" s="234"/>
      <c r="G537" s="234"/>
      <c r="H537" s="235"/>
      <c r="I537" s="235"/>
      <c r="J537" s="235"/>
      <c r="K537" s="235"/>
      <c r="L537" s="235"/>
      <c r="M537" s="235"/>
      <c r="N537" s="235"/>
      <c r="O537" s="235"/>
    </row>
    <row r="538" spans="1:15" ht="13.8">
      <c r="A538" s="235"/>
      <c r="B538" s="235"/>
      <c r="C538" s="235"/>
      <c r="D538" s="234"/>
      <c r="E538" s="234"/>
      <c r="F538" s="234"/>
      <c r="G538" s="234"/>
      <c r="H538" s="235"/>
      <c r="I538" s="235"/>
      <c r="J538" s="235"/>
      <c r="K538" s="235"/>
      <c r="L538" s="235"/>
      <c r="M538" s="235"/>
      <c r="N538" s="235"/>
      <c r="O538" s="235"/>
    </row>
    <row r="539" spans="1:15" ht="13.8">
      <c r="A539" s="235"/>
      <c r="B539" s="235"/>
      <c r="C539" s="235"/>
      <c r="D539" s="234"/>
      <c r="E539" s="234"/>
      <c r="F539" s="234"/>
      <c r="G539" s="234"/>
      <c r="H539" s="235"/>
      <c r="I539" s="235"/>
      <c r="J539" s="235"/>
      <c r="K539" s="235"/>
      <c r="L539" s="235"/>
      <c r="M539" s="235"/>
      <c r="N539" s="235"/>
      <c r="O539" s="235"/>
    </row>
    <row r="540" spans="1:15" ht="13.8">
      <c r="A540" s="235"/>
      <c r="B540" s="235"/>
      <c r="C540" s="235"/>
      <c r="D540" s="234"/>
      <c r="E540" s="234"/>
      <c r="F540" s="234"/>
      <c r="G540" s="234"/>
      <c r="H540" s="235"/>
      <c r="I540" s="235"/>
      <c r="J540" s="235"/>
      <c r="K540" s="235"/>
      <c r="L540" s="235"/>
      <c r="M540" s="235"/>
      <c r="N540" s="235"/>
      <c r="O540" s="235"/>
    </row>
    <row r="541" spans="1:15" ht="13.8">
      <c r="A541" s="235"/>
      <c r="B541" s="235"/>
      <c r="C541" s="235"/>
      <c r="D541" s="234"/>
      <c r="E541" s="234"/>
      <c r="F541" s="234"/>
      <c r="G541" s="234"/>
      <c r="H541" s="235"/>
      <c r="I541" s="235"/>
      <c r="J541" s="235"/>
      <c r="K541" s="235"/>
      <c r="L541" s="235"/>
      <c r="M541" s="235"/>
      <c r="N541" s="235"/>
      <c r="O541" s="235"/>
    </row>
    <row r="542" spans="1:15" ht="13.8">
      <c r="A542" s="235"/>
      <c r="B542" s="235"/>
      <c r="C542" s="235"/>
      <c r="D542" s="234"/>
      <c r="E542" s="234"/>
      <c r="F542" s="234"/>
      <c r="G542" s="234"/>
      <c r="H542" s="235"/>
      <c r="I542" s="235"/>
      <c r="J542" s="235"/>
      <c r="K542" s="235"/>
      <c r="L542" s="235"/>
      <c r="M542" s="235"/>
      <c r="N542" s="235"/>
      <c r="O542" s="235"/>
    </row>
    <row r="543" spans="1:15" ht="13.8">
      <c r="A543" s="235"/>
      <c r="B543" s="235"/>
      <c r="C543" s="235"/>
      <c r="D543" s="234"/>
      <c r="E543" s="234"/>
      <c r="F543" s="234"/>
      <c r="G543" s="234"/>
      <c r="H543" s="235"/>
      <c r="I543" s="235"/>
      <c r="J543" s="235"/>
      <c r="K543" s="235"/>
      <c r="L543" s="235"/>
      <c r="M543" s="235"/>
      <c r="N543" s="235"/>
      <c r="O543" s="235"/>
    </row>
    <row r="544" spans="1:15" ht="13.8">
      <c r="A544" s="235"/>
      <c r="B544" s="235"/>
      <c r="C544" s="235"/>
      <c r="D544" s="234"/>
      <c r="E544" s="234"/>
      <c r="F544" s="234"/>
      <c r="G544" s="234"/>
      <c r="H544" s="235"/>
      <c r="I544" s="235"/>
      <c r="J544" s="235"/>
      <c r="K544" s="235"/>
      <c r="L544" s="235"/>
      <c r="M544" s="235"/>
      <c r="N544" s="235"/>
      <c r="O544" s="235"/>
    </row>
    <row r="545" spans="1:15" ht="13.8">
      <c r="A545" s="235"/>
      <c r="B545" s="235"/>
      <c r="C545" s="235"/>
      <c r="D545" s="234"/>
      <c r="E545" s="234"/>
      <c r="F545" s="234"/>
      <c r="G545" s="234"/>
      <c r="H545" s="235"/>
      <c r="I545" s="235"/>
      <c r="J545" s="235"/>
      <c r="K545" s="235"/>
      <c r="L545" s="235"/>
      <c r="M545" s="235"/>
      <c r="N545" s="235"/>
      <c r="O545" s="235"/>
    </row>
    <row r="546" spans="1:15" ht="13.8">
      <c r="A546" s="235"/>
      <c r="B546" s="235"/>
      <c r="C546" s="235"/>
      <c r="D546" s="234"/>
      <c r="E546" s="234"/>
      <c r="F546" s="234"/>
      <c r="G546" s="234"/>
      <c r="H546" s="235"/>
      <c r="I546" s="235"/>
      <c r="J546" s="235"/>
      <c r="K546" s="235"/>
      <c r="L546" s="235"/>
      <c r="M546" s="235"/>
      <c r="N546" s="235"/>
      <c r="O546" s="235"/>
    </row>
    <row r="547" spans="1:15" ht="13.8">
      <c r="A547" s="235"/>
      <c r="B547" s="235"/>
      <c r="C547" s="235"/>
      <c r="D547" s="234"/>
      <c r="E547" s="234"/>
      <c r="F547" s="234"/>
      <c r="G547" s="234"/>
      <c r="H547" s="235"/>
      <c r="I547" s="235"/>
      <c r="J547" s="235"/>
      <c r="K547" s="235"/>
      <c r="L547" s="235"/>
      <c r="M547" s="235"/>
      <c r="N547" s="235"/>
      <c r="O547" s="235"/>
    </row>
    <row r="548" spans="1:15" ht="13.8">
      <c r="A548" s="235"/>
      <c r="B548" s="235"/>
      <c r="C548" s="235"/>
      <c r="D548" s="234"/>
      <c r="E548" s="234"/>
      <c r="F548" s="234"/>
      <c r="G548" s="234"/>
      <c r="H548" s="235"/>
      <c r="I548" s="235"/>
      <c r="J548" s="235"/>
      <c r="K548" s="235"/>
      <c r="L548" s="235"/>
      <c r="M548" s="235"/>
      <c r="N548" s="235"/>
      <c r="O548" s="235"/>
    </row>
    <row r="549" spans="1:15" ht="13.8">
      <c r="A549" s="235"/>
      <c r="B549" s="235"/>
      <c r="C549" s="235"/>
      <c r="D549" s="234"/>
      <c r="E549" s="234"/>
      <c r="F549" s="234"/>
      <c r="G549" s="234"/>
      <c r="H549" s="235"/>
      <c r="I549" s="235"/>
      <c r="J549" s="235"/>
      <c r="K549" s="235"/>
      <c r="L549" s="235"/>
      <c r="M549" s="235"/>
      <c r="N549" s="235"/>
      <c r="O549" s="235"/>
    </row>
    <row r="550" spans="1:15" ht="13.8">
      <c r="A550" s="235"/>
      <c r="B550" s="235"/>
      <c r="C550" s="235"/>
      <c r="D550" s="234"/>
      <c r="E550" s="234"/>
      <c r="F550" s="234"/>
      <c r="G550" s="234"/>
      <c r="H550" s="235"/>
      <c r="I550" s="235"/>
      <c r="J550" s="235"/>
      <c r="K550" s="235"/>
      <c r="L550" s="235"/>
      <c r="M550" s="235"/>
      <c r="N550" s="235"/>
      <c r="O550" s="235"/>
    </row>
    <row r="551" spans="1:15" ht="13.8">
      <c r="A551" s="235"/>
      <c r="B551" s="235"/>
      <c r="C551" s="235"/>
      <c r="D551" s="234"/>
      <c r="E551" s="234"/>
      <c r="F551" s="234"/>
      <c r="G551" s="234"/>
      <c r="H551" s="235"/>
      <c r="I551" s="235"/>
      <c r="J551" s="235"/>
      <c r="K551" s="235"/>
      <c r="L551" s="235"/>
      <c r="M551" s="235"/>
      <c r="N551" s="235"/>
      <c r="O551" s="235"/>
    </row>
    <row r="552" spans="1:15" ht="13.8">
      <c r="A552" s="235"/>
      <c r="B552" s="235"/>
      <c r="C552" s="235"/>
      <c r="D552" s="234"/>
      <c r="E552" s="234"/>
      <c r="F552" s="234"/>
      <c r="G552" s="234"/>
      <c r="H552" s="235"/>
      <c r="I552" s="235"/>
      <c r="J552" s="235"/>
      <c r="K552" s="235"/>
      <c r="L552" s="235"/>
      <c r="M552" s="235"/>
      <c r="N552" s="235"/>
      <c r="O552" s="235"/>
    </row>
    <row r="553" spans="1:15" ht="13.8">
      <c r="A553" s="235"/>
      <c r="B553" s="235"/>
      <c r="C553" s="235"/>
      <c r="D553" s="234"/>
      <c r="E553" s="234"/>
      <c r="F553" s="234"/>
      <c r="G553" s="234"/>
      <c r="H553" s="235"/>
      <c r="I553" s="235"/>
      <c r="J553" s="235"/>
      <c r="K553" s="235"/>
      <c r="L553" s="235"/>
      <c r="M553" s="235"/>
      <c r="N553" s="235"/>
      <c r="O553" s="235"/>
    </row>
    <row r="554" spans="1:15" ht="13.8">
      <c r="A554" s="235"/>
      <c r="B554" s="235"/>
      <c r="C554" s="235"/>
      <c r="D554" s="234"/>
      <c r="E554" s="234"/>
      <c r="F554" s="234"/>
      <c r="G554" s="234"/>
      <c r="H554" s="235"/>
      <c r="I554" s="235"/>
      <c r="J554" s="235"/>
      <c r="K554" s="235"/>
      <c r="L554" s="235"/>
      <c r="M554" s="235"/>
      <c r="N554" s="235"/>
      <c r="O554" s="235"/>
    </row>
    <row r="555" spans="1:15" ht="13.8">
      <c r="A555" s="235"/>
      <c r="B555" s="235"/>
      <c r="C555" s="235"/>
      <c r="D555" s="234"/>
      <c r="E555" s="234"/>
      <c r="F555" s="234"/>
      <c r="G555" s="234"/>
      <c r="H555" s="235"/>
      <c r="I555" s="235"/>
      <c r="J555" s="235"/>
      <c r="K555" s="235"/>
      <c r="L555" s="235"/>
      <c r="M555" s="235"/>
      <c r="N555" s="235"/>
      <c r="O555" s="235"/>
    </row>
    <row r="556" spans="1:15" ht="13.8">
      <c r="A556" s="235"/>
      <c r="B556" s="235"/>
      <c r="C556" s="235"/>
      <c r="D556" s="234"/>
      <c r="E556" s="234"/>
      <c r="F556" s="234"/>
      <c r="G556" s="234"/>
      <c r="H556" s="235"/>
      <c r="I556" s="235"/>
      <c r="J556" s="235"/>
      <c r="K556" s="235"/>
      <c r="L556" s="235"/>
      <c r="M556" s="235"/>
      <c r="N556" s="235"/>
      <c r="O556" s="235"/>
    </row>
    <row r="557" spans="1:15" ht="13.8">
      <c r="A557" s="235"/>
      <c r="B557" s="235"/>
      <c r="C557" s="235"/>
      <c r="D557" s="234"/>
      <c r="E557" s="234"/>
      <c r="F557" s="234"/>
      <c r="G557" s="234"/>
      <c r="H557" s="235"/>
      <c r="I557" s="235"/>
      <c r="J557" s="235"/>
      <c r="K557" s="235"/>
      <c r="L557" s="235"/>
      <c r="M557" s="235"/>
      <c r="N557" s="235"/>
      <c r="O557" s="235"/>
    </row>
    <row r="558" spans="1:15" ht="13.8">
      <c r="A558" s="235"/>
      <c r="B558" s="235"/>
      <c r="C558" s="235"/>
      <c r="D558" s="234"/>
      <c r="E558" s="234"/>
      <c r="F558" s="234"/>
      <c r="G558" s="234"/>
      <c r="H558" s="235"/>
      <c r="I558" s="235"/>
      <c r="J558" s="235"/>
      <c r="K558" s="235"/>
      <c r="L558" s="235"/>
      <c r="M558" s="235"/>
      <c r="N558" s="235"/>
      <c r="O558" s="235"/>
    </row>
    <row r="559" spans="1:15" ht="13.8">
      <c r="A559" s="235"/>
      <c r="B559" s="235"/>
      <c r="C559" s="235"/>
      <c r="D559" s="234"/>
      <c r="E559" s="234"/>
      <c r="F559" s="234"/>
      <c r="G559" s="234"/>
      <c r="H559" s="235"/>
      <c r="I559" s="235"/>
      <c r="J559" s="235"/>
      <c r="K559" s="235"/>
      <c r="L559" s="235"/>
      <c r="M559" s="235"/>
      <c r="N559" s="235"/>
      <c r="O559" s="235"/>
    </row>
    <row r="560" spans="1:15" ht="13.8">
      <c r="A560" s="235"/>
      <c r="B560" s="235"/>
      <c r="C560" s="235"/>
      <c r="D560" s="234"/>
      <c r="E560" s="234"/>
      <c r="F560" s="234"/>
      <c r="G560" s="234"/>
      <c r="H560" s="235"/>
      <c r="I560" s="235"/>
      <c r="J560" s="235"/>
      <c r="K560" s="235"/>
      <c r="L560" s="235"/>
      <c r="M560" s="235"/>
      <c r="N560" s="235"/>
      <c r="O560" s="235"/>
    </row>
    <row r="561" spans="1:15" ht="13.8">
      <c r="A561" s="235"/>
      <c r="B561" s="235"/>
      <c r="C561" s="235"/>
      <c r="D561" s="234"/>
      <c r="E561" s="234"/>
      <c r="F561" s="234"/>
      <c r="G561" s="234"/>
      <c r="H561" s="235"/>
      <c r="I561" s="235"/>
      <c r="J561" s="235"/>
      <c r="K561" s="235"/>
      <c r="L561" s="235"/>
      <c r="M561" s="235"/>
      <c r="N561" s="235"/>
      <c r="O561" s="235"/>
    </row>
    <row r="562" spans="1:15" ht="13.8">
      <c r="A562" s="235"/>
      <c r="B562" s="235"/>
      <c r="C562" s="235"/>
      <c r="D562" s="234"/>
      <c r="E562" s="234"/>
      <c r="F562" s="234"/>
      <c r="G562" s="234"/>
      <c r="H562" s="235"/>
      <c r="I562" s="235"/>
      <c r="J562" s="235"/>
      <c r="K562" s="235"/>
      <c r="L562" s="235"/>
      <c r="M562" s="235"/>
      <c r="N562" s="235"/>
      <c r="O562" s="235"/>
    </row>
    <row r="563" spans="1:15" ht="13.8">
      <c r="A563" s="235"/>
      <c r="B563" s="235"/>
      <c r="C563" s="235"/>
      <c r="D563" s="234"/>
      <c r="E563" s="234"/>
      <c r="F563" s="234"/>
      <c r="G563" s="234"/>
      <c r="H563" s="235"/>
      <c r="I563" s="235"/>
      <c r="J563" s="235"/>
      <c r="K563" s="235"/>
      <c r="L563" s="235"/>
      <c r="M563" s="235"/>
      <c r="N563" s="235"/>
      <c r="O563" s="235"/>
    </row>
    <row r="564" spans="1:15" ht="13.8">
      <c r="A564" s="235"/>
      <c r="B564" s="235"/>
      <c r="C564" s="235"/>
      <c r="D564" s="234"/>
      <c r="E564" s="234"/>
      <c r="F564" s="234"/>
      <c r="G564" s="234"/>
      <c r="H564" s="235"/>
      <c r="I564" s="235"/>
      <c r="J564" s="235"/>
      <c r="K564" s="235"/>
      <c r="L564" s="235"/>
      <c r="M564" s="235"/>
      <c r="N564" s="235"/>
      <c r="O564" s="235"/>
    </row>
    <row r="565" spans="1:15" ht="13.8">
      <c r="A565" s="235"/>
      <c r="B565" s="235"/>
      <c r="C565" s="235"/>
      <c r="D565" s="234"/>
      <c r="E565" s="234"/>
      <c r="F565" s="234"/>
      <c r="G565" s="234"/>
      <c r="H565" s="235"/>
      <c r="I565" s="235"/>
      <c r="J565" s="235"/>
      <c r="K565" s="235"/>
      <c r="L565" s="235"/>
      <c r="M565" s="235"/>
      <c r="N565" s="235"/>
      <c r="O565" s="235"/>
    </row>
    <row r="566" spans="1:15" ht="13.8">
      <c r="A566" s="235"/>
      <c r="B566" s="235"/>
      <c r="C566" s="235"/>
      <c r="D566" s="234"/>
      <c r="E566" s="234"/>
      <c r="F566" s="234"/>
      <c r="G566" s="234"/>
      <c r="H566" s="235"/>
      <c r="I566" s="235"/>
      <c r="J566" s="235"/>
      <c r="K566" s="235"/>
      <c r="L566" s="235"/>
      <c r="M566" s="235"/>
      <c r="N566" s="235"/>
      <c r="O566" s="235"/>
    </row>
    <row r="567" spans="1:15" ht="13.8">
      <c r="A567" s="235"/>
      <c r="B567" s="235"/>
      <c r="C567" s="235"/>
      <c r="D567" s="234"/>
      <c r="E567" s="234"/>
      <c r="F567" s="234"/>
      <c r="G567" s="234"/>
      <c r="H567" s="235"/>
      <c r="I567" s="235"/>
      <c r="J567" s="235"/>
      <c r="K567" s="235"/>
      <c r="L567" s="235"/>
      <c r="M567" s="235"/>
      <c r="N567" s="235"/>
      <c r="O567" s="235"/>
    </row>
    <row r="568" spans="1:15" ht="13.8">
      <c r="A568" s="235"/>
      <c r="B568" s="235"/>
      <c r="C568" s="235"/>
      <c r="D568" s="234"/>
      <c r="E568" s="234"/>
      <c r="F568" s="234"/>
      <c r="G568" s="234"/>
      <c r="H568" s="235"/>
      <c r="I568" s="235"/>
      <c r="J568" s="235"/>
      <c r="K568" s="235"/>
      <c r="L568" s="235"/>
      <c r="M568" s="235"/>
      <c r="N568" s="235"/>
      <c r="O568" s="235"/>
    </row>
    <row r="569" spans="1:15" ht="13.8">
      <c r="A569" s="235"/>
      <c r="B569" s="235"/>
      <c r="C569" s="235"/>
      <c r="D569" s="234"/>
      <c r="E569" s="234"/>
      <c r="F569" s="234"/>
      <c r="G569" s="234"/>
      <c r="H569" s="235"/>
      <c r="I569" s="235"/>
      <c r="J569" s="235"/>
      <c r="K569" s="235"/>
      <c r="L569" s="235"/>
      <c r="M569" s="235"/>
      <c r="N569" s="235"/>
      <c r="O569" s="235"/>
    </row>
    <row r="570" spans="1:15" ht="13.8">
      <c r="A570" s="235"/>
      <c r="B570" s="235"/>
      <c r="C570" s="235"/>
      <c r="D570" s="234"/>
      <c r="E570" s="234"/>
      <c r="F570" s="234"/>
      <c r="G570" s="234"/>
      <c r="H570" s="235"/>
      <c r="I570" s="235"/>
      <c r="J570" s="235"/>
      <c r="K570" s="235"/>
      <c r="L570" s="235"/>
      <c r="M570" s="235"/>
      <c r="N570" s="235"/>
      <c r="O570" s="235"/>
    </row>
    <row r="571" spans="1:15" ht="13.8">
      <c r="A571" s="235"/>
      <c r="B571" s="235"/>
      <c r="C571" s="235"/>
      <c r="D571" s="234"/>
      <c r="E571" s="234"/>
      <c r="F571" s="234"/>
      <c r="G571" s="234"/>
      <c r="H571" s="235"/>
      <c r="I571" s="235"/>
      <c r="J571" s="235"/>
      <c r="K571" s="235"/>
      <c r="L571" s="235"/>
      <c r="M571" s="235"/>
      <c r="N571" s="235"/>
      <c r="O571" s="235"/>
    </row>
    <row r="572" spans="1:15" ht="13.8">
      <c r="A572" s="235"/>
      <c r="B572" s="235"/>
      <c r="C572" s="235"/>
      <c r="D572" s="234"/>
      <c r="E572" s="234"/>
      <c r="F572" s="234"/>
      <c r="G572" s="234"/>
      <c r="H572" s="235"/>
      <c r="I572" s="235"/>
      <c r="J572" s="235"/>
      <c r="K572" s="235"/>
      <c r="L572" s="235"/>
      <c r="M572" s="235"/>
      <c r="N572" s="235"/>
      <c r="O572" s="235"/>
    </row>
    <row r="573" spans="1:15" ht="13.8">
      <c r="A573" s="235"/>
      <c r="B573" s="235"/>
      <c r="C573" s="235"/>
      <c r="D573" s="234"/>
      <c r="E573" s="234"/>
      <c r="F573" s="234"/>
      <c r="G573" s="234"/>
      <c r="H573" s="235"/>
      <c r="I573" s="235"/>
      <c r="J573" s="235"/>
      <c r="K573" s="235"/>
      <c r="L573" s="235"/>
      <c r="M573" s="235"/>
      <c r="N573" s="235"/>
      <c r="O573" s="235"/>
    </row>
    <row r="574" spans="1:15" ht="13.8">
      <c r="A574" s="235"/>
      <c r="B574" s="235"/>
      <c r="C574" s="235"/>
      <c r="D574" s="234"/>
      <c r="E574" s="234"/>
      <c r="F574" s="234"/>
      <c r="G574" s="234"/>
      <c r="H574" s="235"/>
      <c r="I574" s="235"/>
      <c r="J574" s="235"/>
      <c r="K574" s="235"/>
      <c r="L574" s="235"/>
      <c r="M574" s="235"/>
      <c r="N574" s="235"/>
      <c r="O574" s="235"/>
    </row>
    <row r="575" spans="1:15" ht="13.8">
      <c r="A575" s="235"/>
      <c r="B575" s="235"/>
      <c r="C575" s="235"/>
      <c r="D575" s="234"/>
      <c r="E575" s="234"/>
      <c r="F575" s="234"/>
      <c r="G575" s="234"/>
      <c r="H575" s="235"/>
      <c r="I575" s="235"/>
      <c r="J575" s="235"/>
      <c r="K575" s="235"/>
      <c r="L575" s="235"/>
      <c r="M575" s="235"/>
      <c r="N575" s="235"/>
      <c r="O575" s="235"/>
    </row>
    <row r="576" spans="1:15" ht="13.8">
      <c r="A576" s="235"/>
      <c r="B576" s="235"/>
      <c r="C576" s="235"/>
      <c r="D576" s="234"/>
      <c r="E576" s="234"/>
      <c r="F576" s="234"/>
      <c r="G576" s="234"/>
      <c r="H576" s="235"/>
      <c r="I576" s="235"/>
      <c r="J576" s="235"/>
      <c r="K576" s="235"/>
      <c r="L576" s="235"/>
      <c r="M576" s="235"/>
      <c r="N576" s="235"/>
      <c r="O576" s="235"/>
    </row>
    <row r="577" spans="1:15" ht="13.8">
      <c r="A577" s="235"/>
      <c r="B577" s="235"/>
      <c r="C577" s="235"/>
      <c r="D577" s="234"/>
      <c r="E577" s="234"/>
      <c r="F577" s="234"/>
      <c r="G577" s="234"/>
      <c r="H577" s="235"/>
      <c r="I577" s="235"/>
      <c r="J577" s="235"/>
      <c r="K577" s="235"/>
      <c r="L577" s="235"/>
      <c r="M577" s="235"/>
      <c r="N577" s="235"/>
      <c r="O577" s="235"/>
    </row>
    <row r="578" spans="1:15" ht="13.8">
      <c r="A578" s="235"/>
      <c r="B578" s="235"/>
      <c r="C578" s="235"/>
      <c r="D578" s="234"/>
      <c r="E578" s="234"/>
      <c r="F578" s="234"/>
      <c r="G578" s="234"/>
      <c r="H578" s="235"/>
      <c r="I578" s="235"/>
      <c r="J578" s="235"/>
      <c r="K578" s="235"/>
      <c r="L578" s="235"/>
      <c r="M578" s="235"/>
      <c r="N578" s="235"/>
      <c r="O578" s="235"/>
    </row>
    <row r="579" spans="1:15" ht="13.8">
      <c r="A579" s="235"/>
      <c r="B579" s="235"/>
      <c r="C579" s="235"/>
      <c r="D579" s="234"/>
      <c r="E579" s="234"/>
      <c r="F579" s="234"/>
      <c r="G579" s="234"/>
      <c r="H579" s="235"/>
      <c r="I579" s="235"/>
      <c r="J579" s="235"/>
      <c r="K579" s="235"/>
      <c r="L579" s="235"/>
      <c r="M579" s="235"/>
      <c r="N579" s="235"/>
      <c r="O579" s="235"/>
    </row>
    <row r="580" spans="1:15" ht="13.8">
      <c r="A580" s="235"/>
      <c r="B580" s="235"/>
      <c r="C580" s="235"/>
      <c r="D580" s="234"/>
      <c r="E580" s="234"/>
      <c r="F580" s="234"/>
      <c r="G580" s="234"/>
      <c r="H580" s="235"/>
      <c r="I580" s="235"/>
      <c r="J580" s="235"/>
      <c r="K580" s="235"/>
      <c r="L580" s="235"/>
      <c r="M580" s="235"/>
      <c r="N580" s="235"/>
      <c r="O580" s="235"/>
    </row>
    <row r="581" spans="1:15" ht="13.8">
      <c r="A581" s="235"/>
      <c r="B581" s="235"/>
      <c r="C581" s="235"/>
      <c r="D581" s="234"/>
      <c r="E581" s="234"/>
      <c r="F581" s="234"/>
      <c r="G581" s="234"/>
      <c r="H581" s="235"/>
      <c r="I581" s="235"/>
      <c r="J581" s="235"/>
      <c r="K581" s="235"/>
      <c r="L581" s="235"/>
      <c r="M581" s="235"/>
      <c r="N581" s="235"/>
      <c r="O581" s="235"/>
    </row>
    <row r="582" spans="1:15" ht="13.8">
      <c r="A582" s="235"/>
      <c r="B582" s="235"/>
      <c r="C582" s="235"/>
      <c r="D582" s="234"/>
      <c r="E582" s="234"/>
      <c r="F582" s="234"/>
      <c r="G582" s="234"/>
      <c r="H582" s="235"/>
      <c r="I582" s="235"/>
      <c r="J582" s="235"/>
      <c r="K582" s="235"/>
      <c r="L582" s="235"/>
      <c r="M582" s="235"/>
      <c r="N582" s="235"/>
      <c r="O582" s="235"/>
    </row>
    <row r="583" spans="1:15" ht="13.8">
      <c r="A583" s="235"/>
      <c r="B583" s="235"/>
      <c r="C583" s="235"/>
      <c r="D583" s="234"/>
      <c r="E583" s="234"/>
      <c r="F583" s="234"/>
      <c r="G583" s="234"/>
      <c r="H583" s="235"/>
      <c r="I583" s="235"/>
      <c r="J583" s="235"/>
      <c r="K583" s="235"/>
      <c r="L583" s="235"/>
      <c r="M583" s="235"/>
      <c r="N583" s="235"/>
      <c r="O583" s="235"/>
    </row>
    <row r="584" spans="1:15" ht="13.8">
      <c r="A584" s="235"/>
      <c r="B584" s="235"/>
      <c r="C584" s="235"/>
      <c r="D584" s="234"/>
      <c r="E584" s="234"/>
      <c r="F584" s="234"/>
      <c r="G584" s="234"/>
      <c r="H584" s="235"/>
      <c r="I584" s="235"/>
      <c r="J584" s="235"/>
      <c r="K584" s="235"/>
      <c r="L584" s="235"/>
      <c r="M584" s="235"/>
      <c r="N584" s="235"/>
      <c r="O584" s="235"/>
    </row>
    <row r="585" spans="1:15" ht="13.8">
      <c r="A585" s="235"/>
      <c r="B585" s="235"/>
      <c r="C585" s="235"/>
      <c r="D585" s="234"/>
      <c r="E585" s="234"/>
      <c r="F585" s="234"/>
      <c r="G585" s="234"/>
      <c r="H585" s="235"/>
      <c r="I585" s="235"/>
      <c r="J585" s="235"/>
      <c r="K585" s="235"/>
      <c r="L585" s="235"/>
      <c r="M585" s="235"/>
      <c r="N585" s="235"/>
      <c r="O585" s="235"/>
    </row>
    <row r="586" spans="1:15" ht="13.8">
      <c r="A586" s="235"/>
      <c r="B586" s="235"/>
      <c r="C586" s="235"/>
      <c r="D586" s="234"/>
      <c r="E586" s="234"/>
      <c r="F586" s="234"/>
      <c r="G586" s="234"/>
      <c r="H586" s="235"/>
      <c r="I586" s="235"/>
      <c r="J586" s="235"/>
      <c r="K586" s="235"/>
      <c r="L586" s="235"/>
      <c r="M586" s="235"/>
      <c r="N586" s="235"/>
      <c r="O586" s="235"/>
    </row>
    <row r="587" spans="1:15" ht="13.8">
      <c r="A587" s="235"/>
      <c r="B587" s="235"/>
      <c r="C587" s="235"/>
      <c r="D587" s="234"/>
      <c r="E587" s="234"/>
      <c r="F587" s="234"/>
      <c r="G587" s="234"/>
      <c r="H587" s="235"/>
      <c r="I587" s="235"/>
      <c r="J587" s="235"/>
      <c r="K587" s="235"/>
      <c r="L587" s="235"/>
      <c r="M587" s="235"/>
      <c r="N587" s="235"/>
      <c r="O587" s="235"/>
    </row>
    <row r="588" spans="1:15" ht="13.8">
      <c r="A588" s="235"/>
      <c r="B588" s="235"/>
      <c r="C588" s="235"/>
      <c r="D588" s="234"/>
      <c r="E588" s="234"/>
      <c r="F588" s="234"/>
      <c r="G588" s="234"/>
      <c r="H588" s="235"/>
      <c r="I588" s="235"/>
      <c r="J588" s="235"/>
      <c r="K588" s="235"/>
      <c r="L588" s="235"/>
      <c r="M588" s="235"/>
      <c r="N588" s="235"/>
      <c r="O588" s="235"/>
    </row>
    <row r="589" spans="1:15" ht="13.8">
      <c r="A589" s="235"/>
      <c r="B589" s="235"/>
      <c r="C589" s="235"/>
      <c r="D589" s="234"/>
      <c r="E589" s="234"/>
      <c r="F589" s="234"/>
      <c r="G589" s="234"/>
      <c r="H589" s="235"/>
      <c r="I589" s="235"/>
      <c r="J589" s="235"/>
      <c r="K589" s="235"/>
      <c r="L589" s="235"/>
      <c r="M589" s="235"/>
      <c r="N589" s="235"/>
      <c r="O589" s="235"/>
    </row>
    <row r="590" spans="1:15" ht="13.8">
      <c r="A590" s="235"/>
      <c r="B590" s="235"/>
      <c r="C590" s="235"/>
      <c r="D590" s="234"/>
      <c r="E590" s="234"/>
      <c r="F590" s="234"/>
      <c r="G590" s="234"/>
      <c r="H590" s="235"/>
      <c r="I590" s="235"/>
      <c r="J590" s="235"/>
      <c r="K590" s="235"/>
      <c r="L590" s="235"/>
      <c r="M590" s="235"/>
      <c r="N590" s="235"/>
      <c r="O590" s="235"/>
    </row>
    <row r="591" spans="1:15" ht="13.8">
      <c r="A591" s="235"/>
      <c r="B591" s="235"/>
      <c r="C591" s="235"/>
      <c r="D591" s="234"/>
      <c r="E591" s="234"/>
      <c r="F591" s="234"/>
      <c r="G591" s="234"/>
      <c r="H591" s="235"/>
      <c r="I591" s="235"/>
      <c r="J591" s="235"/>
      <c r="K591" s="235"/>
      <c r="L591" s="235"/>
      <c r="M591" s="235"/>
      <c r="N591" s="235"/>
      <c r="O591" s="235"/>
    </row>
    <row r="592" spans="1:15" ht="13.8">
      <c r="A592" s="235"/>
      <c r="B592" s="235"/>
      <c r="C592" s="235"/>
      <c r="D592" s="234"/>
      <c r="E592" s="234"/>
      <c r="F592" s="234"/>
      <c r="G592" s="234"/>
      <c r="H592" s="235"/>
      <c r="I592" s="235"/>
      <c r="J592" s="235"/>
      <c r="K592" s="235"/>
      <c r="L592" s="235"/>
      <c r="M592" s="235"/>
      <c r="N592" s="235"/>
      <c r="O592" s="235"/>
    </row>
    <row r="593" spans="1:15" ht="13.8">
      <c r="A593" s="235"/>
      <c r="B593" s="235"/>
      <c r="C593" s="235"/>
      <c r="D593" s="234"/>
      <c r="E593" s="234"/>
      <c r="F593" s="234"/>
      <c r="G593" s="234"/>
      <c r="H593" s="235"/>
      <c r="I593" s="235"/>
      <c r="J593" s="235"/>
      <c r="K593" s="235"/>
      <c r="L593" s="235"/>
      <c r="M593" s="235"/>
      <c r="N593" s="235"/>
      <c r="O593" s="235"/>
    </row>
    <row r="594" spans="1:15" ht="13.8">
      <c r="A594" s="235"/>
      <c r="B594" s="235"/>
      <c r="C594" s="235"/>
      <c r="D594" s="234"/>
      <c r="E594" s="234"/>
      <c r="F594" s="234"/>
      <c r="G594" s="234"/>
      <c r="H594" s="235"/>
      <c r="I594" s="235"/>
      <c r="J594" s="235"/>
      <c r="K594" s="235"/>
      <c r="L594" s="235"/>
      <c r="M594" s="235"/>
      <c r="N594" s="235"/>
      <c r="O594" s="235"/>
    </row>
    <row r="595" spans="1:15" ht="13.8">
      <c r="A595" s="235"/>
      <c r="B595" s="235"/>
      <c r="C595" s="235"/>
      <c r="D595" s="234"/>
      <c r="E595" s="234"/>
      <c r="F595" s="234"/>
      <c r="G595" s="234"/>
      <c r="H595" s="235"/>
      <c r="I595" s="235"/>
      <c r="J595" s="235"/>
      <c r="K595" s="235"/>
      <c r="L595" s="235"/>
      <c r="M595" s="235"/>
      <c r="N595" s="235"/>
      <c r="O595" s="235"/>
    </row>
    <row r="596" spans="1:15" ht="13.8">
      <c r="A596" s="235"/>
      <c r="B596" s="235"/>
      <c r="C596" s="235"/>
      <c r="D596" s="234"/>
      <c r="E596" s="234"/>
      <c r="F596" s="234"/>
      <c r="G596" s="234"/>
      <c r="H596" s="235"/>
      <c r="I596" s="235"/>
      <c r="J596" s="235"/>
      <c r="K596" s="235"/>
      <c r="L596" s="235"/>
      <c r="M596" s="235"/>
      <c r="N596" s="235"/>
      <c r="O596" s="235"/>
    </row>
    <row r="597" spans="1:15" ht="13.8">
      <c r="A597" s="235"/>
      <c r="B597" s="235"/>
      <c r="C597" s="235"/>
      <c r="D597" s="234"/>
      <c r="E597" s="234"/>
      <c r="F597" s="234"/>
      <c r="G597" s="234"/>
      <c r="H597" s="235"/>
      <c r="I597" s="235"/>
      <c r="J597" s="235"/>
      <c r="K597" s="235"/>
      <c r="L597" s="235"/>
      <c r="M597" s="235"/>
      <c r="N597" s="235"/>
      <c r="O597" s="235"/>
    </row>
    <row r="598" spans="1:15" ht="13.8">
      <c r="A598" s="235"/>
      <c r="B598" s="235"/>
      <c r="C598" s="235"/>
      <c r="D598" s="234"/>
      <c r="E598" s="234"/>
      <c r="F598" s="234"/>
      <c r="G598" s="234"/>
      <c r="H598" s="235"/>
      <c r="I598" s="235"/>
      <c r="J598" s="235"/>
      <c r="K598" s="235"/>
      <c r="L598" s="235"/>
      <c r="M598" s="235"/>
      <c r="N598" s="235"/>
      <c r="O598" s="235"/>
    </row>
    <row r="599" spans="1:15" ht="13.8">
      <c r="A599" s="235"/>
      <c r="B599" s="235"/>
      <c r="C599" s="235"/>
      <c r="D599" s="234"/>
      <c r="E599" s="234"/>
      <c r="F599" s="234"/>
      <c r="G599" s="234"/>
      <c r="H599" s="235"/>
      <c r="I599" s="235"/>
      <c r="J599" s="235"/>
      <c r="K599" s="235"/>
      <c r="L599" s="235"/>
      <c r="M599" s="235"/>
      <c r="N599" s="235"/>
      <c r="O599" s="235"/>
    </row>
    <row r="600" spans="1:15" ht="13.8">
      <c r="A600" s="235"/>
      <c r="B600" s="235"/>
      <c r="C600" s="235"/>
      <c r="D600" s="234"/>
      <c r="E600" s="234"/>
      <c r="F600" s="234"/>
      <c r="G600" s="234"/>
      <c r="H600" s="235"/>
      <c r="I600" s="235"/>
      <c r="J600" s="235"/>
      <c r="K600" s="235"/>
      <c r="L600" s="235"/>
      <c r="M600" s="235"/>
      <c r="N600" s="235"/>
      <c r="O600" s="235"/>
    </row>
    <row r="601" spans="1:15" ht="13.8">
      <c r="A601" s="235"/>
      <c r="B601" s="235"/>
      <c r="C601" s="235"/>
      <c r="D601" s="234"/>
      <c r="E601" s="234"/>
      <c r="F601" s="234"/>
      <c r="G601" s="234"/>
      <c r="H601" s="235"/>
      <c r="I601" s="235"/>
      <c r="J601" s="235"/>
      <c r="K601" s="235"/>
      <c r="L601" s="235"/>
      <c r="M601" s="235"/>
      <c r="N601" s="235"/>
      <c r="O601" s="235"/>
    </row>
    <row r="602" spans="1:15" ht="13.8">
      <c r="A602" s="235"/>
      <c r="B602" s="235"/>
      <c r="C602" s="235"/>
      <c r="D602" s="234"/>
      <c r="E602" s="234"/>
      <c r="F602" s="234"/>
      <c r="G602" s="234"/>
      <c r="H602" s="235"/>
      <c r="I602" s="235"/>
      <c r="J602" s="235"/>
      <c r="K602" s="235"/>
      <c r="L602" s="235"/>
      <c r="M602" s="235"/>
      <c r="N602" s="235"/>
      <c r="O602" s="235"/>
    </row>
    <row r="603" spans="1:15" ht="13.8">
      <c r="A603" s="235"/>
      <c r="B603" s="235"/>
      <c r="C603" s="235"/>
      <c r="D603" s="234"/>
      <c r="E603" s="234"/>
      <c r="F603" s="234"/>
      <c r="G603" s="234"/>
      <c r="H603" s="235"/>
      <c r="I603" s="235"/>
      <c r="J603" s="235"/>
      <c r="K603" s="235"/>
      <c r="L603" s="235"/>
      <c r="M603" s="235"/>
      <c r="N603" s="235"/>
      <c r="O603" s="235"/>
    </row>
    <row r="604" spans="1:15" ht="13.8">
      <c r="A604" s="235"/>
      <c r="B604" s="235"/>
      <c r="C604" s="235"/>
      <c r="D604" s="234"/>
      <c r="E604" s="234"/>
      <c r="F604" s="234"/>
      <c r="G604" s="234"/>
      <c r="H604" s="235"/>
      <c r="I604" s="235"/>
      <c r="J604" s="235"/>
      <c r="K604" s="235"/>
      <c r="L604" s="235"/>
      <c r="M604" s="235"/>
      <c r="N604" s="235"/>
      <c r="O604" s="235"/>
    </row>
    <row r="605" spans="1:15" ht="13.8">
      <c r="A605" s="235"/>
      <c r="B605" s="235"/>
      <c r="C605" s="235"/>
      <c r="D605" s="234"/>
      <c r="E605" s="234"/>
      <c r="F605" s="234"/>
      <c r="G605" s="234"/>
      <c r="H605" s="235"/>
      <c r="I605" s="235"/>
      <c r="J605" s="235"/>
      <c r="K605" s="235"/>
      <c r="L605" s="235"/>
      <c r="M605" s="235"/>
      <c r="N605" s="235"/>
      <c r="O605" s="235"/>
    </row>
    <row r="606" spans="1:15" ht="13.8">
      <c r="A606" s="235"/>
      <c r="B606" s="235"/>
      <c r="C606" s="235"/>
      <c r="D606" s="234"/>
      <c r="E606" s="234"/>
      <c r="F606" s="234"/>
      <c r="G606" s="234"/>
      <c r="H606" s="235"/>
      <c r="I606" s="235"/>
      <c r="J606" s="235"/>
      <c r="K606" s="235"/>
      <c r="L606" s="235"/>
      <c r="M606" s="235"/>
      <c r="N606" s="235"/>
      <c r="O606" s="235"/>
    </row>
    <row r="607" spans="1:15" ht="13.8">
      <c r="A607" s="235"/>
      <c r="B607" s="235"/>
      <c r="C607" s="235"/>
      <c r="D607" s="234"/>
      <c r="E607" s="234"/>
      <c r="F607" s="234"/>
      <c r="G607" s="234"/>
      <c r="H607" s="235"/>
      <c r="I607" s="235"/>
      <c r="J607" s="235"/>
      <c r="K607" s="235"/>
      <c r="L607" s="235"/>
      <c r="M607" s="235"/>
      <c r="N607" s="235"/>
      <c r="O607" s="235"/>
    </row>
    <row r="608" spans="1:15" ht="13.8">
      <c r="A608" s="235"/>
      <c r="B608" s="235"/>
      <c r="C608" s="235"/>
      <c r="D608" s="234"/>
      <c r="E608" s="234"/>
      <c r="F608" s="234"/>
      <c r="G608" s="234"/>
      <c r="H608" s="235"/>
      <c r="I608" s="235"/>
      <c r="J608" s="235"/>
      <c r="K608" s="235"/>
      <c r="L608" s="235"/>
      <c r="M608" s="235"/>
      <c r="N608" s="235"/>
      <c r="O608" s="235"/>
    </row>
    <row r="609" spans="1:15" ht="13.8">
      <c r="A609" s="235"/>
      <c r="B609" s="235"/>
      <c r="C609" s="235"/>
      <c r="D609" s="234"/>
      <c r="E609" s="234"/>
      <c r="F609" s="234"/>
      <c r="G609" s="234"/>
      <c r="H609" s="235"/>
      <c r="I609" s="235"/>
      <c r="J609" s="235"/>
      <c r="K609" s="235"/>
      <c r="L609" s="235"/>
      <c r="M609" s="235"/>
      <c r="N609" s="235"/>
      <c r="O609" s="235"/>
    </row>
    <row r="610" spans="1:15" ht="13.8">
      <c r="A610" s="235"/>
      <c r="B610" s="235"/>
      <c r="C610" s="235"/>
      <c r="D610" s="234"/>
      <c r="E610" s="234"/>
      <c r="F610" s="234"/>
      <c r="G610" s="234"/>
      <c r="H610" s="235"/>
      <c r="I610" s="235"/>
      <c r="J610" s="235"/>
      <c r="K610" s="235"/>
      <c r="L610" s="235"/>
      <c r="M610" s="235"/>
      <c r="N610" s="235"/>
      <c r="O610" s="235"/>
    </row>
    <row r="611" spans="1:15" ht="13.8">
      <c r="A611" s="235"/>
      <c r="B611" s="235"/>
      <c r="C611" s="235"/>
      <c r="D611" s="234"/>
      <c r="E611" s="234"/>
      <c r="F611" s="234"/>
      <c r="G611" s="234"/>
      <c r="H611" s="235"/>
      <c r="I611" s="235"/>
      <c r="J611" s="235"/>
      <c r="K611" s="235"/>
      <c r="L611" s="235"/>
      <c r="M611" s="235"/>
      <c r="N611" s="235"/>
      <c r="O611" s="235"/>
    </row>
    <row r="612" spans="1:15" ht="13.8">
      <c r="A612" s="235"/>
      <c r="B612" s="235"/>
      <c r="C612" s="235"/>
      <c r="D612" s="234"/>
      <c r="E612" s="234"/>
      <c r="F612" s="234"/>
      <c r="G612" s="234"/>
      <c r="H612" s="235"/>
      <c r="I612" s="235"/>
      <c r="J612" s="235"/>
      <c r="K612" s="235"/>
      <c r="L612" s="235"/>
      <c r="M612" s="235"/>
      <c r="N612" s="235"/>
      <c r="O612" s="235"/>
    </row>
    <row r="613" spans="1:15" ht="13.8">
      <c r="A613" s="235"/>
      <c r="B613" s="235"/>
      <c r="C613" s="235"/>
      <c r="D613" s="234"/>
      <c r="E613" s="234"/>
      <c r="F613" s="234"/>
      <c r="G613" s="234"/>
      <c r="H613" s="235"/>
      <c r="I613" s="235"/>
      <c r="J613" s="235"/>
      <c r="K613" s="235"/>
      <c r="L613" s="235"/>
      <c r="M613" s="235"/>
      <c r="N613" s="235"/>
      <c r="O613" s="235"/>
    </row>
    <row r="614" spans="1:15" ht="13.8">
      <c r="A614" s="235"/>
      <c r="B614" s="235"/>
      <c r="C614" s="235"/>
      <c r="D614" s="234"/>
      <c r="E614" s="234"/>
      <c r="F614" s="234"/>
      <c r="G614" s="234"/>
      <c r="H614" s="235"/>
      <c r="I614" s="235"/>
      <c r="J614" s="235"/>
      <c r="K614" s="235"/>
      <c r="L614" s="235"/>
      <c r="M614" s="235"/>
      <c r="N614" s="235"/>
      <c r="O614" s="235"/>
    </row>
    <row r="615" spans="1:15" ht="13.8">
      <c r="A615" s="235"/>
      <c r="B615" s="235"/>
      <c r="C615" s="235"/>
      <c r="D615" s="234"/>
      <c r="E615" s="234"/>
      <c r="F615" s="234"/>
      <c r="G615" s="234"/>
      <c r="H615" s="235"/>
      <c r="I615" s="235"/>
      <c r="J615" s="235"/>
      <c r="K615" s="235"/>
      <c r="L615" s="235"/>
      <c r="M615" s="235"/>
      <c r="N615" s="235"/>
      <c r="O615" s="235"/>
    </row>
    <row r="616" spans="1:15" ht="13.8">
      <c r="A616" s="235"/>
      <c r="B616" s="235"/>
      <c r="C616" s="235"/>
      <c r="D616" s="234"/>
      <c r="E616" s="234"/>
      <c r="F616" s="234"/>
      <c r="G616" s="234"/>
      <c r="H616" s="235"/>
      <c r="I616" s="235"/>
      <c r="J616" s="235"/>
      <c r="K616" s="235"/>
      <c r="L616" s="235"/>
      <c r="M616" s="235"/>
      <c r="N616" s="235"/>
      <c r="O616" s="235"/>
    </row>
    <row r="617" spans="1:15" ht="13.8">
      <c r="A617" s="235"/>
      <c r="B617" s="235"/>
      <c r="C617" s="235"/>
      <c r="D617" s="234"/>
      <c r="E617" s="234"/>
      <c r="F617" s="234"/>
      <c r="G617" s="234"/>
      <c r="H617" s="235"/>
      <c r="I617" s="235"/>
      <c r="J617" s="235"/>
      <c r="K617" s="235"/>
      <c r="L617" s="235"/>
      <c r="M617" s="235"/>
      <c r="N617" s="235"/>
      <c r="O617" s="235"/>
    </row>
    <row r="618" spans="1:15" ht="13.8">
      <c r="A618" s="235"/>
      <c r="B618" s="235"/>
      <c r="C618" s="235"/>
      <c r="D618" s="234"/>
      <c r="E618" s="234"/>
      <c r="F618" s="234"/>
      <c r="G618" s="234"/>
      <c r="H618" s="235"/>
      <c r="I618" s="235"/>
      <c r="J618" s="235"/>
      <c r="K618" s="235"/>
      <c r="L618" s="235"/>
      <c r="M618" s="235"/>
      <c r="N618" s="235"/>
      <c r="O618" s="235"/>
    </row>
    <row r="619" spans="1:15" ht="13.8">
      <c r="A619" s="235"/>
      <c r="B619" s="235"/>
      <c r="C619" s="235"/>
      <c r="D619" s="234"/>
      <c r="E619" s="234"/>
      <c r="F619" s="234"/>
      <c r="G619" s="234"/>
      <c r="H619" s="235"/>
      <c r="I619" s="235"/>
      <c r="J619" s="235"/>
      <c r="K619" s="235"/>
      <c r="L619" s="235"/>
      <c r="M619" s="235"/>
      <c r="N619" s="235"/>
      <c r="O619" s="235"/>
    </row>
    <row r="620" spans="1:15" ht="13.8">
      <c r="A620" s="235"/>
      <c r="B620" s="235"/>
      <c r="C620" s="235"/>
      <c r="D620" s="234"/>
      <c r="E620" s="234"/>
      <c r="F620" s="234"/>
      <c r="G620" s="234"/>
      <c r="H620" s="235"/>
      <c r="I620" s="235"/>
      <c r="J620" s="235"/>
      <c r="K620" s="235"/>
      <c r="L620" s="235"/>
      <c r="M620" s="235"/>
      <c r="N620" s="235"/>
      <c r="O620" s="235"/>
    </row>
    <row r="621" spans="1:15" ht="13.8">
      <c r="A621" s="235"/>
      <c r="B621" s="235"/>
      <c r="C621" s="235"/>
      <c r="D621" s="234"/>
      <c r="E621" s="234"/>
      <c r="F621" s="234"/>
      <c r="G621" s="234"/>
      <c r="H621" s="235"/>
      <c r="I621" s="235"/>
      <c r="J621" s="235"/>
      <c r="K621" s="235"/>
      <c r="L621" s="235"/>
      <c r="M621" s="235"/>
      <c r="N621" s="235"/>
      <c r="O621" s="235"/>
    </row>
    <row r="622" spans="1:15" ht="13.8">
      <c r="A622" s="235"/>
      <c r="B622" s="235"/>
      <c r="C622" s="235"/>
      <c r="D622" s="234"/>
      <c r="E622" s="234"/>
      <c r="F622" s="234"/>
      <c r="G622" s="234"/>
      <c r="H622" s="235"/>
      <c r="I622" s="235"/>
      <c r="J622" s="235"/>
      <c r="K622" s="235"/>
      <c r="L622" s="235"/>
      <c r="M622" s="235"/>
      <c r="N622" s="235"/>
      <c r="O622" s="235"/>
    </row>
    <row r="623" spans="1:15" ht="13.8">
      <c r="A623" s="235"/>
      <c r="B623" s="235"/>
      <c r="C623" s="235"/>
      <c r="D623" s="234"/>
      <c r="E623" s="234"/>
      <c r="F623" s="234"/>
      <c r="G623" s="234"/>
      <c r="H623" s="235"/>
      <c r="I623" s="235"/>
      <c r="J623" s="235"/>
      <c r="K623" s="235"/>
      <c r="L623" s="235"/>
      <c r="M623" s="235"/>
      <c r="N623" s="235"/>
      <c r="O623" s="235"/>
    </row>
    <row r="624" spans="1:15" ht="13.8">
      <c r="A624" s="235"/>
      <c r="B624" s="235"/>
      <c r="C624" s="235"/>
      <c r="D624" s="234"/>
      <c r="E624" s="234"/>
      <c r="F624" s="234"/>
      <c r="G624" s="234"/>
      <c r="H624" s="235"/>
      <c r="I624" s="235"/>
      <c r="J624" s="235"/>
      <c r="K624" s="235"/>
      <c r="L624" s="235"/>
      <c r="M624" s="235"/>
      <c r="N624" s="235"/>
      <c r="O624" s="235"/>
    </row>
    <row r="625" spans="1:15" ht="13.8">
      <c r="A625" s="235"/>
      <c r="B625" s="235"/>
      <c r="C625" s="235"/>
      <c r="D625" s="234"/>
      <c r="E625" s="234"/>
      <c r="F625" s="234"/>
      <c r="G625" s="234"/>
      <c r="H625" s="235"/>
      <c r="I625" s="235"/>
      <c r="J625" s="235"/>
      <c r="K625" s="235"/>
      <c r="L625" s="235"/>
      <c r="M625" s="235"/>
      <c r="N625" s="235"/>
      <c r="O625" s="235"/>
    </row>
    <row r="626" spans="1:15" ht="13.8">
      <c r="A626" s="235"/>
      <c r="B626" s="235"/>
      <c r="C626" s="235"/>
      <c r="D626" s="234"/>
      <c r="E626" s="234"/>
      <c r="F626" s="234"/>
      <c r="G626" s="234"/>
      <c r="H626" s="235"/>
      <c r="I626" s="235"/>
      <c r="J626" s="235"/>
      <c r="K626" s="235"/>
      <c r="L626" s="235"/>
      <c r="M626" s="235"/>
      <c r="N626" s="235"/>
      <c r="O626" s="235"/>
    </row>
    <row r="627" spans="1:15" ht="13.8">
      <c r="A627" s="235"/>
      <c r="B627" s="235"/>
      <c r="C627" s="235"/>
      <c r="D627" s="234"/>
      <c r="E627" s="234"/>
      <c r="F627" s="234"/>
      <c r="G627" s="234"/>
      <c r="H627" s="235"/>
      <c r="I627" s="235"/>
      <c r="J627" s="235"/>
      <c r="K627" s="235"/>
      <c r="L627" s="235"/>
      <c r="M627" s="235"/>
      <c r="N627" s="235"/>
      <c r="O627" s="235"/>
    </row>
    <row r="628" spans="1:15" ht="13.8">
      <c r="A628" s="235"/>
      <c r="B628" s="235"/>
      <c r="C628" s="235"/>
      <c r="D628" s="234"/>
      <c r="E628" s="234"/>
      <c r="F628" s="234"/>
      <c r="G628" s="234"/>
      <c r="H628" s="235"/>
      <c r="I628" s="235"/>
      <c r="J628" s="235"/>
      <c r="K628" s="235"/>
      <c r="L628" s="235"/>
      <c r="M628" s="235"/>
      <c r="N628" s="235"/>
      <c r="O628" s="235"/>
    </row>
    <row r="629" spans="1:15" ht="13.8">
      <c r="A629" s="235"/>
      <c r="B629" s="235"/>
      <c r="C629" s="235"/>
      <c r="D629" s="234"/>
      <c r="E629" s="234"/>
      <c r="F629" s="234"/>
      <c r="G629" s="234"/>
      <c r="H629" s="235"/>
      <c r="I629" s="235"/>
      <c r="J629" s="235"/>
      <c r="K629" s="235"/>
      <c r="L629" s="235"/>
      <c r="M629" s="235"/>
      <c r="N629" s="235"/>
      <c r="O629" s="235"/>
    </row>
    <row r="630" spans="1:15" ht="13.8">
      <c r="A630" s="235"/>
      <c r="B630" s="235"/>
      <c r="C630" s="235"/>
      <c r="D630" s="234"/>
      <c r="E630" s="234"/>
      <c r="F630" s="234"/>
      <c r="G630" s="234"/>
      <c r="H630" s="235"/>
      <c r="I630" s="235"/>
      <c r="J630" s="235"/>
      <c r="K630" s="235"/>
      <c r="L630" s="235"/>
      <c r="M630" s="235"/>
      <c r="N630" s="235"/>
      <c r="O630" s="235"/>
    </row>
    <row r="631" spans="1:15" ht="13.8">
      <c r="A631" s="235"/>
      <c r="B631" s="235"/>
      <c r="C631" s="235"/>
      <c r="D631" s="234"/>
      <c r="E631" s="234"/>
      <c r="F631" s="234"/>
      <c r="G631" s="234"/>
      <c r="H631" s="235"/>
      <c r="I631" s="235"/>
      <c r="J631" s="235"/>
      <c r="K631" s="235"/>
      <c r="L631" s="235"/>
      <c r="M631" s="235"/>
      <c r="N631" s="235"/>
      <c r="O631" s="235"/>
    </row>
    <row r="632" spans="1:15" ht="13.8">
      <c r="A632" s="235"/>
      <c r="B632" s="235"/>
      <c r="C632" s="235"/>
      <c r="D632" s="234"/>
      <c r="E632" s="234"/>
      <c r="F632" s="234"/>
      <c r="G632" s="234"/>
      <c r="H632" s="235"/>
      <c r="I632" s="235"/>
      <c r="J632" s="235"/>
      <c r="K632" s="235"/>
      <c r="L632" s="235"/>
      <c r="M632" s="235"/>
      <c r="N632" s="235"/>
      <c r="O632" s="235"/>
    </row>
    <row r="633" spans="1:15" ht="13.8">
      <c r="A633" s="235"/>
      <c r="B633" s="235"/>
      <c r="C633" s="235"/>
      <c r="D633" s="234"/>
      <c r="E633" s="234"/>
      <c r="F633" s="234"/>
      <c r="G633" s="234"/>
      <c r="H633" s="235"/>
      <c r="I633" s="235"/>
      <c r="J633" s="235"/>
      <c r="K633" s="235"/>
      <c r="L633" s="235"/>
      <c r="M633" s="235"/>
      <c r="N633" s="235"/>
      <c r="O633" s="235"/>
    </row>
    <row r="634" spans="1:15" ht="13.8">
      <c r="A634" s="235"/>
      <c r="B634" s="235"/>
      <c r="C634" s="235"/>
      <c r="D634" s="234"/>
      <c r="E634" s="234"/>
      <c r="F634" s="234"/>
      <c r="G634" s="234"/>
      <c r="H634" s="235"/>
      <c r="I634" s="235"/>
      <c r="J634" s="235"/>
      <c r="K634" s="235"/>
      <c r="L634" s="235"/>
      <c r="M634" s="235"/>
      <c r="N634" s="235"/>
      <c r="O634" s="235"/>
    </row>
    <row r="635" spans="1:15" ht="13.8">
      <c r="A635" s="235"/>
      <c r="B635" s="235"/>
      <c r="C635" s="235"/>
      <c r="D635" s="234"/>
      <c r="E635" s="234"/>
      <c r="F635" s="234"/>
      <c r="G635" s="234"/>
      <c r="H635" s="235"/>
      <c r="I635" s="235"/>
      <c r="J635" s="235"/>
      <c r="K635" s="235"/>
      <c r="L635" s="235"/>
      <c r="M635" s="235"/>
      <c r="N635" s="235"/>
      <c r="O635" s="235"/>
    </row>
    <row r="636" spans="1:15" ht="13.8">
      <c r="A636" s="235"/>
      <c r="B636" s="235"/>
      <c r="C636" s="235"/>
      <c r="D636" s="234"/>
      <c r="E636" s="234"/>
      <c r="F636" s="234"/>
      <c r="G636" s="234"/>
      <c r="H636" s="235"/>
      <c r="I636" s="235"/>
      <c r="J636" s="235"/>
      <c r="K636" s="235"/>
      <c r="L636" s="235"/>
      <c r="M636" s="235"/>
      <c r="N636" s="235"/>
      <c r="O636" s="235"/>
    </row>
    <row r="637" spans="1:15" ht="13.8">
      <c r="A637" s="235"/>
      <c r="B637" s="235"/>
      <c r="C637" s="235"/>
      <c r="D637" s="234"/>
      <c r="E637" s="234"/>
      <c r="F637" s="234"/>
      <c r="G637" s="234"/>
      <c r="H637" s="235"/>
      <c r="I637" s="235"/>
      <c r="J637" s="235"/>
      <c r="K637" s="235"/>
      <c r="L637" s="235"/>
      <c r="M637" s="235"/>
      <c r="N637" s="235"/>
      <c r="O637" s="235"/>
    </row>
    <row r="638" spans="1:15" ht="13.8">
      <c r="A638" s="235"/>
      <c r="B638" s="235"/>
      <c r="C638" s="235"/>
      <c r="D638" s="234"/>
      <c r="E638" s="234"/>
      <c r="F638" s="234"/>
      <c r="G638" s="234"/>
      <c r="H638" s="235"/>
      <c r="I638" s="235"/>
      <c r="J638" s="235"/>
      <c r="K638" s="235"/>
      <c r="L638" s="235"/>
      <c r="M638" s="235"/>
      <c r="N638" s="235"/>
      <c r="O638" s="235"/>
    </row>
    <row r="639" spans="1:15" ht="13.8">
      <c r="A639" s="235"/>
      <c r="B639" s="235"/>
      <c r="C639" s="235"/>
      <c r="D639" s="234"/>
      <c r="E639" s="234"/>
      <c r="F639" s="234"/>
      <c r="G639" s="234"/>
      <c r="H639" s="235"/>
      <c r="I639" s="235"/>
      <c r="J639" s="235"/>
      <c r="K639" s="235"/>
      <c r="L639" s="235"/>
      <c r="M639" s="235"/>
      <c r="N639" s="235"/>
      <c r="O639" s="235"/>
    </row>
    <row r="640" spans="1:15" ht="13.8">
      <c r="A640" s="235"/>
      <c r="B640" s="235"/>
      <c r="C640" s="235"/>
      <c r="D640" s="234"/>
      <c r="E640" s="234"/>
      <c r="F640" s="234"/>
      <c r="G640" s="234"/>
      <c r="H640" s="235"/>
      <c r="I640" s="235"/>
      <c r="J640" s="235"/>
      <c r="K640" s="235"/>
      <c r="L640" s="235"/>
      <c r="M640" s="235"/>
      <c r="N640" s="235"/>
      <c r="O640" s="235"/>
    </row>
    <row r="641" spans="1:15" ht="13.8">
      <c r="A641" s="235"/>
      <c r="B641" s="235"/>
      <c r="C641" s="235"/>
      <c r="D641" s="234"/>
      <c r="E641" s="234"/>
      <c r="F641" s="234"/>
      <c r="G641" s="234"/>
      <c r="H641" s="235"/>
      <c r="I641" s="235"/>
      <c r="J641" s="235"/>
      <c r="K641" s="235"/>
      <c r="L641" s="235"/>
      <c r="M641" s="235"/>
      <c r="N641" s="235"/>
      <c r="O641" s="235"/>
    </row>
    <row r="642" spans="1:15" ht="13.8">
      <c r="A642" s="235"/>
      <c r="B642" s="235"/>
      <c r="C642" s="235"/>
      <c r="D642" s="234"/>
      <c r="E642" s="234"/>
      <c r="F642" s="234"/>
      <c r="G642" s="234"/>
      <c r="H642" s="235"/>
      <c r="I642" s="235"/>
      <c r="J642" s="235"/>
      <c r="K642" s="235"/>
      <c r="L642" s="235"/>
      <c r="M642" s="235"/>
      <c r="N642" s="235"/>
      <c r="O642" s="235"/>
    </row>
    <row r="643" spans="1:15" ht="13.8">
      <c r="A643" s="235"/>
      <c r="B643" s="235"/>
      <c r="C643" s="235"/>
      <c r="D643" s="234"/>
      <c r="E643" s="234"/>
      <c r="F643" s="234"/>
      <c r="G643" s="234"/>
      <c r="H643" s="235"/>
      <c r="I643" s="235"/>
      <c r="J643" s="235"/>
      <c r="K643" s="235"/>
      <c r="L643" s="235"/>
      <c r="M643" s="235"/>
      <c r="N643" s="235"/>
      <c r="O643" s="235"/>
    </row>
    <row r="644" spans="1:15" ht="13.8">
      <c r="A644" s="235"/>
      <c r="B644" s="235"/>
      <c r="C644" s="235"/>
      <c r="D644" s="234"/>
      <c r="E644" s="234"/>
      <c r="F644" s="234"/>
      <c r="G644" s="234"/>
      <c r="H644" s="235"/>
      <c r="I644" s="235"/>
      <c r="J644" s="235"/>
      <c r="K644" s="235"/>
      <c r="L644" s="235"/>
      <c r="M644" s="235"/>
      <c r="N644" s="235"/>
      <c r="O644" s="235"/>
    </row>
    <row r="645" spans="1:15" ht="13.8">
      <c r="A645" s="235"/>
      <c r="B645" s="235"/>
      <c r="C645" s="235"/>
      <c r="D645" s="234"/>
      <c r="E645" s="234"/>
      <c r="F645" s="234"/>
      <c r="G645" s="234"/>
      <c r="H645" s="235"/>
      <c r="I645" s="235"/>
      <c r="J645" s="235"/>
      <c r="K645" s="235"/>
      <c r="L645" s="235"/>
      <c r="M645" s="235"/>
      <c r="N645" s="235"/>
      <c r="O645" s="235"/>
    </row>
    <row r="646" spans="1:15" ht="13.8">
      <c r="A646" s="235"/>
      <c r="B646" s="235"/>
      <c r="C646" s="235"/>
      <c r="D646" s="234"/>
      <c r="E646" s="234"/>
      <c r="F646" s="234"/>
      <c r="G646" s="234"/>
      <c r="H646" s="235"/>
      <c r="I646" s="235"/>
      <c r="J646" s="235"/>
      <c r="K646" s="235"/>
      <c r="L646" s="235"/>
      <c r="M646" s="235"/>
      <c r="N646" s="235"/>
      <c r="O646" s="235"/>
    </row>
    <row r="647" spans="1:15" ht="13.8">
      <c r="A647" s="235"/>
      <c r="B647" s="235"/>
      <c r="C647" s="235"/>
      <c r="D647" s="234"/>
      <c r="E647" s="234"/>
      <c r="F647" s="234"/>
      <c r="G647" s="234"/>
      <c r="H647" s="235"/>
      <c r="I647" s="235"/>
      <c r="J647" s="235"/>
      <c r="K647" s="235"/>
      <c r="L647" s="235"/>
      <c r="M647" s="235"/>
      <c r="N647" s="235"/>
      <c r="O647" s="235"/>
    </row>
    <row r="648" spans="1:15" ht="13.8">
      <c r="A648" s="235"/>
      <c r="B648" s="235"/>
      <c r="C648" s="235"/>
      <c r="D648" s="234"/>
      <c r="E648" s="234"/>
      <c r="F648" s="234"/>
      <c r="G648" s="234"/>
      <c r="H648" s="235"/>
      <c r="I648" s="235"/>
      <c r="J648" s="235"/>
      <c r="K648" s="235"/>
      <c r="L648" s="235"/>
      <c r="M648" s="235"/>
      <c r="N648" s="235"/>
      <c r="O648" s="235"/>
    </row>
    <row r="649" spans="1:15" ht="13.8">
      <c r="A649" s="235"/>
      <c r="B649" s="235"/>
      <c r="C649" s="235"/>
      <c r="D649" s="234"/>
      <c r="E649" s="234"/>
      <c r="F649" s="234"/>
      <c r="G649" s="234"/>
      <c r="H649" s="235"/>
      <c r="I649" s="235"/>
      <c r="J649" s="235"/>
      <c r="K649" s="235"/>
      <c r="L649" s="235"/>
      <c r="M649" s="235"/>
      <c r="N649" s="235"/>
      <c r="O649" s="235"/>
    </row>
    <row r="650" spans="1:15" ht="13.8">
      <c r="A650" s="235"/>
      <c r="B650" s="235"/>
      <c r="C650" s="235"/>
      <c r="D650" s="234"/>
      <c r="E650" s="234"/>
      <c r="F650" s="234"/>
      <c r="G650" s="234"/>
      <c r="H650" s="235"/>
      <c r="I650" s="235"/>
      <c r="J650" s="235"/>
      <c r="K650" s="235"/>
      <c r="L650" s="235"/>
      <c r="M650" s="235"/>
      <c r="N650" s="235"/>
      <c r="O650" s="235"/>
    </row>
    <row r="651" spans="1:15" ht="13.8">
      <c r="A651" s="235"/>
      <c r="B651" s="235"/>
      <c r="C651" s="235"/>
      <c r="D651" s="234"/>
      <c r="E651" s="234"/>
      <c r="F651" s="234"/>
      <c r="G651" s="234"/>
      <c r="H651" s="235"/>
      <c r="I651" s="235"/>
      <c r="J651" s="235"/>
      <c r="K651" s="235"/>
      <c r="L651" s="235"/>
      <c r="M651" s="235"/>
      <c r="N651" s="235"/>
      <c r="O651" s="235"/>
    </row>
    <row r="652" spans="1:15" ht="13.8">
      <c r="A652" s="235"/>
      <c r="B652" s="235"/>
      <c r="C652" s="235"/>
      <c r="D652" s="234"/>
      <c r="E652" s="234"/>
      <c r="F652" s="234"/>
      <c r="G652" s="234"/>
      <c r="H652" s="235"/>
      <c r="I652" s="235"/>
      <c r="J652" s="235"/>
      <c r="K652" s="235"/>
      <c r="L652" s="235"/>
      <c r="M652" s="235"/>
      <c r="N652" s="235"/>
      <c r="O652" s="235"/>
    </row>
    <row r="653" spans="1:15" ht="13.8">
      <c r="A653" s="235"/>
      <c r="B653" s="235"/>
      <c r="C653" s="235"/>
      <c r="D653" s="234"/>
      <c r="E653" s="234"/>
      <c r="F653" s="234"/>
      <c r="G653" s="234"/>
      <c r="H653" s="235"/>
      <c r="I653" s="235"/>
      <c r="J653" s="235"/>
      <c r="K653" s="235"/>
      <c r="L653" s="235"/>
      <c r="M653" s="235"/>
      <c r="N653" s="235"/>
      <c r="O653" s="235"/>
    </row>
    <row r="654" spans="1:15" ht="13.8">
      <c r="A654" s="235"/>
      <c r="B654" s="235"/>
      <c r="C654" s="235"/>
      <c r="D654" s="234"/>
      <c r="E654" s="234"/>
      <c r="F654" s="234"/>
      <c r="G654" s="234"/>
      <c r="H654" s="235"/>
      <c r="I654" s="235"/>
      <c r="J654" s="235"/>
      <c r="K654" s="235"/>
      <c r="L654" s="235"/>
      <c r="M654" s="235"/>
      <c r="N654" s="235"/>
      <c r="O654" s="235"/>
    </row>
    <row r="655" spans="1:15" ht="13.8">
      <c r="A655" s="235"/>
      <c r="B655" s="235"/>
      <c r="C655" s="235"/>
      <c r="D655" s="234"/>
      <c r="E655" s="234"/>
      <c r="F655" s="234"/>
      <c r="G655" s="234"/>
      <c r="H655" s="235"/>
      <c r="I655" s="235"/>
      <c r="J655" s="235"/>
      <c r="K655" s="235"/>
      <c r="L655" s="235"/>
      <c r="M655" s="235"/>
      <c r="N655" s="235"/>
      <c r="O655" s="235"/>
    </row>
    <row r="656" spans="1:15" ht="13.8">
      <c r="A656" s="235"/>
      <c r="B656" s="235"/>
      <c r="C656" s="235"/>
      <c r="D656" s="234"/>
      <c r="E656" s="234"/>
      <c r="F656" s="234"/>
      <c r="G656" s="234"/>
      <c r="H656" s="235"/>
      <c r="I656" s="235"/>
      <c r="J656" s="235"/>
      <c r="K656" s="235"/>
      <c r="L656" s="235"/>
      <c r="M656" s="235"/>
      <c r="N656" s="235"/>
      <c r="O656" s="235"/>
    </row>
    <row r="657" spans="1:15" ht="13.8">
      <c r="A657" s="235"/>
      <c r="B657" s="235"/>
      <c r="C657" s="235"/>
      <c r="D657" s="234"/>
      <c r="E657" s="234"/>
      <c r="F657" s="234"/>
      <c r="G657" s="234"/>
      <c r="H657" s="235"/>
      <c r="I657" s="235"/>
      <c r="J657" s="235"/>
      <c r="K657" s="235"/>
      <c r="L657" s="235"/>
      <c r="M657" s="235"/>
      <c r="N657" s="235"/>
      <c r="O657" s="235"/>
    </row>
    <row r="658" spans="1:15" ht="13.8">
      <c r="A658" s="235"/>
      <c r="B658" s="235"/>
      <c r="C658" s="235"/>
      <c r="D658" s="234"/>
      <c r="E658" s="234"/>
      <c r="F658" s="234"/>
      <c r="G658" s="234"/>
      <c r="H658" s="235"/>
      <c r="I658" s="235"/>
      <c r="J658" s="235"/>
      <c r="K658" s="235"/>
      <c r="L658" s="235"/>
      <c r="M658" s="235"/>
      <c r="N658" s="235"/>
      <c r="O658" s="235"/>
    </row>
    <row r="659" spans="1:15" ht="13.8">
      <c r="A659" s="235"/>
      <c r="B659" s="235"/>
      <c r="C659" s="235"/>
      <c r="D659" s="234"/>
      <c r="E659" s="234"/>
      <c r="F659" s="234"/>
      <c r="G659" s="234"/>
      <c r="H659" s="235"/>
      <c r="I659" s="235"/>
      <c r="J659" s="235"/>
      <c r="K659" s="235"/>
      <c r="L659" s="235"/>
      <c r="M659" s="235"/>
      <c r="N659" s="235"/>
      <c r="O659" s="235"/>
    </row>
    <row r="660" spans="1:15" ht="13.8">
      <c r="A660" s="235"/>
      <c r="B660" s="235"/>
      <c r="C660" s="235"/>
      <c r="D660" s="234"/>
      <c r="E660" s="234"/>
      <c r="F660" s="234"/>
      <c r="G660" s="234"/>
      <c r="H660" s="235"/>
      <c r="I660" s="235"/>
      <c r="J660" s="235"/>
      <c r="K660" s="235"/>
      <c r="L660" s="235"/>
      <c r="M660" s="235"/>
      <c r="N660" s="235"/>
      <c r="O660" s="235"/>
    </row>
    <row r="661" spans="1:15" ht="13.8">
      <c r="A661" s="235"/>
      <c r="B661" s="235"/>
      <c r="C661" s="235"/>
      <c r="D661" s="234"/>
      <c r="E661" s="234"/>
      <c r="F661" s="234"/>
      <c r="G661" s="234"/>
      <c r="H661" s="235"/>
      <c r="I661" s="235"/>
      <c r="J661" s="235"/>
      <c r="K661" s="235"/>
      <c r="L661" s="235"/>
      <c r="M661" s="235"/>
      <c r="N661" s="235"/>
      <c r="O661" s="235"/>
    </row>
    <row r="662" spans="1:15" ht="13.8">
      <c r="A662" s="235"/>
      <c r="B662" s="235"/>
      <c r="C662" s="235"/>
      <c r="D662" s="234"/>
      <c r="E662" s="234"/>
      <c r="F662" s="234"/>
      <c r="G662" s="234"/>
      <c r="H662" s="235"/>
      <c r="I662" s="235"/>
      <c r="J662" s="235"/>
      <c r="K662" s="235"/>
      <c r="L662" s="235"/>
      <c r="M662" s="235"/>
      <c r="N662" s="235"/>
      <c r="O662" s="235"/>
    </row>
    <row r="663" spans="1:15" ht="13.8">
      <c r="A663" s="235"/>
      <c r="B663" s="235"/>
      <c r="C663" s="235"/>
      <c r="D663" s="234"/>
      <c r="E663" s="234"/>
      <c r="F663" s="234"/>
      <c r="G663" s="234"/>
      <c r="H663" s="235"/>
      <c r="I663" s="235"/>
      <c r="J663" s="235"/>
      <c r="K663" s="235"/>
      <c r="L663" s="235"/>
      <c r="M663" s="235"/>
      <c r="N663" s="235"/>
      <c r="O663" s="235"/>
    </row>
    <row r="664" spans="1:15" ht="13.8">
      <c r="A664" s="235"/>
      <c r="B664" s="235"/>
      <c r="C664" s="235"/>
      <c r="D664" s="234"/>
      <c r="E664" s="234"/>
      <c r="F664" s="234"/>
      <c r="G664" s="234"/>
      <c r="H664" s="235"/>
      <c r="I664" s="235"/>
      <c r="J664" s="235"/>
      <c r="K664" s="235"/>
      <c r="L664" s="235"/>
      <c r="M664" s="235"/>
      <c r="N664" s="235"/>
      <c r="O664" s="235"/>
    </row>
    <row r="665" spans="1:15" ht="13.8">
      <c r="A665" s="235"/>
      <c r="B665" s="235"/>
      <c r="C665" s="235"/>
      <c r="D665" s="234"/>
      <c r="E665" s="234"/>
      <c r="F665" s="234"/>
      <c r="G665" s="234"/>
      <c r="H665" s="235"/>
      <c r="I665" s="235"/>
      <c r="J665" s="235"/>
      <c r="K665" s="235"/>
      <c r="L665" s="235"/>
      <c r="M665" s="235"/>
      <c r="N665" s="235"/>
      <c r="O665" s="235"/>
    </row>
    <row r="666" spans="1:15" ht="13.8">
      <c r="A666" s="235"/>
      <c r="B666" s="235"/>
      <c r="C666" s="235"/>
      <c r="D666" s="234"/>
      <c r="E666" s="234"/>
      <c r="F666" s="234"/>
      <c r="G666" s="234"/>
      <c r="H666" s="235"/>
      <c r="I666" s="235"/>
      <c r="J666" s="235"/>
      <c r="K666" s="235"/>
      <c r="L666" s="235"/>
      <c r="M666" s="235"/>
      <c r="N666" s="235"/>
      <c r="O666" s="235"/>
    </row>
    <row r="667" spans="1:15" ht="13.8">
      <c r="A667" s="235"/>
      <c r="B667" s="235"/>
      <c r="C667" s="235"/>
      <c r="D667" s="234"/>
      <c r="E667" s="234"/>
      <c r="F667" s="234"/>
      <c r="G667" s="234"/>
      <c r="H667" s="235"/>
      <c r="I667" s="235"/>
      <c r="J667" s="235"/>
      <c r="K667" s="235"/>
      <c r="L667" s="235"/>
      <c r="M667" s="235"/>
      <c r="N667" s="235"/>
      <c r="O667" s="235"/>
    </row>
    <row r="668" spans="1:15" ht="13.8">
      <c r="A668" s="235"/>
      <c r="B668" s="235"/>
      <c r="C668" s="235"/>
      <c r="D668" s="234"/>
      <c r="E668" s="234"/>
      <c r="F668" s="234"/>
      <c r="G668" s="234"/>
      <c r="H668" s="235"/>
      <c r="I668" s="235"/>
      <c r="J668" s="235"/>
      <c r="K668" s="235"/>
      <c r="L668" s="235"/>
      <c r="M668" s="235"/>
      <c r="N668" s="235"/>
      <c r="O668" s="235"/>
    </row>
    <row r="669" spans="1:15" ht="13.8">
      <c r="A669" s="235"/>
      <c r="B669" s="235"/>
      <c r="C669" s="235"/>
      <c r="D669" s="234"/>
      <c r="E669" s="234"/>
      <c r="F669" s="234"/>
      <c r="G669" s="234"/>
      <c r="H669" s="235"/>
      <c r="I669" s="235"/>
      <c r="J669" s="235"/>
      <c r="K669" s="235"/>
      <c r="L669" s="235"/>
      <c r="M669" s="235"/>
      <c r="N669" s="235"/>
      <c r="O669" s="235"/>
    </row>
    <row r="670" spans="1:15" ht="13.8">
      <c r="A670" s="235"/>
      <c r="B670" s="235"/>
      <c r="C670" s="235"/>
      <c r="D670" s="234"/>
      <c r="E670" s="234"/>
      <c r="F670" s="234"/>
      <c r="G670" s="234"/>
      <c r="H670" s="235"/>
      <c r="I670" s="235"/>
      <c r="J670" s="235"/>
      <c r="K670" s="235"/>
      <c r="L670" s="235"/>
      <c r="M670" s="235"/>
      <c r="N670" s="235"/>
      <c r="O670" s="235"/>
    </row>
    <row r="671" spans="1:15" ht="13.8">
      <c r="A671" s="235"/>
      <c r="B671" s="235"/>
      <c r="C671" s="235"/>
      <c r="D671" s="234"/>
      <c r="E671" s="234"/>
      <c r="F671" s="234"/>
      <c r="G671" s="234"/>
      <c r="H671" s="235"/>
      <c r="I671" s="235"/>
      <c r="J671" s="235"/>
      <c r="K671" s="235"/>
      <c r="L671" s="235"/>
      <c r="M671" s="235"/>
      <c r="N671" s="235"/>
      <c r="O671" s="235"/>
    </row>
    <row r="672" spans="1:15" ht="13.8">
      <c r="A672" s="235"/>
      <c r="B672" s="235"/>
      <c r="C672" s="235"/>
      <c r="D672" s="234"/>
      <c r="E672" s="234"/>
      <c r="F672" s="234"/>
      <c r="G672" s="234"/>
      <c r="H672" s="235"/>
      <c r="I672" s="235"/>
      <c r="J672" s="235"/>
      <c r="K672" s="235"/>
      <c r="L672" s="235"/>
      <c r="M672" s="235"/>
      <c r="N672" s="235"/>
      <c r="O672" s="235"/>
    </row>
    <row r="673" spans="1:15" ht="13.8">
      <c r="A673" s="235"/>
      <c r="B673" s="235"/>
      <c r="C673" s="235"/>
      <c r="D673" s="234"/>
      <c r="E673" s="234"/>
      <c r="F673" s="234"/>
      <c r="G673" s="234"/>
      <c r="H673" s="235"/>
      <c r="I673" s="235"/>
      <c r="J673" s="235"/>
      <c r="K673" s="235"/>
      <c r="L673" s="235"/>
      <c r="M673" s="235"/>
      <c r="N673" s="235"/>
      <c r="O673" s="235"/>
    </row>
    <row r="674" spans="1:15" ht="13.8">
      <c r="A674" s="235"/>
      <c r="B674" s="235"/>
      <c r="C674" s="235"/>
      <c r="D674" s="234"/>
      <c r="E674" s="234"/>
      <c r="F674" s="234"/>
      <c r="G674" s="234"/>
      <c r="H674" s="235"/>
      <c r="I674" s="235"/>
      <c r="J674" s="235"/>
      <c r="K674" s="235"/>
      <c r="L674" s="235"/>
      <c r="M674" s="235"/>
      <c r="N674" s="235"/>
      <c r="O674" s="235"/>
    </row>
    <row r="675" spans="1:15" ht="13.8">
      <c r="A675" s="235"/>
      <c r="B675" s="235"/>
      <c r="C675" s="235"/>
      <c r="D675" s="234"/>
      <c r="E675" s="234"/>
      <c r="F675" s="234"/>
      <c r="G675" s="234"/>
      <c r="H675" s="235"/>
      <c r="I675" s="235"/>
      <c r="J675" s="235"/>
      <c r="K675" s="235"/>
      <c r="L675" s="235"/>
      <c r="M675" s="235"/>
      <c r="N675" s="235"/>
      <c r="O675" s="235"/>
    </row>
    <row r="676" spans="1:15" ht="13.8">
      <c r="A676" s="235"/>
      <c r="B676" s="235"/>
      <c r="C676" s="235"/>
      <c r="D676" s="234"/>
      <c r="E676" s="234"/>
      <c r="F676" s="234"/>
      <c r="G676" s="234"/>
      <c r="H676" s="235"/>
      <c r="I676" s="235"/>
      <c r="J676" s="235"/>
      <c r="K676" s="235"/>
      <c r="L676" s="235"/>
      <c r="M676" s="235"/>
      <c r="N676" s="235"/>
      <c r="O676" s="235"/>
    </row>
    <row r="677" spans="1:15" ht="13.8">
      <c r="A677" s="235"/>
      <c r="B677" s="235"/>
      <c r="C677" s="235"/>
      <c r="D677" s="234"/>
      <c r="E677" s="234"/>
      <c r="F677" s="234"/>
      <c r="G677" s="234"/>
      <c r="H677" s="235"/>
      <c r="I677" s="235"/>
      <c r="J677" s="235"/>
      <c r="K677" s="235"/>
      <c r="L677" s="235"/>
      <c r="M677" s="235"/>
      <c r="N677" s="235"/>
      <c r="O677" s="235"/>
    </row>
    <row r="678" spans="1:15" ht="13.8">
      <c r="A678" s="235"/>
      <c r="B678" s="235"/>
      <c r="C678" s="235"/>
      <c r="D678" s="234"/>
      <c r="E678" s="234"/>
      <c r="F678" s="234"/>
      <c r="G678" s="234"/>
      <c r="H678" s="235"/>
      <c r="I678" s="235"/>
      <c r="J678" s="235"/>
      <c r="K678" s="235"/>
      <c r="L678" s="235"/>
      <c r="M678" s="235"/>
      <c r="N678" s="235"/>
      <c r="O678" s="235"/>
    </row>
    <row r="679" spans="1:15" ht="13.8">
      <c r="A679" s="235"/>
      <c r="B679" s="235"/>
      <c r="C679" s="235"/>
      <c r="D679" s="234"/>
      <c r="E679" s="234"/>
      <c r="F679" s="234"/>
      <c r="G679" s="234"/>
      <c r="H679" s="235"/>
      <c r="I679" s="235"/>
      <c r="J679" s="235"/>
      <c r="K679" s="235"/>
      <c r="L679" s="235"/>
      <c r="M679" s="235"/>
      <c r="N679" s="235"/>
      <c r="O679" s="235"/>
    </row>
    <row r="680" spans="1:15" ht="13.8">
      <c r="A680" s="235"/>
      <c r="B680" s="235"/>
      <c r="C680" s="235"/>
      <c r="D680" s="234"/>
      <c r="E680" s="234"/>
      <c r="F680" s="234"/>
      <c r="G680" s="234"/>
      <c r="H680" s="235"/>
      <c r="I680" s="235"/>
      <c r="J680" s="235"/>
      <c r="K680" s="235"/>
      <c r="L680" s="235"/>
      <c r="M680" s="235"/>
      <c r="N680" s="235"/>
      <c r="O680" s="235"/>
    </row>
    <row r="681" spans="1:15" ht="13.8">
      <c r="A681" s="235"/>
      <c r="B681" s="235"/>
      <c r="C681" s="235"/>
      <c r="D681" s="234"/>
      <c r="E681" s="234"/>
      <c r="F681" s="234"/>
      <c r="G681" s="234"/>
      <c r="H681" s="235"/>
      <c r="I681" s="235"/>
      <c r="J681" s="235"/>
      <c r="K681" s="235"/>
      <c r="L681" s="235"/>
      <c r="M681" s="235"/>
      <c r="N681" s="235"/>
      <c r="O681" s="235"/>
    </row>
    <row r="682" spans="1:15" ht="13.8">
      <c r="A682" s="235"/>
      <c r="B682" s="235"/>
      <c r="C682" s="235"/>
      <c r="D682" s="234"/>
      <c r="E682" s="234"/>
      <c r="F682" s="234"/>
      <c r="G682" s="234"/>
      <c r="H682" s="235"/>
      <c r="I682" s="235"/>
      <c r="J682" s="235"/>
      <c r="K682" s="235"/>
      <c r="L682" s="235"/>
      <c r="M682" s="235"/>
      <c r="N682" s="235"/>
      <c r="O682" s="235"/>
    </row>
    <row r="683" spans="1:15" ht="13.8">
      <c r="A683" s="235"/>
      <c r="B683" s="235"/>
      <c r="C683" s="235"/>
      <c r="D683" s="234"/>
      <c r="E683" s="234"/>
      <c r="F683" s="234"/>
      <c r="G683" s="234"/>
      <c r="H683" s="235"/>
      <c r="I683" s="235"/>
      <c r="J683" s="235"/>
      <c r="K683" s="235"/>
      <c r="L683" s="235"/>
      <c r="M683" s="235"/>
      <c r="N683" s="235"/>
      <c r="O683" s="235"/>
    </row>
    <row r="684" spans="1:15" ht="13.8">
      <c r="A684" s="235"/>
      <c r="B684" s="235"/>
      <c r="C684" s="235"/>
      <c r="D684" s="234"/>
      <c r="E684" s="234"/>
      <c r="F684" s="234"/>
      <c r="G684" s="234"/>
      <c r="H684" s="235"/>
      <c r="I684" s="235"/>
      <c r="J684" s="235"/>
      <c r="K684" s="235"/>
      <c r="L684" s="235"/>
      <c r="M684" s="235"/>
      <c r="N684" s="235"/>
      <c r="O684" s="235"/>
    </row>
    <row r="685" spans="1:15" ht="13.8">
      <c r="A685" s="235"/>
      <c r="B685" s="235"/>
      <c r="C685" s="235"/>
      <c r="D685" s="234"/>
      <c r="E685" s="234"/>
      <c r="F685" s="234"/>
      <c r="G685" s="234"/>
      <c r="H685" s="235"/>
      <c r="I685" s="235"/>
      <c r="J685" s="235"/>
      <c r="K685" s="235"/>
      <c r="L685" s="235"/>
      <c r="M685" s="235"/>
      <c r="N685" s="235"/>
      <c r="O685" s="235"/>
    </row>
    <row r="686" spans="1:15" ht="13.8">
      <c r="A686" s="235"/>
      <c r="B686" s="235"/>
      <c r="C686" s="235"/>
      <c r="D686" s="234"/>
      <c r="E686" s="234"/>
      <c r="F686" s="234"/>
      <c r="G686" s="234"/>
      <c r="H686" s="235"/>
      <c r="I686" s="235"/>
      <c r="J686" s="235"/>
      <c r="K686" s="235"/>
      <c r="L686" s="235"/>
      <c r="M686" s="235"/>
      <c r="N686" s="235"/>
      <c r="O686" s="235"/>
    </row>
    <row r="687" spans="1:15" ht="13.8">
      <c r="A687" s="235"/>
      <c r="B687" s="235"/>
      <c r="C687" s="235"/>
      <c r="D687" s="234"/>
      <c r="E687" s="234"/>
      <c r="F687" s="234"/>
      <c r="G687" s="234"/>
      <c r="H687" s="235"/>
      <c r="I687" s="235"/>
      <c r="J687" s="235"/>
      <c r="K687" s="235"/>
      <c r="L687" s="235"/>
      <c r="M687" s="235"/>
      <c r="N687" s="235"/>
      <c r="O687" s="235"/>
    </row>
    <row r="688" spans="1:15" ht="13.8">
      <c r="A688" s="235"/>
      <c r="B688" s="235"/>
      <c r="C688" s="235"/>
      <c r="D688" s="234"/>
      <c r="E688" s="234"/>
      <c r="F688" s="234"/>
      <c r="G688" s="234"/>
      <c r="H688" s="235"/>
      <c r="I688" s="235"/>
      <c r="J688" s="235"/>
      <c r="K688" s="235"/>
      <c r="L688" s="235"/>
      <c r="M688" s="235"/>
      <c r="N688" s="235"/>
      <c r="O688" s="235"/>
    </row>
    <row r="689" spans="1:15" ht="13.8">
      <c r="A689" s="235"/>
      <c r="B689" s="235"/>
      <c r="C689" s="235"/>
      <c r="D689" s="234"/>
      <c r="E689" s="234"/>
      <c r="F689" s="234"/>
      <c r="G689" s="234"/>
      <c r="H689" s="235"/>
      <c r="I689" s="235"/>
      <c r="J689" s="235"/>
      <c r="K689" s="235"/>
      <c r="L689" s="235"/>
      <c r="M689" s="235"/>
      <c r="N689" s="235"/>
      <c r="O689" s="235"/>
    </row>
    <row r="690" spans="1:15" ht="13.8">
      <c r="A690" s="235"/>
      <c r="B690" s="235"/>
      <c r="C690" s="235"/>
      <c r="D690" s="234"/>
      <c r="E690" s="234"/>
      <c r="F690" s="234"/>
      <c r="G690" s="234"/>
      <c r="H690" s="235"/>
      <c r="I690" s="235"/>
      <c r="J690" s="235"/>
      <c r="K690" s="235"/>
      <c r="L690" s="235"/>
      <c r="M690" s="235"/>
      <c r="N690" s="235"/>
      <c r="O690" s="235"/>
    </row>
    <row r="691" spans="1:15" ht="13.8">
      <c r="A691" s="235"/>
      <c r="B691" s="235"/>
      <c r="C691" s="235"/>
      <c r="D691" s="234"/>
      <c r="E691" s="234"/>
      <c r="F691" s="234"/>
      <c r="G691" s="234"/>
      <c r="H691" s="235"/>
      <c r="I691" s="235"/>
      <c r="J691" s="235"/>
      <c r="K691" s="235"/>
      <c r="L691" s="235"/>
      <c r="M691" s="235"/>
      <c r="N691" s="235"/>
      <c r="O691" s="235"/>
    </row>
    <row r="692" spans="1:15" ht="13.8">
      <c r="A692" s="235"/>
      <c r="B692" s="235"/>
      <c r="C692" s="235"/>
      <c r="D692" s="234"/>
      <c r="E692" s="234"/>
      <c r="F692" s="234"/>
      <c r="G692" s="234"/>
      <c r="H692" s="235"/>
      <c r="I692" s="235"/>
      <c r="J692" s="235"/>
      <c r="K692" s="235"/>
      <c r="L692" s="235"/>
      <c r="M692" s="235"/>
      <c r="N692" s="235"/>
      <c r="O692" s="235"/>
    </row>
    <row r="693" spans="1:15" ht="13.8">
      <c r="A693" s="235"/>
      <c r="B693" s="235"/>
      <c r="C693" s="235"/>
      <c r="D693" s="234"/>
      <c r="E693" s="234"/>
      <c r="F693" s="234"/>
      <c r="G693" s="234"/>
      <c r="H693" s="235"/>
      <c r="I693" s="235"/>
      <c r="J693" s="235"/>
      <c r="K693" s="235"/>
      <c r="L693" s="235"/>
      <c r="M693" s="235"/>
      <c r="N693" s="235"/>
      <c r="O693" s="235"/>
    </row>
    <row r="694" spans="1:15" ht="13.8">
      <c r="A694" s="235"/>
      <c r="B694" s="235"/>
      <c r="C694" s="235"/>
      <c r="D694" s="234"/>
      <c r="E694" s="234"/>
      <c r="F694" s="234"/>
      <c r="G694" s="234"/>
      <c r="H694" s="235"/>
      <c r="I694" s="235"/>
      <c r="J694" s="235"/>
      <c r="K694" s="235"/>
      <c r="L694" s="235"/>
      <c r="M694" s="235"/>
      <c r="N694" s="235"/>
      <c r="O694" s="235"/>
    </row>
    <row r="695" spans="1:15" ht="13.8">
      <c r="A695" s="235"/>
      <c r="B695" s="235"/>
      <c r="C695" s="235"/>
      <c r="D695" s="234"/>
      <c r="E695" s="234"/>
      <c r="F695" s="234"/>
      <c r="G695" s="234"/>
      <c r="H695" s="235"/>
      <c r="I695" s="235"/>
      <c r="J695" s="235"/>
      <c r="K695" s="235"/>
      <c r="L695" s="235"/>
      <c r="M695" s="235"/>
      <c r="N695" s="235"/>
      <c r="O695" s="235"/>
    </row>
    <row r="696" spans="1:15" ht="13.8">
      <c r="A696" s="235"/>
      <c r="B696" s="235"/>
      <c r="C696" s="235"/>
      <c r="D696" s="234"/>
      <c r="E696" s="234"/>
      <c r="F696" s="234"/>
      <c r="G696" s="234"/>
      <c r="H696" s="235"/>
      <c r="I696" s="235"/>
      <c r="J696" s="235"/>
      <c r="K696" s="235"/>
      <c r="L696" s="235"/>
      <c r="M696" s="235"/>
      <c r="N696" s="235"/>
      <c r="O696" s="235"/>
    </row>
    <row r="697" spans="1:15" ht="13.8">
      <c r="A697" s="235"/>
      <c r="B697" s="235"/>
      <c r="C697" s="235"/>
      <c r="D697" s="234"/>
      <c r="E697" s="234"/>
      <c r="F697" s="234"/>
      <c r="G697" s="234"/>
      <c r="H697" s="235"/>
      <c r="I697" s="235"/>
      <c r="J697" s="235"/>
      <c r="K697" s="235"/>
      <c r="L697" s="235"/>
      <c r="M697" s="235"/>
      <c r="N697" s="235"/>
      <c r="O697" s="235"/>
    </row>
    <row r="698" spans="1:15" ht="13.8">
      <c r="A698" s="235"/>
      <c r="B698" s="235"/>
      <c r="C698" s="235"/>
      <c r="D698" s="234"/>
      <c r="E698" s="234"/>
      <c r="F698" s="234"/>
      <c r="G698" s="234"/>
      <c r="H698" s="235"/>
      <c r="I698" s="235"/>
      <c r="J698" s="235"/>
      <c r="K698" s="235"/>
      <c r="L698" s="235"/>
      <c r="M698" s="235"/>
      <c r="N698" s="235"/>
      <c r="O698" s="235"/>
    </row>
    <row r="699" spans="1:15" ht="13.8">
      <c r="A699" s="235"/>
      <c r="B699" s="235"/>
      <c r="C699" s="235"/>
      <c r="D699" s="234"/>
      <c r="E699" s="234"/>
      <c r="F699" s="234"/>
      <c r="G699" s="234"/>
      <c r="H699" s="235"/>
      <c r="I699" s="235"/>
      <c r="J699" s="235"/>
      <c r="K699" s="235"/>
      <c r="L699" s="235"/>
      <c r="M699" s="235"/>
      <c r="N699" s="235"/>
      <c r="O699" s="235"/>
    </row>
    <row r="700" spans="1:15" ht="13.8">
      <c r="A700" s="235"/>
      <c r="B700" s="235"/>
      <c r="C700" s="235"/>
      <c r="D700" s="234"/>
      <c r="E700" s="234"/>
      <c r="F700" s="234"/>
      <c r="G700" s="234"/>
      <c r="H700" s="235"/>
      <c r="I700" s="235"/>
      <c r="J700" s="235"/>
      <c r="K700" s="235"/>
      <c r="L700" s="235"/>
      <c r="M700" s="235"/>
      <c r="N700" s="235"/>
      <c r="O700" s="235"/>
    </row>
    <row r="701" spans="1:15" ht="13.8">
      <c r="A701" s="235"/>
      <c r="B701" s="235"/>
      <c r="C701" s="235"/>
      <c r="D701" s="234"/>
      <c r="E701" s="234"/>
      <c r="F701" s="234"/>
      <c r="G701" s="234"/>
      <c r="H701" s="235"/>
      <c r="I701" s="235"/>
      <c r="J701" s="235"/>
      <c r="K701" s="235"/>
      <c r="L701" s="235"/>
      <c r="M701" s="235"/>
      <c r="N701" s="235"/>
      <c r="O701" s="235"/>
    </row>
    <row r="702" spans="1:15" ht="13.8">
      <c r="A702" s="235"/>
      <c r="B702" s="235"/>
      <c r="C702" s="235"/>
      <c r="D702" s="234"/>
      <c r="E702" s="234"/>
      <c r="F702" s="234"/>
      <c r="G702" s="234"/>
      <c r="H702" s="235"/>
      <c r="I702" s="235"/>
      <c r="J702" s="235"/>
      <c r="K702" s="235"/>
      <c r="L702" s="235"/>
      <c r="M702" s="235"/>
      <c r="N702" s="235"/>
      <c r="O702" s="235"/>
    </row>
    <row r="703" spans="1:15" ht="13.8">
      <c r="A703" s="235"/>
      <c r="B703" s="235"/>
      <c r="C703" s="235"/>
      <c r="D703" s="234"/>
      <c r="E703" s="234"/>
      <c r="F703" s="234"/>
      <c r="G703" s="234"/>
      <c r="H703" s="235"/>
      <c r="I703" s="235"/>
      <c r="J703" s="235"/>
      <c r="K703" s="235"/>
      <c r="L703" s="235"/>
      <c r="M703" s="235"/>
      <c r="N703" s="235"/>
      <c r="O703" s="235"/>
    </row>
    <row r="704" spans="1:15" ht="13.8">
      <c r="A704" s="235"/>
      <c r="B704" s="235"/>
      <c r="C704" s="235"/>
      <c r="D704" s="234"/>
      <c r="E704" s="234"/>
      <c r="F704" s="234"/>
      <c r="G704" s="234"/>
      <c r="H704" s="235"/>
      <c r="I704" s="235"/>
      <c r="J704" s="235"/>
      <c r="K704" s="235"/>
      <c r="L704" s="235"/>
      <c r="M704" s="235"/>
      <c r="N704" s="235"/>
      <c r="O704" s="235"/>
    </row>
    <row r="705" spans="1:15" ht="13.8">
      <c r="A705" s="235"/>
      <c r="B705" s="235"/>
      <c r="C705" s="235"/>
      <c r="D705" s="234"/>
      <c r="E705" s="234"/>
      <c r="F705" s="234"/>
      <c r="G705" s="234"/>
      <c r="H705" s="235"/>
      <c r="I705" s="235"/>
      <c r="J705" s="235"/>
      <c r="K705" s="235"/>
      <c r="L705" s="235"/>
      <c r="M705" s="235"/>
      <c r="N705" s="235"/>
      <c r="O705" s="235"/>
    </row>
    <row r="706" spans="1:15" ht="13.8">
      <c r="A706" s="235"/>
      <c r="B706" s="235"/>
      <c r="C706" s="235"/>
      <c r="D706" s="234"/>
      <c r="E706" s="234"/>
      <c r="F706" s="234"/>
      <c r="G706" s="234"/>
      <c r="H706" s="235"/>
      <c r="I706" s="235"/>
      <c r="J706" s="235"/>
      <c r="K706" s="235"/>
      <c r="L706" s="235"/>
      <c r="M706" s="235"/>
      <c r="N706" s="235"/>
      <c r="O706" s="235"/>
    </row>
    <row r="707" spans="1:15" ht="13.8">
      <c r="A707" s="235"/>
      <c r="B707" s="235"/>
      <c r="C707" s="235"/>
      <c r="D707" s="234"/>
      <c r="E707" s="234"/>
      <c r="F707" s="234"/>
      <c r="G707" s="234"/>
      <c r="H707" s="235"/>
      <c r="I707" s="235"/>
      <c r="J707" s="235"/>
      <c r="K707" s="235"/>
      <c r="L707" s="235"/>
      <c r="M707" s="235"/>
      <c r="N707" s="235"/>
      <c r="O707" s="235"/>
    </row>
    <row r="708" spans="1:15" ht="13.8">
      <c r="A708" s="235"/>
      <c r="B708" s="235"/>
      <c r="C708" s="235"/>
      <c r="D708" s="234"/>
      <c r="E708" s="234"/>
      <c r="F708" s="234"/>
      <c r="G708" s="234"/>
      <c r="H708" s="235"/>
      <c r="I708" s="235"/>
      <c r="J708" s="235"/>
      <c r="K708" s="235"/>
      <c r="L708" s="235"/>
      <c r="M708" s="235"/>
      <c r="N708" s="235"/>
      <c r="O708" s="235"/>
    </row>
    <row r="709" spans="1:15" ht="13.8">
      <c r="A709" s="235"/>
      <c r="B709" s="235"/>
      <c r="C709" s="235"/>
      <c r="D709" s="234"/>
      <c r="E709" s="234"/>
      <c r="F709" s="234"/>
      <c r="G709" s="234"/>
      <c r="H709" s="235"/>
      <c r="I709" s="235"/>
      <c r="J709" s="235"/>
      <c r="K709" s="235"/>
      <c r="L709" s="235"/>
      <c r="M709" s="235"/>
      <c r="N709" s="235"/>
      <c r="O709" s="235"/>
    </row>
    <row r="710" spans="1:15" ht="13.8">
      <c r="A710" s="235"/>
      <c r="B710" s="235"/>
      <c r="C710" s="235"/>
      <c r="D710" s="234"/>
      <c r="E710" s="234"/>
      <c r="F710" s="234"/>
      <c r="G710" s="234"/>
      <c r="H710" s="235"/>
      <c r="I710" s="235"/>
      <c r="J710" s="235"/>
      <c r="K710" s="235"/>
      <c r="L710" s="235"/>
      <c r="M710" s="235"/>
      <c r="N710" s="235"/>
      <c r="O710" s="235"/>
    </row>
    <row r="711" spans="1:15" ht="13.8">
      <c r="A711" s="235"/>
      <c r="B711" s="235"/>
      <c r="C711" s="235"/>
      <c r="D711" s="234"/>
      <c r="E711" s="234"/>
      <c r="F711" s="234"/>
      <c r="G711" s="234"/>
      <c r="H711" s="235"/>
      <c r="I711" s="235"/>
      <c r="J711" s="235"/>
      <c r="K711" s="235"/>
      <c r="L711" s="235"/>
      <c r="M711" s="235"/>
      <c r="N711" s="235"/>
      <c r="O711" s="235"/>
    </row>
    <row r="712" spans="1:15" ht="13.8">
      <c r="A712" s="235"/>
      <c r="B712" s="235"/>
      <c r="C712" s="235"/>
      <c r="D712" s="234"/>
      <c r="E712" s="234"/>
      <c r="F712" s="234"/>
      <c r="G712" s="234"/>
      <c r="H712" s="235"/>
      <c r="I712" s="235"/>
      <c r="J712" s="235"/>
      <c r="K712" s="235"/>
      <c r="L712" s="235"/>
      <c r="M712" s="235"/>
      <c r="N712" s="235"/>
      <c r="O712" s="235"/>
    </row>
    <row r="713" spans="1:15" ht="13.8">
      <c r="A713" s="235"/>
      <c r="B713" s="235"/>
      <c r="C713" s="235"/>
      <c r="D713" s="234"/>
      <c r="E713" s="234"/>
      <c r="F713" s="234"/>
      <c r="G713" s="234"/>
      <c r="H713" s="235"/>
      <c r="I713" s="235"/>
      <c r="J713" s="235"/>
      <c r="K713" s="235"/>
      <c r="L713" s="235"/>
      <c r="M713" s="235"/>
      <c r="N713" s="235"/>
      <c r="O713" s="235"/>
    </row>
    <row r="714" spans="1:15" ht="13.8">
      <c r="A714" s="235"/>
      <c r="B714" s="235"/>
      <c r="C714" s="235"/>
      <c r="D714" s="234"/>
      <c r="E714" s="234"/>
      <c r="F714" s="234"/>
      <c r="G714" s="234"/>
      <c r="H714" s="235"/>
      <c r="I714" s="235"/>
      <c r="J714" s="235"/>
      <c r="K714" s="235"/>
      <c r="L714" s="235"/>
      <c r="M714" s="235"/>
      <c r="N714" s="235"/>
      <c r="O714" s="235"/>
    </row>
    <row r="715" spans="1:15" ht="13.8">
      <c r="A715" s="235"/>
      <c r="B715" s="235"/>
      <c r="C715" s="235"/>
      <c r="D715" s="234"/>
      <c r="E715" s="234"/>
      <c r="F715" s="234"/>
      <c r="G715" s="234"/>
      <c r="H715" s="235"/>
      <c r="I715" s="235"/>
      <c r="J715" s="235"/>
      <c r="K715" s="235"/>
      <c r="L715" s="235"/>
      <c r="M715" s="235"/>
      <c r="N715" s="235"/>
      <c r="O715" s="235"/>
    </row>
    <row r="716" spans="1:15" ht="13.8">
      <c r="A716" s="235"/>
      <c r="B716" s="235"/>
      <c r="C716" s="235"/>
      <c r="D716" s="234"/>
      <c r="E716" s="234"/>
      <c r="F716" s="234"/>
      <c r="G716" s="234"/>
      <c r="H716" s="235"/>
      <c r="I716" s="235"/>
      <c r="J716" s="235"/>
      <c r="K716" s="235"/>
      <c r="L716" s="235"/>
      <c r="M716" s="235"/>
      <c r="N716" s="235"/>
      <c r="O716" s="235"/>
    </row>
    <row r="717" spans="1:15" ht="13.8">
      <c r="A717" s="235"/>
      <c r="B717" s="235"/>
      <c r="C717" s="235"/>
      <c r="D717" s="234"/>
      <c r="E717" s="234"/>
      <c r="F717" s="234"/>
      <c r="G717" s="234"/>
      <c r="H717" s="235"/>
      <c r="I717" s="235"/>
      <c r="J717" s="235"/>
      <c r="K717" s="235"/>
      <c r="L717" s="235"/>
      <c r="M717" s="235"/>
      <c r="N717" s="235"/>
      <c r="O717" s="235"/>
    </row>
    <row r="718" spans="1:15" ht="13.8">
      <c r="A718" s="235"/>
      <c r="B718" s="235"/>
      <c r="C718" s="235"/>
      <c r="D718" s="234"/>
      <c r="E718" s="234"/>
      <c r="F718" s="234"/>
      <c r="G718" s="234"/>
      <c r="H718" s="235"/>
      <c r="I718" s="235"/>
      <c r="J718" s="235"/>
      <c r="K718" s="235"/>
      <c r="L718" s="235"/>
      <c r="M718" s="235"/>
      <c r="N718" s="235"/>
      <c r="O718" s="235"/>
    </row>
    <row r="719" spans="1:15" ht="13.8">
      <c r="A719" s="235"/>
      <c r="B719" s="235"/>
      <c r="C719" s="235"/>
      <c r="D719" s="234"/>
      <c r="E719" s="234"/>
      <c r="F719" s="234"/>
      <c r="G719" s="234"/>
      <c r="H719" s="235"/>
      <c r="I719" s="235"/>
      <c r="J719" s="235"/>
      <c r="K719" s="235"/>
      <c r="L719" s="235"/>
      <c r="M719" s="235"/>
      <c r="N719" s="235"/>
      <c r="O719" s="235"/>
    </row>
    <row r="720" spans="1:15" ht="13.8">
      <c r="A720" s="235"/>
      <c r="B720" s="235"/>
      <c r="C720" s="235"/>
      <c r="D720" s="234"/>
      <c r="E720" s="234"/>
      <c r="F720" s="234"/>
      <c r="G720" s="234"/>
      <c r="H720" s="235"/>
      <c r="I720" s="235"/>
      <c r="J720" s="235"/>
      <c r="K720" s="235"/>
      <c r="L720" s="235"/>
      <c r="M720" s="235"/>
      <c r="N720" s="235"/>
      <c r="O720" s="235"/>
    </row>
    <row r="721" spans="1:15" ht="13.8">
      <c r="A721" s="235"/>
      <c r="B721" s="235"/>
      <c r="C721" s="235"/>
      <c r="D721" s="234"/>
      <c r="E721" s="234"/>
      <c r="F721" s="234"/>
      <c r="G721" s="234"/>
      <c r="H721" s="235"/>
      <c r="I721" s="235"/>
      <c r="J721" s="235"/>
      <c r="K721" s="235"/>
      <c r="L721" s="235"/>
      <c r="M721" s="235"/>
      <c r="N721" s="235"/>
      <c r="O721" s="235"/>
    </row>
    <row r="722" spans="1:15" ht="13.8">
      <c r="A722" s="235"/>
      <c r="B722" s="235"/>
      <c r="C722" s="235"/>
      <c r="D722" s="234"/>
      <c r="E722" s="234"/>
      <c r="F722" s="234"/>
      <c r="G722" s="234"/>
      <c r="H722" s="235"/>
      <c r="I722" s="235"/>
      <c r="J722" s="235"/>
      <c r="K722" s="235"/>
      <c r="L722" s="235"/>
      <c r="M722" s="235"/>
      <c r="N722" s="235"/>
      <c r="O722" s="235"/>
    </row>
    <row r="723" spans="1:15" ht="13.8">
      <c r="A723" s="235"/>
      <c r="B723" s="235"/>
      <c r="C723" s="235"/>
      <c r="D723" s="234"/>
      <c r="E723" s="234"/>
      <c r="F723" s="234"/>
      <c r="G723" s="234"/>
      <c r="H723" s="235"/>
      <c r="I723" s="235"/>
      <c r="J723" s="235"/>
      <c r="K723" s="235"/>
      <c r="L723" s="235"/>
      <c r="M723" s="235"/>
      <c r="N723" s="235"/>
      <c r="O723" s="235"/>
    </row>
    <row r="724" spans="1:15" ht="13.8">
      <c r="A724" s="235"/>
      <c r="B724" s="235"/>
      <c r="C724" s="235"/>
      <c r="D724" s="234"/>
      <c r="E724" s="234"/>
      <c r="F724" s="234"/>
      <c r="G724" s="234"/>
      <c r="H724" s="235"/>
      <c r="I724" s="235"/>
      <c r="J724" s="235"/>
      <c r="K724" s="235"/>
      <c r="L724" s="235"/>
      <c r="M724" s="235"/>
      <c r="N724" s="235"/>
      <c r="O724" s="235"/>
    </row>
    <row r="725" spans="1:15" ht="13.8">
      <c r="A725" s="235"/>
      <c r="B725" s="235"/>
      <c r="C725" s="235"/>
      <c r="D725" s="234"/>
      <c r="E725" s="234"/>
      <c r="F725" s="234"/>
      <c r="G725" s="234"/>
      <c r="H725" s="235"/>
      <c r="I725" s="235"/>
      <c r="J725" s="235"/>
      <c r="K725" s="235"/>
      <c r="L725" s="235"/>
      <c r="M725" s="235"/>
      <c r="N725" s="235"/>
      <c r="O725" s="235"/>
    </row>
    <row r="726" spans="1:15" ht="13.8">
      <c r="A726" s="235"/>
      <c r="B726" s="235"/>
      <c r="C726" s="235"/>
      <c r="D726" s="234"/>
      <c r="E726" s="234"/>
      <c r="F726" s="234"/>
      <c r="G726" s="234"/>
      <c r="H726" s="235"/>
      <c r="I726" s="235"/>
      <c r="J726" s="235"/>
      <c r="K726" s="235"/>
      <c r="L726" s="235"/>
      <c r="M726" s="235"/>
      <c r="N726" s="235"/>
      <c r="O726" s="235"/>
    </row>
    <row r="727" spans="1:15" ht="13.8">
      <c r="A727" s="235"/>
      <c r="B727" s="235"/>
      <c r="C727" s="235"/>
      <c r="D727" s="234"/>
      <c r="E727" s="234"/>
      <c r="F727" s="234"/>
      <c r="G727" s="234"/>
      <c r="H727" s="235"/>
      <c r="I727" s="235"/>
      <c r="J727" s="235"/>
      <c r="K727" s="235"/>
      <c r="L727" s="235"/>
      <c r="M727" s="235"/>
      <c r="N727" s="235"/>
      <c r="O727" s="235"/>
    </row>
    <row r="728" spans="1:15" ht="13.8">
      <c r="A728" s="235"/>
      <c r="B728" s="235"/>
      <c r="C728" s="235"/>
      <c r="D728" s="234"/>
      <c r="E728" s="234"/>
      <c r="F728" s="234"/>
      <c r="G728" s="234"/>
      <c r="H728" s="235"/>
      <c r="I728" s="235"/>
      <c r="J728" s="235"/>
      <c r="K728" s="235"/>
      <c r="L728" s="235"/>
      <c r="M728" s="235"/>
      <c r="N728" s="235"/>
      <c r="O728" s="235"/>
    </row>
    <row r="729" spans="1:15" ht="13.8">
      <c r="A729" s="235"/>
      <c r="B729" s="235"/>
      <c r="C729" s="235"/>
      <c r="D729" s="234"/>
      <c r="E729" s="234"/>
      <c r="F729" s="234"/>
      <c r="G729" s="234"/>
      <c r="H729" s="235"/>
      <c r="I729" s="235"/>
      <c r="J729" s="235"/>
      <c r="K729" s="235"/>
      <c r="L729" s="235"/>
      <c r="M729" s="235"/>
      <c r="N729" s="235"/>
      <c r="O729" s="235"/>
    </row>
    <row r="730" spans="1:15" ht="13.8">
      <c r="A730" s="235"/>
      <c r="B730" s="235"/>
      <c r="C730" s="235"/>
      <c r="D730" s="234"/>
      <c r="E730" s="234"/>
      <c r="F730" s="234"/>
      <c r="G730" s="234"/>
      <c r="H730" s="235"/>
      <c r="I730" s="235"/>
      <c r="J730" s="235"/>
      <c r="K730" s="235"/>
      <c r="L730" s="235"/>
      <c r="M730" s="235"/>
      <c r="N730" s="235"/>
      <c r="O730" s="235"/>
    </row>
    <row r="731" spans="1:15" ht="13.8">
      <c r="A731" s="235"/>
      <c r="B731" s="235"/>
      <c r="C731" s="235"/>
      <c r="D731" s="234"/>
      <c r="E731" s="234"/>
      <c r="F731" s="234"/>
      <c r="G731" s="234"/>
      <c r="H731" s="235"/>
      <c r="I731" s="235"/>
      <c r="J731" s="235"/>
      <c r="K731" s="235"/>
      <c r="L731" s="235"/>
      <c r="M731" s="235"/>
      <c r="N731" s="235"/>
      <c r="O731" s="235"/>
    </row>
    <row r="732" spans="1:15" ht="13.8">
      <c r="A732" s="235"/>
      <c r="B732" s="235"/>
      <c r="C732" s="235"/>
      <c r="D732" s="234"/>
      <c r="E732" s="234"/>
      <c r="F732" s="234"/>
      <c r="G732" s="234"/>
      <c r="H732" s="235"/>
      <c r="I732" s="235"/>
      <c r="J732" s="235"/>
      <c r="K732" s="235"/>
      <c r="L732" s="235"/>
      <c r="M732" s="235"/>
      <c r="N732" s="235"/>
      <c r="O732" s="235"/>
    </row>
    <row r="733" spans="1:15" ht="13.8">
      <c r="A733" s="235"/>
      <c r="B733" s="235"/>
      <c r="C733" s="235"/>
      <c r="D733" s="234"/>
      <c r="E733" s="234"/>
      <c r="F733" s="234"/>
      <c r="G733" s="234"/>
      <c r="H733" s="235"/>
      <c r="I733" s="235"/>
      <c r="J733" s="235"/>
      <c r="K733" s="235"/>
      <c r="L733" s="235"/>
      <c r="M733" s="235"/>
      <c r="N733" s="235"/>
      <c r="O733" s="235"/>
    </row>
    <row r="734" spans="1:15" ht="13.8">
      <c r="A734" s="235"/>
      <c r="B734" s="235"/>
      <c r="C734" s="235"/>
      <c r="D734" s="234"/>
      <c r="E734" s="234"/>
      <c r="F734" s="234"/>
      <c r="G734" s="234"/>
      <c r="H734" s="235"/>
      <c r="I734" s="235"/>
      <c r="J734" s="235"/>
      <c r="K734" s="235"/>
      <c r="L734" s="235"/>
      <c r="M734" s="235"/>
      <c r="N734" s="235"/>
      <c r="O734" s="235"/>
    </row>
    <row r="735" spans="1:15" ht="13.8">
      <c r="A735" s="235"/>
      <c r="B735" s="235"/>
      <c r="C735" s="235"/>
      <c r="D735" s="234"/>
      <c r="E735" s="234"/>
      <c r="F735" s="234"/>
      <c r="G735" s="234"/>
      <c r="H735" s="235"/>
      <c r="I735" s="235"/>
      <c r="J735" s="235"/>
      <c r="K735" s="235"/>
      <c r="L735" s="235"/>
      <c r="M735" s="235"/>
      <c r="N735" s="235"/>
      <c r="O735" s="235"/>
    </row>
    <row r="736" spans="1:15" ht="13.8">
      <c r="A736" s="235"/>
      <c r="B736" s="235"/>
      <c r="C736" s="235"/>
      <c r="D736" s="234"/>
      <c r="E736" s="234"/>
      <c r="F736" s="234"/>
      <c r="G736" s="234"/>
      <c r="H736" s="235"/>
      <c r="I736" s="235"/>
      <c r="J736" s="235"/>
      <c r="K736" s="235"/>
      <c r="L736" s="235"/>
      <c r="M736" s="235"/>
      <c r="N736" s="235"/>
      <c r="O736" s="235"/>
    </row>
    <row r="737" spans="1:15" ht="13.8">
      <c r="A737" s="235"/>
      <c r="B737" s="235"/>
      <c r="C737" s="235"/>
      <c r="D737" s="234"/>
      <c r="E737" s="234"/>
      <c r="F737" s="234"/>
      <c r="G737" s="234"/>
      <c r="H737" s="235"/>
      <c r="I737" s="235"/>
      <c r="J737" s="235"/>
      <c r="K737" s="235"/>
      <c r="L737" s="235"/>
      <c r="M737" s="235"/>
      <c r="N737" s="235"/>
      <c r="O737" s="235"/>
    </row>
    <row r="738" spans="1:15" ht="13.8">
      <c r="A738" s="235"/>
      <c r="B738" s="235"/>
      <c r="C738" s="235"/>
      <c r="D738" s="234"/>
      <c r="E738" s="234"/>
      <c r="F738" s="234"/>
      <c r="G738" s="234"/>
      <c r="H738" s="235"/>
      <c r="I738" s="235"/>
      <c r="J738" s="235"/>
      <c r="K738" s="235"/>
      <c r="L738" s="235"/>
      <c r="M738" s="235"/>
      <c r="N738" s="235"/>
      <c r="O738" s="235"/>
    </row>
    <row r="739" spans="1:15" ht="13.8">
      <c r="A739" s="235"/>
      <c r="B739" s="235"/>
      <c r="C739" s="235"/>
      <c r="D739" s="234"/>
      <c r="E739" s="234"/>
      <c r="F739" s="234"/>
      <c r="G739" s="234"/>
      <c r="H739" s="235"/>
      <c r="I739" s="235"/>
      <c r="J739" s="235"/>
      <c r="K739" s="235"/>
      <c r="L739" s="235"/>
      <c r="M739" s="235"/>
      <c r="N739" s="235"/>
      <c r="O739" s="235"/>
    </row>
    <row r="740" spans="1:15" ht="13.8">
      <c r="A740" s="235"/>
      <c r="B740" s="235"/>
      <c r="C740" s="235"/>
      <c r="D740" s="234"/>
      <c r="E740" s="234"/>
      <c r="F740" s="234"/>
      <c r="G740" s="234"/>
      <c r="H740" s="235"/>
      <c r="I740" s="235"/>
      <c r="J740" s="235"/>
      <c r="K740" s="235"/>
      <c r="L740" s="235"/>
      <c r="M740" s="235"/>
      <c r="N740" s="235"/>
      <c r="O740" s="235"/>
    </row>
    <row r="741" spans="1:15" ht="13.8">
      <c r="A741" s="235"/>
      <c r="B741" s="235"/>
      <c r="C741" s="235"/>
      <c r="D741" s="234"/>
      <c r="E741" s="234"/>
      <c r="F741" s="234"/>
      <c r="G741" s="234"/>
      <c r="H741" s="235"/>
      <c r="I741" s="235"/>
      <c r="J741" s="235"/>
      <c r="K741" s="235"/>
      <c r="L741" s="235"/>
      <c r="M741" s="235"/>
      <c r="N741" s="235"/>
      <c r="O741" s="235"/>
    </row>
    <row r="742" spans="1:15" ht="13.8">
      <c r="A742" s="235"/>
      <c r="B742" s="235"/>
      <c r="C742" s="235"/>
      <c r="D742" s="234"/>
      <c r="E742" s="234"/>
      <c r="F742" s="234"/>
      <c r="G742" s="234"/>
      <c r="H742" s="235"/>
      <c r="I742" s="235"/>
      <c r="J742" s="235"/>
      <c r="K742" s="235"/>
      <c r="L742" s="235"/>
      <c r="M742" s="235"/>
      <c r="N742" s="235"/>
      <c r="O742" s="235"/>
    </row>
    <row r="743" spans="1:15" ht="13.8">
      <c r="A743" s="235"/>
      <c r="B743" s="235"/>
      <c r="C743" s="235"/>
      <c r="D743" s="234"/>
      <c r="E743" s="234"/>
      <c r="F743" s="234"/>
      <c r="G743" s="234"/>
      <c r="H743" s="235"/>
      <c r="I743" s="235"/>
      <c r="J743" s="235"/>
      <c r="K743" s="235"/>
      <c r="L743" s="235"/>
      <c r="M743" s="235"/>
      <c r="N743" s="235"/>
      <c r="O743" s="235"/>
    </row>
    <row r="744" spans="1:15" ht="13.8">
      <c r="A744" s="235"/>
      <c r="B744" s="235"/>
      <c r="C744" s="235"/>
      <c r="D744" s="234"/>
      <c r="E744" s="234"/>
      <c r="F744" s="234"/>
      <c r="G744" s="234"/>
      <c r="H744" s="235"/>
      <c r="I744" s="235"/>
      <c r="J744" s="235"/>
      <c r="K744" s="235"/>
      <c r="L744" s="235"/>
      <c r="M744" s="235"/>
      <c r="N744" s="235"/>
      <c r="O744" s="235"/>
    </row>
    <row r="745" spans="1:15" ht="13.8">
      <c r="A745" s="235"/>
      <c r="B745" s="235"/>
      <c r="C745" s="235"/>
      <c r="D745" s="234"/>
      <c r="E745" s="234"/>
      <c r="F745" s="234"/>
      <c r="G745" s="234"/>
      <c r="H745" s="235"/>
      <c r="I745" s="235"/>
      <c r="J745" s="235"/>
      <c r="K745" s="235"/>
      <c r="L745" s="235"/>
      <c r="M745" s="235"/>
      <c r="N745" s="235"/>
      <c r="O745" s="235"/>
    </row>
    <row r="746" spans="1:15" ht="13.8">
      <c r="A746" s="235"/>
      <c r="B746" s="235"/>
      <c r="C746" s="235"/>
      <c r="D746" s="234"/>
      <c r="E746" s="234"/>
      <c r="F746" s="234"/>
      <c r="G746" s="234"/>
      <c r="H746" s="235"/>
      <c r="I746" s="235"/>
      <c r="J746" s="235"/>
      <c r="K746" s="235"/>
      <c r="L746" s="235"/>
      <c r="M746" s="235"/>
      <c r="N746" s="235"/>
      <c r="O746" s="235"/>
    </row>
    <row r="747" spans="1:15" ht="13.8">
      <c r="A747" s="235"/>
      <c r="B747" s="235"/>
      <c r="C747" s="235"/>
      <c r="D747" s="234"/>
      <c r="E747" s="234"/>
      <c r="F747" s="234"/>
      <c r="G747" s="234"/>
      <c r="H747" s="235"/>
      <c r="I747" s="235"/>
      <c r="J747" s="235"/>
      <c r="K747" s="235"/>
      <c r="L747" s="235"/>
      <c r="M747" s="235"/>
      <c r="N747" s="235"/>
      <c r="O747" s="235"/>
    </row>
    <row r="748" spans="1:15" ht="13.8">
      <c r="A748" s="235"/>
      <c r="B748" s="235"/>
      <c r="C748" s="235"/>
      <c r="D748" s="234"/>
      <c r="E748" s="234"/>
      <c r="F748" s="234"/>
      <c r="G748" s="234"/>
      <c r="H748" s="235"/>
      <c r="I748" s="235"/>
      <c r="J748" s="235"/>
      <c r="K748" s="235"/>
      <c r="L748" s="235"/>
      <c r="M748" s="235"/>
      <c r="N748" s="235"/>
      <c r="O748" s="235"/>
    </row>
    <row r="749" spans="1:15" ht="13.8">
      <c r="A749" s="235"/>
      <c r="B749" s="235"/>
      <c r="C749" s="235"/>
      <c r="D749" s="234"/>
      <c r="E749" s="234"/>
      <c r="F749" s="234"/>
      <c r="G749" s="234"/>
      <c r="H749" s="235"/>
      <c r="I749" s="235"/>
      <c r="J749" s="235"/>
      <c r="K749" s="235"/>
      <c r="L749" s="235"/>
      <c r="M749" s="235"/>
      <c r="N749" s="235"/>
      <c r="O749" s="235"/>
    </row>
    <row r="750" spans="1:15" ht="13.8">
      <c r="A750" s="235"/>
      <c r="B750" s="235"/>
      <c r="C750" s="235"/>
      <c r="D750" s="234"/>
      <c r="E750" s="234"/>
      <c r="F750" s="234"/>
      <c r="G750" s="234"/>
      <c r="H750" s="235"/>
      <c r="I750" s="235"/>
      <c r="J750" s="235"/>
      <c r="K750" s="235"/>
      <c r="L750" s="235"/>
      <c r="M750" s="235"/>
      <c r="N750" s="235"/>
      <c r="O750" s="235"/>
    </row>
    <row r="751" spans="1:15" ht="13.8">
      <c r="A751" s="235"/>
      <c r="B751" s="235"/>
      <c r="C751" s="235"/>
      <c r="D751" s="234"/>
      <c r="E751" s="234"/>
      <c r="F751" s="234"/>
      <c r="G751" s="234"/>
      <c r="H751" s="235"/>
      <c r="I751" s="235"/>
      <c r="J751" s="235"/>
      <c r="K751" s="235"/>
      <c r="L751" s="235"/>
      <c r="M751" s="235"/>
      <c r="N751" s="235"/>
      <c r="O751" s="235"/>
    </row>
    <row r="752" spans="1:15" ht="13.8">
      <c r="A752" s="235"/>
      <c r="B752" s="235"/>
      <c r="C752" s="235"/>
      <c r="D752" s="234"/>
      <c r="E752" s="234"/>
      <c r="F752" s="234"/>
      <c r="G752" s="234"/>
      <c r="H752" s="235"/>
      <c r="I752" s="235"/>
      <c r="J752" s="235"/>
      <c r="K752" s="235"/>
      <c r="L752" s="235"/>
      <c r="M752" s="235"/>
      <c r="N752" s="235"/>
      <c r="O752" s="235"/>
    </row>
    <row r="753" spans="1:15" ht="13.8">
      <c r="A753" s="235"/>
      <c r="B753" s="235"/>
      <c r="C753" s="235"/>
      <c r="D753" s="234"/>
      <c r="E753" s="234"/>
      <c r="F753" s="234"/>
      <c r="G753" s="234"/>
      <c r="H753" s="235"/>
      <c r="I753" s="235"/>
      <c r="J753" s="235"/>
      <c r="K753" s="235"/>
      <c r="L753" s="235"/>
      <c r="M753" s="235"/>
      <c r="N753" s="235"/>
      <c r="O753" s="235"/>
    </row>
    <row r="754" spans="1:15" ht="13.8">
      <c r="A754" s="235"/>
      <c r="B754" s="235"/>
      <c r="C754" s="235"/>
      <c r="D754" s="234"/>
      <c r="E754" s="234"/>
      <c r="F754" s="234"/>
      <c r="G754" s="234"/>
      <c r="H754" s="235"/>
      <c r="I754" s="235"/>
      <c r="J754" s="235"/>
      <c r="K754" s="235"/>
      <c r="L754" s="235"/>
      <c r="M754" s="235"/>
      <c r="N754" s="235"/>
      <c r="O754" s="235"/>
    </row>
    <row r="755" spans="1:15" ht="13.8">
      <c r="A755" s="235"/>
      <c r="B755" s="235"/>
      <c r="C755" s="235"/>
      <c r="D755" s="234"/>
      <c r="E755" s="234"/>
      <c r="F755" s="234"/>
      <c r="G755" s="234"/>
      <c r="H755" s="235"/>
      <c r="I755" s="235"/>
      <c r="J755" s="235"/>
      <c r="K755" s="235"/>
      <c r="L755" s="235"/>
      <c r="M755" s="235"/>
      <c r="N755" s="235"/>
      <c r="O755" s="235"/>
    </row>
    <row r="756" spans="1:15" ht="13.8">
      <c r="A756" s="235"/>
      <c r="B756" s="235"/>
      <c r="C756" s="235"/>
      <c r="D756" s="234"/>
      <c r="E756" s="234"/>
      <c r="F756" s="234"/>
      <c r="G756" s="234"/>
      <c r="H756" s="235"/>
      <c r="I756" s="235"/>
      <c r="J756" s="235"/>
      <c r="K756" s="235"/>
      <c r="L756" s="235"/>
      <c r="M756" s="235"/>
      <c r="N756" s="235"/>
      <c r="O756" s="235"/>
    </row>
    <row r="757" spans="1:15" ht="13.8">
      <c r="A757" s="235"/>
      <c r="B757" s="235"/>
      <c r="C757" s="235"/>
      <c r="D757" s="234"/>
      <c r="E757" s="234"/>
      <c r="F757" s="234"/>
      <c r="G757" s="234"/>
      <c r="H757" s="235"/>
      <c r="I757" s="235"/>
      <c r="J757" s="235"/>
      <c r="K757" s="235"/>
      <c r="L757" s="235"/>
      <c r="M757" s="235"/>
      <c r="N757" s="235"/>
      <c r="O757" s="235"/>
    </row>
    <row r="758" spans="1:15" ht="13.8">
      <c r="A758" s="235"/>
      <c r="B758" s="235"/>
      <c r="C758" s="235"/>
      <c r="D758" s="234"/>
      <c r="E758" s="234"/>
      <c r="F758" s="234"/>
      <c r="G758" s="234"/>
      <c r="H758" s="235"/>
      <c r="I758" s="235"/>
      <c r="J758" s="235"/>
      <c r="K758" s="235"/>
      <c r="L758" s="235"/>
      <c r="M758" s="235"/>
      <c r="N758" s="235"/>
      <c r="O758" s="235"/>
    </row>
    <row r="759" spans="1:15" ht="13.8">
      <c r="A759" s="235"/>
      <c r="B759" s="235"/>
      <c r="C759" s="235"/>
      <c r="D759" s="234"/>
      <c r="E759" s="234"/>
      <c r="F759" s="234"/>
      <c r="G759" s="234"/>
      <c r="H759" s="235"/>
      <c r="I759" s="235"/>
      <c r="J759" s="235"/>
      <c r="K759" s="235"/>
      <c r="L759" s="235"/>
      <c r="M759" s="235"/>
      <c r="N759" s="235"/>
      <c r="O759" s="235"/>
    </row>
    <row r="760" spans="1:15" ht="13.8">
      <c r="A760" s="235"/>
      <c r="B760" s="235"/>
      <c r="C760" s="235"/>
      <c r="D760" s="234"/>
      <c r="E760" s="234"/>
      <c r="F760" s="234"/>
      <c r="G760" s="234"/>
      <c r="H760" s="235"/>
      <c r="I760" s="235"/>
      <c r="J760" s="235"/>
      <c r="K760" s="235"/>
      <c r="L760" s="235"/>
      <c r="M760" s="235"/>
      <c r="N760" s="235"/>
      <c r="O760" s="235"/>
    </row>
    <row r="761" spans="1:15" ht="13.8">
      <c r="A761" s="235"/>
      <c r="B761" s="235"/>
      <c r="C761" s="235"/>
      <c r="D761" s="234"/>
      <c r="E761" s="234"/>
      <c r="F761" s="234"/>
      <c r="G761" s="234"/>
      <c r="H761" s="235"/>
      <c r="I761" s="235"/>
      <c r="J761" s="235"/>
      <c r="K761" s="235"/>
      <c r="L761" s="235"/>
      <c r="M761" s="235"/>
      <c r="N761" s="235"/>
      <c r="O761" s="235"/>
    </row>
    <row r="762" spans="1:15" ht="13.8">
      <c r="A762" s="235"/>
      <c r="B762" s="235"/>
      <c r="C762" s="235"/>
      <c r="D762" s="234"/>
      <c r="E762" s="234"/>
      <c r="F762" s="234"/>
      <c r="G762" s="234"/>
      <c r="H762" s="235"/>
      <c r="I762" s="235"/>
      <c r="J762" s="235"/>
      <c r="K762" s="235"/>
      <c r="L762" s="235"/>
      <c r="M762" s="235"/>
      <c r="N762" s="235"/>
      <c r="O762" s="235"/>
    </row>
    <row r="763" spans="1:15" ht="13.8">
      <c r="A763" s="235"/>
      <c r="B763" s="235"/>
      <c r="C763" s="235"/>
      <c r="D763" s="234"/>
      <c r="E763" s="234"/>
      <c r="F763" s="234"/>
      <c r="G763" s="234"/>
      <c r="H763" s="235"/>
      <c r="I763" s="235"/>
      <c r="J763" s="235"/>
      <c r="K763" s="235"/>
      <c r="L763" s="235"/>
      <c r="M763" s="235"/>
      <c r="N763" s="235"/>
      <c r="O763" s="235"/>
    </row>
    <row r="764" spans="1:15" ht="13.8">
      <c r="A764" s="235"/>
      <c r="B764" s="235"/>
      <c r="C764" s="235"/>
      <c r="D764" s="234"/>
      <c r="E764" s="234"/>
      <c r="F764" s="234"/>
      <c r="G764" s="234"/>
      <c r="H764" s="235"/>
      <c r="I764" s="235"/>
      <c r="J764" s="235"/>
      <c r="K764" s="235"/>
      <c r="L764" s="235"/>
      <c r="M764" s="235"/>
      <c r="N764" s="235"/>
      <c r="O764" s="235"/>
    </row>
    <row r="765" spans="1:15" ht="13.8">
      <c r="A765" s="235"/>
      <c r="B765" s="235"/>
      <c r="C765" s="235"/>
      <c r="D765" s="234"/>
      <c r="E765" s="234"/>
      <c r="F765" s="234"/>
      <c r="G765" s="234"/>
      <c r="H765" s="235"/>
      <c r="I765" s="235"/>
      <c r="J765" s="235"/>
      <c r="K765" s="235"/>
      <c r="L765" s="235"/>
      <c r="M765" s="235"/>
      <c r="N765" s="235"/>
      <c r="O765" s="235"/>
    </row>
    <row r="766" spans="1:15" ht="13.8">
      <c r="A766" s="235"/>
      <c r="B766" s="235"/>
      <c r="C766" s="235"/>
      <c r="D766" s="234"/>
      <c r="E766" s="234"/>
      <c r="F766" s="234"/>
      <c r="G766" s="234"/>
      <c r="H766" s="235"/>
      <c r="I766" s="235"/>
      <c r="J766" s="235"/>
      <c r="K766" s="235"/>
      <c r="L766" s="235"/>
      <c r="M766" s="235"/>
      <c r="N766" s="235"/>
      <c r="O766" s="235"/>
    </row>
    <row r="767" spans="1:15" ht="13.8">
      <c r="A767" s="235"/>
      <c r="B767" s="235"/>
      <c r="C767" s="235"/>
      <c r="D767" s="234"/>
      <c r="E767" s="234"/>
      <c r="F767" s="234"/>
      <c r="G767" s="234"/>
      <c r="H767" s="235"/>
      <c r="I767" s="235"/>
      <c r="J767" s="235"/>
      <c r="K767" s="235"/>
      <c r="L767" s="235"/>
      <c r="M767" s="235"/>
      <c r="N767" s="235"/>
      <c r="O767" s="235"/>
    </row>
    <row r="768" spans="1:15" ht="13.8">
      <c r="A768" s="235"/>
      <c r="B768" s="235"/>
      <c r="C768" s="235"/>
      <c r="D768" s="234"/>
      <c r="E768" s="234"/>
      <c r="F768" s="234"/>
      <c r="G768" s="234"/>
      <c r="H768" s="235"/>
      <c r="I768" s="235"/>
      <c r="J768" s="235"/>
      <c r="K768" s="235"/>
      <c r="L768" s="235"/>
      <c r="M768" s="235"/>
      <c r="N768" s="235"/>
      <c r="O768" s="235"/>
    </row>
    <row r="769" spans="1:15" ht="13.8">
      <c r="A769" s="235"/>
      <c r="B769" s="235"/>
      <c r="C769" s="235"/>
      <c r="D769" s="234"/>
      <c r="E769" s="234"/>
      <c r="F769" s="234"/>
      <c r="G769" s="234"/>
      <c r="H769" s="235"/>
      <c r="I769" s="235"/>
      <c r="J769" s="235"/>
      <c r="K769" s="235"/>
      <c r="L769" s="235"/>
      <c r="M769" s="235"/>
      <c r="N769" s="235"/>
      <c r="O769" s="235"/>
    </row>
    <row r="770" spans="1:15" ht="13.8">
      <c r="A770" s="235"/>
      <c r="B770" s="235"/>
      <c r="C770" s="235"/>
      <c r="D770" s="234"/>
      <c r="E770" s="234"/>
      <c r="F770" s="234"/>
      <c r="G770" s="234"/>
      <c r="H770" s="235"/>
      <c r="I770" s="235"/>
      <c r="J770" s="235"/>
      <c r="K770" s="235"/>
      <c r="L770" s="235"/>
      <c r="M770" s="235"/>
      <c r="N770" s="235"/>
      <c r="O770" s="235"/>
    </row>
    <row r="771" spans="1:15" ht="13.8">
      <c r="A771" s="235"/>
      <c r="B771" s="235"/>
      <c r="C771" s="235"/>
      <c r="D771" s="234"/>
      <c r="E771" s="234"/>
      <c r="F771" s="234"/>
      <c r="G771" s="234"/>
      <c r="H771" s="235"/>
      <c r="I771" s="235"/>
      <c r="J771" s="235"/>
      <c r="K771" s="235"/>
      <c r="L771" s="235"/>
      <c r="M771" s="235"/>
      <c r="N771" s="235"/>
      <c r="O771" s="235"/>
    </row>
    <row r="772" spans="1:15" ht="13.8">
      <c r="A772" s="235"/>
      <c r="B772" s="235"/>
      <c r="C772" s="235"/>
      <c r="D772" s="234"/>
      <c r="E772" s="234"/>
      <c r="F772" s="234"/>
      <c r="G772" s="234"/>
      <c r="H772" s="235"/>
      <c r="I772" s="235"/>
      <c r="J772" s="235"/>
      <c r="K772" s="235"/>
      <c r="L772" s="235"/>
      <c r="M772" s="235"/>
      <c r="N772" s="235"/>
      <c r="O772" s="235"/>
    </row>
    <row r="773" spans="1:15" ht="13.8">
      <c r="A773" s="235"/>
      <c r="B773" s="235"/>
      <c r="C773" s="235"/>
      <c r="D773" s="234"/>
      <c r="E773" s="234"/>
      <c r="F773" s="234"/>
      <c r="G773" s="234"/>
      <c r="H773" s="235"/>
      <c r="I773" s="235"/>
      <c r="J773" s="235"/>
      <c r="K773" s="235"/>
      <c r="L773" s="235"/>
      <c r="M773" s="235"/>
      <c r="N773" s="235"/>
      <c r="O773" s="235"/>
    </row>
    <row r="774" spans="1:15" ht="13.8">
      <c r="A774" s="235"/>
      <c r="B774" s="235"/>
      <c r="C774" s="235"/>
      <c r="D774" s="234"/>
      <c r="E774" s="234"/>
      <c r="F774" s="234"/>
      <c r="G774" s="234"/>
      <c r="H774" s="235"/>
      <c r="I774" s="235"/>
      <c r="J774" s="235"/>
      <c r="K774" s="235"/>
      <c r="L774" s="235"/>
      <c r="M774" s="235"/>
      <c r="N774" s="235"/>
      <c r="O774" s="235"/>
    </row>
    <row r="775" spans="1:15" ht="13.8">
      <c r="A775" s="235"/>
      <c r="B775" s="235"/>
      <c r="C775" s="235"/>
      <c r="D775" s="234"/>
      <c r="E775" s="234"/>
      <c r="F775" s="234"/>
      <c r="G775" s="234"/>
      <c r="H775" s="235"/>
      <c r="I775" s="235"/>
      <c r="J775" s="235"/>
      <c r="K775" s="235"/>
      <c r="L775" s="235"/>
      <c r="M775" s="235"/>
      <c r="N775" s="235"/>
      <c r="O775" s="235"/>
    </row>
    <row r="776" spans="1:15" ht="13.8">
      <c r="A776" s="235"/>
      <c r="B776" s="235"/>
      <c r="C776" s="235"/>
      <c r="D776" s="234"/>
      <c r="E776" s="234"/>
      <c r="F776" s="234"/>
      <c r="G776" s="234"/>
      <c r="H776" s="235"/>
      <c r="I776" s="235"/>
      <c r="J776" s="235"/>
      <c r="K776" s="235"/>
      <c r="L776" s="235"/>
      <c r="M776" s="235"/>
      <c r="N776" s="235"/>
      <c r="O776" s="235"/>
    </row>
    <row r="777" spans="1:15" ht="13.8">
      <c r="A777" s="235"/>
      <c r="B777" s="235"/>
      <c r="C777" s="235"/>
      <c r="D777" s="234"/>
      <c r="E777" s="234"/>
      <c r="F777" s="234"/>
      <c r="G777" s="234"/>
      <c r="H777" s="235"/>
      <c r="I777" s="235"/>
      <c r="J777" s="235"/>
      <c r="K777" s="235"/>
      <c r="L777" s="235"/>
      <c r="M777" s="235"/>
      <c r="N777" s="235"/>
      <c r="O777" s="235"/>
    </row>
    <row r="778" spans="1:15" ht="13.8">
      <c r="A778" s="235"/>
      <c r="B778" s="235"/>
      <c r="C778" s="235"/>
      <c r="D778" s="234"/>
      <c r="E778" s="234"/>
      <c r="F778" s="234"/>
      <c r="G778" s="234"/>
      <c r="H778" s="235"/>
      <c r="I778" s="235"/>
      <c r="J778" s="235"/>
      <c r="K778" s="235"/>
      <c r="L778" s="235"/>
      <c r="M778" s="235"/>
      <c r="N778" s="235"/>
      <c r="O778" s="235"/>
    </row>
    <row r="779" spans="1:15" ht="13.8">
      <c r="A779" s="235"/>
      <c r="B779" s="235"/>
      <c r="C779" s="235"/>
      <c r="D779" s="234"/>
      <c r="E779" s="234"/>
      <c r="F779" s="234"/>
      <c r="G779" s="234"/>
      <c r="H779" s="235"/>
      <c r="I779" s="235"/>
      <c r="J779" s="235"/>
      <c r="K779" s="235"/>
      <c r="L779" s="235"/>
      <c r="M779" s="235"/>
      <c r="N779" s="235"/>
      <c r="O779" s="235"/>
    </row>
    <row r="780" spans="1:15" ht="13.8">
      <c r="A780" s="235"/>
      <c r="B780" s="235"/>
      <c r="C780" s="235"/>
      <c r="D780" s="234"/>
      <c r="E780" s="234"/>
      <c r="F780" s="234"/>
      <c r="G780" s="234"/>
      <c r="H780" s="235"/>
      <c r="I780" s="235"/>
      <c r="J780" s="235"/>
      <c r="K780" s="235"/>
      <c r="L780" s="235"/>
      <c r="M780" s="235"/>
      <c r="N780" s="235"/>
      <c r="O780" s="235"/>
    </row>
    <row r="781" spans="1:15" ht="13.8">
      <c r="A781" s="235"/>
      <c r="B781" s="235"/>
      <c r="C781" s="235"/>
      <c r="D781" s="234"/>
      <c r="E781" s="234"/>
      <c r="F781" s="234"/>
      <c r="G781" s="234"/>
      <c r="H781" s="235"/>
      <c r="I781" s="235"/>
      <c r="J781" s="235"/>
      <c r="K781" s="235"/>
      <c r="L781" s="235"/>
      <c r="M781" s="235"/>
      <c r="N781" s="235"/>
      <c r="O781" s="235"/>
    </row>
    <row r="782" spans="1:15" ht="13.8">
      <c r="A782" s="235"/>
      <c r="B782" s="235"/>
      <c r="C782" s="235"/>
      <c r="D782" s="234"/>
      <c r="E782" s="234"/>
      <c r="F782" s="234"/>
      <c r="G782" s="234"/>
      <c r="H782" s="235"/>
      <c r="I782" s="235"/>
      <c r="J782" s="235"/>
      <c r="K782" s="235"/>
      <c r="L782" s="235"/>
      <c r="M782" s="235"/>
      <c r="N782" s="235"/>
      <c r="O782" s="235"/>
    </row>
    <row r="783" spans="1:15" ht="13.8">
      <c r="A783" s="235"/>
      <c r="B783" s="235"/>
      <c r="C783" s="235"/>
      <c r="D783" s="234"/>
      <c r="E783" s="234"/>
      <c r="F783" s="234"/>
      <c r="G783" s="234"/>
      <c r="H783" s="235"/>
      <c r="I783" s="235"/>
      <c r="J783" s="235"/>
      <c r="K783" s="235"/>
      <c r="L783" s="235"/>
      <c r="M783" s="235"/>
      <c r="N783" s="235"/>
      <c r="O783" s="235"/>
    </row>
    <row r="784" spans="1:15" ht="13.8">
      <c r="A784" s="235"/>
      <c r="B784" s="235"/>
      <c r="C784" s="235"/>
      <c r="D784" s="234"/>
      <c r="E784" s="234"/>
      <c r="F784" s="234"/>
      <c r="G784" s="234"/>
      <c r="H784" s="235"/>
      <c r="I784" s="235"/>
      <c r="J784" s="235"/>
      <c r="K784" s="235"/>
      <c r="L784" s="235"/>
      <c r="M784" s="235"/>
      <c r="N784" s="235"/>
      <c r="O784" s="235"/>
    </row>
    <row r="785" spans="1:15" ht="13.8">
      <c r="A785" s="235"/>
      <c r="B785" s="235"/>
      <c r="C785" s="235"/>
      <c r="D785" s="234"/>
      <c r="E785" s="234"/>
      <c r="F785" s="234"/>
      <c r="G785" s="234"/>
      <c r="H785" s="235"/>
      <c r="I785" s="235"/>
      <c r="J785" s="235"/>
      <c r="K785" s="235"/>
      <c r="L785" s="235"/>
      <c r="M785" s="235"/>
      <c r="N785" s="235"/>
      <c r="O785" s="235"/>
    </row>
    <row r="786" spans="1:15" ht="13.8">
      <c r="A786" s="235"/>
      <c r="B786" s="235"/>
      <c r="C786" s="235"/>
      <c r="D786" s="234"/>
      <c r="E786" s="234"/>
      <c r="F786" s="234"/>
      <c r="G786" s="234"/>
      <c r="H786" s="235"/>
      <c r="I786" s="235"/>
      <c r="J786" s="235"/>
      <c r="K786" s="235"/>
      <c r="L786" s="235"/>
      <c r="M786" s="235"/>
      <c r="N786" s="235"/>
      <c r="O786" s="235"/>
    </row>
    <row r="787" spans="1:15" ht="13.8">
      <c r="A787" s="235"/>
      <c r="B787" s="235"/>
      <c r="C787" s="235"/>
      <c r="D787" s="234"/>
      <c r="E787" s="234"/>
      <c r="F787" s="234"/>
      <c r="G787" s="234"/>
      <c r="H787" s="235"/>
      <c r="I787" s="235"/>
      <c r="J787" s="235"/>
      <c r="K787" s="235"/>
      <c r="L787" s="235"/>
      <c r="M787" s="235"/>
      <c r="N787" s="235"/>
      <c r="O787" s="235"/>
    </row>
    <row r="788" spans="1:15" ht="13.8">
      <c r="A788" s="235"/>
      <c r="B788" s="235"/>
      <c r="C788" s="235"/>
      <c r="D788" s="234"/>
      <c r="E788" s="234"/>
      <c r="F788" s="234"/>
      <c r="G788" s="234"/>
      <c r="H788" s="235"/>
      <c r="I788" s="235"/>
      <c r="J788" s="235"/>
      <c r="K788" s="235"/>
      <c r="L788" s="235"/>
      <c r="M788" s="235"/>
      <c r="N788" s="235"/>
      <c r="O788" s="235"/>
    </row>
    <row r="789" spans="1:15" ht="13.8">
      <c r="A789" s="235"/>
      <c r="B789" s="235"/>
      <c r="C789" s="235"/>
      <c r="D789" s="234"/>
      <c r="E789" s="234"/>
      <c r="F789" s="234"/>
      <c r="G789" s="234"/>
      <c r="H789" s="235"/>
      <c r="I789" s="235"/>
      <c r="J789" s="235"/>
      <c r="K789" s="235"/>
      <c r="L789" s="235"/>
      <c r="M789" s="235"/>
      <c r="N789" s="235"/>
      <c r="O789" s="235"/>
    </row>
    <row r="790" spans="1:15" ht="13.8">
      <c r="A790" s="235"/>
      <c r="B790" s="235"/>
      <c r="C790" s="235"/>
      <c r="D790" s="234"/>
      <c r="E790" s="234"/>
      <c r="F790" s="234"/>
      <c r="G790" s="234"/>
      <c r="H790" s="235"/>
      <c r="I790" s="235"/>
      <c r="J790" s="235"/>
      <c r="K790" s="235"/>
      <c r="L790" s="235"/>
      <c r="M790" s="235"/>
      <c r="N790" s="235"/>
      <c r="O790" s="235"/>
    </row>
    <row r="791" spans="1:15" ht="13.8">
      <c r="A791" s="235"/>
      <c r="B791" s="235"/>
      <c r="C791" s="235"/>
      <c r="D791" s="234"/>
      <c r="E791" s="234"/>
      <c r="F791" s="234"/>
      <c r="G791" s="234"/>
      <c r="H791" s="235"/>
      <c r="I791" s="235"/>
      <c r="J791" s="235"/>
      <c r="K791" s="235"/>
      <c r="L791" s="235"/>
      <c r="M791" s="235"/>
      <c r="N791" s="235"/>
      <c r="O791" s="235"/>
    </row>
    <row r="792" spans="1:15" ht="13.8">
      <c r="A792" s="235"/>
      <c r="B792" s="235"/>
      <c r="C792" s="235"/>
      <c r="D792" s="234"/>
      <c r="E792" s="234"/>
      <c r="F792" s="234"/>
      <c r="G792" s="234"/>
      <c r="H792" s="235"/>
      <c r="I792" s="235"/>
      <c r="J792" s="235"/>
      <c r="K792" s="235"/>
      <c r="L792" s="235"/>
      <c r="M792" s="235"/>
      <c r="N792" s="235"/>
      <c r="O792" s="235"/>
    </row>
    <row r="793" spans="1:15" ht="13.8">
      <c r="A793" s="235"/>
      <c r="B793" s="235"/>
      <c r="C793" s="235"/>
      <c r="D793" s="234"/>
      <c r="E793" s="234"/>
      <c r="F793" s="234"/>
      <c r="G793" s="234"/>
      <c r="H793" s="235"/>
      <c r="I793" s="235"/>
      <c r="J793" s="235"/>
      <c r="K793" s="235"/>
      <c r="L793" s="235"/>
      <c r="M793" s="235"/>
      <c r="N793" s="235"/>
      <c r="O793" s="235"/>
    </row>
    <row r="794" spans="1:15" ht="13.8">
      <c r="A794" s="235"/>
      <c r="B794" s="235"/>
      <c r="C794" s="235"/>
      <c r="D794" s="234"/>
      <c r="E794" s="234"/>
      <c r="F794" s="234"/>
      <c r="G794" s="234"/>
      <c r="H794" s="235"/>
      <c r="I794" s="235"/>
      <c r="J794" s="235"/>
      <c r="K794" s="235"/>
      <c r="L794" s="235"/>
      <c r="M794" s="235"/>
      <c r="N794" s="235"/>
      <c r="O794" s="235"/>
    </row>
    <row r="795" spans="1:15" ht="13.8">
      <c r="A795" s="235"/>
      <c r="B795" s="235"/>
      <c r="C795" s="235"/>
      <c r="D795" s="234"/>
      <c r="E795" s="234"/>
      <c r="F795" s="234"/>
      <c r="G795" s="234"/>
      <c r="H795" s="235"/>
      <c r="I795" s="235"/>
      <c r="J795" s="235"/>
      <c r="K795" s="235"/>
      <c r="L795" s="235"/>
      <c r="M795" s="235"/>
      <c r="N795" s="235"/>
      <c r="O795" s="235"/>
    </row>
    <row r="796" spans="1:15" ht="13.8">
      <c r="A796" s="235"/>
      <c r="B796" s="235"/>
      <c r="C796" s="235"/>
      <c r="D796" s="234"/>
      <c r="E796" s="234"/>
      <c r="F796" s="234"/>
      <c r="G796" s="234"/>
      <c r="H796" s="235"/>
      <c r="I796" s="235"/>
      <c r="J796" s="235"/>
      <c r="K796" s="235"/>
      <c r="L796" s="235"/>
      <c r="M796" s="235"/>
      <c r="N796" s="235"/>
      <c r="O796" s="235"/>
    </row>
    <row r="797" spans="1:15" ht="13.8">
      <c r="A797" s="235"/>
      <c r="B797" s="235"/>
      <c r="C797" s="235"/>
      <c r="D797" s="234"/>
      <c r="E797" s="234"/>
      <c r="F797" s="234"/>
      <c r="G797" s="234"/>
      <c r="H797" s="235"/>
      <c r="I797" s="235"/>
      <c r="J797" s="235"/>
      <c r="K797" s="235"/>
      <c r="L797" s="235"/>
      <c r="M797" s="235"/>
      <c r="N797" s="235"/>
      <c r="O797" s="235"/>
    </row>
    <row r="798" spans="1:15" ht="13.8">
      <c r="A798" s="235"/>
      <c r="B798" s="235"/>
      <c r="C798" s="235"/>
      <c r="D798" s="234"/>
      <c r="E798" s="234"/>
      <c r="F798" s="234"/>
      <c r="G798" s="234"/>
      <c r="H798" s="235"/>
      <c r="I798" s="235"/>
      <c r="J798" s="235"/>
      <c r="K798" s="235"/>
      <c r="L798" s="235"/>
      <c r="M798" s="235"/>
      <c r="N798" s="235"/>
      <c r="O798" s="235"/>
    </row>
    <row r="799" spans="1:15" ht="13.8">
      <c r="A799" s="235"/>
      <c r="B799" s="235"/>
      <c r="C799" s="235"/>
      <c r="D799" s="234"/>
      <c r="E799" s="234"/>
      <c r="F799" s="234"/>
      <c r="G799" s="234"/>
      <c r="H799" s="235"/>
      <c r="I799" s="235"/>
      <c r="J799" s="235"/>
      <c r="K799" s="235"/>
      <c r="L799" s="235"/>
      <c r="M799" s="235"/>
      <c r="N799" s="235"/>
      <c r="O799" s="235"/>
    </row>
    <row r="800" spans="1:15" ht="13.8">
      <c r="A800" s="235"/>
      <c r="B800" s="235"/>
      <c r="C800" s="235"/>
      <c r="D800" s="234"/>
      <c r="E800" s="234"/>
      <c r="F800" s="234"/>
      <c r="G800" s="234"/>
      <c r="H800" s="235"/>
      <c r="I800" s="235"/>
      <c r="J800" s="235"/>
      <c r="K800" s="235"/>
      <c r="L800" s="235"/>
      <c r="M800" s="235"/>
      <c r="N800" s="235"/>
      <c r="O800" s="235"/>
    </row>
    <row r="801" spans="1:15" ht="13.8">
      <c r="A801" s="235"/>
      <c r="B801" s="235"/>
      <c r="C801" s="235"/>
      <c r="D801" s="234"/>
      <c r="E801" s="234"/>
      <c r="F801" s="234"/>
      <c r="G801" s="234"/>
      <c r="H801" s="235"/>
      <c r="I801" s="235"/>
      <c r="J801" s="235"/>
      <c r="K801" s="235"/>
      <c r="L801" s="235"/>
      <c r="M801" s="235"/>
      <c r="N801" s="235"/>
      <c r="O801" s="235"/>
    </row>
    <row r="802" spans="1:15" ht="13.8">
      <c r="A802" s="235"/>
      <c r="B802" s="235"/>
      <c r="C802" s="235"/>
      <c r="D802" s="234"/>
      <c r="E802" s="234"/>
      <c r="F802" s="234"/>
      <c r="G802" s="234"/>
      <c r="H802" s="235"/>
      <c r="I802" s="235"/>
      <c r="J802" s="235"/>
      <c r="K802" s="235"/>
      <c r="L802" s="235"/>
      <c r="M802" s="235"/>
      <c r="N802" s="235"/>
      <c r="O802" s="235"/>
    </row>
    <row r="803" spans="1:15" ht="13.8">
      <c r="A803" s="235"/>
      <c r="B803" s="235"/>
      <c r="C803" s="235"/>
      <c r="D803" s="234"/>
      <c r="E803" s="234"/>
      <c r="F803" s="234"/>
      <c r="G803" s="234"/>
      <c r="H803" s="235"/>
      <c r="I803" s="235"/>
      <c r="J803" s="235"/>
      <c r="K803" s="235"/>
      <c r="L803" s="235"/>
      <c r="M803" s="235"/>
      <c r="N803" s="235"/>
      <c r="O803" s="235"/>
    </row>
    <row r="804" spans="1:15" ht="13.8">
      <c r="A804" s="235"/>
      <c r="B804" s="235"/>
      <c r="C804" s="235"/>
      <c r="D804" s="234"/>
      <c r="E804" s="234"/>
      <c r="F804" s="234"/>
      <c r="G804" s="234"/>
      <c r="H804" s="235"/>
      <c r="I804" s="235"/>
      <c r="J804" s="235"/>
      <c r="K804" s="235"/>
      <c r="L804" s="235"/>
      <c r="M804" s="235"/>
      <c r="N804" s="235"/>
      <c r="O804" s="235"/>
    </row>
    <row r="805" spans="1:15" ht="13.8">
      <c r="A805" s="235"/>
      <c r="B805" s="235"/>
      <c r="C805" s="235"/>
      <c r="D805" s="234"/>
      <c r="E805" s="234"/>
      <c r="F805" s="234"/>
      <c r="G805" s="234"/>
      <c r="H805" s="235"/>
      <c r="I805" s="235"/>
      <c r="J805" s="235"/>
      <c r="K805" s="235"/>
      <c r="L805" s="235"/>
      <c r="M805" s="235"/>
      <c r="N805" s="235"/>
      <c r="O805" s="235"/>
    </row>
    <row r="806" spans="1:15" ht="13.8">
      <c r="A806" s="235"/>
      <c r="B806" s="235"/>
      <c r="C806" s="235"/>
      <c r="D806" s="234"/>
      <c r="E806" s="234"/>
      <c r="F806" s="234"/>
      <c r="G806" s="234"/>
      <c r="H806" s="235"/>
      <c r="I806" s="235"/>
      <c r="J806" s="235"/>
      <c r="K806" s="235"/>
      <c r="L806" s="235"/>
      <c r="M806" s="235"/>
      <c r="N806" s="235"/>
      <c r="O806" s="235"/>
    </row>
    <row r="807" spans="1:15" ht="13.8">
      <c r="A807" s="235"/>
      <c r="B807" s="235"/>
      <c r="C807" s="235"/>
      <c r="D807" s="234"/>
      <c r="E807" s="234"/>
      <c r="F807" s="234"/>
      <c r="G807" s="234"/>
      <c r="H807" s="235"/>
      <c r="I807" s="235"/>
      <c r="J807" s="235"/>
      <c r="K807" s="235"/>
      <c r="L807" s="235"/>
      <c r="M807" s="235"/>
      <c r="N807" s="235"/>
      <c r="O807" s="235"/>
    </row>
    <row r="808" spans="1:15" ht="13.8">
      <c r="A808" s="235"/>
      <c r="B808" s="235"/>
      <c r="C808" s="235"/>
      <c r="D808" s="234"/>
      <c r="E808" s="234"/>
      <c r="F808" s="234"/>
      <c r="G808" s="234"/>
      <c r="H808" s="235"/>
      <c r="I808" s="235"/>
      <c r="J808" s="235"/>
      <c r="K808" s="235"/>
      <c r="L808" s="235"/>
      <c r="M808" s="235"/>
      <c r="N808" s="235"/>
      <c r="O808" s="235"/>
    </row>
    <row r="809" spans="1:15" ht="13.8">
      <c r="A809" s="235"/>
      <c r="B809" s="235"/>
      <c r="C809" s="235"/>
      <c r="D809" s="234"/>
      <c r="E809" s="234"/>
      <c r="F809" s="234"/>
      <c r="G809" s="234"/>
      <c r="H809" s="235"/>
      <c r="I809" s="235"/>
      <c r="J809" s="235"/>
      <c r="K809" s="235"/>
      <c r="L809" s="235"/>
      <c r="M809" s="235"/>
      <c r="N809" s="235"/>
      <c r="O809" s="235"/>
    </row>
    <row r="810" spans="1:15" ht="13.8">
      <c r="A810" s="235"/>
      <c r="B810" s="235"/>
      <c r="C810" s="235"/>
      <c r="D810" s="234"/>
      <c r="E810" s="234"/>
      <c r="F810" s="234"/>
      <c r="G810" s="234"/>
      <c r="H810" s="235"/>
      <c r="I810" s="235"/>
      <c r="J810" s="235"/>
      <c r="K810" s="235"/>
      <c r="L810" s="235"/>
      <c r="M810" s="235"/>
      <c r="N810" s="235"/>
      <c r="O810" s="235"/>
    </row>
    <row r="811" spans="1:15" ht="13.8">
      <c r="A811" s="235"/>
      <c r="B811" s="235"/>
      <c r="C811" s="235"/>
      <c r="D811" s="234"/>
      <c r="E811" s="234"/>
      <c r="F811" s="234"/>
      <c r="G811" s="234"/>
      <c r="H811" s="235"/>
      <c r="I811" s="235"/>
      <c r="J811" s="235"/>
      <c r="K811" s="235"/>
      <c r="L811" s="235"/>
      <c r="M811" s="235"/>
      <c r="N811" s="235"/>
      <c r="O811" s="235"/>
    </row>
    <row r="812" spans="1:15" ht="13.8">
      <c r="A812" s="235"/>
      <c r="B812" s="235"/>
      <c r="C812" s="235"/>
      <c r="D812" s="234"/>
      <c r="E812" s="234"/>
      <c r="F812" s="234"/>
      <c r="G812" s="234"/>
      <c r="H812" s="235"/>
      <c r="I812" s="235"/>
      <c r="J812" s="235"/>
      <c r="K812" s="235"/>
      <c r="L812" s="235"/>
      <c r="M812" s="235"/>
      <c r="N812" s="235"/>
      <c r="O812" s="235"/>
    </row>
    <row r="813" spans="1:15" ht="13.8">
      <c r="A813" s="235"/>
      <c r="B813" s="235"/>
      <c r="C813" s="235"/>
      <c r="D813" s="234"/>
      <c r="E813" s="234"/>
      <c r="F813" s="234"/>
      <c r="G813" s="234"/>
      <c r="H813" s="235"/>
      <c r="I813" s="235"/>
      <c r="J813" s="235"/>
      <c r="K813" s="235"/>
      <c r="L813" s="235"/>
      <c r="M813" s="235"/>
      <c r="N813" s="235"/>
      <c r="O813" s="235"/>
    </row>
    <row r="814" spans="1:15" ht="13.8">
      <c r="A814" s="235"/>
      <c r="B814" s="235"/>
      <c r="C814" s="235"/>
      <c r="D814" s="234"/>
      <c r="E814" s="234"/>
      <c r="F814" s="234"/>
      <c r="G814" s="234"/>
      <c r="H814" s="235"/>
      <c r="I814" s="235"/>
      <c r="J814" s="235"/>
      <c r="K814" s="235"/>
      <c r="L814" s="235"/>
      <c r="M814" s="235"/>
      <c r="N814" s="235"/>
      <c r="O814" s="235"/>
    </row>
    <row r="815" spans="1:15" ht="13.8">
      <c r="A815" s="235"/>
      <c r="B815" s="235"/>
      <c r="C815" s="235"/>
      <c r="D815" s="234"/>
      <c r="E815" s="234"/>
      <c r="F815" s="234"/>
      <c r="G815" s="234"/>
      <c r="H815" s="235"/>
      <c r="I815" s="235"/>
      <c r="J815" s="235"/>
      <c r="K815" s="235"/>
      <c r="L815" s="235"/>
      <c r="M815" s="235"/>
      <c r="N815" s="235"/>
      <c r="O815" s="235"/>
    </row>
    <row r="816" spans="1:15" ht="13.8">
      <c r="A816" s="235"/>
      <c r="B816" s="235"/>
      <c r="C816" s="235"/>
      <c r="D816" s="234"/>
      <c r="E816" s="234"/>
      <c r="F816" s="234"/>
      <c r="G816" s="234"/>
      <c r="H816" s="235"/>
      <c r="I816" s="235"/>
      <c r="J816" s="235"/>
      <c r="K816" s="235"/>
      <c r="L816" s="235"/>
      <c r="M816" s="235"/>
      <c r="N816" s="235"/>
      <c r="O816" s="235"/>
    </row>
    <row r="817" spans="1:15" ht="13.8">
      <c r="A817" s="235"/>
      <c r="B817" s="235"/>
      <c r="C817" s="235"/>
      <c r="D817" s="234"/>
      <c r="E817" s="234"/>
      <c r="F817" s="234"/>
      <c r="G817" s="234"/>
      <c r="H817" s="235"/>
      <c r="I817" s="235"/>
      <c r="J817" s="235"/>
      <c r="K817" s="235"/>
      <c r="L817" s="235"/>
      <c r="M817" s="235"/>
      <c r="N817" s="235"/>
      <c r="O817" s="235"/>
    </row>
    <row r="818" spans="1:15" ht="13.8">
      <c r="A818" s="235"/>
      <c r="B818" s="235"/>
      <c r="C818" s="235"/>
      <c r="D818" s="234"/>
      <c r="E818" s="234"/>
      <c r="F818" s="234"/>
      <c r="G818" s="234"/>
      <c r="H818" s="235"/>
      <c r="I818" s="235"/>
      <c r="J818" s="235"/>
      <c r="K818" s="235"/>
      <c r="L818" s="235"/>
      <c r="M818" s="235"/>
      <c r="N818" s="235"/>
      <c r="O818" s="235"/>
    </row>
    <row r="819" spans="1:15" ht="13.8">
      <c r="A819" s="235"/>
      <c r="B819" s="235"/>
      <c r="C819" s="235"/>
      <c r="D819" s="234"/>
      <c r="E819" s="234"/>
      <c r="F819" s="234"/>
      <c r="G819" s="234"/>
      <c r="H819" s="235"/>
      <c r="I819" s="235"/>
      <c r="J819" s="235"/>
      <c r="K819" s="235"/>
      <c r="L819" s="235"/>
      <c r="M819" s="235"/>
      <c r="N819" s="235"/>
      <c r="O819" s="235"/>
    </row>
    <row r="820" spans="1:15" ht="13.8">
      <c r="A820" s="235"/>
      <c r="B820" s="235"/>
      <c r="C820" s="235"/>
      <c r="D820" s="234"/>
      <c r="E820" s="234"/>
      <c r="F820" s="234"/>
      <c r="G820" s="234"/>
      <c r="H820" s="235"/>
      <c r="I820" s="235"/>
      <c r="J820" s="235"/>
      <c r="K820" s="235"/>
      <c r="L820" s="235"/>
      <c r="M820" s="235"/>
      <c r="N820" s="235"/>
      <c r="O820" s="235"/>
    </row>
    <row r="821" spans="1:15" ht="13.8">
      <c r="A821" s="235"/>
      <c r="B821" s="235"/>
      <c r="C821" s="235"/>
      <c r="D821" s="234"/>
      <c r="E821" s="234"/>
      <c r="F821" s="234"/>
      <c r="G821" s="234"/>
      <c r="H821" s="235"/>
      <c r="I821" s="235"/>
      <c r="J821" s="235"/>
      <c r="K821" s="235"/>
      <c r="L821" s="235"/>
      <c r="M821" s="235"/>
      <c r="N821" s="235"/>
      <c r="O821" s="235"/>
    </row>
    <row r="822" spans="1:15" ht="13.8">
      <c r="A822" s="235"/>
      <c r="B822" s="235"/>
      <c r="C822" s="235"/>
      <c r="D822" s="234"/>
      <c r="E822" s="234"/>
      <c r="F822" s="234"/>
      <c r="G822" s="234"/>
      <c r="H822" s="235"/>
      <c r="I822" s="235"/>
      <c r="J822" s="235"/>
      <c r="K822" s="235"/>
      <c r="L822" s="235"/>
      <c r="M822" s="235"/>
      <c r="N822" s="235"/>
      <c r="O822" s="235"/>
    </row>
    <row r="823" spans="1:15" ht="13.8">
      <c r="A823" s="235"/>
      <c r="B823" s="235"/>
      <c r="C823" s="235"/>
      <c r="D823" s="234"/>
      <c r="E823" s="234"/>
      <c r="F823" s="234"/>
      <c r="G823" s="234"/>
      <c r="H823" s="235"/>
      <c r="I823" s="235"/>
      <c r="J823" s="235"/>
      <c r="K823" s="235"/>
      <c r="L823" s="235"/>
      <c r="M823" s="235"/>
      <c r="N823" s="235"/>
      <c r="O823" s="235"/>
    </row>
    <row r="824" spans="1:15" ht="13.8">
      <c r="A824" s="235"/>
      <c r="B824" s="235"/>
      <c r="C824" s="235"/>
      <c r="D824" s="234"/>
      <c r="E824" s="234"/>
      <c r="F824" s="234"/>
      <c r="G824" s="234"/>
      <c r="H824" s="235"/>
      <c r="I824" s="235"/>
      <c r="J824" s="235"/>
      <c r="K824" s="235"/>
      <c r="L824" s="235"/>
      <c r="M824" s="235"/>
      <c r="N824" s="235"/>
      <c r="O824" s="235"/>
    </row>
    <row r="825" spans="1:15" ht="13.8">
      <c r="A825" s="235"/>
      <c r="B825" s="235"/>
      <c r="C825" s="235"/>
      <c r="D825" s="234"/>
      <c r="E825" s="234"/>
      <c r="F825" s="234"/>
      <c r="G825" s="234"/>
      <c r="H825" s="235"/>
      <c r="I825" s="235"/>
      <c r="J825" s="235"/>
      <c r="K825" s="235"/>
      <c r="L825" s="235"/>
      <c r="M825" s="235"/>
      <c r="N825" s="235"/>
      <c r="O825" s="235"/>
    </row>
    <row r="826" spans="1:15" ht="13.8">
      <c r="A826" s="235"/>
      <c r="B826" s="235"/>
      <c r="C826" s="235"/>
      <c r="D826" s="234"/>
      <c r="E826" s="234"/>
      <c r="F826" s="234"/>
      <c r="G826" s="234"/>
      <c r="H826" s="235"/>
      <c r="I826" s="235"/>
      <c r="J826" s="235"/>
      <c r="K826" s="235"/>
      <c r="L826" s="235"/>
      <c r="M826" s="235"/>
      <c r="N826" s="235"/>
      <c r="O826" s="235"/>
    </row>
    <row r="827" spans="1:15" ht="13.8">
      <c r="A827" s="235"/>
      <c r="B827" s="235"/>
      <c r="C827" s="235"/>
      <c r="D827" s="234"/>
      <c r="E827" s="234"/>
      <c r="F827" s="234"/>
      <c r="G827" s="234"/>
      <c r="H827" s="235"/>
      <c r="I827" s="235"/>
      <c r="J827" s="235"/>
      <c r="K827" s="235"/>
      <c r="L827" s="235"/>
      <c r="M827" s="235"/>
      <c r="N827" s="235"/>
      <c r="O827" s="235"/>
    </row>
    <row r="828" spans="1:15" ht="13.8">
      <c r="A828" s="235"/>
      <c r="B828" s="235"/>
      <c r="C828" s="235"/>
      <c r="D828" s="234"/>
      <c r="E828" s="234"/>
      <c r="F828" s="234"/>
      <c r="G828" s="234"/>
      <c r="H828" s="235"/>
      <c r="I828" s="235"/>
      <c r="J828" s="235"/>
      <c r="K828" s="235"/>
      <c r="L828" s="235"/>
      <c r="M828" s="235"/>
      <c r="N828" s="235"/>
      <c r="O828" s="235"/>
    </row>
    <row r="829" spans="1:15" ht="13.8">
      <c r="A829" s="235"/>
      <c r="B829" s="235"/>
      <c r="C829" s="235"/>
      <c r="D829" s="234"/>
      <c r="E829" s="234"/>
      <c r="F829" s="234"/>
      <c r="G829" s="234"/>
      <c r="H829" s="235"/>
      <c r="I829" s="235"/>
      <c r="J829" s="235"/>
      <c r="K829" s="235"/>
      <c r="L829" s="235"/>
      <c r="M829" s="235"/>
      <c r="N829" s="235"/>
      <c r="O829" s="235"/>
    </row>
    <row r="830" spans="1:15" ht="13.8">
      <c r="A830" s="235"/>
      <c r="B830" s="235"/>
      <c r="C830" s="235"/>
      <c r="D830" s="234"/>
      <c r="E830" s="234"/>
      <c r="F830" s="234"/>
      <c r="G830" s="234"/>
      <c r="H830" s="235"/>
      <c r="I830" s="235"/>
      <c r="J830" s="235"/>
      <c r="K830" s="235"/>
      <c r="L830" s="235"/>
      <c r="M830" s="235"/>
      <c r="N830" s="235"/>
      <c r="O830" s="235"/>
    </row>
    <row r="831" spans="1:15" ht="13.8">
      <c r="A831" s="235"/>
      <c r="B831" s="235"/>
      <c r="C831" s="235"/>
      <c r="D831" s="234"/>
      <c r="E831" s="234"/>
      <c r="F831" s="234"/>
      <c r="G831" s="234"/>
      <c r="H831" s="235"/>
      <c r="I831" s="235"/>
      <c r="J831" s="235"/>
      <c r="K831" s="235"/>
      <c r="L831" s="235"/>
      <c r="M831" s="235"/>
      <c r="N831" s="235"/>
      <c r="O831" s="235"/>
    </row>
    <row r="832" spans="1:15" ht="13.8">
      <c r="A832" s="235"/>
      <c r="B832" s="235"/>
      <c r="C832" s="235"/>
      <c r="D832" s="234"/>
      <c r="E832" s="234"/>
      <c r="F832" s="234"/>
      <c r="G832" s="234"/>
      <c r="H832" s="235"/>
      <c r="I832" s="235"/>
      <c r="J832" s="235"/>
      <c r="K832" s="235"/>
      <c r="L832" s="235"/>
      <c r="M832" s="235"/>
      <c r="N832" s="235"/>
      <c r="O832" s="235"/>
    </row>
    <row r="833" spans="1:15" ht="13.8">
      <c r="A833" s="235"/>
      <c r="B833" s="235"/>
      <c r="C833" s="235"/>
      <c r="D833" s="234"/>
      <c r="E833" s="234"/>
      <c r="F833" s="234"/>
      <c r="G833" s="234"/>
      <c r="H833" s="235"/>
      <c r="I833" s="235"/>
      <c r="J833" s="235"/>
      <c r="K833" s="235"/>
      <c r="L833" s="235"/>
      <c r="M833" s="235"/>
      <c r="N833" s="235"/>
      <c r="O833" s="235"/>
    </row>
    <row r="834" spans="1:15" ht="13.8">
      <c r="A834" s="235"/>
      <c r="B834" s="235"/>
      <c r="C834" s="235"/>
      <c r="D834" s="234"/>
      <c r="E834" s="234"/>
      <c r="F834" s="234"/>
      <c r="G834" s="234"/>
      <c r="H834" s="235"/>
      <c r="I834" s="235"/>
      <c r="J834" s="235"/>
      <c r="K834" s="235"/>
      <c r="L834" s="235"/>
      <c r="M834" s="235"/>
      <c r="N834" s="235"/>
      <c r="O834" s="235"/>
    </row>
    <row r="835" spans="1:15" ht="13.8">
      <c r="A835" s="235"/>
      <c r="B835" s="235"/>
      <c r="C835" s="235"/>
      <c r="D835" s="234"/>
      <c r="E835" s="234"/>
      <c r="F835" s="234"/>
      <c r="G835" s="234"/>
      <c r="H835" s="235"/>
      <c r="I835" s="235"/>
      <c r="J835" s="235"/>
      <c r="K835" s="235"/>
      <c r="L835" s="235"/>
      <c r="M835" s="235"/>
      <c r="N835" s="235"/>
      <c r="O835" s="235"/>
    </row>
    <row r="836" spans="1:15" ht="13.8">
      <c r="A836" s="235"/>
      <c r="B836" s="235"/>
      <c r="C836" s="235"/>
      <c r="D836" s="234"/>
      <c r="E836" s="234"/>
      <c r="F836" s="234"/>
      <c r="G836" s="234"/>
      <c r="H836" s="235"/>
      <c r="I836" s="235"/>
      <c r="J836" s="235"/>
      <c r="K836" s="235"/>
      <c r="L836" s="235"/>
      <c r="M836" s="235"/>
      <c r="N836" s="235"/>
      <c r="O836" s="235"/>
    </row>
    <row r="837" spans="1:15" ht="13.8">
      <c r="A837" s="235"/>
      <c r="B837" s="235"/>
      <c r="C837" s="235"/>
      <c r="D837" s="234"/>
      <c r="E837" s="234"/>
      <c r="F837" s="234"/>
      <c r="G837" s="234"/>
      <c r="H837" s="235"/>
      <c r="I837" s="235"/>
      <c r="J837" s="235"/>
      <c r="K837" s="235"/>
      <c r="L837" s="235"/>
      <c r="M837" s="235"/>
      <c r="N837" s="235"/>
      <c r="O837" s="235"/>
    </row>
    <row r="838" spans="1:15" ht="13.8">
      <c r="A838" s="235"/>
      <c r="B838" s="235"/>
      <c r="C838" s="235"/>
      <c r="D838" s="234"/>
      <c r="E838" s="234"/>
      <c r="F838" s="234"/>
      <c r="G838" s="234"/>
      <c r="H838" s="235"/>
      <c r="I838" s="235"/>
      <c r="J838" s="235"/>
      <c r="K838" s="235"/>
      <c r="L838" s="235"/>
      <c r="M838" s="235"/>
      <c r="N838" s="235"/>
      <c r="O838" s="235"/>
    </row>
    <row r="839" spans="1:15" ht="13.8">
      <c r="A839" s="235"/>
      <c r="B839" s="235"/>
      <c r="C839" s="235"/>
      <c r="D839" s="234"/>
      <c r="E839" s="234"/>
      <c r="F839" s="234"/>
      <c r="G839" s="234"/>
      <c r="H839" s="235"/>
      <c r="I839" s="235"/>
      <c r="J839" s="235"/>
      <c r="K839" s="235"/>
      <c r="L839" s="235"/>
      <c r="M839" s="235"/>
      <c r="N839" s="235"/>
      <c r="O839" s="235"/>
    </row>
    <row r="840" spans="1:15" ht="13.8">
      <c r="A840" s="235"/>
      <c r="B840" s="235"/>
      <c r="C840" s="235"/>
      <c r="D840" s="234"/>
      <c r="E840" s="234"/>
      <c r="F840" s="234"/>
      <c r="G840" s="234"/>
      <c r="H840" s="235"/>
      <c r="I840" s="235"/>
      <c r="J840" s="235"/>
      <c r="K840" s="235"/>
      <c r="L840" s="235"/>
      <c r="M840" s="235"/>
      <c r="N840" s="235"/>
      <c r="O840" s="235"/>
    </row>
    <row r="841" spans="1:15" ht="13.8">
      <c r="A841" s="235"/>
      <c r="B841" s="235"/>
      <c r="C841" s="235"/>
      <c r="D841" s="234"/>
      <c r="E841" s="234"/>
      <c r="F841" s="234"/>
      <c r="G841" s="234"/>
      <c r="H841" s="235"/>
      <c r="I841" s="235"/>
      <c r="J841" s="235"/>
      <c r="K841" s="235"/>
      <c r="L841" s="235"/>
      <c r="M841" s="235"/>
      <c r="N841" s="235"/>
      <c r="O841" s="235"/>
    </row>
    <row r="842" spans="1:15" ht="13.8">
      <c r="A842" s="235"/>
      <c r="B842" s="235"/>
      <c r="C842" s="235"/>
      <c r="D842" s="234"/>
      <c r="E842" s="234"/>
      <c r="F842" s="234"/>
      <c r="G842" s="234"/>
      <c r="H842" s="235"/>
      <c r="I842" s="235"/>
      <c r="J842" s="235"/>
      <c r="K842" s="235"/>
      <c r="L842" s="235"/>
      <c r="M842" s="235"/>
      <c r="N842" s="235"/>
      <c r="O842" s="235"/>
    </row>
    <row r="843" spans="1:15" ht="13.8">
      <c r="A843" s="235"/>
      <c r="B843" s="235"/>
      <c r="C843" s="235"/>
      <c r="D843" s="234"/>
      <c r="E843" s="234"/>
      <c r="F843" s="234"/>
      <c r="G843" s="234"/>
      <c r="H843" s="235"/>
      <c r="I843" s="235"/>
      <c r="J843" s="235"/>
      <c r="K843" s="235"/>
      <c r="L843" s="235"/>
      <c r="M843" s="235"/>
      <c r="N843" s="235"/>
      <c r="O843" s="235"/>
    </row>
    <row r="844" spans="1:15" ht="13.8">
      <c r="A844" s="235"/>
      <c r="B844" s="235"/>
      <c r="C844" s="235"/>
      <c r="D844" s="234"/>
      <c r="E844" s="234"/>
      <c r="F844" s="234"/>
      <c r="G844" s="234"/>
      <c r="H844" s="235"/>
      <c r="I844" s="235"/>
      <c r="J844" s="235"/>
      <c r="K844" s="235"/>
      <c r="L844" s="235"/>
      <c r="M844" s="235"/>
      <c r="N844" s="235"/>
      <c r="O844" s="235"/>
    </row>
    <row r="845" spans="1:15" ht="13.8">
      <c r="A845" s="235"/>
      <c r="B845" s="235"/>
      <c r="C845" s="235"/>
      <c r="D845" s="234"/>
      <c r="E845" s="234"/>
      <c r="F845" s="234"/>
      <c r="G845" s="234"/>
      <c r="H845" s="235"/>
      <c r="I845" s="235"/>
      <c r="J845" s="235"/>
      <c r="K845" s="235"/>
      <c r="L845" s="235"/>
      <c r="M845" s="235"/>
      <c r="N845" s="235"/>
      <c r="O845" s="235"/>
    </row>
    <row r="846" spans="1:15" ht="13.8">
      <c r="A846" s="235"/>
      <c r="B846" s="235"/>
      <c r="C846" s="235"/>
      <c r="D846" s="234"/>
      <c r="E846" s="234"/>
      <c r="F846" s="234"/>
      <c r="G846" s="234"/>
      <c r="H846" s="235"/>
      <c r="I846" s="235"/>
      <c r="J846" s="235"/>
      <c r="K846" s="235"/>
      <c r="L846" s="235"/>
      <c r="M846" s="235"/>
      <c r="N846" s="235"/>
      <c r="O846" s="235"/>
    </row>
    <row r="847" spans="1:15" ht="13.8">
      <c r="A847" s="235"/>
      <c r="B847" s="235"/>
      <c r="C847" s="235"/>
      <c r="D847" s="234"/>
      <c r="E847" s="234"/>
      <c r="F847" s="234"/>
      <c r="G847" s="234"/>
      <c r="H847" s="235"/>
      <c r="I847" s="235"/>
      <c r="J847" s="235"/>
      <c r="K847" s="235"/>
      <c r="L847" s="235"/>
      <c r="M847" s="235"/>
      <c r="N847" s="235"/>
      <c r="O847" s="235"/>
    </row>
    <row r="848" spans="1:15" ht="13.8">
      <c r="A848" s="235"/>
      <c r="B848" s="235"/>
      <c r="C848" s="235"/>
      <c r="D848" s="234"/>
      <c r="E848" s="234"/>
      <c r="F848" s="234"/>
      <c r="G848" s="234"/>
      <c r="H848" s="235"/>
      <c r="I848" s="235"/>
      <c r="J848" s="235"/>
      <c r="K848" s="235"/>
      <c r="L848" s="235"/>
      <c r="M848" s="235"/>
      <c r="N848" s="235"/>
      <c r="O848" s="235"/>
    </row>
    <row r="849" spans="1:15" ht="13.8">
      <c r="A849" s="235"/>
      <c r="B849" s="235"/>
      <c r="C849" s="235"/>
      <c r="D849" s="234"/>
      <c r="E849" s="234"/>
      <c r="F849" s="234"/>
      <c r="G849" s="234"/>
      <c r="H849" s="235"/>
      <c r="I849" s="235"/>
      <c r="J849" s="235"/>
      <c r="K849" s="235"/>
      <c r="L849" s="235"/>
      <c r="M849" s="235"/>
      <c r="N849" s="235"/>
      <c r="O849" s="235"/>
    </row>
    <row r="850" spans="1:15" ht="13.8">
      <c r="A850" s="235"/>
      <c r="B850" s="235"/>
      <c r="C850" s="235"/>
      <c r="D850" s="234"/>
      <c r="E850" s="234"/>
      <c r="F850" s="234"/>
      <c r="G850" s="234"/>
      <c r="H850" s="235"/>
      <c r="I850" s="235"/>
      <c r="J850" s="235"/>
      <c r="K850" s="235"/>
      <c r="L850" s="235"/>
      <c r="M850" s="235"/>
      <c r="N850" s="235"/>
      <c r="O850" s="235"/>
    </row>
    <row r="851" spans="1:15" ht="13.8">
      <c r="A851" s="235"/>
      <c r="B851" s="235"/>
      <c r="C851" s="235"/>
      <c r="D851" s="234"/>
      <c r="E851" s="234"/>
      <c r="F851" s="234"/>
      <c r="G851" s="234"/>
      <c r="H851" s="235"/>
      <c r="I851" s="235"/>
      <c r="J851" s="235"/>
      <c r="K851" s="235"/>
      <c r="L851" s="235"/>
      <c r="M851" s="235"/>
      <c r="N851" s="235"/>
      <c r="O851" s="235"/>
    </row>
    <row r="852" spans="1:15" ht="13.8">
      <c r="A852" s="235"/>
      <c r="B852" s="235"/>
      <c r="C852" s="235"/>
      <c r="D852" s="234"/>
      <c r="E852" s="234"/>
      <c r="F852" s="234"/>
      <c r="G852" s="234"/>
      <c r="H852" s="235"/>
      <c r="I852" s="235"/>
      <c r="J852" s="235"/>
      <c r="K852" s="235"/>
      <c r="L852" s="235"/>
      <c r="M852" s="235"/>
      <c r="N852" s="235"/>
      <c r="O852" s="235"/>
    </row>
    <row r="853" spans="1:15" ht="13.8">
      <c r="A853" s="235"/>
      <c r="B853" s="235"/>
      <c r="C853" s="235"/>
      <c r="D853" s="234"/>
      <c r="E853" s="234"/>
      <c r="F853" s="234"/>
      <c r="G853" s="234"/>
      <c r="H853" s="235"/>
      <c r="I853" s="235"/>
      <c r="J853" s="235"/>
      <c r="K853" s="235"/>
      <c r="L853" s="235"/>
      <c r="M853" s="235"/>
      <c r="N853" s="235"/>
      <c r="O853" s="235"/>
    </row>
    <row r="854" spans="1:15" ht="13.8">
      <c r="A854" s="235"/>
      <c r="B854" s="235"/>
      <c r="C854" s="235"/>
      <c r="D854" s="234"/>
      <c r="E854" s="234"/>
      <c r="F854" s="234"/>
      <c r="G854" s="234"/>
      <c r="H854" s="235"/>
      <c r="I854" s="235"/>
      <c r="J854" s="235"/>
      <c r="K854" s="235"/>
      <c r="L854" s="235"/>
      <c r="M854" s="235"/>
      <c r="N854" s="235"/>
      <c r="O854" s="235"/>
    </row>
    <row r="855" spans="1:15" ht="13.8">
      <c r="A855" s="235"/>
      <c r="B855" s="235"/>
      <c r="C855" s="235"/>
      <c r="D855" s="234"/>
      <c r="E855" s="234"/>
      <c r="F855" s="234"/>
      <c r="G855" s="234"/>
      <c r="H855" s="235"/>
      <c r="I855" s="235"/>
      <c r="J855" s="235"/>
      <c r="K855" s="235"/>
      <c r="L855" s="235"/>
      <c r="M855" s="235"/>
      <c r="N855" s="235"/>
      <c r="O855" s="235"/>
    </row>
    <row r="856" spans="1:15" ht="13.8">
      <c r="A856" s="235"/>
      <c r="B856" s="235"/>
      <c r="C856" s="235"/>
      <c r="D856" s="234"/>
      <c r="E856" s="234"/>
      <c r="F856" s="234"/>
      <c r="G856" s="234"/>
      <c r="H856" s="235"/>
      <c r="I856" s="235"/>
      <c r="J856" s="235"/>
      <c r="K856" s="235"/>
      <c r="L856" s="235"/>
      <c r="M856" s="235"/>
      <c r="N856" s="235"/>
      <c r="O856" s="235"/>
    </row>
    <row r="857" spans="1:15" ht="13.8">
      <c r="A857" s="235"/>
      <c r="B857" s="235"/>
      <c r="C857" s="235"/>
      <c r="D857" s="234"/>
      <c r="E857" s="234"/>
      <c r="F857" s="234"/>
      <c r="G857" s="234"/>
      <c r="H857" s="235"/>
      <c r="I857" s="235"/>
      <c r="J857" s="235"/>
      <c r="K857" s="235"/>
      <c r="L857" s="235"/>
      <c r="M857" s="235"/>
      <c r="N857" s="235"/>
      <c r="O857" s="235"/>
    </row>
    <row r="858" spans="1:15" ht="13.8">
      <c r="A858" s="235"/>
      <c r="B858" s="235"/>
      <c r="C858" s="235"/>
      <c r="D858" s="234"/>
      <c r="E858" s="234"/>
      <c r="F858" s="234"/>
      <c r="G858" s="234"/>
      <c r="H858" s="235"/>
      <c r="I858" s="235"/>
      <c r="J858" s="235"/>
      <c r="K858" s="235"/>
      <c r="L858" s="235"/>
      <c r="M858" s="235"/>
      <c r="N858" s="235"/>
      <c r="O858" s="235"/>
    </row>
    <row r="859" spans="1:15" ht="13.8">
      <c r="A859" s="235"/>
      <c r="B859" s="235"/>
      <c r="C859" s="235"/>
      <c r="D859" s="234"/>
      <c r="E859" s="234"/>
      <c r="F859" s="234"/>
      <c r="G859" s="234"/>
      <c r="H859" s="235"/>
      <c r="I859" s="235"/>
      <c r="J859" s="235"/>
      <c r="K859" s="235"/>
      <c r="L859" s="235"/>
      <c r="M859" s="235"/>
      <c r="N859" s="235"/>
      <c r="O859" s="235"/>
    </row>
    <row r="860" spans="1:15" ht="13.8">
      <c r="A860" s="235"/>
      <c r="B860" s="235"/>
      <c r="C860" s="235"/>
      <c r="D860" s="234"/>
      <c r="E860" s="234"/>
      <c r="F860" s="234"/>
      <c r="G860" s="234"/>
      <c r="H860" s="235"/>
      <c r="I860" s="235"/>
      <c r="J860" s="235"/>
      <c r="K860" s="235"/>
      <c r="L860" s="235"/>
      <c r="M860" s="235"/>
      <c r="N860" s="235"/>
      <c r="O860" s="235"/>
    </row>
    <row r="861" spans="1:15" ht="13.8">
      <c r="A861" s="235"/>
      <c r="B861" s="235"/>
      <c r="C861" s="235"/>
      <c r="D861" s="234"/>
      <c r="E861" s="234"/>
      <c r="F861" s="234"/>
      <c r="G861" s="234"/>
      <c r="H861" s="235"/>
      <c r="I861" s="235"/>
      <c r="J861" s="235"/>
      <c r="K861" s="235"/>
      <c r="L861" s="235"/>
      <c r="M861" s="235"/>
      <c r="N861" s="235"/>
      <c r="O861" s="235"/>
    </row>
    <row r="862" spans="1:15" ht="13.8">
      <c r="A862" s="235"/>
      <c r="B862" s="235"/>
      <c r="C862" s="235"/>
      <c r="D862" s="234"/>
      <c r="E862" s="234"/>
      <c r="F862" s="234"/>
      <c r="G862" s="234"/>
      <c r="H862" s="235"/>
      <c r="I862" s="235"/>
      <c r="J862" s="235"/>
      <c r="K862" s="235"/>
      <c r="L862" s="235"/>
      <c r="M862" s="235"/>
      <c r="N862" s="235"/>
      <c r="O862" s="235"/>
    </row>
    <row r="863" spans="1:15" ht="13.8">
      <c r="A863" s="235"/>
      <c r="B863" s="235"/>
      <c r="C863" s="235"/>
      <c r="D863" s="234"/>
      <c r="E863" s="234"/>
      <c r="F863" s="234"/>
      <c r="G863" s="234"/>
      <c r="H863" s="235"/>
      <c r="I863" s="235"/>
      <c r="J863" s="235"/>
      <c r="K863" s="235"/>
      <c r="L863" s="235"/>
      <c r="M863" s="235"/>
      <c r="N863" s="235"/>
      <c r="O863" s="235"/>
    </row>
    <row r="864" spans="1:15" ht="13.8">
      <c r="A864" s="235"/>
      <c r="B864" s="235"/>
      <c r="C864" s="235"/>
      <c r="D864" s="234"/>
      <c r="E864" s="234"/>
      <c r="F864" s="234"/>
      <c r="G864" s="234"/>
      <c r="H864" s="235"/>
      <c r="I864" s="235"/>
      <c r="J864" s="235"/>
      <c r="K864" s="235"/>
      <c r="L864" s="235"/>
      <c r="M864" s="235"/>
      <c r="N864" s="235"/>
      <c r="O864" s="235"/>
    </row>
    <row r="865" spans="1:15" ht="13.8">
      <c r="A865" s="235"/>
      <c r="B865" s="235"/>
      <c r="C865" s="235"/>
      <c r="D865" s="234"/>
      <c r="E865" s="234"/>
      <c r="F865" s="234"/>
      <c r="G865" s="234"/>
      <c r="H865" s="235"/>
      <c r="I865" s="235"/>
      <c r="J865" s="235"/>
      <c r="K865" s="235"/>
      <c r="L865" s="235"/>
      <c r="M865" s="235"/>
      <c r="N865" s="235"/>
      <c r="O865" s="235"/>
    </row>
    <row r="866" spans="1:15" ht="13.8">
      <c r="A866" s="235"/>
      <c r="B866" s="235"/>
      <c r="C866" s="235"/>
      <c r="D866" s="234"/>
      <c r="E866" s="234"/>
      <c r="F866" s="234"/>
      <c r="G866" s="234"/>
      <c r="H866" s="235"/>
      <c r="I866" s="235"/>
      <c r="J866" s="235"/>
      <c r="K866" s="235"/>
      <c r="L866" s="235"/>
      <c r="M866" s="235"/>
      <c r="N866" s="235"/>
      <c r="O866" s="235"/>
    </row>
    <row r="867" spans="1:15" ht="13.8">
      <c r="A867" s="235"/>
      <c r="B867" s="235"/>
      <c r="C867" s="235"/>
      <c r="D867" s="234"/>
      <c r="E867" s="234"/>
      <c r="F867" s="234"/>
      <c r="G867" s="234"/>
      <c r="H867" s="235"/>
      <c r="I867" s="235"/>
      <c r="J867" s="235"/>
      <c r="K867" s="235"/>
      <c r="L867" s="235"/>
      <c r="M867" s="235"/>
      <c r="N867" s="235"/>
      <c r="O867" s="235"/>
    </row>
    <row r="868" spans="1:15" ht="13.8">
      <c r="A868" s="235"/>
      <c r="B868" s="235"/>
      <c r="C868" s="235"/>
      <c r="D868" s="234"/>
      <c r="E868" s="234"/>
      <c r="F868" s="234"/>
      <c r="G868" s="234"/>
      <c r="H868" s="235"/>
      <c r="I868" s="235"/>
      <c r="J868" s="235"/>
      <c r="K868" s="235"/>
      <c r="L868" s="235"/>
      <c r="M868" s="235"/>
      <c r="N868" s="235"/>
      <c r="O868" s="235"/>
    </row>
    <row r="869" spans="1:15" ht="13.8">
      <c r="A869" s="235"/>
      <c r="B869" s="235"/>
      <c r="C869" s="235"/>
      <c r="D869" s="234"/>
      <c r="E869" s="234"/>
      <c r="F869" s="234"/>
      <c r="G869" s="234"/>
      <c r="H869" s="235"/>
      <c r="I869" s="235"/>
      <c r="J869" s="235"/>
      <c r="K869" s="235"/>
      <c r="L869" s="235"/>
      <c r="M869" s="235"/>
      <c r="N869" s="235"/>
      <c r="O869" s="235"/>
    </row>
    <row r="870" spans="1:15" ht="13.8">
      <c r="A870" s="235"/>
      <c r="B870" s="235"/>
      <c r="C870" s="235"/>
      <c r="D870" s="234"/>
      <c r="E870" s="234"/>
      <c r="F870" s="234"/>
      <c r="G870" s="234"/>
      <c r="H870" s="235"/>
      <c r="I870" s="235"/>
      <c r="J870" s="235"/>
      <c r="K870" s="235"/>
      <c r="L870" s="235"/>
      <c r="M870" s="235"/>
      <c r="N870" s="235"/>
      <c r="O870" s="235"/>
    </row>
    <row r="871" spans="1:15" ht="13.8">
      <c r="A871" s="235"/>
      <c r="B871" s="235"/>
      <c r="C871" s="235"/>
      <c r="D871" s="234"/>
      <c r="E871" s="234"/>
      <c r="F871" s="234"/>
      <c r="G871" s="234"/>
      <c r="H871" s="235"/>
      <c r="I871" s="235"/>
      <c r="J871" s="235"/>
      <c r="K871" s="235"/>
      <c r="L871" s="235"/>
      <c r="M871" s="235"/>
      <c r="N871" s="235"/>
      <c r="O871" s="235"/>
    </row>
    <row r="872" spans="1:15" ht="13.8">
      <c r="A872" s="235"/>
      <c r="B872" s="235"/>
      <c r="C872" s="235"/>
      <c r="D872" s="234"/>
      <c r="E872" s="234"/>
      <c r="F872" s="234"/>
      <c r="G872" s="234"/>
      <c r="H872" s="235"/>
      <c r="I872" s="235"/>
      <c r="J872" s="235"/>
      <c r="K872" s="235"/>
      <c r="L872" s="235"/>
      <c r="M872" s="235"/>
      <c r="N872" s="235"/>
      <c r="O872" s="235"/>
    </row>
    <row r="873" spans="1:15" ht="13.8">
      <c r="A873" s="235"/>
      <c r="B873" s="235"/>
      <c r="C873" s="235"/>
      <c r="D873" s="234"/>
      <c r="E873" s="234"/>
      <c r="F873" s="234"/>
      <c r="G873" s="234"/>
      <c r="H873" s="235"/>
      <c r="I873" s="235"/>
      <c r="J873" s="235"/>
      <c r="K873" s="235"/>
      <c r="L873" s="235"/>
      <c r="M873" s="235"/>
      <c r="N873" s="235"/>
      <c r="O873" s="235"/>
    </row>
    <row r="874" spans="1:15" ht="13.8">
      <c r="A874" s="235"/>
      <c r="B874" s="235"/>
      <c r="C874" s="235"/>
      <c r="D874" s="234"/>
      <c r="E874" s="234"/>
      <c r="F874" s="234"/>
      <c r="G874" s="234"/>
      <c r="H874" s="235"/>
      <c r="I874" s="235"/>
      <c r="J874" s="235"/>
      <c r="K874" s="235"/>
      <c r="L874" s="235"/>
      <c r="M874" s="235"/>
      <c r="N874" s="235"/>
      <c r="O874" s="235"/>
    </row>
    <row r="875" spans="1:15" ht="13.8">
      <c r="A875" s="235"/>
      <c r="B875" s="235"/>
      <c r="C875" s="235"/>
      <c r="D875" s="234"/>
      <c r="E875" s="234"/>
      <c r="F875" s="234"/>
      <c r="G875" s="234"/>
      <c r="H875" s="235"/>
      <c r="I875" s="235"/>
      <c r="J875" s="235"/>
      <c r="K875" s="235"/>
      <c r="L875" s="235"/>
      <c r="M875" s="235"/>
      <c r="N875" s="235"/>
      <c r="O875" s="235"/>
    </row>
    <row r="876" spans="1:15" ht="13.8">
      <c r="A876" s="235"/>
      <c r="B876" s="235"/>
      <c r="C876" s="235"/>
      <c r="D876" s="234"/>
      <c r="E876" s="234"/>
      <c r="F876" s="234"/>
      <c r="G876" s="234"/>
      <c r="H876" s="235"/>
      <c r="I876" s="235"/>
      <c r="J876" s="235"/>
      <c r="K876" s="235"/>
      <c r="L876" s="235"/>
      <c r="M876" s="235"/>
      <c r="N876" s="235"/>
      <c r="O876" s="235"/>
    </row>
    <row r="877" spans="1:15" ht="13.8">
      <c r="A877" s="235"/>
      <c r="B877" s="235"/>
      <c r="C877" s="235"/>
      <c r="D877" s="234"/>
      <c r="E877" s="234"/>
      <c r="F877" s="234"/>
      <c r="G877" s="234"/>
      <c r="H877" s="235"/>
      <c r="I877" s="235"/>
      <c r="J877" s="235"/>
      <c r="K877" s="235"/>
      <c r="L877" s="235"/>
      <c r="M877" s="235"/>
      <c r="N877" s="235"/>
      <c r="O877" s="235"/>
    </row>
    <row r="878" spans="1:15" ht="13.8">
      <c r="A878" s="235"/>
      <c r="B878" s="235"/>
      <c r="C878" s="235"/>
      <c r="D878" s="234"/>
      <c r="E878" s="234"/>
      <c r="F878" s="234"/>
      <c r="G878" s="234"/>
      <c r="H878" s="235"/>
      <c r="I878" s="235"/>
      <c r="J878" s="235"/>
      <c r="K878" s="235"/>
      <c r="L878" s="235"/>
      <c r="M878" s="235"/>
      <c r="N878" s="235"/>
      <c r="O878" s="235"/>
    </row>
    <row r="879" spans="1:15" ht="13.8">
      <c r="A879" s="235"/>
      <c r="B879" s="235"/>
      <c r="C879" s="235"/>
      <c r="D879" s="234"/>
      <c r="E879" s="234"/>
      <c r="F879" s="234"/>
      <c r="G879" s="234"/>
      <c r="H879" s="235"/>
      <c r="I879" s="235"/>
      <c r="J879" s="235"/>
      <c r="K879" s="235"/>
      <c r="L879" s="235"/>
      <c r="M879" s="235"/>
      <c r="N879" s="235"/>
      <c r="O879" s="235"/>
    </row>
    <row r="880" spans="1:15" ht="13.8">
      <c r="A880" s="235"/>
      <c r="B880" s="235"/>
      <c r="C880" s="235"/>
      <c r="D880" s="234"/>
      <c r="E880" s="234"/>
      <c r="F880" s="234"/>
      <c r="G880" s="234"/>
      <c r="H880" s="235"/>
      <c r="I880" s="235"/>
      <c r="J880" s="235"/>
      <c r="K880" s="235"/>
      <c r="L880" s="235"/>
      <c r="M880" s="235"/>
      <c r="N880" s="235"/>
      <c r="O880" s="235"/>
    </row>
    <row r="881" spans="1:15" ht="13.8">
      <c r="A881" s="235"/>
      <c r="B881" s="235"/>
      <c r="C881" s="235"/>
      <c r="D881" s="234"/>
      <c r="E881" s="234"/>
      <c r="F881" s="234"/>
      <c r="G881" s="234"/>
      <c r="H881" s="235"/>
      <c r="I881" s="235"/>
      <c r="J881" s="235"/>
      <c r="K881" s="235"/>
      <c r="L881" s="235"/>
      <c r="M881" s="235"/>
      <c r="N881" s="235"/>
      <c r="O881" s="235"/>
    </row>
    <row r="882" spans="1:15" ht="13.8">
      <c r="A882" s="235"/>
      <c r="B882" s="235"/>
      <c r="C882" s="235"/>
      <c r="D882" s="234"/>
      <c r="E882" s="234"/>
      <c r="F882" s="234"/>
      <c r="G882" s="234"/>
      <c r="H882" s="235"/>
      <c r="I882" s="235"/>
      <c r="J882" s="235"/>
      <c r="K882" s="235"/>
      <c r="L882" s="235"/>
      <c r="M882" s="235"/>
      <c r="N882" s="235"/>
      <c r="O882" s="235"/>
    </row>
    <row r="883" spans="1:15" ht="13.8">
      <c r="A883" s="235"/>
      <c r="B883" s="235"/>
      <c r="C883" s="235"/>
      <c r="D883" s="234"/>
      <c r="E883" s="234"/>
      <c r="F883" s="234"/>
      <c r="G883" s="234"/>
      <c r="H883" s="235"/>
      <c r="I883" s="235"/>
      <c r="J883" s="235"/>
      <c r="K883" s="235"/>
      <c r="L883" s="235"/>
      <c r="M883" s="235"/>
      <c r="N883" s="235"/>
      <c r="O883" s="235"/>
    </row>
    <row r="884" spans="1:15" ht="13.8">
      <c r="A884" s="235"/>
      <c r="B884" s="235"/>
      <c r="C884" s="235"/>
      <c r="D884" s="234"/>
      <c r="E884" s="234"/>
      <c r="F884" s="234"/>
      <c r="G884" s="234"/>
      <c r="H884" s="235"/>
      <c r="I884" s="235"/>
      <c r="J884" s="235"/>
      <c r="K884" s="235"/>
      <c r="L884" s="235"/>
      <c r="M884" s="235"/>
      <c r="N884" s="235"/>
      <c r="O884" s="235"/>
    </row>
    <row r="885" spans="1:15" ht="13.8">
      <c r="A885" s="235"/>
      <c r="B885" s="235"/>
      <c r="C885" s="235"/>
      <c r="D885" s="234"/>
      <c r="E885" s="234"/>
      <c r="F885" s="234"/>
      <c r="G885" s="234"/>
      <c r="H885" s="235"/>
      <c r="I885" s="235"/>
      <c r="J885" s="235"/>
      <c r="K885" s="235"/>
      <c r="L885" s="235"/>
      <c r="M885" s="235"/>
      <c r="N885" s="235"/>
      <c r="O885" s="235"/>
    </row>
    <row r="886" spans="1:15" ht="13.8">
      <c r="A886" s="235"/>
      <c r="B886" s="235"/>
      <c r="C886" s="235"/>
      <c r="D886" s="234"/>
      <c r="E886" s="234"/>
      <c r="F886" s="234"/>
      <c r="G886" s="234"/>
      <c r="H886" s="235"/>
      <c r="I886" s="235"/>
      <c r="J886" s="235"/>
      <c r="K886" s="235"/>
      <c r="L886" s="235"/>
      <c r="M886" s="235"/>
      <c r="N886" s="235"/>
      <c r="O886" s="235"/>
    </row>
    <row r="887" spans="1:15" ht="13.8">
      <c r="A887" s="235"/>
      <c r="B887" s="235"/>
      <c r="C887" s="235"/>
      <c r="D887" s="234"/>
      <c r="E887" s="234"/>
      <c r="F887" s="234"/>
      <c r="G887" s="234"/>
      <c r="H887" s="235"/>
      <c r="I887" s="235"/>
      <c r="J887" s="235"/>
      <c r="K887" s="235"/>
      <c r="L887" s="235"/>
      <c r="M887" s="235"/>
      <c r="N887" s="235"/>
      <c r="O887" s="235"/>
    </row>
    <row r="888" spans="1:15" ht="13.8">
      <c r="A888" s="235"/>
      <c r="B888" s="235"/>
      <c r="C888" s="235"/>
      <c r="D888" s="234"/>
      <c r="E888" s="234"/>
      <c r="F888" s="234"/>
      <c r="G888" s="234"/>
      <c r="H888" s="235"/>
      <c r="I888" s="235"/>
      <c r="J888" s="235"/>
      <c r="K888" s="235"/>
      <c r="L888" s="235"/>
      <c r="M888" s="235"/>
      <c r="N888" s="235"/>
      <c r="O888" s="235"/>
    </row>
    <row r="889" spans="1:15" ht="13.8">
      <c r="A889" s="235"/>
      <c r="B889" s="235"/>
      <c r="C889" s="235"/>
      <c r="D889" s="234"/>
      <c r="E889" s="234"/>
      <c r="F889" s="234"/>
      <c r="G889" s="234"/>
      <c r="H889" s="235"/>
      <c r="I889" s="235"/>
      <c r="J889" s="235"/>
      <c r="K889" s="235"/>
      <c r="L889" s="235"/>
      <c r="M889" s="235"/>
      <c r="N889" s="235"/>
      <c r="O889" s="235"/>
    </row>
    <row r="890" spans="1:15" ht="13.8">
      <c r="A890" s="235"/>
      <c r="B890" s="235"/>
      <c r="C890" s="235"/>
      <c r="D890" s="234"/>
      <c r="E890" s="234"/>
      <c r="F890" s="234"/>
      <c r="G890" s="234"/>
      <c r="H890" s="235"/>
      <c r="I890" s="235"/>
      <c r="J890" s="235"/>
      <c r="K890" s="235"/>
      <c r="L890" s="235"/>
      <c r="M890" s="235"/>
      <c r="N890" s="235"/>
      <c r="O890" s="235"/>
    </row>
    <row r="891" spans="1:15" ht="13.8">
      <c r="A891" s="235"/>
      <c r="B891" s="235"/>
      <c r="C891" s="235"/>
      <c r="D891" s="234"/>
      <c r="E891" s="234"/>
      <c r="F891" s="234"/>
      <c r="G891" s="234"/>
      <c r="H891" s="235"/>
      <c r="I891" s="235"/>
      <c r="J891" s="235"/>
      <c r="K891" s="235"/>
      <c r="L891" s="235"/>
      <c r="M891" s="235"/>
      <c r="N891" s="235"/>
      <c r="O891" s="235"/>
    </row>
    <row r="892" spans="1:15" ht="13.8">
      <c r="A892" s="235"/>
      <c r="B892" s="235"/>
      <c r="C892" s="235"/>
      <c r="D892" s="234"/>
      <c r="E892" s="234"/>
      <c r="F892" s="234"/>
      <c r="G892" s="234"/>
      <c r="H892" s="235"/>
      <c r="I892" s="235"/>
      <c r="J892" s="235"/>
      <c r="K892" s="235"/>
      <c r="L892" s="235"/>
      <c r="M892" s="235"/>
      <c r="N892" s="235"/>
      <c r="O892" s="235"/>
    </row>
    <row r="893" spans="1:15" ht="13.8">
      <c r="A893" s="235"/>
      <c r="B893" s="235"/>
      <c r="C893" s="235"/>
      <c r="D893" s="234"/>
      <c r="E893" s="234"/>
      <c r="F893" s="234"/>
      <c r="G893" s="234"/>
      <c r="H893" s="235"/>
      <c r="I893" s="235"/>
      <c r="J893" s="235"/>
      <c r="K893" s="235"/>
      <c r="L893" s="235"/>
      <c r="M893" s="235"/>
      <c r="N893" s="235"/>
      <c r="O893" s="235"/>
    </row>
    <row r="894" spans="1:15" ht="13.8">
      <c r="A894" s="235"/>
      <c r="B894" s="235"/>
      <c r="C894" s="235"/>
      <c r="D894" s="234"/>
      <c r="E894" s="234"/>
      <c r="F894" s="234"/>
      <c r="G894" s="234"/>
      <c r="H894" s="235"/>
      <c r="I894" s="235"/>
      <c r="J894" s="235"/>
      <c r="K894" s="235"/>
      <c r="L894" s="235"/>
      <c r="M894" s="235"/>
      <c r="N894" s="235"/>
      <c r="O894" s="235"/>
    </row>
    <row r="895" spans="1:15" ht="13.8">
      <c r="A895" s="235"/>
      <c r="B895" s="235"/>
      <c r="C895" s="235"/>
      <c r="D895" s="234"/>
      <c r="E895" s="234"/>
      <c r="F895" s="234"/>
      <c r="G895" s="234"/>
      <c r="H895" s="235"/>
      <c r="I895" s="235"/>
      <c r="J895" s="235"/>
      <c r="K895" s="235"/>
      <c r="L895" s="235"/>
      <c r="M895" s="235"/>
      <c r="N895" s="235"/>
      <c r="O895" s="235"/>
    </row>
    <row r="896" spans="1:15" ht="13.8">
      <c r="A896" s="235"/>
      <c r="B896" s="235"/>
      <c r="C896" s="235"/>
      <c r="D896" s="234"/>
      <c r="E896" s="234"/>
      <c r="F896" s="234"/>
      <c r="G896" s="234"/>
      <c r="H896" s="235"/>
      <c r="I896" s="235"/>
      <c r="J896" s="235"/>
      <c r="K896" s="235"/>
      <c r="L896" s="235"/>
      <c r="M896" s="235"/>
      <c r="N896" s="235"/>
      <c r="O896" s="235"/>
    </row>
    <row r="897" spans="1:15" ht="13.8">
      <c r="A897" s="235"/>
      <c r="B897" s="235"/>
      <c r="C897" s="235"/>
      <c r="D897" s="234"/>
      <c r="E897" s="234"/>
      <c r="F897" s="234"/>
      <c r="G897" s="234"/>
      <c r="H897" s="235"/>
      <c r="I897" s="235"/>
      <c r="J897" s="235"/>
      <c r="K897" s="235"/>
      <c r="L897" s="235"/>
      <c r="M897" s="235"/>
      <c r="N897" s="235"/>
      <c r="O897" s="235"/>
    </row>
    <row r="898" spans="1:15" ht="13.8">
      <c r="A898" s="235"/>
      <c r="B898" s="235"/>
      <c r="C898" s="235"/>
      <c r="D898" s="234"/>
      <c r="E898" s="234"/>
      <c r="F898" s="234"/>
      <c r="G898" s="234"/>
      <c r="H898" s="235"/>
      <c r="I898" s="235"/>
      <c r="J898" s="235"/>
      <c r="K898" s="235"/>
      <c r="L898" s="235"/>
      <c r="M898" s="235"/>
      <c r="N898" s="235"/>
      <c r="O898" s="235"/>
    </row>
    <row r="899" spans="1:15" ht="13.8">
      <c r="A899" s="235"/>
      <c r="B899" s="235"/>
      <c r="C899" s="235"/>
      <c r="D899" s="234"/>
      <c r="E899" s="234"/>
      <c r="F899" s="234"/>
      <c r="G899" s="234"/>
      <c r="H899" s="235"/>
      <c r="I899" s="235"/>
      <c r="J899" s="235"/>
      <c r="K899" s="235"/>
      <c r="L899" s="235"/>
      <c r="M899" s="235"/>
      <c r="N899" s="235"/>
      <c r="O899" s="235"/>
    </row>
    <row r="900" spans="1:15" ht="13.8">
      <c r="A900" s="235"/>
      <c r="B900" s="235"/>
      <c r="C900" s="235"/>
      <c r="D900" s="234"/>
      <c r="E900" s="234"/>
      <c r="F900" s="234"/>
      <c r="G900" s="234"/>
      <c r="H900" s="235"/>
      <c r="I900" s="235"/>
      <c r="J900" s="235"/>
      <c r="K900" s="235"/>
      <c r="L900" s="235"/>
      <c r="M900" s="235"/>
      <c r="N900" s="235"/>
      <c r="O900" s="235"/>
    </row>
    <row r="901" spans="1:15" ht="13.8">
      <c r="A901" s="235"/>
      <c r="B901" s="235"/>
      <c r="C901" s="235"/>
      <c r="D901" s="234"/>
      <c r="E901" s="234"/>
      <c r="F901" s="234"/>
      <c r="G901" s="234"/>
      <c r="H901" s="235"/>
      <c r="I901" s="235"/>
      <c r="J901" s="235"/>
      <c r="K901" s="235"/>
      <c r="L901" s="235"/>
      <c r="M901" s="235"/>
      <c r="N901" s="235"/>
      <c r="O901" s="235"/>
    </row>
    <row r="902" spans="1:15" ht="13.8">
      <c r="A902" s="235"/>
      <c r="B902" s="235"/>
      <c r="C902" s="235"/>
      <c r="D902" s="234"/>
      <c r="E902" s="234"/>
      <c r="F902" s="234"/>
      <c r="G902" s="234"/>
      <c r="H902" s="235"/>
      <c r="I902" s="235"/>
      <c r="J902" s="235"/>
      <c r="K902" s="235"/>
      <c r="L902" s="235"/>
      <c r="M902" s="235"/>
      <c r="N902" s="235"/>
      <c r="O902" s="235"/>
    </row>
    <row r="903" spans="1:15" ht="13.8">
      <c r="A903" s="235"/>
      <c r="B903" s="235"/>
      <c r="C903" s="235"/>
      <c r="D903" s="234"/>
      <c r="E903" s="234"/>
      <c r="F903" s="234"/>
      <c r="G903" s="234"/>
      <c r="H903" s="235"/>
      <c r="I903" s="235"/>
      <c r="J903" s="235"/>
      <c r="K903" s="235"/>
      <c r="L903" s="235"/>
      <c r="M903" s="235"/>
      <c r="N903" s="235"/>
      <c r="O903" s="235"/>
    </row>
    <row r="904" spans="1:15" ht="13.8">
      <c r="A904" s="235"/>
      <c r="B904" s="235"/>
      <c r="C904" s="235"/>
      <c r="D904" s="234"/>
      <c r="E904" s="234"/>
      <c r="F904" s="234"/>
      <c r="G904" s="234"/>
      <c r="H904" s="235"/>
      <c r="I904" s="235"/>
      <c r="J904" s="235"/>
      <c r="K904" s="235"/>
      <c r="L904" s="235"/>
      <c r="M904" s="235"/>
      <c r="N904" s="235"/>
      <c r="O904" s="235"/>
    </row>
    <row r="905" spans="1:15" ht="13.8">
      <c r="A905" s="235"/>
      <c r="B905" s="235"/>
      <c r="C905" s="235"/>
      <c r="D905" s="234"/>
      <c r="E905" s="234"/>
      <c r="F905" s="234"/>
      <c r="G905" s="234"/>
      <c r="H905" s="235"/>
      <c r="I905" s="235"/>
      <c r="J905" s="235"/>
      <c r="K905" s="235"/>
      <c r="L905" s="235"/>
      <c r="M905" s="235"/>
      <c r="N905" s="235"/>
      <c r="O905" s="235"/>
    </row>
    <row r="906" spans="1:15" ht="13.8">
      <c r="A906" s="235"/>
      <c r="B906" s="235"/>
      <c r="C906" s="235"/>
      <c r="D906" s="234"/>
      <c r="E906" s="234"/>
      <c r="F906" s="234"/>
      <c r="G906" s="234"/>
      <c r="H906" s="235"/>
      <c r="I906" s="235"/>
      <c r="J906" s="235"/>
      <c r="K906" s="235"/>
      <c r="L906" s="235"/>
      <c r="M906" s="235"/>
      <c r="N906" s="235"/>
      <c r="O906" s="235"/>
    </row>
    <row r="907" spans="1:15" ht="13.8">
      <c r="A907" s="235"/>
      <c r="B907" s="235"/>
      <c r="C907" s="235"/>
      <c r="D907" s="234"/>
      <c r="E907" s="234"/>
      <c r="F907" s="234"/>
      <c r="G907" s="234"/>
      <c r="H907" s="235"/>
      <c r="I907" s="235"/>
      <c r="J907" s="235"/>
      <c r="K907" s="235"/>
      <c r="L907" s="235"/>
      <c r="M907" s="235"/>
      <c r="N907" s="235"/>
      <c r="O907" s="235"/>
    </row>
    <row r="908" spans="1:15" ht="13.8">
      <c r="A908" s="235"/>
      <c r="B908" s="235"/>
      <c r="C908" s="235"/>
      <c r="D908" s="234"/>
      <c r="E908" s="234"/>
      <c r="F908" s="234"/>
      <c r="G908" s="234"/>
      <c r="H908" s="235"/>
      <c r="I908" s="235"/>
      <c r="J908" s="235"/>
      <c r="K908" s="235"/>
      <c r="L908" s="235"/>
      <c r="M908" s="235"/>
      <c r="N908" s="235"/>
      <c r="O908" s="235"/>
    </row>
    <row r="909" spans="1:15" ht="13.8">
      <c r="A909" s="235"/>
      <c r="B909" s="235"/>
      <c r="C909" s="235"/>
      <c r="D909" s="234"/>
      <c r="E909" s="234"/>
      <c r="F909" s="234"/>
      <c r="G909" s="234"/>
      <c r="H909" s="235"/>
      <c r="I909" s="235"/>
      <c r="J909" s="235"/>
      <c r="K909" s="235"/>
      <c r="L909" s="235"/>
      <c r="M909" s="235"/>
      <c r="N909" s="235"/>
      <c r="O909" s="235"/>
    </row>
    <row r="910" spans="1:15" ht="13.8">
      <c r="A910" s="235"/>
      <c r="B910" s="235"/>
      <c r="C910" s="235"/>
      <c r="D910" s="234"/>
      <c r="E910" s="234"/>
      <c r="F910" s="234"/>
      <c r="G910" s="234"/>
      <c r="H910" s="235"/>
      <c r="I910" s="235"/>
      <c r="J910" s="235"/>
      <c r="K910" s="235"/>
      <c r="L910" s="235"/>
      <c r="M910" s="235"/>
      <c r="N910" s="235"/>
      <c r="O910" s="235"/>
    </row>
    <row r="911" spans="1:15" ht="13.8">
      <c r="A911" s="235"/>
      <c r="B911" s="235"/>
      <c r="C911" s="235"/>
      <c r="D911" s="234"/>
      <c r="E911" s="234"/>
      <c r="F911" s="234"/>
      <c r="G911" s="234"/>
      <c r="H911" s="235"/>
      <c r="I911" s="235"/>
      <c r="J911" s="235"/>
      <c r="K911" s="235"/>
      <c r="L911" s="235"/>
      <c r="M911" s="235"/>
      <c r="N911" s="235"/>
      <c r="O911" s="235"/>
    </row>
    <row r="912" spans="1:15" ht="13.8">
      <c r="A912" s="235"/>
      <c r="B912" s="235"/>
      <c r="C912" s="235"/>
      <c r="D912" s="234"/>
      <c r="E912" s="234"/>
      <c r="F912" s="234"/>
      <c r="G912" s="234"/>
      <c r="H912" s="235"/>
      <c r="I912" s="235"/>
      <c r="J912" s="235"/>
      <c r="K912" s="235"/>
      <c r="L912" s="235"/>
      <c r="M912" s="235"/>
      <c r="N912" s="235"/>
      <c r="O912" s="235"/>
    </row>
    <row r="913" spans="1:15" ht="13.8">
      <c r="A913" s="235"/>
      <c r="B913" s="235"/>
      <c r="C913" s="235"/>
      <c r="D913" s="234"/>
      <c r="E913" s="234"/>
      <c r="F913" s="234"/>
      <c r="G913" s="234"/>
      <c r="H913" s="235"/>
      <c r="I913" s="235"/>
      <c r="J913" s="235"/>
      <c r="K913" s="235"/>
      <c r="L913" s="235"/>
      <c r="M913" s="235"/>
      <c r="N913" s="235"/>
      <c r="O913" s="235"/>
    </row>
    <row r="914" spans="1:15" ht="13.8">
      <c r="A914" s="235"/>
      <c r="B914" s="235"/>
      <c r="C914" s="235"/>
      <c r="D914" s="234"/>
      <c r="E914" s="234"/>
      <c r="F914" s="234"/>
      <c r="G914" s="234"/>
      <c r="H914" s="235"/>
      <c r="I914" s="235"/>
      <c r="J914" s="235"/>
      <c r="K914" s="235"/>
      <c r="L914" s="235"/>
      <c r="M914" s="235"/>
      <c r="N914" s="235"/>
      <c r="O914" s="235"/>
    </row>
    <row r="915" spans="1:15" ht="13.8">
      <c r="A915" s="235"/>
      <c r="B915" s="235"/>
      <c r="C915" s="235"/>
      <c r="D915" s="234"/>
      <c r="E915" s="234"/>
      <c r="F915" s="234"/>
      <c r="G915" s="234"/>
      <c r="H915" s="235"/>
      <c r="I915" s="235"/>
      <c r="J915" s="235"/>
      <c r="K915" s="235"/>
      <c r="L915" s="235"/>
      <c r="M915" s="235"/>
      <c r="N915" s="235"/>
      <c r="O915" s="235"/>
    </row>
    <row r="916" spans="1:15" ht="13.8">
      <c r="A916" s="235"/>
      <c r="B916" s="235"/>
      <c r="C916" s="235"/>
      <c r="D916" s="234"/>
      <c r="E916" s="234"/>
      <c r="F916" s="234"/>
      <c r="G916" s="234"/>
      <c r="H916" s="235"/>
      <c r="I916" s="235"/>
      <c r="J916" s="235"/>
      <c r="K916" s="235"/>
      <c r="L916" s="235"/>
      <c r="M916" s="235"/>
      <c r="N916" s="235"/>
      <c r="O916" s="235"/>
    </row>
    <row r="917" spans="1:15" ht="13.8">
      <c r="A917" s="235"/>
      <c r="B917" s="235"/>
      <c r="C917" s="235"/>
      <c r="D917" s="234"/>
      <c r="E917" s="234"/>
      <c r="F917" s="234"/>
      <c r="G917" s="234"/>
      <c r="H917" s="235"/>
      <c r="I917" s="235"/>
      <c r="J917" s="235"/>
      <c r="K917" s="235"/>
      <c r="L917" s="235"/>
      <c r="M917" s="235"/>
      <c r="N917" s="235"/>
      <c r="O917" s="235"/>
    </row>
    <row r="918" spans="1:15" ht="13.8">
      <c r="A918" s="235"/>
      <c r="B918" s="235"/>
      <c r="C918" s="235"/>
      <c r="D918" s="234"/>
      <c r="E918" s="234"/>
      <c r="F918" s="234"/>
      <c r="G918" s="234"/>
      <c r="H918" s="235"/>
      <c r="I918" s="235"/>
      <c r="J918" s="235"/>
      <c r="K918" s="235"/>
      <c r="L918" s="235"/>
      <c r="M918" s="235"/>
      <c r="N918" s="235"/>
      <c r="O918" s="235"/>
    </row>
    <row r="919" spans="1:15" ht="13.8">
      <c r="A919" s="235"/>
      <c r="B919" s="235"/>
      <c r="C919" s="235"/>
      <c r="D919" s="234"/>
      <c r="E919" s="234"/>
      <c r="F919" s="234"/>
      <c r="G919" s="234"/>
      <c r="H919" s="235"/>
      <c r="I919" s="235"/>
      <c r="J919" s="235"/>
      <c r="K919" s="235"/>
      <c r="L919" s="235"/>
      <c r="M919" s="235"/>
      <c r="N919" s="235"/>
      <c r="O919" s="235"/>
    </row>
    <row r="920" spans="1:15" ht="13.8">
      <c r="A920" s="235"/>
      <c r="B920" s="235"/>
      <c r="C920" s="235"/>
      <c r="D920" s="234"/>
      <c r="E920" s="234"/>
      <c r="F920" s="234"/>
      <c r="G920" s="234"/>
      <c r="H920" s="235"/>
      <c r="I920" s="235"/>
      <c r="J920" s="235"/>
      <c r="K920" s="235"/>
      <c r="L920" s="235"/>
      <c r="M920" s="235"/>
      <c r="N920" s="235"/>
      <c r="O920" s="235"/>
    </row>
    <row r="921" spans="1:15" ht="13.8">
      <c r="A921" s="235"/>
      <c r="B921" s="235"/>
      <c r="C921" s="235"/>
      <c r="D921" s="234"/>
      <c r="E921" s="234"/>
      <c r="F921" s="234"/>
      <c r="G921" s="234"/>
      <c r="H921" s="235"/>
      <c r="I921" s="235"/>
      <c r="J921" s="235"/>
      <c r="K921" s="235"/>
      <c r="L921" s="235"/>
      <c r="M921" s="235"/>
      <c r="N921" s="235"/>
      <c r="O921" s="235"/>
    </row>
    <row r="922" spans="1:15" ht="13.8">
      <c r="A922" s="235"/>
      <c r="B922" s="235"/>
      <c r="C922" s="235"/>
      <c r="D922" s="234"/>
      <c r="E922" s="234"/>
      <c r="F922" s="234"/>
      <c r="G922" s="234"/>
      <c r="H922" s="235"/>
      <c r="I922" s="235"/>
      <c r="J922" s="235"/>
      <c r="K922" s="235"/>
      <c r="L922" s="235"/>
      <c r="M922" s="235"/>
      <c r="N922" s="235"/>
      <c r="O922" s="235"/>
    </row>
    <row r="923" spans="1:15" ht="13.8">
      <c r="A923" s="235"/>
      <c r="B923" s="235"/>
      <c r="C923" s="235"/>
      <c r="D923" s="234"/>
      <c r="E923" s="234"/>
      <c r="F923" s="234"/>
      <c r="G923" s="234"/>
      <c r="H923" s="235"/>
      <c r="I923" s="235"/>
      <c r="J923" s="235"/>
      <c r="K923" s="235"/>
      <c r="L923" s="235"/>
      <c r="M923" s="235"/>
      <c r="N923" s="235"/>
      <c r="O923" s="235"/>
    </row>
    <row r="924" spans="1:15" ht="13.8">
      <c r="A924" s="235"/>
      <c r="B924" s="235"/>
      <c r="C924" s="235"/>
      <c r="D924" s="234"/>
      <c r="E924" s="234"/>
      <c r="F924" s="234"/>
      <c r="G924" s="234"/>
      <c r="H924" s="235"/>
      <c r="I924" s="235"/>
      <c r="J924" s="235"/>
      <c r="K924" s="235"/>
      <c r="L924" s="235"/>
      <c r="M924" s="235"/>
      <c r="N924" s="235"/>
      <c r="O924" s="235"/>
    </row>
    <row r="925" spans="1:15" ht="13.8">
      <c r="A925" s="235"/>
      <c r="B925" s="235"/>
      <c r="C925" s="235"/>
      <c r="D925" s="234"/>
      <c r="E925" s="234"/>
      <c r="F925" s="234"/>
      <c r="G925" s="234"/>
      <c r="H925" s="235"/>
      <c r="I925" s="235"/>
      <c r="J925" s="235"/>
      <c r="K925" s="235"/>
      <c r="L925" s="235"/>
      <c r="M925" s="235"/>
      <c r="N925" s="235"/>
      <c r="O925" s="235"/>
    </row>
    <row r="926" spans="1:15" ht="13.8">
      <c r="A926" s="235"/>
      <c r="B926" s="235"/>
      <c r="C926" s="235"/>
      <c r="D926" s="234"/>
      <c r="E926" s="234"/>
      <c r="F926" s="234"/>
      <c r="G926" s="234"/>
      <c r="H926" s="235"/>
      <c r="I926" s="235"/>
      <c r="J926" s="235"/>
      <c r="K926" s="235"/>
      <c r="L926" s="235"/>
      <c r="M926" s="235"/>
      <c r="N926" s="235"/>
      <c r="O926" s="235"/>
    </row>
    <row r="927" spans="1:15" ht="13.8">
      <c r="A927" s="235"/>
      <c r="B927" s="235"/>
      <c r="C927" s="235"/>
      <c r="D927" s="234"/>
      <c r="E927" s="234"/>
      <c r="F927" s="234"/>
      <c r="G927" s="234"/>
      <c r="H927" s="235"/>
      <c r="I927" s="235"/>
      <c r="J927" s="235"/>
      <c r="K927" s="235"/>
      <c r="L927" s="235"/>
      <c r="M927" s="235"/>
      <c r="N927" s="235"/>
      <c r="O927" s="235"/>
    </row>
    <row r="928" spans="1:15" ht="13.8">
      <c r="A928" s="235"/>
      <c r="B928" s="235"/>
      <c r="C928" s="235"/>
      <c r="D928" s="234"/>
      <c r="E928" s="234"/>
      <c r="F928" s="234"/>
      <c r="G928" s="234"/>
      <c r="H928" s="235"/>
      <c r="I928" s="235"/>
      <c r="J928" s="235"/>
      <c r="K928" s="235"/>
      <c r="L928" s="235"/>
      <c r="M928" s="235"/>
      <c r="N928" s="235"/>
      <c r="O928" s="235"/>
    </row>
    <row r="929" spans="1:15" ht="13.8">
      <c r="A929" s="235"/>
      <c r="B929" s="235"/>
      <c r="C929" s="235"/>
      <c r="D929" s="234"/>
      <c r="E929" s="234"/>
      <c r="F929" s="234"/>
      <c r="G929" s="234"/>
      <c r="H929" s="235"/>
      <c r="I929" s="235"/>
      <c r="J929" s="235"/>
      <c r="K929" s="235"/>
      <c r="L929" s="235"/>
      <c r="M929" s="235"/>
      <c r="N929" s="235"/>
      <c r="O929" s="235"/>
    </row>
    <row r="930" spans="1:15" ht="13.8">
      <c r="A930" s="235"/>
      <c r="B930" s="235"/>
      <c r="C930" s="235"/>
      <c r="D930" s="234"/>
      <c r="E930" s="234"/>
      <c r="F930" s="234"/>
      <c r="G930" s="234"/>
      <c r="H930" s="235"/>
      <c r="I930" s="235"/>
      <c r="J930" s="235"/>
      <c r="K930" s="235"/>
      <c r="L930" s="235"/>
      <c r="M930" s="235"/>
      <c r="N930" s="235"/>
      <c r="O930" s="235"/>
    </row>
    <row r="931" spans="1:15" ht="13.8">
      <c r="A931" s="235"/>
      <c r="B931" s="235"/>
      <c r="C931" s="235"/>
      <c r="D931" s="234"/>
      <c r="E931" s="234"/>
      <c r="F931" s="234"/>
      <c r="G931" s="234"/>
      <c r="H931" s="235"/>
      <c r="I931" s="235"/>
      <c r="J931" s="235"/>
      <c r="K931" s="235"/>
      <c r="L931" s="235"/>
      <c r="M931" s="235"/>
      <c r="N931" s="235"/>
      <c r="O931" s="235"/>
    </row>
    <row r="932" spans="1:15" ht="13.8">
      <c r="A932" s="235"/>
      <c r="B932" s="235"/>
      <c r="C932" s="235"/>
      <c r="D932" s="234"/>
      <c r="E932" s="234"/>
      <c r="F932" s="234"/>
      <c r="G932" s="234"/>
      <c r="H932" s="235"/>
      <c r="I932" s="235"/>
      <c r="J932" s="235"/>
      <c r="K932" s="235"/>
      <c r="L932" s="235"/>
      <c r="M932" s="235"/>
      <c r="N932" s="235"/>
      <c r="O932" s="235"/>
    </row>
    <row r="933" spans="1:15" ht="13.8">
      <c r="A933" s="235"/>
      <c r="B933" s="235"/>
      <c r="C933" s="235"/>
      <c r="D933" s="234"/>
      <c r="E933" s="234"/>
      <c r="F933" s="234"/>
      <c r="G933" s="234"/>
      <c r="H933" s="235"/>
      <c r="I933" s="235"/>
      <c r="J933" s="235"/>
      <c r="K933" s="235"/>
      <c r="L933" s="235"/>
      <c r="M933" s="235"/>
      <c r="N933" s="235"/>
      <c r="O933" s="235"/>
    </row>
    <row r="934" spans="1:15" ht="13.8">
      <c r="A934" s="235"/>
      <c r="B934" s="235"/>
      <c r="C934" s="235"/>
      <c r="D934" s="234"/>
      <c r="E934" s="234"/>
      <c r="F934" s="234"/>
      <c r="G934" s="234"/>
      <c r="H934" s="235"/>
      <c r="I934" s="235"/>
      <c r="J934" s="235"/>
      <c r="K934" s="235"/>
      <c r="L934" s="235"/>
      <c r="M934" s="235"/>
      <c r="N934" s="235"/>
      <c r="O934" s="235"/>
    </row>
    <row r="935" spans="1:15" ht="13.8">
      <c r="A935" s="235"/>
      <c r="B935" s="235"/>
      <c r="C935" s="235"/>
      <c r="D935" s="234"/>
      <c r="E935" s="234"/>
      <c r="F935" s="234"/>
      <c r="G935" s="234"/>
      <c r="H935" s="235"/>
      <c r="I935" s="235"/>
      <c r="J935" s="235"/>
      <c r="K935" s="235"/>
      <c r="L935" s="235"/>
      <c r="M935" s="235"/>
      <c r="N935" s="235"/>
      <c r="O935" s="235"/>
    </row>
    <row r="936" spans="1:15" ht="13.8">
      <c r="D936" s="263"/>
      <c r="E936" s="263"/>
      <c r="F936" s="263"/>
      <c r="G936" s="263"/>
    </row>
    <row r="937" spans="1:15" ht="13.8">
      <c r="D937" s="263"/>
      <c r="E937" s="263"/>
      <c r="F937" s="263"/>
      <c r="G937" s="263"/>
    </row>
    <row r="938" spans="1:15" ht="13.8">
      <c r="D938" s="263"/>
      <c r="E938" s="263"/>
      <c r="F938" s="263"/>
      <c r="G938" s="263"/>
    </row>
    <row r="939" spans="1:15" ht="13.8">
      <c r="D939" s="263"/>
      <c r="E939" s="263"/>
      <c r="F939" s="263"/>
      <c r="G939" s="263"/>
    </row>
    <row r="940" spans="1:15" ht="13.8">
      <c r="D940" s="263"/>
      <c r="E940" s="263"/>
      <c r="F940" s="263"/>
      <c r="G940" s="263"/>
    </row>
    <row r="941" spans="1:15" ht="13.8">
      <c r="D941" s="263"/>
      <c r="E941" s="263"/>
      <c r="F941" s="263"/>
      <c r="G941" s="263"/>
    </row>
    <row r="942" spans="1:15" ht="13.8">
      <c r="D942" s="263"/>
      <c r="E942" s="263"/>
      <c r="F942" s="263"/>
      <c r="G942" s="263"/>
    </row>
    <row r="943" spans="1:15" ht="13.8">
      <c r="D943" s="263"/>
      <c r="E943" s="263"/>
      <c r="F943" s="263"/>
      <c r="G943" s="263"/>
    </row>
    <row r="944" spans="1:15" ht="13.8">
      <c r="D944" s="263"/>
      <c r="E944" s="263"/>
      <c r="F944" s="263"/>
      <c r="G944" s="263"/>
    </row>
    <row r="945" spans="4:7" ht="13.8">
      <c r="D945" s="263"/>
      <c r="E945" s="263"/>
      <c r="F945" s="263"/>
      <c r="G945" s="263"/>
    </row>
    <row r="946" spans="4:7" ht="13.8">
      <c r="D946" s="263"/>
      <c r="E946" s="263"/>
      <c r="F946" s="263"/>
      <c r="G946" s="263"/>
    </row>
    <row r="947" spans="4:7" ht="13.8">
      <c r="D947" s="263"/>
      <c r="E947" s="263"/>
      <c r="F947" s="263"/>
      <c r="G947" s="263"/>
    </row>
    <row r="948" spans="4:7" ht="13.8">
      <c r="D948" s="263"/>
      <c r="E948" s="263"/>
      <c r="F948" s="263"/>
      <c r="G948" s="263"/>
    </row>
    <row r="949" spans="4:7" ht="13.8">
      <c r="D949" s="263"/>
      <c r="E949" s="263"/>
      <c r="F949" s="263"/>
      <c r="G949" s="263"/>
    </row>
    <row r="950" spans="4:7" ht="13.8">
      <c r="D950" s="263"/>
      <c r="E950" s="263"/>
      <c r="F950" s="263"/>
      <c r="G950" s="263"/>
    </row>
    <row r="951" spans="4:7" ht="13.8">
      <c r="D951" s="263"/>
      <c r="E951" s="263"/>
      <c r="F951" s="263"/>
      <c r="G951" s="263"/>
    </row>
    <row r="952" spans="4:7" ht="13.8">
      <c r="D952" s="263"/>
      <c r="E952" s="263"/>
      <c r="F952" s="263"/>
      <c r="G952" s="263"/>
    </row>
    <row r="953" spans="4:7" ht="13.8">
      <c r="D953" s="263"/>
      <c r="E953" s="263"/>
      <c r="F953" s="263"/>
      <c r="G953" s="263"/>
    </row>
    <row r="954" spans="4:7" ht="13.8">
      <c r="D954" s="263"/>
      <c r="E954" s="263"/>
      <c r="F954" s="263"/>
      <c r="G954" s="263"/>
    </row>
    <row r="955" spans="4:7" ht="13.8">
      <c r="D955" s="263"/>
      <c r="E955" s="263"/>
      <c r="F955" s="263"/>
      <c r="G955" s="263"/>
    </row>
    <row r="956" spans="4:7" ht="13.8">
      <c r="D956" s="263"/>
      <c r="E956" s="263"/>
      <c r="F956" s="263"/>
      <c r="G956" s="263"/>
    </row>
    <row r="957" spans="4:7" ht="13.8">
      <c r="D957" s="263"/>
      <c r="E957" s="263"/>
      <c r="F957" s="263"/>
      <c r="G957" s="263"/>
    </row>
    <row r="958" spans="4:7" ht="13.8">
      <c r="D958" s="263"/>
      <c r="E958" s="263"/>
      <c r="F958" s="263"/>
      <c r="G958" s="263"/>
    </row>
    <row r="959" spans="4:7" ht="13.8">
      <c r="D959" s="263"/>
      <c r="E959" s="263"/>
      <c r="F959" s="263"/>
      <c r="G959" s="263"/>
    </row>
    <row r="960" spans="4:7" ht="13.8">
      <c r="D960" s="263"/>
      <c r="E960" s="263"/>
      <c r="F960" s="263"/>
      <c r="G960" s="263"/>
    </row>
    <row r="961" spans="4:7" ht="13.8">
      <c r="D961" s="263"/>
      <c r="E961" s="263"/>
      <c r="F961" s="263"/>
      <c r="G961" s="263"/>
    </row>
    <row r="962" spans="4:7" ht="13.8">
      <c r="D962" s="263"/>
      <c r="E962" s="263"/>
      <c r="F962" s="263"/>
      <c r="G962" s="263"/>
    </row>
    <row r="963" spans="4:7" ht="13.8">
      <c r="D963" s="263"/>
      <c r="E963" s="263"/>
      <c r="F963" s="263"/>
      <c r="G963" s="263"/>
    </row>
    <row r="964" spans="4:7" ht="13.8">
      <c r="D964" s="263"/>
      <c r="E964" s="263"/>
      <c r="F964" s="263"/>
      <c r="G964" s="263"/>
    </row>
    <row r="965" spans="4:7" ht="13.8">
      <c r="D965" s="263"/>
      <c r="E965" s="263"/>
      <c r="F965" s="263"/>
      <c r="G965" s="263"/>
    </row>
    <row r="966" spans="4:7" ht="13.8">
      <c r="D966" s="263"/>
      <c r="E966" s="263"/>
      <c r="F966" s="263"/>
      <c r="G966" s="263"/>
    </row>
    <row r="967" spans="4:7" ht="13.8">
      <c r="D967" s="263"/>
      <c r="E967" s="263"/>
      <c r="F967" s="263"/>
      <c r="G967" s="263"/>
    </row>
    <row r="968" spans="4:7" ht="13.8">
      <c r="D968" s="263"/>
      <c r="E968" s="263"/>
      <c r="F968" s="263"/>
      <c r="G968" s="263"/>
    </row>
    <row r="969" spans="4:7" ht="13.8">
      <c r="D969" s="263"/>
      <c r="E969" s="263"/>
      <c r="F969" s="263"/>
      <c r="G969" s="263"/>
    </row>
    <row r="970" spans="4:7" ht="13.8">
      <c r="D970" s="263"/>
      <c r="E970" s="263"/>
      <c r="F970" s="263"/>
      <c r="G970" s="263"/>
    </row>
    <row r="971" spans="4:7" ht="13.8">
      <c r="D971" s="263"/>
      <c r="E971" s="263"/>
      <c r="F971" s="263"/>
      <c r="G971" s="263"/>
    </row>
    <row r="972" spans="4:7" ht="13.8">
      <c r="D972" s="263"/>
      <c r="E972" s="263"/>
      <c r="F972" s="263"/>
      <c r="G972" s="263"/>
    </row>
    <row r="973" spans="4:7" ht="13.8">
      <c r="D973" s="263"/>
      <c r="E973" s="263"/>
      <c r="F973" s="263"/>
      <c r="G973" s="263"/>
    </row>
    <row r="974" spans="4:7" ht="13.8">
      <c r="D974" s="263"/>
      <c r="E974" s="263"/>
      <c r="F974" s="263"/>
      <c r="G974" s="263"/>
    </row>
    <row r="975" spans="4:7" ht="13.8">
      <c r="D975" s="263"/>
      <c r="E975" s="263"/>
      <c r="F975" s="263"/>
      <c r="G975" s="263"/>
    </row>
    <row r="976" spans="4:7" ht="13.8">
      <c r="D976" s="263"/>
      <c r="E976" s="263"/>
      <c r="F976" s="263"/>
      <c r="G976" s="263"/>
    </row>
    <row r="977" spans="4:7" ht="13.8">
      <c r="D977" s="263"/>
      <c r="E977" s="263"/>
      <c r="F977" s="263"/>
      <c r="G977" s="263"/>
    </row>
    <row r="978" spans="4:7" ht="13.8">
      <c r="D978" s="263"/>
      <c r="E978" s="263"/>
      <c r="F978" s="263"/>
      <c r="G978" s="263"/>
    </row>
    <row r="979" spans="4:7" ht="13.8">
      <c r="D979" s="263"/>
      <c r="E979" s="263"/>
      <c r="F979" s="263"/>
      <c r="G979" s="263"/>
    </row>
    <row r="980" spans="4:7" ht="13.8">
      <c r="D980" s="263"/>
      <c r="E980" s="263"/>
      <c r="F980" s="263"/>
      <c r="G980" s="263"/>
    </row>
    <row r="981" spans="4:7" ht="13.8">
      <c r="D981" s="263"/>
      <c r="E981" s="263"/>
      <c r="F981" s="263"/>
      <c r="G981" s="263"/>
    </row>
    <row r="982" spans="4:7" ht="13.8">
      <c r="D982" s="263"/>
      <c r="E982" s="263"/>
      <c r="F982" s="263"/>
      <c r="G982" s="263"/>
    </row>
    <row r="983" spans="4:7" ht="13.8">
      <c r="D983" s="263"/>
      <c r="E983" s="263"/>
      <c r="F983" s="263"/>
      <c r="G983" s="263"/>
    </row>
    <row r="984" spans="4:7" ht="13.8">
      <c r="D984" s="263"/>
      <c r="E984" s="263"/>
      <c r="F984" s="263"/>
      <c r="G984" s="263"/>
    </row>
    <row r="985" spans="4:7" ht="13.8">
      <c r="D985" s="263"/>
      <c r="E985" s="263"/>
      <c r="F985" s="263"/>
      <c r="G985" s="263"/>
    </row>
    <row r="986" spans="4:7" ht="13.8">
      <c r="D986" s="263"/>
      <c r="E986" s="263"/>
      <c r="F986" s="263"/>
      <c r="G986" s="263"/>
    </row>
    <row r="987" spans="4:7" ht="13.8">
      <c r="D987" s="263"/>
      <c r="E987" s="263"/>
      <c r="F987" s="263"/>
      <c r="G987" s="263"/>
    </row>
    <row r="988" spans="4:7" ht="13.8">
      <c r="D988" s="263"/>
      <c r="E988" s="263"/>
      <c r="F988" s="263"/>
      <c r="G988" s="263"/>
    </row>
    <row r="989" spans="4:7" ht="13.8">
      <c r="D989" s="263"/>
      <c r="E989" s="263"/>
      <c r="F989" s="263"/>
      <c r="G989" s="263"/>
    </row>
    <row r="990" spans="4:7" ht="13.8">
      <c r="D990" s="263"/>
      <c r="E990" s="263"/>
      <c r="F990" s="263"/>
      <c r="G990" s="263"/>
    </row>
    <row r="991" spans="4:7" ht="13.8">
      <c r="D991" s="263"/>
      <c r="E991" s="263"/>
      <c r="F991" s="263"/>
      <c r="G991" s="263"/>
    </row>
    <row r="992" spans="4:7" ht="13.8">
      <c r="D992" s="263"/>
      <c r="E992" s="263"/>
      <c r="F992" s="263"/>
      <c r="G992" s="263"/>
    </row>
    <row r="993" spans="4:7" ht="13.8">
      <c r="D993" s="263"/>
      <c r="E993" s="263"/>
      <c r="F993" s="263"/>
      <c r="G993" s="263"/>
    </row>
    <row r="994" spans="4:7" ht="13.8">
      <c r="D994" s="263"/>
      <c r="E994" s="263"/>
      <c r="F994" s="263"/>
      <c r="G994" s="263"/>
    </row>
    <row r="995" spans="4:7" ht="13.8">
      <c r="D995" s="263"/>
      <c r="E995" s="263"/>
      <c r="F995" s="263"/>
      <c r="G995" s="263"/>
    </row>
    <row r="996" spans="4:7" ht="13.8">
      <c r="D996" s="263"/>
      <c r="E996" s="263"/>
      <c r="F996" s="263"/>
      <c r="G996" s="263"/>
    </row>
    <row r="997" spans="4:7" ht="13.8">
      <c r="D997" s="263"/>
      <c r="E997" s="263"/>
      <c r="F997" s="263"/>
      <c r="G997" s="263"/>
    </row>
    <row r="998" spans="4:7" ht="13.8">
      <c r="D998" s="263"/>
      <c r="E998" s="263"/>
      <c r="F998" s="263"/>
      <c r="G998" s="263"/>
    </row>
    <row r="999" spans="4:7" ht="13.8">
      <c r="D999" s="263"/>
      <c r="E999" s="263"/>
      <c r="F999" s="263"/>
      <c r="G999" s="263"/>
    </row>
    <row r="1000" spans="4:7" ht="13.8">
      <c r="D1000" s="263"/>
      <c r="E1000" s="263"/>
      <c r="F1000" s="263"/>
      <c r="G1000" s="263"/>
    </row>
    <row r="1001" spans="4:7" ht="13.8">
      <c r="D1001" s="263"/>
      <c r="E1001" s="263"/>
      <c r="F1001" s="263"/>
      <c r="G1001" s="263"/>
    </row>
    <row r="1002" spans="4:7" ht="13.8">
      <c r="D1002" s="263"/>
      <c r="E1002" s="263"/>
      <c r="F1002" s="263"/>
      <c r="G1002" s="263"/>
    </row>
    <row r="1003" spans="4:7" ht="13.8">
      <c r="D1003" s="263"/>
      <c r="E1003" s="263"/>
      <c r="F1003" s="263"/>
      <c r="G1003" s="263"/>
    </row>
    <row r="1004" spans="4:7" ht="13.8">
      <c r="D1004" s="263"/>
      <c r="E1004" s="263"/>
      <c r="F1004" s="263"/>
      <c r="G1004" s="263"/>
    </row>
    <row r="1005" spans="4:7" ht="13.8">
      <c r="D1005" s="263"/>
      <c r="E1005" s="263"/>
      <c r="F1005" s="263"/>
      <c r="G1005" s="263"/>
    </row>
    <row r="1006" spans="4:7" ht="13.8">
      <c r="D1006" s="263"/>
      <c r="E1006" s="263"/>
      <c r="F1006" s="263"/>
      <c r="G1006" s="263"/>
    </row>
    <row r="1007" spans="4:7" ht="13.8">
      <c r="D1007" s="263"/>
      <c r="E1007" s="263"/>
      <c r="F1007" s="263"/>
      <c r="G1007" s="263"/>
    </row>
    <row r="1008" spans="4:7" ht="13.8">
      <c r="D1008" s="263"/>
      <c r="E1008" s="263"/>
      <c r="F1008" s="263"/>
      <c r="G1008" s="263"/>
    </row>
    <row r="1009" spans="4:7" ht="13.8">
      <c r="D1009" s="263"/>
      <c r="E1009" s="263"/>
      <c r="F1009" s="263"/>
      <c r="G1009" s="263"/>
    </row>
    <row r="1010" spans="4:7" ht="13.8">
      <c r="D1010" s="263"/>
      <c r="E1010" s="263"/>
      <c r="F1010" s="263"/>
      <c r="G1010" s="263"/>
    </row>
    <row r="1011" spans="4:7" ht="13.8">
      <c r="D1011" s="263"/>
      <c r="E1011" s="263"/>
      <c r="F1011" s="263"/>
      <c r="G1011" s="263"/>
    </row>
    <row r="1012" spans="4:7" ht="13.8">
      <c r="D1012" s="263"/>
      <c r="E1012" s="263"/>
      <c r="F1012" s="263"/>
      <c r="G1012" s="263"/>
    </row>
    <row r="1013" spans="4:7" ht="13.8">
      <c r="D1013" s="263"/>
      <c r="E1013" s="263"/>
      <c r="F1013" s="263"/>
      <c r="G1013" s="263"/>
    </row>
    <row r="1014" spans="4:7" ht="13.8">
      <c r="D1014" s="263"/>
      <c r="E1014" s="263"/>
      <c r="F1014" s="263"/>
      <c r="G1014" s="263"/>
    </row>
    <row r="1015" spans="4:7" ht="13.8">
      <c r="D1015" s="263"/>
      <c r="E1015" s="263"/>
      <c r="F1015" s="263"/>
      <c r="G1015" s="263"/>
    </row>
    <row r="1016" spans="4:7" ht="13.8">
      <c r="D1016" s="263"/>
      <c r="E1016" s="263"/>
      <c r="F1016" s="263"/>
      <c r="G1016" s="263"/>
    </row>
    <row r="1017" spans="4:7" ht="13.8">
      <c r="D1017" s="263"/>
      <c r="E1017" s="263"/>
      <c r="F1017" s="263"/>
      <c r="G1017" s="263"/>
    </row>
    <row r="1018" spans="4:7" ht="13.8">
      <c r="D1018" s="263"/>
      <c r="E1018" s="263"/>
      <c r="F1018" s="263"/>
      <c r="G1018" s="263"/>
    </row>
    <row r="1019" spans="4:7" ht="13.8">
      <c r="D1019" s="263"/>
      <c r="E1019" s="263"/>
      <c r="F1019" s="263"/>
      <c r="G1019" s="263"/>
    </row>
    <row r="1020" spans="4:7" ht="13.8">
      <c r="D1020" s="263"/>
      <c r="E1020" s="263"/>
      <c r="F1020" s="263"/>
      <c r="G1020" s="263"/>
    </row>
    <row r="1021" spans="4:7" ht="13.8">
      <c r="D1021" s="263"/>
      <c r="E1021" s="263"/>
      <c r="F1021" s="263"/>
      <c r="G1021" s="263"/>
    </row>
    <row r="1022" spans="4:7" ht="13.8">
      <c r="D1022" s="263"/>
      <c r="E1022" s="263"/>
      <c r="F1022" s="263"/>
      <c r="G1022" s="263"/>
    </row>
    <row r="1023" spans="4:7" ht="13.8">
      <c r="D1023" s="263"/>
      <c r="E1023" s="263"/>
      <c r="F1023" s="263"/>
      <c r="G1023" s="263"/>
    </row>
    <row r="1024" spans="4:7" ht="13.8">
      <c r="D1024" s="263"/>
      <c r="E1024" s="263"/>
      <c r="F1024" s="263"/>
      <c r="G1024" s="263"/>
    </row>
    <row r="1025" spans="4:7" ht="13.8">
      <c r="D1025" s="263"/>
      <c r="E1025" s="263"/>
      <c r="F1025" s="263"/>
      <c r="G1025" s="263"/>
    </row>
    <row r="1026" spans="4:7" ht="13.8">
      <c r="D1026" s="263"/>
      <c r="E1026" s="263"/>
      <c r="F1026" s="263"/>
      <c r="G1026" s="263"/>
    </row>
    <row r="1027" spans="4:7" ht="13.8">
      <c r="D1027" s="263"/>
      <c r="E1027" s="263"/>
      <c r="F1027" s="263"/>
      <c r="G1027" s="263"/>
    </row>
    <row r="1028" spans="4:7" ht="13.8">
      <c r="D1028" s="263"/>
      <c r="E1028" s="263"/>
      <c r="F1028" s="263"/>
      <c r="G1028" s="263"/>
    </row>
    <row r="1029" spans="4:7" ht="13.8">
      <c r="D1029" s="263"/>
      <c r="E1029" s="263"/>
      <c r="F1029" s="263"/>
      <c r="G1029" s="263"/>
    </row>
    <row r="1030" spans="4:7" ht="13.8">
      <c r="D1030" s="263"/>
      <c r="E1030" s="263"/>
      <c r="F1030" s="263"/>
      <c r="G1030" s="263"/>
    </row>
    <row r="1031" spans="4:7" ht="13.8">
      <c r="D1031" s="263"/>
      <c r="E1031" s="263"/>
      <c r="F1031" s="263"/>
      <c r="G1031" s="263"/>
    </row>
    <row r="1032" spans="4:7" ht="13.8">
      <c r="D1032" s="263"/>
      <c r="E1032" s="263"/>
      <c r="F1032" s="263"/>
      <c r="G1032" s="263"/>
    </row>
    <row r="1033" spans="4:7" ht="13.8">
      <c r="D1033" s="263"/>
      <c r="E1033" s="263"/>
      <c r="F1033" s="263"/>
      <c r="G1033" s="263"/>
    </row>
    <row r="1034" spans="4:7" ht="13.8">
      <c r="D1034" s="263"/>
      <c r="E1034" s="263"/>
      <c r="F1034" s="263"/>
      <c r="G1034" s="263"/>
    </row>
    <row r="1035" spans="4:7" ht="13.8">
      <c r="D1035" s="263"/>
      <c r="E1035" s="263"/>
      <c r="F1035" s="263"/>
      <c r="G1035" s="263"/>
    </row>
  </sheetData>
  <mergeCells count="5">
    <mergeCell ref="B5:B6"/>
    <mergeCell ref="C5:C6"/>
    <mergeCell ref="G5:H5"/>
    <mergeCell ref="I5:I6"/>
    <mergeCell ref="J5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881"/>
  <sheetViews>
    <sheetView workbookViewId="0"/>
  </sheetViews>
  <sheetFormatPr defaultColWidth="12.59765625" defaultRowHeight="15" customHeight="1"/>
  <cols>
    <col min="1" max="1" width="6" customWidth="1"/>
    <col min="2" max="2" width="31.5" customWidth="1"/>
    <col min="3" max="3" width="30.69921875" customWidth="1"/>
    <col min="4" max="4" width="26" customWidth="1"/>
    <col min="5" max="5" width="32.09765625" customWidth="1"/>
    <col min="6" max="10" width="10.3984375" customWidth="1"/>
    <col min="11" max="11" width="11.59765625" customWidth="1"/>
    <col min="12" max="12" width="10.8984375" customWidth="1"/>
    <col min="13" max="13" width="12.3984375" customWidth="1"/>
    <col min="14" max="20" width="17.8984375" customWidth="1"/>
    <col min="21" max="21" width="10.3984375" customWidth="1"/>
    <col min="22" max="22" width="31.5" customWidth="1"/>
    <col min="23" max="23" width="23" customWidth="1"/>
    <col min="24" max="24" width="16.3984375" customWidth="1"/>
    <col min="25" max="25" width="23" customWidth="1"/>
    <col min="26" max="36" width="23.5" customWidth="1"/>
  </cols>
  <sheetData>
    <row r="1" spans="1:9" ht="14.25" customHeight="1">
      <c r="A1" s="361"/>
      <c r="D1" s="361"/>
    </row>
    <row r="2" spans="1:9" ht="14.25" customHeight="1">
      <c r="A2" s="361"/>
      <c r="B2" s="362" t="s">
        <v>208</v>
      </c>
      <c r="C2" s="363"/>
      <c r="D2" s="364"/>
      <c r="E2" s="342"/>
      <c r="F2" s="342"/>
      <c r="G2" s="343"/>
    </row>
    <row r="3" spans="1:9" ht="14.25" customHeight="1">
      <c r="A3" s="361"/>
      <c r="B3" s="365" t="s">
        <v>550</v>
      </c>
      <c r="C3" s="366"/>
      <c r="D3" s="361"/>
      <c r="E3" s="367"/>
      <c r="F3" s="367"/>
      <c r="G3" s="345"/>
    </row>
    <row r="4" spans="1:9" ht="14.25" customHeight="1">
      <c r="A4" s="361"/>
      <c r="B4" s="368" t="s">
        <v>64</v>
      </c>
      <c r="C4" s="366"/>
      <c r="D4" s="361"/>
      <c r="E4" s="367"/>
      <c r="F4" s="367"/>
      <c r="G4" s="345"/>
    </row>
    <row r="5" spans="1:9" ht="14.25" customHeight="1">
      <c r="A5" s="361"/>
      <c r="B5" s="368" t="s">
        <v>65</v>
      </c>
      <c r="C5" s="366"/>
      <c r="D5" s="361"/>
      <c r="E5" s="367"/>
      <c r="F5" s="367"/>
      <c r="G5" s="345"/>
    </row>
    <row r="6" spans="1:9" ht="14.25" customHeight="1">
      <c r="A6" s="361"/>
      <c r="B6" s="368" t="s">
        <v>66</v>
      </c>
      <c r="C6" s="366"/>
      <c r="D6" s="361"/>
      <c r="E6" s="367"/>
      <c r="F6" s="367"/>
      <c r="G6" s="345"/>
    </row>
    <row r="7" spans="1:9" ht="14.25" customHeight="1">
      <c r="A7" s="361"/>
      <c r="B7" s="368" t="s">
        <v>67</v>
      </c>
      <c r="C7" s="366"/>
      <c r="D7" s="361"/>
      <c r="E7" s="367"/>
      <c r="F7" s="367"/>
      <c r="G7" s="345"/>
    </row>
    <row r="8" spans="1:9" ht="14.25" customHeight="1">
      <c r="A8" s="361"/>
      <c r="B8" s="368" t="s">
        <v>68</v>
      </c>
      <c r="C8" s="366"/>
      <c r="D8" s="361"/>
      <c r="E8" s="367"/>
      <c r="F8" s="367"/>
      <c r="G8" s="345"/>
    </row>
    <row r="9" spans="1:9" ht="14.25" customHeight="1">
      <c r="A9" s="361"/>
      <c r="B9" s="368" t="s">
        <v>69</v>
      </c>
      <c r="C9" s="366"/>
      <c r="D9" s="361"/>
      <c r="E9" s="367"/>
      <c r="F9" s="367"/>
      <c r="G9" s="345"/>
    </row>
    <row r="10" spans="1:9" ht="14.25" customHeight="1">
      <c r="A10" s="361"/>
      <c r="B10" s="369" t="s">
        <v>70</v>
      </c>
      <c r="C10" s="348"/>
      <c r="D10" s="370"/>
      <c r="E10" s="348"/>
      <c r="F10" s="348"/>
      <c r="G10" s="349"/>
    </row>
    <row r="11" spans="1:9" ht="14.25" customHeight="1">
      <c r="A11" s="361"/>
      <c r="D11" s="361"/>
    </row>
    <row r="12" spans="1:9" ht="14.25" customHeight="1">
      <c r="A12" s="361"/>
      <c r="B12" s="371" t="s">
        <v>551</v>
      </c>
      <c r="C12" s="371"/>
      <c r="D12" s="372"/>
      <c r="E12" s="570"/>
      <c r="F12" s="535"/>
      <c r="G12" s="535"/>
      <c r="H12" s="535"/>
      <c r="I12" s="535"/>
    </row>
    <row r="13" spans="1:9" ht="14.25" customHeight="1">
      <c r="A13" s="361"/>
      <c r="B13" s="571" t="s">
        <v>85</v>
      </c>
      <c r="C13" s="571" t="s">
        <v>552</v>
      </c>
      <c r="D13" s="572" t="s">
        <v>553</v>
      </c>
      <c r="E13" s="373" t="s">
        <v>554</v>
      </c>
      <c r="F13" s="374"/>
      <c r="G13" s="374"/>
      <c r="H13" s="374"/>
      <c r="I13" s="375"/>
    </row>
    <row r="14" spans="1:9" ht="14.25" customHeight="1">
      <c r="A14" s="361"/>
      <c r="B14" s="540"/>
      <c r="C14" s="540"/>
      <c r="D14" s="540"/>
      <c r="E14" s="376" t="s">
        <v>555</v>
      </c>
      <c r="F14" s="376" t="s">
        <v>556</v>
      </c>
      <c r="G14" s="376" t="s">
        <v>557</v>
      </c>
      <c r="H14" s="376" t="s">
        <v>558</v>
      </c>
      <c r="I14" s="375"/>
    </row>
    <row r="15" spans="1:9" ht="14.25" customHeight="1">
      <c r="A15" s="361"/>
      <c r="B15" s="377" t="s">
        <v>559</v>
      </c>
      <c r="C15" s="378"/>
      <c r="D15" s="379"/>
      <c r="E15" s="380"/>
      <c r="F15" s="380"/>
      <c r="G15" s="380"/>
      <c r="H15" s="380"/>
      <c r="I15" s="375"/>
    </row>
    <row r="16" spans="1:9" ht="14.25" customHeight="1">
      <c r="A16" s="361"/>
      <c r="B16" s="381" t="s">
        <v>560</v>
      </c>
      <c r="C16" s="382">
        <v>125</v>
      </c>
      <c r="D16" s="383"/>
      <c r="E16" s="384">
        <v>181</v>
      </c>
      <c r="F16" s="384"/>
      <c r="G16" s="384"/>
      <c r="H16" s="384"/>
      <c r="I16" s="375"/>
    </row>
    <row r="17" spans="1:9" ht="14.25" customHeight="1">
      <c r="A17" s="361"/>
      <c r="B17" s="381" t="s">
        <v>561</v>
      </c>
      <c r="C17" s="382">
        <v>10</v>
      </c>
      <c r="D17" s="383"/>
      <c r="E17" s="384"/>
      <c r="F17" s="384"/>
      <c r="G17" s="384">
        <f>+$C17</f>
        <v>10</v>
      </c>
      <c r="H17" s="384"/>
      <c r="I17" s="375"/>
    </row>
    <row r="18" spans="1:9" ht="14.25" customHeight="1">
      <c r="A18" s="361"/>
      <c r="B18" s="381" t="s">
        <v>562</v>
      </c>
      <c r="C18" s="382">
        <v>4</v>
      </c>
      <c r="D18" s="383"/>
      <c r="E18" s="384"/>
      <c r="F18" s="384"/>
      <c r="G18" s="384">
        <f>+C18*9</f>
        <v>36</v>
      </c>
      <c r="H18" s="384"/>
      <c r="I18" s="375"/>
    </row>
    <row r="19" spans="1:9" ht="14.25" customHeight="1">
      <c r="A19" s="361"/>
      <c r="B19" s="375" t="s">
        <v>563</v>
      </c>
      <c r="C19" s="385">
        <v>2</v>
      </c>
      <c r="D19" s="383"/>
      <c r="E19" s="384"/>
      <c r="F19" s="384"/>
      <c r="G19" s="384">
        <f>+C19*10</f>
        <v>20</v>
      </c>
      <c r="H19" s="384"/>
      <c r="I19" s="375"/>
    </row>
    <row r="20" spans="1:9" ht="14.25" customHeight="1">
      <c r="A20" s="361"/>
      <c r="B20" s="381" t="s">
        <v>564</v>
      </c>
      <c r="C20" s="382">
        <v>20</v>
      </c>
      <c r="D20" s="383"/>
      <c r="E20" s="384"/>
      <c r="F20" s="384">
        <f>+C20*3</f>
        <v>60</v>
      </c>
      <c r="G20" s="244"/>
      <c r="H20" s="244"/>
      <c r="I20" s="375"/>
    </row>
    <row r="21" spans="1:9" ht="14.25" customHeight="1">
      <c r="A21" s="361"/>
      <c r="B21" s="381" t="s">
        <v>565</v>
      </c>
      <c r="C21" s="382">
        <v>20</v>
      </c>
      <c r="D21" s="383"/>
      <c r="E21" s="384"/>
      <c r="F21" s="384"/>
      <c r="G21" s="244"/>
      <c r="H21" s="384">
        <f>+$C21</f>
        <v>20</v>
      </c>
      <c r="I21" s="375"/>
    </row>
    <row r="22" spans="1:9" ht="14.25" customHeight="1">
      <c r="A22" s="361"/>
      <c r="B22" s="381"/>
      <c r="C22" s="382"/>
      <c r="D22" s="383"/>
      <c r="E22" s="384"/>
      <c r="F22" s="384"/>
      <c r="G22" s="384"/>
      <c r="H22" s="384"/>
      <c r="I22" s="375"/>
    </row>
    <row r="23" spans="1:9" ht="14.25" customHeight="1">
      <c r="A23" s="361"/>
      <c r="B23" s="386"/>
      <c r="C23" s="387" t="str">
        <f>B15&amp;" - SUB TOTAL:"</f>
        <v>1F - SUB TOTAL:</v>
      </c>
      <c r="D23" s="388"/>
      <c r="E23" s="389">
        <f t="shared" ref="E23:H23" si="0">ROUNDUP(SUM(E16:E22),0)</f>
        <v>181</v>
      </c>
      <c r="F23" s="389">
        <f t="shared" si="0"/>
        <v>60</v>
      </c>
      <c r="G23" s="389">
        <f t="shared" si="0"/>
        <v>66</v>
      </c>
      <c r="H23" s="389">
        <f t="shared" si="0"/>
        <v>20</v>
      </c>
      <c r="I23" s="375"/>
    </row>
    <row r="24" spans="1:9" ht="14.25" customHeight="1">
      <c r="A24" s="361"/>
      <c r="B24" s="390"/>
      <c r="C24" s="391"/>
      <c r="D24" s="392"/>
      <c r="E24" s="392"/>
      <c r="F24" s="392"/>
      <c r="G24" s="392"/>
      <c r="H24" s="392"/>
      <c r="I24" s="392"/>
    </row>
    <row r="25" spans="1:9" ht="14.25" customHeight="1">
      <c r="A25" s="361"/>
      <c r="B25" s="371" t="s">
        <v>566</v>
      </c>
      <c r="C25" s="371"/>
      <c r="D25" s="393"/>
      <c r="E25" s="394"/>
      <c r="F25" s="372"/>
      <c r="G25" s="372"/>
      <c r="H25" s="375"/>
      <c r="I25" s="395"/>
    </row>
    <row r="26" spans="1:9" ht="14.25" customHeight="1">
      <c r="A26" s="361"/>
      <c r="B26" s="571" t="s">
        <v>85</v>
      </c>
      <c r="C26" s="571" t="s">
        <v>552</v>
      </c>
      <c r="D26" s="573" t="s">
        <v>567</v>
      </c>
      <c r="E26" s="396" t="s">
        <v>568</v>
      </c>
      <c r="F26" s="397"/>
      <c r="G26" s="395"/>
      <c r="H26" s="398"/>
      <c r="I26" s="375"/>
    </row>
    <row r="27" spans="1:9" ht="14.25" customHeight="1">
      <c r="A27" s="361"/>
      <c r="B27" s="540"/>
      <c r="C27" s="540"/>
      <c r="D27" s="540"/>
      <c r="E27" s="399" t="s">
        <v>569</v>
      </c>
      <c r="F27" s="375"/>
      <c r="G27" s="375"/>
      <c r="H27" s="375"/>
      <c r="I27" s="375"/>
    </row>
    <row r="28" spans="1:9" ht="14.25" customHeight="1">
      <c r="A28" s="361"/>
      <c r="B28" s="377" t="s">
        <v>559</v>
      </c>
      <c r="C28" s="378"/>
      <c r="D28" s="400"/>
      <c r="E28" s="380"/>
      <c r="F28" s="375"/>
      <c r="G28" s="375"/>
      <c r="H28" s="375"/>
      <c r="I28" s="375"/>
    </row>
    <row r="29" spans="1:9" ht="14.25" customHeight="1">
      <c r="A29" s="361"/>
      <c r="B29" s="401" t="s">
        <v>570</v>
      </c>
      <c r="C29" s="402">
        <v>10</v>
      </c>
      <c r="D29" s="400">
        <v>8</v>
      </c>
      <c r="E29" s="384">
        <f>+C29*D29</f>
        <v>80</v>
      </c>
      <c r="F29" s="375"/>
      <c r="G29" s="375"/>
      <c r="H29" s="375"/>
      <c r="I29" s="375"/>
    </row>
    <row r="30" spans="1:9" ht="14.25" customHeight="1">
      <c r="A30" s="361"/>
      <c r="B30" s="381" t="s">
        <v>571</v>
      </c>
      <c r="C30" s="243">
        <v>31</v>
      </c>
      <c r="D30" s="400"/>
      <c r="E30" s="243">
        <f>+C30</f>
        <v>31</v>
      </c>
      <c r="F30" s="375"/>
      <c r="G30" s="375"/>
      <c r="H30" s="375"/>
      <c r="I30" s="375"/>
    </row>
    <row r="31" spans="1:9" ht="14.25" customHeight="1">
      <c r="A31" s="361"/>
      <c r="B31" s="381"/>
      <c r="C31" s="243"/>
      <c r="D31" s="400"/>
      <c r="E31" s="243"/>
      <c r="F31" s="375"/>
      <c r="G31" s="375"/>
      <c r="H31" s="375"/>
      <c r="I31" s="375"/>
    </row>
    <row r="32" spans="1:9" ht="14.25" customHeight="1">
      <c r="A32" s="361"/>
      <c r="B32" s="386"/>
      <c r="C32" s="387" t="str">
        <f>B28&amp;" - SUB TOTAL:"</f>
        <v>1F - SUB TOTAL:</v>
      </c>
      <c r="D32" s="388"/>
      <c r="E32" s="389">
        <f>ROUNDUP(SUM(E28:E31),0)</f>
        <v>111</v>
      </c>
      <c r="F32" s="375"/>
      <c r="G32" s="375"/>
      <c r="H32" s="375"/>
      <c r="I32" s="375"/>
    </row>
    <row r="33" spans="1:9" ht="14.25" customHeight="1">
      <c r="A33" s="361"/>
      <c r="B33" s="403"/>
      <c r="C33" s="404"/>
      <c r="D33" s="404"/>
      <c r="E33" s="404"/>
      <c r="F33" s="404"/>
      <c r="G33" s="404"/>
      <c r="H33" s="375"/>
      <c r="I33" s="375"/>
    </row>
    <row r="34" spans="1:9" ht="14.25" customHeight="1">
      <c r="A34" s="361"/>
      <c r="B34" s="569" t="s">
        <v>572</v>
      </c>
      <c r="C34" s="531"/>
      <c r="D34" s="531"/>
      <c r="E34" s="532"/>
      <c r="F34" s="405" t="s">
        <v>573</v>
      </c>
      <c r="G34" s="406" t="s">
        <v>574</v>
      </c>
      <c r="H34" s="375"/>
      <c r="I34" s="375"/>
    </row>
    <row r="35" spans="1:9" ht="14.25" customHeight="1">
      <c r="A35" s="361"/>
      <c r="B35" s="407" t="s">
        <v>363</v>
      </c>
      <c r="C35" s="408" t="s">
        <v>209</v>
      </c>
      <c r="D35" s="409" t="s">
        <v>575</v>
      </c>
      <c r="E35" s="410" t="s">
        <v>576</v>
      </c>
      <c r="F35" s="411"/>
      <c r="G35" s="411"/>
      <c r="H35" s="375"/>
      <c r="I35" s="375"/>
    </row>
    <row r="36" spans="1:9" ht="14.25" customHeight="1">
      <c r="A36" s="361"/>
      <c r="B36" s="412" t="s">
        <v>577</v>
      </c>
      <c r="C36" s="413"/>
      <c r="D36" s="414"/>
      <c r="E36" s="414"/>
      <c r="F36" s="404"/>
      <c r="G36" s="404"/>
      <c r="H36" s="375"/>
      <c r="I36" s="375"/>
    </row>
    <row r="37" spans="1:9" ht="14.25" customHeight="1">
      <c r="A37" s="361"/>
      <c r="B37" s="415" t="s">
        <v>578</v>
      </c>
      <c r="C37" s="416"/>
      <c r="D37" s="417"/>
      <c r="E37" s="418"/>
      <c r="F37" s="404"/>
      <c r="G37" s="404"/>
      <c r="H37" s="375"/>
      <c r="I37" s="375"/>
    </row>
    <row r="38" spans="1:9" ht="14.25" customHeight="1">
      <c r="A38" s="361"/>
      <c r="B38" s="419" t="s">
        <v>579</v>
      </c>
      <c r="C38" s="416" t="s">
        <v>580</v>
      </c>
      <c r="D38" s="420">
        <f>ROUNDUP(+E23/16,)</f>
        <v>12</v>
      </c>
      <c r="E38" s="418" t="s">
        <v>97</v>
      </c>
      <c r="F38" s="404"/>
      <c r="G38" s="404"/>
      <c r="H38" s="375"/>
      <c r="I38" s="375"/>
    </row>
    <row r="39" spans="1:9" ht="14.25" customHeight="1">
      <c r="A39" s="361"/>
      <c r="B39" s="419" t="s">
        <v>581</v>
      </c>
      <c r="C39" s="416" t="s">
        <v>580</v>
      </c>
      <c r="D39" s="420">
        <f>+ROUNDUP(F23/16,)</f>
        <v>4</v>
      </c>
      <c r="E39" s="418" t="s">
        <v>97</v>
      </c>
      <c r="F39" s="404"/>
      <c r="G39" s="404"/>
      <c r="H39" s="375"/>
      <c r="I39" s="375"/>
    </row>
    <row r="40" spans="1:9" ht="14.25" customHeight="1">
      <c r="A40" s="361"/>
      <c r="B40" s="419" t="s">
        <v>582</v>
      </c>
      <c r="C40" s="416" t="s">
        <v>580</v>
      </c>
      <c r="D40" s="420">
        <f>+ROUNDUP(H23/16,)</f>
        <v>2</v>
      </c>
      <c r="E40" s="418" t="s">
        <v>97</v>
      </c>
      <c r="F40" s="404"/>
      <c r="G40" s="404"/>
      <c r="H40" s="375"/>
      <c r="I40" s="375"/>
    </row>
    <row r="41" spans="1:9" ht="14.25" customHeight="1">
      <c r="A41" s="361"/>
      <c r="B41" s="419" t="s">
        <v>583</v>
      </c>
      <c r="C41" s="416" t="s">
        <v>584</v>
      </c>
      <c r="D41" s="420">
        <f>+ROUNDUP(G23/16,)</f>
        <v>5</v>
      </c>
      <c r="E41" s="418" t="s">
        <v>97</v>
      </c>
      <c r="F41" s="404"/>
      <c r="G41" s="404"/>
      <c r="H41" s="375"/>
      <c r="I41" s="375"/>
    </row>
    <row r="42" spans="1:9" ht="14.25" customHeight="1">
      <c r="A42" s="361"/>
      <c r="B42" s="419" t="s">
        <v>569</v>
      </c>
      <c r="C42" s="416" t="s">
        <v>585</v>
      </c>
      <c r="D42" s="420">
        <f>+ROUNDUP(E32/32,0)</f>
        <v>4</v>
      </c>
      <c r="E42" s="418" t="s">
        <v>97</v>
      </c>
      <c r="F42" s="404"/>
      <c r="G42" s="404"/>
      <c r="H42" s="404"/>
      <c r="I42" s="375"/>
    </row>
    <row r="43" spans="1:9" ht="14.25" customHeight="1">
      <c r="A43" s="361"/>
      <c r="B43" s="421"/>
      <c r="C43" s="422"/>
      <c r="D43" s="423"/>
      <c r="E43" s="424"/>
      <c r="F43" s="404"/>
      <c r="G43" s="404"/>
      <c r="H43" s="404"/>
      <c r="I43" s="375"/>
    </row>
    <row r="44" spans="1:9" ht="14.25" customHeight="1">
      <c r="A44" s="361"/>
      <c r="D44" s="361"/>
    </row>
    <row r="45" spans="1:9" ht="14.25" customHeight="1">
      <c r="A45" s="361"/>
      <c r="D45" s="361"/>
    </row>
    <row r="46" spans="1:9" ht="14.25" customHeight="1">
      <c r="A46" s="361"/>
      <c r="D46" s="361"/>
    </row>
    <row r="47" spans="1:9" ht="14.25" customHeight="1">
      <c r="A47" s="361"/>
      <c r="D47" s="361"/>
    </row>
    <row r="48" spans="1:9" ht="14.25" customHeight="1">
      <c r="A48" s="361"/>
      <c r="D48" s="361"/>
    </row>
    <row r="49" spans="1:4" ht="14.25" customHeight="1">
      <c r="A49" s="361"/>
      <c r="D49" s="361"/>
    </row>
    <row r="50" spans="1:4" ht="14.25" customHeight="1">
      <c r="A50" s="361"/>
      <c r="D50" s="361"/>
    </row>
    <row r="51" spans="1:4" ht="14.25" customHeight="1">
      <c r="A51" s="361"/>
      <c r="D51" s="361"/>
    </row>
    <row r="52" spans="1:4" ht="14.25" customHeight="1">
      <c r="A52" s="361"/>
      <c r="D52" s="361"/>
    </row>
    <row r="53" spans="1:4" ht="14.25" customHeight="1">
      <c r="A53" s="361"/>
      <c r="D53" s="361"/>
    </row>
    <row r="54" spans="1:4" ht="14.25" customHeight="1">
      <c r="A54" s="361"/>
      <c r="D54" s="361"/>
    </row>
    <row r="55" spans="1:4" ht="14.25" customHeight="1">
      <c r="A55" s="361"/>
      <c r="D55" s="361"/>
    </row>
    <row r="56" spans="1:4" ht="14.25" customHeight="1">
      <c r="A56" s="361"/>
      <c r="D56" s="361"/>
    </row>
    <row r="57" spans="1:4" ht="14.25" customHeight="1">
      <c r="A57" s="361"/>
      <c r="D57" s="361"/>
    </row>
    <row r="58" spans="1:4" ht="14.25" customHeight="1">
      <c r="A58" s="361"/>
      <c r="D58" s="361"/>
    </row>
    <row r="59" spans="1:4" ht="14.25" customHeight="1">
      <c r="A59" s="361"/>
      <c r="D59" s="361"/>
    </row>
    <row r="60" spans="1:4" ht="14.25" customHeight="1">
      <c r="A60" s="361"/>
      <c r="D60" s="361"/>
    </row>
    <row r="61" spans="1:4" ht="14.25" customHeight="1">
      <c r="A61" s="361"/>
      <c r="D61" s="361"/>
    </row>
    <row r="62" spans="1:4" ht="14.25" customHeight="1">
      <c r="A62" s="361"/>
      <c r="D62" s="361"/>
    </row>
    <row r="63" spans="1:4" ht="14.25" customHeight="1">
      <c r="A63" s="361"/>
      <c r="D63" s="361"/>
    </row>
    <row r="64" spans="1:4" ht="14.25" customHeight="1">
      <c r="A64" s="361"/>
      <c r="D64" s="361"/>
    </row>
    <row r="65" spans="1:4" ht="14.25" customHeight="1">
      <c r="A65" s="361"/>
      <c r="D65" s="361"/>
    </row>
    <row r="66" spans="1:4" ht="14.25" customHeight="1">
      <c r="A66" s="361"/>
      <c r="D66" s="361"/>
    </row>
    <row r="67" spans="1:4" ht="14.25" customHeight="1">
      <c r="A67" s="361"/>
      <c r="D67" s="361"/>
    </row>
    <row r="68" spans="1:4" ht="14.25" customHeight="1">
      <c r="A68" s="361"/>
      <c r="D68" s="361"/>
    </row>
    <row r="69" spans="1:4" ht="14.25" customHeight="1">
      <c r="A69" s="361"/>
      <c r="D69" s="361"/>
    </row>
    <row r="70" spans="1:4" ht="14.25" customHeight="1">
      <c r="A70" s="361"/>
      <c r="D70" s="361"/>
    </row>
    <row r="71" spans="1:4" ht="14.25" customHeight="1">
      <c r="A71" s="361"/>
      <c r="D71" s="361"/>
    </row>
    <row r="72" spans="1:4" ht="14.25" customHeight="1">
      <c r="A72" s="361"/>
      <c r="D72" s="361"/>
    </row>
    <row r="73" spans="1:4" ht="14.25" customHeight="1">
      <c r="A73" s="361"/>
      <c r="D73" s="361"/>
    </row>
    <row r="74" spans="1:4" ht="14.25" customHeight="1">
      <c r="A74" s="361"/>
      <c r="D74" s="361"/>
    </row>
    <row r="75" spans="1:4" ht="14.25" customHeight="1">
      <c r="A75" s="361"/>
      <c r="D75" s="361"/>
    </row>
    <row r="76" spans="1:4" ht="14.25" customHeight="1">
      <c r="A76" s="361"/>
      <c r="D76" s="361"/>
    </row>
    <row r="77" spans="1:4" ht="14.25" customHeight="1">
      <c r="A77" s="361"/>
      <c r="D77" s="361"/>
    </row>
    <row r="78" spans="1:4" ht="14.25" customHeight="1">
      <c r="A78" s="361"/>
      <c r="D78" s="361"/>
    </row>
    <row r="79" spans="1:4" ht="14.25" customHeight="1">
      <c r="A79" s="361"/>
      <c r="D79" s="361"/>
    </row>
    <row r="80" spans="1:4" ht="14.25" customHeight="1">
      <c r="A80" s="361"/>
      <c r="D80" s="361"/>
    </row>
    <row r="81" spans="1:4" ht="14.25" customHeight="1">
      <c r="A81" s="361"/>
      <c r="D81" s="361"/>
    </row>
    <row r="82" spans="1:4" ht="14.25" customHeight="1">
      <c r="A82" s="361"/>
      <c r="D82" s="361"/>
    </row>
    <row r="83" spans="1:4" ht="14.25" customHeight="1">
      <c r="A83" s="361"/>
      <c r="D83" s="361"/>
    </row>
    <row r="84" spans="1:4" ht="14.25" customHeight="1">
      <c r="A84" s="361"/>
      <c r="D84" s="361"/>
    </row>
    <row r="85" spans="1:4" ht="14.25" customHeight="1">
      <c r="A85" s="361"/>
      <c r="D85" s="361"/>
    </row>
    <row r="86" spans="1:4" ht="14.25" customHeight="1">
      <c r="A86" s="361"/>
      <c r="D86" s="361"/>
    </row>
    <row r="87" spans="1:4" ht="14.25" customHeight="1">
      <c r="A87" s="361"/>
      <c r="D87" s="361"/>
    </row>
    <row r="88" spans="1:4" ht="14.25" customHeight="1">
      <c r="A88" s="361"/>
      <c r="D88" s="361"/>
    </row>
    <row r="89" spans="1:4" ht="14.25" customHeight="1">
      <c r="A89" s="361"/>
      <c r="D89" s="361"/>
    </row>
    <row r="90" spans="1:4" ht="14.25" customHeight="1">
      <c r="A90" s="361"/>
      <c r="D90" s="361"/>
    </row>
    <row r="91" spans="1:4" ht="14.25" customHeight="1">
      <c r="A91" s="361"/>
      <c r="D91" s="361"/>
    </row>
    <row r="92" spans="1:4" ht="14.25" customHeight="1">
      <c r="A92" s="361"/>
      <c r="D92" s="361"/>
    </row>
    <row r="93" spans="1:4" ht="14.25" customHeight="1">
      <c r="A93" s="361"/>
      <c r="D93" s="361"/>
    </row>
    <row r="94" spans="1:4" ht="14.25" customHeight="1">
      <c r="A94" s="361"/>
      <c r="D94" s="361"/>
    </row>
    <row r="95" spans="1:4" ht="14.25" customHeight="1">
      <c r="A95" s="361"/>
      <c r="D95" s="361"/>
    </row>
    <row r="96" spans="1:4" ht="14.25" customHeight="1">
      <c r="A96" s="361"/>
      <c r="D96" s="361"/>
    </row>
    <row r="97" spans="1:4" ht="14.25" customHeight="1">
      <c r="A97" s="361"/>
      <c r="D97" s="361"/>
    </row>
    <row r="98" spans="1:4" ht="14.25" customHeight="1">
      <c r="A98" s="361"/>
      <c r="D98" s="361"/>
    </row>
    <row r="99" spans="1:4" ht="14.25" customHeight="1">
      <c r="A99" s="361"/>
      <c r="D99" s="361"/>
    </row>
    <row r="100" spans="1:4" ht="14.25" customHeight="1">
      <c r="A100" s="361"/>
      <c r="D100" s="361"/>
    </row>
    <row r="101" spans="1:4" ht="14.25" customHeight="1">
      <c r="A101" s="361"/>
      <c r="D101" s="361"/>
    </row>
    <row r="102" spans="1:4" ht="14.25" customHeight="1">
      <c r="A102" s="361"/>
      <c r="D102" s="361"/>
    </row>
    <row r="103" spans="1:4" ht="14.25" customHeight="1">
      <c r="A103" s="361"/>
      <c r="D103" s="361"/>
    </row>
    <row r="104" spans="1:4" ht="14.25" customHeight="1">
      <c r="A104" s="361"/>
      <c r="D104" s="361"/>
    </row>
    <row r="105" spans="1:4" ht="14.25" customHeight="1">
      <c r="A105" s="361"/>
      <c r="D105" s="361"/>
    </row>
    <row r="106" spans="1:4" ht="14.25" customHeight="1">
      <c r="A106" s="361"/>
      <c r="D106" s="361"/>
    </row>
    <row r="107" spans="1:4" ht="14.25" customHeight="1">
      <c r="A107" s="361"/>
      <c r="D107" s="361"/>
    </row>
    <row r="108" spans="1:4" ht="14.25" customHeight="1">
      <c r="A108" s="361"/>
      <c r="D108" s="361"/>
    </row>
    <row r="109" spans="1:4" ht="14.25" customHeight="1">
      <c r="A109" s="361"/>
      <c r="D109" s="361"/>
    </row>
    <row r="110" spans="1:4" ht="14.25" customHeight="1">
      <c r="A110" s="361"/>
      <c r="D110" s="361"/>
    </row>
    <row r="111" spans="1:4" ht="14.25" customHeight="1">
      <c r="A111" s="361"/>
      <c r="D111" s="361"/>
    </row>
    <row r="112" spans="1:4" ht="14.25" customHeight="1">
      <c r="A112" s="361"/>
      <c r="D112" s="361"/>
    </row>
    <row r="113" spans="1:4" ht="14.25" customHeight="1">
      <c r="A113" s="361"/>
      <c r="D113" s="361"/>
    </row>
    <row r="114" spans="1:4" ht="14.25" customHeight="1">
      <c r="A114" s="361"/>
      <c r="D114" s="361"/>
    </row>
    <row r="115" spans="1:4" ht="14.25" customHeight="1">
      <c r="A115" s="361"/>
      <c r="D115" s="361"/>
    </row>
    <row r="116" spans="1:4" ht="14.25" customHeight="1">
      <c r="A116" s="361"/>
      <c r="D116" s="361"/>
    </row>
    <row r="117" spans="1:4" ht="14.25" customHeight="1">
      <c r="A117" s="361"/>
      <c r="D117" s="361"/>
    </row>
    <row r="118" spans="1:4" ht="14.25" customHeight="1">
      <c r="A118" s="361"/>
      <c r="D118" s="361"/>
    </row>
    <row r="119" spans="1:4" ht="14.25" customHeight="1">
      <c r="A119" s="361"/>
      <c r="D119" s="361"/>
    </row>
    <row r="120" spans="1:4" ht="14.25" customHeight="1">
      <c r="A120" s="361"/>
      <c r="D120" s="361"/>
    </row>
    <row r="121" spans="1:4" ht="14.25" customHeight="1">
      <c r="A121" s="361"/>
      <c r="D121" s="361"/>
    </row>
    <row r="122" spans="1:4" ht="14.25" customHeight="1">
      <c r="A122" s="361"/>
      <c r="D122" s="361"/>
    </row>
    <row r="123" spans="1:4" ht="14.25" customHeight="1">
      <c r="A123" s="361"/>
      <c r="D123" s="361"/>
    </row>
    <row r="124" spans="1:4" ht="14.25" customHeight="1">
      <c r="A124" s="361"/>
      <c r="D124" s="361"/>
    </row>
    <row r="125" spans="1:4" ht="14.25" customHeight="1">
      <c r="A125" s="361"/>
      <c r="D125" s="361"/>
    </row>
    <row r="126" spans="1:4" ht="14.25" customHeight="1">
      <c r="A126" s="361"/>
      <c r="D126" s="361"/>
    </row>
    <row r="127" spans="1:4" ht="14.25" customHeight="1">
      <c r="A127" s="361"/>
      <c r="D127" s="361"/>
    </row>
    <row r="128" spans="1:4" ht="14.25" customHeight="1">
      <c r="A128" s="361"/>
      <c r="D128" s="361"/>
    </row>
    <row r="129" spans="1:4" ht="14.25" customHeight="1">
      <c r="A129" s="361"/>
      <c r="D129" s="361"/>
    </row>
    <row r="130" spans="1:4" ht="14.25" customHeight="1">
      <c r="A130" s="361"/>
      <c r="D130" s="361"/>
    </row>
    <row r="131" spans="1:4" ht="14.25" customHeight="1">
      <c r="A131" s="361"/>
      <c r="D131" s="361"/>
    </row>
    <row r="132" spans="1:4" ht="14.25" customHeight="1">
      <c r="A132" s="361"/>
      <c r="D132" s="361"/>
    </row>
    <row r="133" spans="1:4" ht="14.25" customHeight="1">
      <c r="A133" s="361"/>
      <c r="D133" s="361"/>
    </row>
    <row r="134" spans="1:4" ht="14.25" customHeight="1">
      <c r="A134" s="361"/>
      <c r="D134" s="361"/>
    </row>
    <row r="135" spans="1:4" ht="14.25" customHeight="1">
      <c r="A135" s="361"/>
      <c r="D135" s="361"/>
    </row>
    <row r="136" spans="1:4" ht="14.25" customHeight="1">
      <c r="A136" s="361"/>
      <c r="D136" s="361"/>
    </row>
    <row r="137" spans="1:4" ht="14.25" customHeight="1">
      <c r="A137" s="361"/>
      <c r="D137" s="361"/>
    </row>
    <row r="138" spans="1:4" ht="14.25" customHeight="1">
      <c r="A138" s="361"/>
      <c r="D138" s="361"/>
    </row>
    <row r="139" spans="1:4" ht="14.25" customHeight="1">
      <c r="A139" s="361"/>
      <c r="D139" s="361"/>
    </row>
    <row r="140" spans="1:4" ht="14.25" customHeight="1">
      <c r="A140" s="361"/>
      <c r="D140" s="361"/>
    </row>
    <row r="141" spans="1:4" ht="14.25" customHeight="1">
      <c r="A141" s="361"/>
      <c r="D141" s="361"/>
    </row>
    <row r="142" spans="1:4" ht="14.25" customHeight="1">
      <c r="A142" s="361"/>
      <c r="D142" s="361"/>
    </row>
    <row r="143" spans="1:4" ht="14.25" customHeight="1">
      <c r="A143" s="361"/>
      <c r="D143" s="361"/>
    </row>
    <row r="144" spans="1:4" ht="14.25" customHeight="1">
      <c r="A144" s="361"/>
      <c r="D144" s="361"/>
    </row>
    <row r="145" spans="1:4" ht="14.25" customHeight="1">
      <c r="A145" s="361"/>
      <c r="D145" s="361"/>
    </row>
    <row r="146" spans="1:4" ht="14.25" customHeight="1">
      <c r="A146" s="361"/>
      <c r="D146" s="361"/>
    </row>
    <row r="147" spans="1:4" ht="14.25" customHeight="1">
      <c r="A147" s="361"/>
      <c r="D147" s="361"/>
    </row>
    <row r="148" spans="1:4" ht="14.25" customHeight="1">
      <c r="A148" s="361"/>
      <c r="D148" s="361"/>
    </row>
    <row r="149" spans="1:4" ht="14.25" customHeight="1">
      <c r="A149" s="361"/>
      <c r="D149" s="361"/>
    </row>
    <row r="150" spans="1:4" ht="14.25" customHeight="1">
      <c r="A150" s="361"/>
      <c r="D150" s="361"/>
    </row>
    <row r="151" spans="1:4" ht="14.25" customHeight="1">
      <c r="A151" s="361"/>
      <c r="D151" s="361"/>
    </row>
    <row r="152" spans="1:4" ht="14.25" customHeight="1">
      <c r="A152" s="361"/>
      <c r="D152" s="361"/>
    </row>
    <row r="153" spans="1:4" ht="14.25" customHeight="1">
      <c r="A153" s="361"/>
      <c r="D153" s="361"/>
    </row>
    <row r="154" spans="1:4" ht="14.25" customHeight="1">
      <c r="A154" s="361"/>
      <c r="D154" s="361"/>
    </row>
    <row r="155" spans="1:4" ht="14.25" customHeight="1">
      <c r="A155" s="361"/>
      <c r="D155" s="361"/>
    </row>
    <row r="156" spans="1:4" ht="14.25" customHeight="1">
      <c r="A156" s="361"/>
      <c r="D156" s="361"/>
    </row>
    <row r="157" spans="1:4" ht="14.25" customHeight="1">
      <c r="A157" s="361"/>
      <c r="D157" s="361"/>
    </row>
    <row r="158" spans="1:4" ht="14.25" customHeight="1">
      <c r="A158" s="361"/>
      <c r="D158" s="361"/>
    </row>
    <row r="159" spans="1:4" ht="14.25" customHeight="1">
      <c r="A159" s="361"/>
      <c r="D159" s="361"/>
    </row>
    <row r="160" spans="1:4" ht="14.25" customHeight="1">
      <c r="A160" s="361"/>
      <c r="D160" s="361"/>
    </row>
    <row r="161" spans="1:4" ht="14.25" customHeight="1">
      <c r="A161" s="361"/>
      <c r="D161" s="361"/>
    </row>
    <row r="162" spans="1:4" ht="14.25" customHeight="1">
      <c r="A162" s="361"/>
      <c r="D162" s="361"/>
    </row>
    <row r="163" spans="1:4" ht="14.25" customHeight="1">
      <c r="A163" s="361"/>
      <c r="D163" s="361"/>
    </row>
    <row r="164" spans="1:4" ht="14.25" customHeight="1">
      <c r="A164" s="361"/>
      <c r="D164" s="361"/>
    </row>
    <row r="165" spans="1:4" ht="14.25" customHeight="1">
      <c r="A165" s="361"/>
      <c r="D165" s="361"/>
    </row>
    <row r="166" spans="1:4" ht="14.25" customHeight="1">
      <c r="A166" s="361"/>
      <c r="D166" s="361"/>
    </row>
    <row r="167" spans="1:4" ht="14.25" customHeight="1">
      <c r="A167" s="361"/>
      <c r="D167" s="361"/>
    </row>
    <row r="168" spans="1:4" ht="14.25" customHeight="1">
      <c r="A168" s="361"/>
      <c r="D168" s="361"/>
    </row>
    <row r="169" spans="1:4" ht="14.25" customHeight="1">
      <c r="A169" s="361"/>
      <c r="D169" s="361"/>
    </row>
    <row r="170" spans="1:4" ht="14.25" customHeight="1">
      <c r="A170" s="361"/>
      <c r="D170" s="361"/>
    </row>
    <row r="171" spans="1:4" ht="14.25" customHeight="1">
      <c r="A171" s="361"/>
      <c r="D171" s="361"/>
    </row>
    <row r="172" spans="1:4" ht="14.25" customHeight="1">
      <c r="A172" s="361"/>
      <c r="D172" s="361"/>
    </row>
    <row r="173" spans="1:4" ht="14.25" customHeight="1">
      <c r="A173" s="361"/>
      <c r="D173" s="361"/>
    </row>
    <row r="174" spans="1:4" ht="14.25" customHeight="1">
      <c r="A174" s="361"/>
      <c r="D174" s="361"/>
    </row>
    <row r="175" spans="1:4" ht="14.25" customHeight="1">
      <c r="A175" s="361"/>
      <c r="D175" s="361"/>
    </row>
    <row r="176" spans="1:4" ht="14.25" customHeight="1">
      <c r="A176" s="361"/>
      <c r="D176" s="361"/>
    </row>
    <row r="177" spans="1:4" ht="14.25" customHeight="1">
      <c r="A177" s="361"/>
      <c r="D177" s="361"/>
    </row>
    <row r="178" spans="1:4" ht="14.25" customHeight="1">
      <c r="A178" s="361"/>
      <c r="D178" s="361"/>
    </row>
    <row r="179" spans="1:4" ht="14.25" customHeight="1">
      <c r="A179" s="361"/>
      <c r="D179" s="361"/>
    </row>
    <row r="180" spans="1:4" ht="14.25" customHeight="1">
      <c r="A180" s="361"/>
      <c r="D180" s="361"/>
    </row>
    <row r="181" spans="1:4" ht="14.25" customHeight="1">
      <c r="A181" s="361"/>
      <c r="D181" s="361"/>
    </row>
    <row r="182" spans="1:4" ht="14.25" customHeight="1">
      <c r="A182" s="361"/>
      <c r="D182" s="361"/>
    </row>
    <row r="183" spans="1:4" ht="14.25" customHeight="1">
      <c r="A183" s="361"/>
      <c r="D183" s="361"/>
    </row>
    <row r="184" spans="1:4" ht="14.25" customHeight="1">
      <c r="A184" s="361"/>
      <c r="D184" s="361"/>
    </row>
    <row r="185" spans="1:4" ht="14.25" customHeight="1">
      <c r="A185" s="361"/>
      <c r="D185" s="361"/>
    </row>
    <row r="186" spans="1:4" ht="14.25" customHeight="1">
      <c r="A186" s="361"/>
      <c r="D186" s="361"/>
    </row>
    <row r="187" spans="1:4" ht="14.25" customHeight="1">
      <c r="A187" s="361"/>
      <c r="D187" s="361"/>
    </row>
    <row r="188" spans="1:4" ht="14.25" customHeight="1">
      <c r="A188" s="361"/>
      <c r="D188" s="361"/>
    </row>
    <row r="189" spans="1:4" ht="14.25" customHeight="1">
      <c r="A189" s="361"/>
      <c r="D189" s="361"/>
    </row>
    <row r="190" spans="1:4" ht="14.25" customHeight="1">
      <c r="A190" s="361"/>
      <c r="D190" s="361"/>
    </row>
    <row r="191" spans="1:4" ht="14.25" customHeight="1">
      <c r="A191" s="361"/>
      <c r="D191" s="361"/>
    </row>
    <row r="192" spans="1:4" ht="14.25" customHeight="1">
      <c r="A192" s="361"/>
      <c r="D192" s="361"/>
    </row>
    <row r="193" spans="1:4" ht="14.25" customHeight="1">
      <c r="A193" s="361"/>
      <c r="D193" s="361"/>
    </row>
    <row r="194" spans="1:4" ht="14.25" customHeight="1">
      <c r="A194" s="361"/>
      <c r="D194" s="361"/>
    </row>
    <row r="195" spans="1:4" ht="14.25" customHeight="1">
      <c r="A195" s="361"/>
      <c r="D195" s="361"/>
    </row>
    <row r="196" spans="1:4" ht="14.25" customHeight="1">
      <c r="A196" s="361"/>
      <c r="D196" s="361"/>
    </row>
    <row r="197" spans="1:4" ht="14.25" customHeight="1">
      <c r="A197" s="361"/>
      <c r="D197" s="361"/>
    </row>
    <row r="198" spans="1:4" ht="14.25" customHeight="1">
      <c r="A198" s="361"/>
      <c r="D198" s="361"/>
    </row>
    <row r="199" spans="1:4" ht="14.25" customHeight="1">
      <c r="A199" s="361"/>
      <c r="D199" s="361"/>
    </row>
    <row r="200" spans="1:4" ht="14.25" customHeight="1">
      <c r="A200" s="361"/>
      <c r="D200" s="361"/>
    </row>
    <row r="201" spans="1:4" ht="14.25" customHeight="1">
      <c r="A201" s="361"/>
      <c r="D201" s="361"/>
    </row>
    <row r="202" spans="1:4" ht="14.25" customHeight="1">
      <c r="A202" s="361"/>
      <c r="D202" s="361"/>
    </row>
    <row r="203" spans="1:4" ht="14.25" customHeight="1">
      <c r="A203" s="361"/>
      <c r="D203" s="361"/>
    </row>
    <row r="204" spans="1:4" ht="14.25" customHeight="1">
      <c r="A204" s="361"/>
      <c r="D204" s="361"/>
    </row>
    <row r="205" spans="1:4" ht="14.25" customHeight="1">
      <c r="A205" s="361"/>
      <c r="D205" s="361"/>
    </row>
    <row r="206" spans="1:4" ht="14.25" customHeight="1">
      <c r="A206" s="361"/>
      <c r="D206" s="361"/>
    </row>
    <row r="207" spans="1:4" ht="14.25" customHeight="1">
      <c r="A207" s="361"/>
      <c r="D207" s="361"/>
    </row>
    <row r="208" spans="1:4" ht="14.25" customHeight="1">
      <c r="A208" s="361"/>
      <c r="D208" s="361"/>
    </row>
    <row r="209" spans="1:4" ht="14.25" customHeight="1">
      <c r="A209" s="361"/>
      <c r="D209" s="361"/>
    </row>
    <row r="210" spans="1:4" ht="14.25" customHeight="1">
      <c r="A210" s="361"/>
      <c r="D210" s="361"/>
    </row>
    <row r="211" spans="1:4" ht="14.25" customHeight="1">
      <c r="A211" s="361"/>
      <c r="D211" s="361"/>
    </row>
    <row r="212" spans="1:4" ht="14.25" customHeight="1">
      <c r="A212" s="361"/>
      <c r="D212" s="361"/>
    </row>
    <row r="213" spans="1:4" ht="14.25" customHeight="1">
      <c r="A213" s="361"/>
      <c r="D213" s="361"/>
    </row>
    <row r="214" spans="1:4" ht="14.25" customHeight="1">
      <c r="A214" s="361"/>
      <c r="D214" s="361"/>
    </row>
    <row r="215" spans="1:4" ht="14.25" customHeight="1">
      <c r="A215" s="361"/>
      <c r="D215" s="361"/>
    </row>
    <row r="216" spans="1:4" ht="14.25" customHeight="1">
      <c r="A216" s="361"/>
      <c r="D216" s="361"/>
    </row>
    <row r="217" spans="1:4" ht="14.25" customHeight="1">
      <c r="A217" s="361"/>
      <c r="D217" s="361"/>
    </row>
    <row r="218" spans="1:4" ht="14.25" customHeight="1">
      <c r="A218" s="361"/>
      <c r="D218" s="361"/>
    </row>
    <row r="219" spans="1:4" ht="14.25" customHeight="1">
      <c r="A219" s="361"/>
      <c r="D219" s="361"/>
    </row>
    <row r="220" spans="1:4" ht="14.25" customHeight="1">
      <c r="A220" s="361"/>
      <c r="D220" s="361"/>
    </row>
    <row r="221" spans="1:4" ht="14.25" customHeight="1">
      <c r="A221" s="361"/>
      <c r="D221" s="361"/>
    </row>
    <row r="222" spans="1:4" ht="14.25" customHeight="1">
      <c r="A222" s="361"/>
      <c r="D222" s="361"/>
    </row>
    <row r="223" spans="1:4" ht="14.25" customHeight="1">
      <c r="A223" s="361"/>
      <c r="D223" s="361"/>
    </row>
    <row r="224" spans="1:4" ht="14.25" customHeight="1">
      <c r="A224" s="361"/>
      <c r="D224" s="361"/>
    </row>
    <row r="225" spans="1:4" ht="14.25" customHeight="1">
      <c r="A225" s="361"/>
      <c r="D225" s="361"/>
    </row>
    <row r="226" spans="1:4" ht="14.25" customHeight="1">
      <c r="A226" s="361"/>
      <c r="D226" s="361"/>
    </row>
    <row r="227" spans="1:4" ht="14.25" customHeight="1">
      <c r="A227" s="361"/>
      <c r="D227" s="361"/>
    </row>
    <row r="228" spans="1:4" ht="14.25" customHeight="1">
      <c r="A228" s="361"/>
      <c r="D228" s="361"/>
    </row>
    <row r="229" spans="1:4" ht="14.25" customHeight="1">
      <c r="A229" s="361"/>
      <c r="D229" s="361"/>
    </row>
    <row r="230" spans="1:4" ht="14.25" customHeight="1">
      <c r="A230" s="361"/>
      <c r="D230" s="361"/>
    </row>
    <row r="231" spans="1:4" ht="14.25" customHeight="1">
      <c r="A231" s="361"/>
      <c r="D231" s="361"/>
    </row>
    <row r="232" spans="1:4" ht="14.25" customHeight="1">
      <c r="A232" s="361"/>
      <c r="D232" s="361"/>
    </row>
    <row r="233" spans="1:4" ht="14.25" customHeight="1">
      <c r="A233" s="361"/>
      <c r="D233" s="361"/>
    </row>
    <row r="234" spans="1:4" ht="14.25" customHeight="1">
      <c r="A234" s="361"/>
      <c r="D234" s="361"/>
    </row>
    <row r="235" spans="1:4" ht="14.25" customHeight="1">
      <c r="A235" s="361"/>
      <c r="D235" s="361"/>
    </row>
    <row r="236" spans="1:4" ht="14.25" customHeight="1">
      <c r="A236" s="361"/>
      <c r="D236" s="361"/>
    </row>
    <row r="237" spans="1:4" ht="14.25" customHeight="1">
      <c r="A237" s="361"/>
      <c r="D237" s="361"/>
    </row>
    <row r="238" spans="1:4" ht="14.25" customHeight="1">
      <c r="A238" s="361"/>
      <c r="D238" s="361"/>
    </row>
    <row r="239" spans="1:4" ht="14.25" customHeight="1">
      <c r="A239" s="361"/>
      <c r="D239" s="361"/>
    </row>
    <row r="240" spans="1:4" ht="14.25" customHeight="1">
      <c r="A240" s="361"/>
      <c r="D240" s="361"/>
    </row>
    <row r="241" spans="1:4" ht="14.25" customHeight="1">
      <c r="A241" s="361"/>
      <c r="D241" s="361"/>
    </row>
    <row r="242" spans="1:4" ht="14.25" customHeight="1">
      <c r="A242" s="361"/>
      <c r="D242" s="361"/>
    </row>
    <row r="243" spans="1:4" ht="14.25" customHeight="1">
      <c r="A243" s="361"/>
      <c r="D243" s="361"/>
    </row>
    <row r="244" spans="1:4" ht="14.25" customHeight="1">
      <c r="A244" s="361"/>
      <c r="D244" s="361"/>
    </row>
    <row r="245" spans="1:4" ht="14.25" customHeight="1">
      <c r="A245" s="361"/>
      <c r="D245" s="361"/>
    </row>
    <row r="246" spans="1:4" ht="14.25" customHeight="1">
      <c r="A246" s="361"/>
      <c r="D246" s="361"/>
    </row>
    <row r="247" spans="1:4" ht="14.25" customHeight="1">
      <c r="A247" s="361"/>
      <c r="D247" s="361"/>
    </row>
    <row r="248" spans="1:4" ht="14.25" customHeight="1">
      <c r="A248" s="361"/>
      <c r="D248" s="361"/>
    </row>
    <row r="249" spans="1:4" ht="14.25" customHeight="1">
      <c r="A249" s="361"/>
      <c r="D249" s="361"/>
    </row>
    <row r="250" spans="1:4" ht="14.25" customHeight="1">
      <c r="A250" s="361"/>
      <c r="D250" s="361"/>
    </row>
    <row r="251" spans="1:4" ht="14.25" customHeight="1">
      <c r="A251" s="361"/>
      <c r="D251" s="361"/>
    </row>
    <row r="252" spans="1:4" ht="14.25" customHeight="1">
      <c r="A252" s="361"/>
      <c r="D252" s="361"/>
    </row>
    <row r="253" spans="1:4" ht="14.25" customHeight="1">
      <c r="A253" s="361"/>
      <c r="D253" s="361"/>
    </row>
    <row r="254" spans="1:4" ht="14.25" customHeight="1">
      <c r="A254" s="361"/>
      <c r="D254" s="361"/>
    </row>
    <row r="255" spans="1:4" ht="14.25" customHeight="1">
      <c r="A255" s="361"/>
      <c r="D255" s="361"/>
    </row>
    <row r="256" spans="1:4" ht="14.25" customHeight="1">
      <c r="A256" s="361"/>
      <c r="D256" s="361"/>
    </row>
    <row r="257" spans="1:4" ht="14.25" customHeight="1">
      <c r="A257" s="361"/>
      <c r="D257" s="361"/>
    </row>
    <row r="258" spans="1:4" ht="14.25" customHeight="1">
      <c r="A258" s="361"/>
      <c r="D258" s="361"/>
    </row>
    <row r="259" spans="1:4" ht="14.25" customHeight="1">
      <c r="A259" s="361"/>
      <c r="D259" s="361"/>
    </row>
    <row r="260" spans="1:4" ht="14.25" customHeight="1">
      <c r="A260" s="361"/>
      <c r="D260" s="361"/>
    </row>
    <row r="261" spans="1:4" ht="14.25" customHeight="1">
      <c r="A261" s="361"/>
      <c r="D261" s="361"/>
    </row>
    <row r="262" spans="1:4" ht="14.25" customHeight="1">
      <c r="A262" s="361"/>
      <c r="D262" s="361"/>
    </row>
    <row r="263" spans="1:4" ht="14.25" customHeight="1">
      <c r="A263" s="361"/>
      <c r="D263" s="361"/>
    </row>
    <row r="264" spans="1:4" ht="14.25" customHeight="1">
      <c r="A264" s="361"/>
      <c r="D264" s="361"/>
    </row>
    <row r="265" spans="1:4" ht="14.25" customHeight="1">
      <c r="A265" s="361"/>
      <c r="D265" s="361"/>
    </row>
    <row r="266" spans="1:4" ht="14.25" customHeight="1">
      <c r="A266" s="361"/>
      <c r="D266" s="361"/>
    </row>
    <row r="267" spans="1:4" ht="14.25" customHeight="1">
      <c r="A267" s="361"/>
      <c r="D267" s="361"/>
    </row>
    <row r="268" spans="1:4" ht="14.25" customHeight="1">
      <c r="A268" s="361"/>
      <c r="D268" s="361"/>
    </row>
    <row r="269" spans="1:4" ht="14.25" customHeight="1">
      <c r="A269" s="361"/>
      <c r="D269" s="361"/>
    </row>
    <row r="270" spans="1:4" ht="14.25" customHeight="1">
      <c r="A270" s="361"/>
      <c r="D270" s="361"/>
    </row>
    <row r="271" spans="1:4" ht="14.25" customHeight="1">
      <c r="A271" s="361"/>
      <c r="D271" s="361"/>
    </row>
    <row r="272" spans="1:4" ht="14.25" customHeight="1">
      <c r="A272" s="361"/>
      <c r="D272" s="361"/>
    </row>
    <row r="273" spans="1:4" ht="14.25" customHeight="1">
      <c r="A273" s="361"/>
      <c r="D273" s="361"/>
    </row>
    <row r="274" spans="1:4" ht="14.25" customHeight="1">
      <c r="A274" s="361"/>
      <c r="D274" s="361"/>
    </row>
    <row r="275" spans="1:4" ht="14.25" customHeight="1">
      <c r="A275" s="361"/>
      <c r="D275" s="361"/>
    </row>
    <row r="276" spans="1:4" ht="14.25" customHeight="1">
      <c r="A276" s="361"/>
      <c r="D276" s="361"/>
    </row>
    <row r="277" spans="1:4" ht="14.25" customHeight="1">
      <c r="A277" s="361"/>
      <c r="D277" s="361"/>
    </row>
    <row r="278" spans="1:4" ht="14.25" customHeight="1">
      <c r="A278" s="361"/>
      <c r="D278" s="361"/>
    </row>
    <row r="279" spans="1:4" ht="14.25" customHeight="1">
      <c r="A279" s="361"/>
      <c r="D279" s="361"/>
    </row>
    <row r="280" spans="1:4" ht="14.25" customHeight="1">
      <c r="A280" s="361"/>
      <c r="D280" s="361"/>
    </row>
    <row r="281" spans="1:4" ht="14.25" customHeight="1">
      <c r="A281" s="361"/>
      <c r="D281" s="361"/>
    </row>
    <row r="282" spans="1:4" ht="14.25" customHeight="1">
      <c r="A282" s="361"/>
      <c r="D282" s="361"/>
    </row>
    <row r="283" spans="1:4" ht="14.25" customHeight="1">
      <c r="A283" s="361"/>
      <c r="D283" s="361"/>
    </row>
    <row r="284" spans="1:4" ht="14.25" customHeight="1">
      <c r="A284" s="361"/>
      <c r="D284" s="361"/>
    </row>
    <row r="285" spans="1:4" ht="14.25" customHeight="1">
      <c r="A285" s="361"/>
      <c r="D285" s="361"/>
    </row>
    <row r="286" spans="1:4" ht="14.25" customHeight="1">
      <c r="A286" s="361"/>
      <c r="D286" s="361"/>
    </row>
    <row r="287" spans="1:4" ht="14.25" customHeight="1">
      <c r="A287" s="361"/>
      <c r="D287" s="361"/>
    </row>
    <row r="288" spans="1:4" ht="14.25" customHeight="1">
      <c r="A288" s="361"/>
      <c r="D288" s="361"/>
    </row>
    <row r="289" spans="1:4" ht="14.25" customHeight="1">
      <c r="A289" s="361"/>
      <c r="D289" s="361"/>
    </row>
    <row r="290" spans="1:4" ht="14.25" customHeight="1">
      <c r="A290" s="361"/>
      <c r="D290" s="361"/>
    </row>
    <row r="291" spans="1:4" ht="14.25" customHeight="1">
      <c r="A291" s="361"/>
      <c r="D291" s="361"/>
    </row>
    <row r="292" spans="1:4" ht="14.25" customHeight="1">
      <c r="A292" s="361"/>
      <c r="D292" s="361"/>
    </row>
    <row r="293" spans="1:4" ht="14.25" customHeight="1">
      <c r="A293" s="361"/>
      <c r="D293" s="361"/>
    </row>
    <row r="294" spans="1:4" ht="14.25" customHeight="1">
      <c r="A294" s="361"/>
      <c r="D294" s="361"/>
    </row>
    <row r="295" spans="1:4" ht="14.25" customHeight="1">
      <c r="A295" s="361"/>
      <c r="D295" s="361"/>
    </row>
    <row r="296" spans="1:4" ht="14.25" customHeight="1">
      <c r="A296" s="361"/>
      <c r="D296" s="361"/>
    </row>
    <row r="297" spans="1:4" ht="14.25" customHeight="1">
      <c r="A297" s="361"/>
      <c r="D297" s="361"/>
    </row>
    <row r="298" spans="1:4" ht="14.25" customHeight="1">
      <c r="A298" s="361"/>
      <c r="D298" s="361"/>
    </row>
    <row r="299" spans="1:4" ht="14.25" customHeight="1">
      <c r="A299" s="361"/>
      <c r="D299" s="361"/>
    </row>
    <row r="300" spans="1:4" ht="14.25" customHeight="1">
      <c r="A300" s="361"/>
      <c r="D300" s="361"/>
    </row>
    <row r="301" spans="1:4" ht="14.25" customHeight="1">
      <c r="A301" s="361"/>
      <c r="D301" s="361"/>
    </row>
    <row r="302" spans="1:4" ht="14.25" customHeight="1">
      <c r="A302" s="361"/>
      <c r="D302" s="361"/>
    </row>
    <row r="303" spans="1:4" ht="14.25" customHeight="1">
      <c r="A303" s="361"/>
      <c r="D303" s="361"/>
    </row>
    <row r="304" spans="1:4" ht="14.25" customHeight="1">
      <c r="A304" s="361"/>
      <c r="D304" s="361"/>
    </row>
    <row r="305" spans="1:4" ht="14.25" customHeight="1">
      <c r="A305" s="361"/>
      <c r="D305" s="361"/>
    </row>
    <row r="306" spans="1:4" ht="14.25" customHeight="1">
      <c r="A306" s="361"/>
      <c r="D306" s="361"/>
    </row>
    <row r="307" spans="1:4" ht="14.25" customHeight="1">
      <c r="A307" s="361"/>
      <c r="D307" s="361"/>
    </row>
    <row r="308" spans="1:4" ht="14.25" customHeight="1">
      <c r="A308" s="361"/>
      <c r="D308" s="361"/>
    </row>
    <row r="309" spans="1:4" ht="14.25" customHeight="1">
      <c r="A309" s="361"/>
      <c r="D309" s="361"/>
    </row>
    <row r="310" spans="1:4" ht="14.25" customHeight="1">
      <c r="A310" s="361"/>
      <c r="D310" s="361"/>
    </row>
    <row r="311" spans="1:4" ht="14.25" customHeight="1">
      <c r="A311" s="361"/>
      <c r="D311" s="361"/>
    </row>
    <row r="312" spans="1:4" ht="14.25" customHeight="1">
      <c r="A312" s="361"/>
      <c r="D312" s="361"/>
    </row>
    <row r="313" spans="1:4" ht="14.25" customHeight="1">
      <c r="A313" s="361"/>
      <c r="D313" s="361"/>
    </row>
    <row r="314" spans="1:4" ht="14.25" customHeight="1">
      <c r="A314" s="361"/>
      <c r="D314" s="361"/>
    </row>
    <row r="315" spans="1:4" ht="14.25" customHeight="1">
      <c r="A315" s="361"/>
      <c r="D315" s="361"/>
    </row>
    <row r="316" spans="1:4" ht="14.25" customHeight="1">
      <c r="A316" s="361"/>
      <c r="D316" s="361"/>
    </row>
    <row r="317" spans="1:4" ht="14.25" customHeight="1">
      <c r="A317" s="361"/>
      <c r="D317" s="361"/>
    </row>
    <row r="318" spans="1:4" ht="14.25" customHeight="1">
      <c r="A318" s="361"/>
      <c r="D318" s="361"/>
    </row>
    <row r="319" spans="1:4" ht="14.25" customHeight="1">
      <c r="A319" s="361"/>
      <c r="D319" s="361"/>
    </row>
    <row r="320" spans="1:4" ht="14.25" customHeight="1">
      <c r="A320" s="361"/>
      <c r="D320" s="361"/>
    </row>
    <row r="321" spans="1:4" ht="14.25" customHeight="1">
      <c r="A321" s="361"/>
      <c r="D321" s="361"/>
    </row>
    <row r="322" spans="1:4" ht="14.25" customHeight="1">
      <c r="A322" s="361"/>
      <c r="D322" s="361"/>
    </row>
    <row r="323" spans="1:4" ht="14.25" customHeight="1">
      <c r="A323" s="361"/>
      <c r="D323" s="361"/>
    </row>
    <row r="324" spans="1:4" ht="14.25" customHeight="1">
      <c r="A324" s="361"/>
      <c r="D324" s="361"/>
    </row>
    <row r="325" spans="1:4" ht="14.25" customHeight="1">
      <c r="A325" s="361"/>
      <c r="D325" s="361"/>
    </row>
    <row r="326" spans="1:4" ht="14.25" customHeight="1">
      <c r="A326" s="361"/>
      <c r="D326" s="361"/>
    </row>
    <row r="327" spans="1:4" ht="14.25" customHeight="1">
      <c r="A327" s="361"/>
      <c r="D327" s="361"/>
    </row>
    <row r="328" spans="1:4" ht="14.25" customHeight="1">
      <c r="A328" s="361"/>
      <c r="D328" s="361"/>
    </row>
    <row r="329" spans="1:4" ht="14.25" customHeight="1">
      <c r="A329" s="361"/>
      <c r="D329" s="361"/>
    </row>
    <row r="330" spans="1:4" ht="14.25" customHeight="1">
      <c r="A330" s="361"/>
      <c r="D330" s="361"/>
    </row>
    <row r="331" spans="1:4" ht="14.25" customHeight="1">
      <c r="A331" s="361"/>
      <c r="D331" s="361"/>
    </row>
    <row r="332" spans="1:4" ht="14.25" customHeight="1">
      <c r="A332" s="361"/>
      <c r="D332" s="361"/>
    </row>
    <row r="333" spans="1:4" ht="14.25" customHeight="1">
      <c r="A333" s="361"/>
      <c r="D333" s="361"/>
    </row>
    <row r="334" spans="1:4" ht="14.25" customHeight="1">
      <c r="A334" s="361"/>
      <c r="D334" s="361"/>
    </row>
    <row r="335" spans="1:4" ht="14.25" customHeight="1">
      <c r="A335" s="361"/>
      <c r="D335" s="361"/>
    </row>
    <row r="336" spans="1:4" ht="14.25" customHeight="1">
      <c r="A336" s="361"/>
      <c r="D336" s="361"/>
    </row>
    <row r="337" spans="1:4" ht="14.25" customHeight="1">
      <c r="A337" s="361"/>
      <c r="D337" s="361"/>
    </row>
    <row r="338" spans="1:4" ht="14.25" customHeight="1">
      <c r="A338" s="361"/>
      <c r="D338" s="361"/>
    </row>
    <row r="339" spans="1:4" ht="14.25" customHeight="1">
      <c r="A339" s="361"/>
      <c r="D339" s="361"/>
    </row>
    <row r="340" spans="1:4" ht="14.25" customHeight="1">
      <c r="A340" s="361"/>
      <c r="D340" s="361"/>
    </row>
    <row r="341" spans="1:4" ht="14.25" customHeight="1">
      <c r="A341" s="361"/>
      <c r="D341" s="361"/>
    </row>
    <row r="342" spans="1:4" ht="14.25" customHeight="1">
      <c r="A342" s="361"/>
      <c r="D342" s="361"/>
    </row>
    <row r="343" spans="1:4" ht="14.25" customHeight="1">
      <c r="A343" s="361"/>
      <c r="D343" s="361"/>
    </row>
    <row r="344" spans="1:4" ht="14.25" customHeight="1">
      <c r="A344" s="361"/>
      <c r="D344" s="361"/>
    </row>
    <row r="345" spans="1:4" ht="14.25" customHeight="1">
      <c r="A345" s="361"/>
      <c r="D345" s="361"/>
    </row>
    <row r="346" spans="1:4" ht="14.25" customHeight="1">
      <c r="A346" s="361"/>
      <c r="D346" s="361"/>
    </row>
    <row r="347" spans="1:4" ht="14.25" customHeight="1">
      <c r="A347" s="361"/>
      <c r="D347" s="361"/>
    </row>
    <row r="348" spans="1:4" ht="14.25" customHeight="1">
      <c r="A348" s="361"/>
      <c r="D348" s="361"/>
    </row>
    <row r="349" spans="1:4" ht="14.25" customHeight="1">
      <c r="A349" s="361"/>
      <c r="D349" s="361"/>
    </row>
    <row r="350" spans="1:4" ht="14.25" customHeight="1">
      <c r="A350" s="361"/>
      <c r="D350" s="361"/>
    </row>
    <row r="351" spans="1:4" ht="14.25" customHeight="1">
      <c r="A351" s="361"/>
      <c r="D351" s="361"/>
    </row>
    <row r="352" spans="1:4" ht="14.25" customHeight="1">
      <c r="A352" s="361"/>
      <c r="D352" s="361"/>
    </row>
    <row r="353" spans="1:4" ht="14.25" customHeight="1">
      <c r="A353" s="361"/>
      <c r="D353" s="361"/>
    </row>
    <row r="354" spans="1:4" ht="14.25" customHeight="1">
      <c r="A354" s="361"/>
      <c r="D354" s="361"/>
    </row>
    <row r="355" spans="1:4" ht="14.25" customHeight="1">
      <c r="A355" s="361"/>
      <c r="D355" s="361"/>
    </row>
    <row r="356" spans="1:4" ht="14.25" customHeight="1">
      <c r="A356" s="361"/>
      <c r="D356" s="361"/>
    </row>
    <row r="357" spans="1:4" ht="14.25" customHeight="1">
      <c r="A357" s="361"/>
      <c r="D357" s="361"/>
    </row>
    <row r="358" spans="1:4" ht="14.25" customHeight="1">
      <c r="A358" s="361"/>
      <c r="D358" s="361"/>
    </row>
    <row r="359" spans="1:4" ht="14.25" customHeight="1">
      <c r="A359" s="361"/>
      <c r="D359" s="361"/>
    </row>
    <row r="360" spans="1:4" ht="14.25" customHeight="1">
      <c r="A360" s="361"/>
      <c r="D360" s="361"/>
    </row>
    <row r="361" spans="1:4" ht="14.25" customHeight="1">
      <c r="A361" s="361"/>
      <c r="D361" s="361"/>
    </row>
    <row r="362" spans="1:4" ht="14.25" customHeight="1">
      <c r="A362" s="361"/>
      <c r="D362" s="361"/>
    </row>
    <row r="363" spans="1:4" ht="14.25" customHeight="1">
      <c r="A363" s="361"/>
      <c r="D363" s="361"/>
    </row>
    <row r="364" spans="1:4" ht="14.25" customHeight="1">
      <c r="A364" s="361"/>
      <c r="D364" s="361"/>
    </row>
    <row r="365" spans="1:4" ht="14.25" customHeight="1">
      <c r="A365" s="361"/>
      <c r="D365" s="361"/>
    </row>
    <row r="366" spans="1:4" ht="14.25" customHeight="1">
      <c r="A366" s="361"/>
      <c r="D366" s="361"/>
    </row>
    <row r="367" spans="1:4" ht="14.25" customHeight="1">
      <c r="A367" s="361"/>
      <c r="D367" s="361"/>
    </row>
    <row r="368" spans="1:4" ht="14.25" customHeight="1">
      <c r="A368" s="361"/>
      <c r="D368" s="361"/>
    </row>
    <row r="369" spans="1:4" ht="14.25" customHeight="1">
      <c r="A369" s="361"/>
      <c r="D369" s="361"/>
    </row>
    <row r="370" spans="1:4" ht="14.25" customHeight="1">
      <c r="A370" s="361"/>
      <c r="D370" s="361"/>
    </row>
    <row r="371" spans="1:4" ht="14.25" customHeight="1">
      <c r="A371" s="361"/>
      <c r="D371" s="361"/>
    </row>
    <row r="372" spans="1:4" ht="14.25" customHeight="1">
      <c r="A372" s="361"/>
      <c r="D372" s="361"/>
    </row>
    <row r="373" spans="1:4" ht="14.25" customHeight="1">
      <c r="A373" s="361"/>
      <c r="D373" s="361"/>
    </row>
    <row r="374" spans="1:4" ht="14.25" customHeight="1">
      <c r="A374" s="361"/>
      <c r="D374" s="361"/>
    </row>
    <row r="375" spans="1:4" ht="14.25" customHeight="1">
      <c r="A375" s="361"/>
      <c r="D375" s="361"/>
    </row>
    <row r="376" spans="1:4" ht="14.25" customHeight="1">
      <c r="A376" s="361"/>
      <c r="D376" s="361"/>
    </row>
    <row r="377" spans="1:4" ht="14.25" customHeight="1">
      <c r="A377" s="361"/>
      <c r="D377" s="361"/>
    </row>
    <row r="378" spans="1:4" ht="14.25" customHeight="1">
      <c r="A378" s="361"/>
      <c r="D378" s="361"/>
    </row>
    <row r="379" spans="1:4" ht="14.25" customHeight="1">
      <c r="A379" s="361"/>
      <c r="D379" s="361"/>
    </row>
    <row r="380" spans="1:4" ht="14.25" customHeight="1">
      <c r="A380" s="361"/>
      <c r="D380" s="361"/>
    </row>
    <row r="381" spans="1:4" ht="14.25" customHeight="1">
      <c r="A381" s="361"/>
      <c r="D381" s="361"/>
    </row>
    <row r="382" spans="1:4" ht="14.25" customHeight="1">
      <c r="A382" s="361"/>
      <c r="D382" s="361"/>
    </row>
    <row r="383" spans="1:4" ht="14.25" customHeight="1">
      <c r="A383" s="361"/>
      <c r="D383" s="361"/>
    </row>
    <row r="384" spans="1:4" ht="14.25" customHeight="1">
      <c r="A384" s="361"/>
      <c r="D384" s="361"/>
    </row>
    <row r="385" spans="1:4" ht="14.25" customHeight="1">
      <c r="A385" s="361"/>
      <c r="D385" s="361"/>
    </row>
    <row r="386" spans="1:4" ht="14.25" customHeight="1">
      <c r="A386" s="361"/>
      <c r="D386" s="361"/>
    </row>
    <row r="387" spans="1:4" ht="14.25" customHeight="1">
      <c r="A387" s="361"/>
      <c r="D387" s="361"/>
    </row>
    <row r="388" spans="1:4" ht="14.25" customHeight="1">
      <c r="A388" s="361"/>
      <c r="D388" s="361"/>
    </row>
    <row r="389" spans="1:4" ht="14.25" customHeight="1">
      <c r="A389" s="361"/>
      <c r="D389" s="361"/>
    </row>
    <row r="390" spans="1:4" ht="14.25" customHeight="1">
      <c r="A390" s="361"/>
      <c r="D390" s="361"/>
    </row>
    <row r="391" spans="1:4" ht="14.25" customHeight="1">
      <c r="A391" s="361"/>
      <c r="D391" s="361"/>
    </row>
    <row r="392" spans="1:4" ht="14.25" customHeight="1">
      <c r="A392" s="361"/>
      <c r="D392" s="361"/>
    </row>
    <row r="393" spans="1:4" ht="14.25" customHeight="1">
      <c r="A393" s="361"/>
      <c r="D393" s="361"/>
    </row>
    <row r="394" spans="1:4" ht="14.25" customHeight="1">
      <c r="A394" s="361"/>
      <c r="D394" s="361"/>
    </row>
    <row r="395" spans="1:4" ht="14.25" customHeight="1">
      <c r="A395" s="361"/>
      <c r="D395" s="361"/>
    </row>
    <row r="396" spans="1:4" ht="14.25" customHeight="1">
      <c r="A396" s="361"/>
      <c r="D396" s="361"/>
    </row>
    <row r="397" spans="1:4" ht="14.25" customHeight="1">
      <c r="A397" s="361"/>
      <c r="D397" s="361"/>
    </row>
    <row r="398" spans="1:4" ht="14.25" customHeight="1">
      <c r="A398" s="361"/>
      <c r="D398" s="361"/>
    </row>
    <row r="399" spans="1:4" ht="14.25" customHeight="1">
      <c r="A399" s="361"/>
      <c r="D399" s="361"/>
    </row>
    <row r="400" spans="1:4" ht="14.25" customHeight="1">
      <c r="A400" s="361"/>
      <c r="D400" s="361"/>
    </row>
    <row r="401" spans="1:4" ht="14.25" customHeight="1">
      <c r="A401" s="361"/>
      <c r="D401" s="361"/>
    </row>
    <row r="402" spans="1:4" ht="14.25" customHeight="1">
      <c r="A402" s="361"/>
      <c r="D402" s="361"/>
    </row>
    <row r="403" spans="1:4" ht="14.25" customHeight="1">
      <c r="A403" s="361"/>
      <c r="D403" s="361"/>
    </row>
    <row r="404" spans="1:4" ht="14.25" customHeight="1">
      <c r="A404" s="361"/>
      <c r="D404" s="361"/>
    </row>
    <row r="405" spans="1:4" ht="14.25" customHeight="1">
      <c r="A405" s="361"/>
      <c r="D405" s="361"/>
    </row>
    <row r="406" spans="1:4" ht="14.25" customHeight="1">
      <c r="A406" s="361"/>
      <c r="D406" s="361"/>
    </row>
    <row r="407" spans="1:4" ht="14.25" customHeight="1">
      <c r="A407" s="361"/>
      <c r="D407" s="361"/>
    </row>
    <row r="408" spans="1:4" ht="14.25" customHeight="1">
      <c r="A408" s="361"/>
      <c r="D408" s="361"/>
    </row>
    <row r="409" spans="1:4" ht="14.25" customHeight="1">
      <c r="A409" s="361"/>
      <c r="D409" s="361"/>
    </row>
    <row r="410" spans="1:4" ht="14.25" customHeight="1">
      <c r="A410" s="361"/>
      <c r="D410" s="361"/>
    </row>
    <row r="411" spans="1:4" ht="14.25" customHeight="1">
      <c r="A411" s="361"/>
      <c r="D411" s="361"/>
    </row>
    <row r="412" spans="1:4" ht="14.25" customHeight="1">
      <c r="A412" s="361"/>
      <c r="D412" s="361"/>
    </row>
    <row r="413" spans="1:4" ht="14.25" customHeight="1">
      <c r="A413" s="361"/>
      <c r="D413" s="361"/>
    </row>
    <row r="414" spans="1:4" ht="14.25" customHeight="1">
      <c r="A414" s="361"/>
      <c r="D414" s="361"/>
    </row>
    <row r="415" spans="1:4" ht="14.25" customHeight="1">
      <c r="A415" s="361"/>
      <c r="D415" s="361"/>
    </row>
    <row r="416" spans="1:4" ht="14.25" customHeight="1">
      <c r="A416" s="361"/>
      <c r="D416" s="361"/>
    </row>
    <row r="417" spans="1:4" ht="14.25" customHeight="1">
      <c r="A417" s="361"/>
      <c r="D417" s="361"/>
    </row>
    <row r="418" spans="1:4" ht="14.25" customHeight="1">
      <c r="A418" s="361"/>
      <c r="D418" s="361"/>
    </row>
    <row r="419" spans="1:4" ht="14.25" customHeight="1">
      <c r="A419" s="361"/>
      <c r="D419" s="361"/>
    </row>
    <row r="420" spans="1:4" ht="14.25" customHeight="1">
      <c r="A420" s="361"/>
      <c r="D420" s="361"/>
    </row>
    <row r="421" spans="1:4" ht="14.25" customHeight="1">
      <c r="A421" s="361"/>
      <c r="D421" s="361"/>
    </row>
    <row r="422" spans="1:4" ht="14.25" customHeight="1">
      <c r="A422" s="361"/>
      <c r="D422" s="361"/>
    </row>
    <row r="423" spans="1:4" ht="14.25" customHeight="1">
      <c r="A423" s="361"/>
      <c r="D423" s="361"/>
    </row>
    <row r="424" spans="1:4" ht="14.25" customHeight="1">
      <c r="A424" s="361"/>
      <c r="D424" s="361"/>
    </row>
    <row r="425" spans="1:4" ht="14.25" customHeight="1">
      <c r="A425" s="361"/>
      <c r="D425" s="361"/>
    </row>
    <row r="426" spans="1:4" ht="14.25" customHeight="1">
      <c r="A426" s="361"/>
      <c r="D426" s="361"/>
    </row>
    <row r="427" spans="1:4" ht="14.25" customHeight="1">
      <c r="A427" s="361"/>
      <c r="D427" s="361"/>
    </row>
    <row r="428" spans="1:4" ht="14.25" customHeight="1">
      <c r="A428" s="361"/>
      <c r="D428" s="361"/>
    </row>
    <row r="429" spans="1:4" ht="14.25" customHeight="1">
      <c r="A429" s="361"/>
      <c r="D429" s="361"/>
    </row>
    <row r="430" spans="1:4" ht="14.25" customHeight="1">
      <c r="A430" s="361"/>
      <c r="D430" s="361"/>
    </row>
    <row r="431" spans="1:4" ht="14.25" customHeight="1">
      <c r="A431" s="361"/>
      <c r="D431" s="361"/>
    </row>
    <row r="432" spans="1:4" ht="14.25" customHeight="1">
      <c r="A432" s="361"/>
      <c r="D432" s="361"/>
    </row>
    <row r="433" spans="1:4" ht="14.25" customHeight="1">
      <c r="A433" s="361"/>
      <c r="D433" s="361"/>
    </row>
    <row r="434" spans="1:4" ht="14.25" customHeight="1">
      <c r="A434" s="361"/>
      <c r="D434" s="361"/>
    </row>
    <row r="435" spans="1:4" ht="14.25" customHeight="1">
      <c r="A435" s="361"/>
      <c r="D435" s="361"/>
    </row>
    <row r="436" spans="1:4" ht="14.25" customHeight="1">
      <c r="A436" s="361"/>
      <c r="D436" s="361"/>
    </row>
    <row r="437" spans="1:4" ht="14.25" customHeight="1">
      <c r="A437" s="361"/>
      <c r="D437" s="361"/>
    </row>
    <row r="438" spans="1:4" ht="14.25" customHeight="1">
      <c r="A438" s="361"/>
      <c r="D438" s="361"/>
    </row>
    <row r="439" spans="1:4" ht="14.25" customHeight="1">
      <c r="A439" s="361"/>
      <c r="D439" s="361"/>
    </row>
    <row r="440" spans="1:4" ht="14.25" customHeight="1">
      <c r="A440" s="361"/>
      <c r="D440" s="361"/>
    </row>
    <row r="441" spans="1:4" ht="14.25" customHeight="1">
      <c r="A441" s="361"/>
      <c r="D441" s="361"/>
    </row>
    <row r="442" spans="1:4" ht="14.25" customHeight="1">
      <c r="A442" s="361"/>
      <c r="D442" s="361"/>
    </row>
    <row r="443" spans="1:4" ht="14.25" customHeight="1">
      <c r="A443" s="361"/>
      <c r="D443" s="361"/>
    </row>
    <row r="444" spans="1:4" ht="14.25" customHeight="1">
      <c r="A444" s="361"/>
      <c r="D444" s="361"/>
    </row>
    <row r="445" spans="1:4" ht="14.25" customHeight="1">
      <c r="A445" s="361"/>
      <c r="D445" s="361"/>
    </row>
    <row r="446" spans="1:4" ht="14.25" customHeight="1">
      <c r="A446" s="361"/>
      <c r="D446" s="361"/>
    </row>
    <row r="447" spans="1:4" ht="14.25" customHeight="1">
      <c r="A447" s="361"/>
      <c r="D447" s="361"/>
    </row>
    <row r="448" spans="1:4" ht="14.25" customHeight="1">
      <c r="A448" s="361"/>
      <c r="D448" s="361"/>
    </row>
    <row r="449" spans="1:4" ht="14.25" customHeight="1">
      <c r="A449" s="361"/>
      <c r="D449" s="361"/>
    </row>
    <row r="450" spans="1:4" ht="14.25" customHeight="1">
      <c r="A450" s="361"/>
      <c r="D450" s="361"/>
    </row>
    <row r="451" spans="1:4" ht="14.25" customHeight="1">
      <c r="A451" s="361"/>
      <c r="D451" s="361"/>
    </row>
    <row r="452" spans="1:4" ht="14.25" customHeight="1">
      <c r="A452" s="361"/>
      <c r="D452" s="361"/>
    </row>
    <row r="453" spans="1:4" ht="14.25" customHeight="1">
      <c r="A453" s="361"/>
      <c r="D453" s="361"/>
    </row>
    <row r="454" spans="1:4" ht="14.25" customHeight="1">
      <c r="A454" s="361"/>
      <c r="D454" s="361"/>
    </row>
    <row r="455" spans="1:4" ht="14.25" customHeight="1">
      <c r="A455" s="361"/>
      <c r="D455" s="361"/>
    </row>
    <row r="456" spans="1:4" ht="14.25" customHeight="1">
      <c r="A456" s="361"/>
      <c r="D456" s="361"/>
    </row>
    <row r="457" spans="1:4" ht="14.25" customHeight="1">
      <c r="A457" s="361"/>
      <c r="D457" s="361"/>
    </row>
    <row r="458" spans="1:4" ht="14.25" customHeight="1">
      <c r="A458" s="361"/>
      <c r="D458" s="361"/>
    </row>
    <row r="459" spans="1:4" ht="14.25" customHeight="1">
      <c r="A459" s="361"/>
      <c r="D459" s="361"/>
    </row>
    <row r="460" spans="1:4" ht="14.25" customHeight="1">
      <c r="A460" s="361"/>
      <c r="D460" s="361"/>
    </row>
    <row r="461" spans="1:4" ht="14.25" customHeight="1">
      <c r="A461" s="361"/>
      <c r="D461" s="361"/>
    </row>
    <row r="462" spans="1:4" ht="14.25" customHeight="1">
      <c r="A462" s="361"/>
      <c r="D462" s="361"/>
    </row>
    <row r="463" spans="1:4" ht="14.25" customHeight="1">
      <c r="A463" s="361"/>
      <c r="D463" s="361"/>
    </row>
    <row r="464" spans="1:4" ht="14.25" customHeight="1">
      <c r="A464" s="361"/>
      <c r="D464" s="361"/>
    </row>
    <row r="465" spans="1:4" ht="14.25" customHeight="1">
      <c r="A465" s="361"/>
      <c r="D465" s="361"/>
    </row>
    <row r="466" spans="1:4" ht="14.25" customHeight="1">
      <c r="A466" s="361"/>
      <c r="D466" s="361"/>
    </row>
    <row r="467" spans="1:4" ht="14.25" customHeight="1">
      <c r="A467" s="361"/>
      <c r="D467" s="361"/>
    </row>
    <row r="468" spans="1:4" ht="14.25" customHeight="1">
      <c r="A468" s="361"/>
      <c r="D468" s="361"/>
    </row>
    <row r="469" spans="1:4" ht="14.25" customHeight="1">
      <c r="A469" s="361"/>
      <c r="D469" s="361"/>
    </row>
    <row r="470" spans="1:4" ht="14.25" customHeight="1">
      <c r="A470" s="361"/>
      <c r="D470" s="361"/>
    </row>
    <row r="471" spans="1:4" ht="14.25" customHeight="1">
      <c r="A471" s="361"/>
      <c r="D471" s="361"/>
    </row>
    <row r="472" spans="1:4" ht="14.25" customHeight="1">
      <c r="A472" s="361"/>
      <c r="D472" s="361"/>
    </row>
    <row r="473" spans="1:4" ht="14.25" customHeight="1">
      <c r="A473" s="361"/>
      <c r="D473" s="361"/>
    </row>
    <row r="474" spans="1:4" ht="14.25" customHeight="1">
      <c r="A474" s="361"/>
      <c r="D474" s="361"/>
    </row>
    <row r="475" spans="1:4" ht="14.25" customHeight="1">
      <c r="A475" s="361"/>
      <c r="D475" s="361"/>
    </row>
    <row r="476" spans="1:4" ht="14.25" customHeight="1">
      <c r="A476" s="361"/>
      <c r="D476" s="361"/>
    </row>
    <row r="477" spans="1:4" ht="14.25" customHeight="1">
      <c r="A477" s="361"/>
      <c r="D477" s="361"/>
    </row>
    <row r="478" spans="1:4" ht="14.25" customHeight="1">
      <c r="A478" s="361"/>
      <c r="D478" s="361"/>
    </row>
    <row r="479" spans="1:4" ht="14.25" customHeight="1">
      <c r="A479" s="361"/>
      <c r="D479" s="361"/>
    </row>
    <row r="480" spans="1:4" ht="14.25" customHeight="1">
      <c r="A480" s="361"/>
      <c r="D480" s="361"/>
    </row>
    <row r="481" spans="1:4" ht="14.25" customHeight="1">
      <c r="A481" s="361"/>
      <c r="D481" s="361"/>
    </row>
    <row r="482" spans="1:4" ht="14.25" customHeight="1">
      <c r="A482" s="361"/>
      <c r="D482" s="361"/>
    </row>
    <row r="483" spans="1:4" ht="14.25" customHeight="1">
      <c r="A483" s="361"/>
      <c r="D483" s="361"/>
    </row>
    <row r="484" spans="1:4" ht="14.25" customHeight="1">
      <c r="A484" s="361"/>
      <c r="D484" s="361"/>
    </row>
    <row r="485" spans="1:4" ht="14.25" customHeight="1">
      <c r="A485" s="361"/>
      <c r="D485" s="361"/>
    </row>
    <row r="486" spans="1:4" ht="14.25" customHeight="1">
      <c r="A486" s="361"/>
      <c r="D486" s="361"/>
    </row>
    <row r="487" spans="1:4" ht="14.25" customHeight="1">
      <c r="A487" s="361"/>
      <c r="D487" s="361"/>
    </row>
    <row r="488" spans="1:4" ht="14.25" customHeight="1">
      <c r="A488" s="361"/>
      <c r="D488" s="361"/>
    </row>
    <row r="489" spans="1:4" ht="14.25" customHeight="1">
      <c r="A489" s="361"/>
      <c r="D489" s="361"/>
    </row>
    <row r="490" spans="1:4" ht="14.25" customHeight="1">
      <c r="A490" s="361"/>
      <c r="D490" s="361"/>
    </row>
    <row r="491" spans="1:4" ht="14.25" customHeight="1">
      <c r="A491" s="361"/>
      <c r="D491" s="361"/>
    </row>
    <row r="492" spans="1:4" ht="14.25" customHeight="1">
      <c r="A492" s="361"/>
      <c r="D492" s="361"/>
    </row>
    <row r="493" spans="1:4" ht="14.25" customHeight="1">
      <c r="A493" s="361"/>
      <c r="D493" s="361"/>
    </row>
    <row r="494" spans="1:4" ht="14.25" customHeight="1">
      <c r="A494" s="361"/>
      <c r="D494" s="361"/>
    </row>
    <row r="495" spans="1:4" ht="14.25" customHeight="1">
      <c r="A495" s="361"/>
      <c r="D495" s="361"/>
    </row>
    <row r="496" spans="1:4" ht="14.25" customHeight="1">
      <c r="A496" s="361"/>
      <c r="D496" s="361"/>
    </row>
    <row r="497" spans="1:4" ht="14.25" customHeight="1">
      <c r="A497" s="361"/>
      <c r="D497" s="361"/>
    </row>
    <row r="498" spans="1:4" ht="14.25" customHeight="1">
      <c r="A498" s="361"/>
      <c r="D498" s="361"/>
    </row>
    <row r="499" spans="1:4" ht="14.25" customHeight="1">
      <c r="A499" s="361"/>
      <c r="D499" s="361"/>
    </row>
    <row r="500" spans="1:4" ht="14.25" customHeight="1">
      <c r="A500" s="361"/>
      <c r="D500" s="361"/>
    </row>
    <row r="501" spans="1:4" ht="14.25" customHeight="1">
      <c r="A501" s="361"/>
      <c r="D501" s="361"/>
    </row>
    <row r="502" spans="1:4" ht="14.25" customHeight="1">
      <c r="A502" s="361"/>
      <c r="D502" s="361"/>
    </row>
    <row r="503" spans="1:4" ht="14.25" customHeight="1">
      <c r="A503" s="361"/>
      <c r="D503" s="361"/>
    </row>
    <row r="504" spans="1:4" ht="14.25" customHeight="1">
      <c r="A504" s="361"/>
      <c r="D504" s="361"/>
    </row>
    <row r="505" spans="1:4" ht="14.25" customHeight="1">
      <c r="A505" s="361"/>
      <c r="D505" s="361"/>
    </row>
    <row r="506" spans="1:4" ht="14.25" customHeight="1">
      <c r="A506" s="361"/>
      <c r="D506" s="361"/>
    </row>
    <row r="507" spans="1:4" ht="14.25" customHeight="1">
      <c r="A507" s="361"/>
      <c r="D507" s="361"/>
    </row>
    <row r="508" spans="1:4" ht="14.25" customHeight="1">
      <c r="A508" s="361"/>
      <c r="D508" s="361"/>
    </row>
    <row r="509" spans="1:4" ht="14.25" customHeight="1">
      <c r="A509" s="361"/>
      <c r="D509" s="361"/>
    </row>
    <row r="510" spans="1:4" ht="14.25" customHeight="1">
      <c r="A510" s="361"/>
      <c r="D510" s="361"/>
    </row>
    <row r="511" spans="1:4" ht="14.25" customHeight="1">
      <c r="A511" s="361"/>
      <c r="D511" s="361"/>
    </row>
    <row r="512" spans="1:4" ht="14.25" customHeight="1">
      <c r="A512" s="361"/>
      <c r="D512" s="361"/>
    </row>
    <row r="513" spans="1:4" ht="14.25" customHeight="1">
      <c r="A513" s="361"/>
      <c r="D513" s="361"/>
    </row>
    <row r="514" spans="1:4" ht="14.25" customHeight="1">
      <c r="A514" s="361"/>
      <c r="D514" s="361"/>
    </row>
    <row r="515" spans="1:4" ht="14.25" customHeight="1">
      <c r="A515" s="361"/>
      <c r="D515" s="361"/>
    </row>
    <row r="516" spans="1:4" ht="14.25" customHeight="1">
      <c r="A516" s="361"/>
      <c r="D516" s="361"/>
    </row>
    <row r="517" spans="1:4" ht="14.25" customHeight="1">
      <c r="A517" s="361"/>
      <c r="D517" s="361"/>
    </row>
    <row r="518" spans="1:4" ht="14.25" customHeight="1">
      <c r="A518" s="361"/>
      <c r="D518" s="361"/>
    </row>
    <row r="519" spans="1:4" ht="14.25" customHeight="1">
      <c r="A519" s="361"/>
      <c r="D519" s="361"/>
    </row>
    <row r="520" spans="1:4" ht="14.25" customHeight="1">
      <c r="A520" s="361"/>
      <c r="D520" s="361"/>
    </row>
    <row r="521" spans="1:4" ht="14.25" customHeight="1">
      <c r="A521" s="361"/>
      <c r="D521" s="361"/>
    </row>
    <row r="522" spans="1:4" ht="14.25" customHeight="1">
      <c r="A522" s="361"/>
      <c r="D522" s="361"/>
    </row>
    <row r="523" spans="1:4" ht="14.25" customHeight="1">
      <c r="A523" s="361"/>
      <c r="D523" s="361"/>
    </row>
    <row r="524" spans="1:4" ht="14.25" customHeight="1">
      <c r="A524" s="361"/>
      <c r="D524" s="361"/>
    </row>
    <row r="525" spans="1:4" ht="14.25" customHeight="1">
      <c r="A525" s="361"/>
      <c r="D525" s="361"/>
    </row>
    <row r="526" spans="1:4" ht="14.25" customHeight="1">
      <c r="A526" s="361"/>
      <c r="D526" s="361"/>
    </row>
    <row r="527" spans="1:4" ht="14.25" customHeight="1">
      <c r="A527" s="361"/>
      <c r="D527" s="361"/>
    </row>
    <row r="528" spans="1:4" ht="14.25" customHeight="1">
      <c r="A528" s="361"/>
      <c r="D528" s="361"/>
    </row>
    <row r="529" spans="1:4" ht="14.25" customHeight="1">
      <c r="A529" s="361"/>
      <c r="D529" s="361"/>
    </row>
    <row r="530" spans="1:4" ht="14.25" customHeight="1">
      <c r="A530" s="361"/>
      <c r="D530" s="361"/>
    </row>
    <row r="531" spans="1:4" ht="14.25" customHeight="1">
      <c r="A531" s="361"/>
      <c r="D531" s="361"/>
    </row>
    <row r="532" spans="1:4" ht="14.25" customHeight="1">
      <c r="A532" s="361"/>
      <c r="D532" s="361"/>
    </row>
    <row r="533" spans="1:4" ht="14.25" customHeight="1">
      <c r="A533" s="361"/>
      <c r="D533" s="361"/>
    </row>
    <row r="534" spans="1:4" ht="14.25" customHeight="1">
      <c r="A534" s="361"/>
      <c r="D534" s="361"/>
    </row>
    <row r="535" spans="1:4" ht="14.25" customHeight="1">
      <c r="A535" s="361"/>
      <c r="D535" s="361"/>
    </row>
    <row r="536" spans="1:4" ht="14.25" customHeight="1">
      <c r="A536" s="361"/>
      <c r="D536" s="361"/>
    </row>
    <row r="537" spans="1:4" ht="14.25" customHeight="1">
      <c r="A537" s="361"/>
      <c r="D537" s="361"/>
    </row>
    <row r="538" spans="1:4" ht="14.25" customHeight="1">
      <c r="A538" s="361"/>
      <c r="D538" s="361"/>
    </row>
    <row r="539" spans="1:4" ht="14.25" customHeight="1">
      <c r="A539" s="361"/>
      <c r="D539" s="361"/>
    </row>
    <row r="540" spans="1:4" ht="14.25" customHeight="1">
      <c r="A540" s="361"/>
      <c r="D540" s="361"/>
    </row>
    <row r="541" spans="1:4" ht="14.25" customHeight="1">
      <c r="A541" s="361"/>
      <c r="D541" s="361"/>
    </row>
    <row r="542" spans="1:4" ht="14.25" customHeight="1">
      <c r="A542" s="361"/>
      <c r="D542" s="361"/>
    </row>
    <row r="543" spans="1:4" ht="14.25" customHeight="1">
      <c r="A543" s="361"/>
      <c r="D543" s="361"/>
    </row>
    <row r="544" spans="1:4" ht="14.25" customHeight="1">
      <c r="A544" s="361"/>
      <c r="D544" s="361"/>
    </row>
    <row r="545" spans="1:4" ht="14.25" customHeight="1">
      <c r="A545" s="361"/>
      <c r="D545" s="361"/>
    </row>
    <row r="546" spans="1:4" ht="14.25" customHeight="1">
      <c r="A546" s="361"/>
      <c r="D546" s="361"/>
    </row>
    <row r="547" spans="1:4" ht="14.25" customHeight="1">
      <c r="A547" s="361"/>
      <c r="D547" s="361"/>
    </row>
    <row r="548" spans="1:4" ht="14.25" customHeight="1">
      <c r="A548" s="361"/>
      <c r="D548" s="361"/>
    </row>
    <row r="549" spans="1:4" ht="14.25" customHeight="1">
      <c r="A549" s="361"/>
      <c r="D549" s="361"/>
    </row>
    <row r="550" spans="1:4" ht="14.25" customHeight="1">
      <c r="A550" s="361"/>
      <c r="D550" s="361"/>
    </row>
    <row r="551" spans="1:4" ht="14.25" customHeight="1">
      <c r="A551" s="361"/>
      <c r="D551" s="361"/>
    </row>
    <row r="552" spans="1:4" ht="14.25" customHeight="1">
      <c r="A552" s="361"/>
      <c r="D552" s="361"/>
    </row>
    <row r="553" spans="1:4" ht="14.25" customHeight="1">
      <c r="A553" s="361"/>
      <c r="D553" s="361"/>
    </row>
    <row r="554" spans="1:4" ht="14.25" customHeight="1">
      <c r="A554" s="361"/>
      <c r="D554" s="361"/>
    </row>
    <row r="555" spans="1:4" ht="14.25" customHeight="1">
      <c r="A555" s="361"/>
      <c r="D555" s="361"/>
    </row>
    <row r="556" spans="1:4" ht="14.25" customHeight="1">
      <c r="A556" s="361"/>
      <c r="D556" s="361"/>
    </row>
    <row r="557" spans="1:4" ht="14.25" customHeight="1">
      <c r="A557" s="361"/>
      <c r="D557" s="361"/>
    </row>
    <row r="558" spans="1:4" ht="14.25" customHeight="1">
      <c r="A558" s="361"/>
      <c r="D558" s="361"/>
    </row>
    <row r="559" spans="1:4" ht="14.25" customHeight="1">
      <c r="A559" s="361"/>
      <c r="D559" s="361"/>
    </row>
    <row r="560" spans="1:4" ht="14.25" customHeight="1">
      <c r="A560" s="361"/>
      <c r="D560" s="361"/>
    </row>
    <row r="561" spans="1:4" ht="14.25" customHeight="1">
      <c r="A561" s="361"/>
      <c r="D561" s="361"/>
    </row>
    <row r="562" spans="1:4" ht="14.25" customHeight="1">
      <c r="A562" s="361"/>
      <c r="D562" s="361"/>
    </row>
    <row r="563" spans="1:4" ht="14.25" customHeight="1">
      <c r="A563" s="361"/>
      <c r="D563" s="361"/>
    </row>
    <row r="564" spans="1:4" ht="14.25" customHeight="1">
      <c r="A564" s="361"/>
      <c r="D564" s="361"/>
    </row>
    <row r="565" spans="1:4" ht="14.25" customHeight="1">
      <c r="A565" s="361"/>
      <c r="D565" s="361"/>
    </row>
    <row r="566" spans="1:4" ht="14.25" customHeight="1">
      <c r="A566" s="361"/>
      <c r="D566" s="361"/>
    </row>
    <row r="567" spans="1:4" ht="14.25" customHeight="1">
      <c r="A567" s="361"/>
      <c r="D567" s="361"/>
    </row>
    <row r="568" spans="1:4" ht="14.25" customHeight="1">
      <c r="A568" s="361"/>
      <c r="D568" s="361"/>
    </row>
    <row r="569" spans="1:4" ht="14.25" customHeight="1">
      <c r="A569" s="361"/>
      <c r="D569" s="361"/>
    </row>
    <row r="570" spans="1:4" ht="14.25" customHeight="1">
      <c r="A570" s="361"/>
      <c r="D570" s="361"/>
    </row>
    <row r="571" spans="1:4" ht="14.25" customHeight="1">
      <c r="A571" s="361"/>
      <c r="D571" s="361"/>
    </row>
    <row r="572" spans="1:4" ht="14.25" customHeight="1">
      <c r="A572" s="361"/>
      <c r="D572" s="361"/>
    </row>
    <row r="573" spans="1:4" ht="14.25" customHeight="1">
      <c r="A573" s="361"/>
      <c r="D573" s="361"/>
    </row>
    <row r="574" spans="1:4" ht="14.25" customHeight="1">
      <c r="A574" s="361"/>
      <c r="D574" s="361"/>
    </row>
    <row r="575" spans="1:4" ht="14.25" customHeight="1">
      <c r="A575" s="361"/>
      <c r="D575" s="361"/>
    </row>
    <row r="576" spans="1:4" ht="14.25" customHeight="1">
      <c r="A576" s="361"/>
      <c r="D576" s="361"/>
    </row>
    <row r="577" spans="1:4" ht="14.25" customHeight="1">
      <c r="A577" s="361"/>
      <c r="D577" s="361"/>
    </row>
    <row r="578" spans="1:4" ht="14.25" customHeight="1">
      <c r="A578" s="361"/>
      <c r="D578" s="361"/>
    </row>
    <row r="579" spans="1:4" ht="14.25" customHeight="1">
      <c r="A579" s="361"/>
      <c r="D579" s="361"/>
    </row>
    <row r="580" spans="1:4" ht="14.25" customHeight="1">
      <c r="A580" s="361"/>
      <c r="D580" s="361"/>
    </row>
    <row r="581" spans="1:4" ht="14.25" customHeight="1">
      <c r="A581" s="361"/>
      <c r="D581" s="361"/>
    </row>
    <row r="582" spans="1:4" ht="14.25" customHeight="1">
      <c r="A582" s="361"/>
      <c r="D582" s="361"/>
    </row>
    <row r="583" spans="1:4" ht="14.25" customHeight="1">
      <c r="A583" s="361"/>
      <c r="D583" s="361"/>
    </row>
    <row r="584" spans="1:4" ht="14.25" customHeight="1">
      <c r="A584" s="361"/>
      <c r="D584" s="361"/>
    </row>
    <row r="585" spans="1:4" ht="14.25" customHeight="1">
      <c r="A585" s="361"/>
      <c r="D585" s="361"/>
    </row>
    <row r="586" spans="1:4" ht="14.25" customHeight="1">
      <c r="A586" s="361"/>
      <c r="D586" s="361"/>
    </row>
    <row r="587" spans="1:4" ht="14.25" customHeight="1">
      <c r="A587" s="361"/>
      <c r="D587" s="361"/>
    </row>
    <row r="588" spans="1:4" ht="14.25" customHeight="1">
      <c r="A588" s="361"/>
      <c r="D588" s="361"/>
    </row>
    <row r="589" spans="1:4" ht="14.25" customHeight="1">
      <c r="A589" s="361"/>
      <c r="D589" s="361"/>
    </row>
    <row r="590" spans="1:4" ht="14.25" customHeight="1">
      <c r="A590" s="361"/>
      <c r="D590" s="361"/>
    </row>
    <row r="591" spans="1:4" ht="14.25" customHeight="1">
      <c r="A591" s="361"/>
      <c r="D591" s="361"/>
    </row>
    <row r="592" spans="1:4" ht="14.25" customHeight="1">
      <c r="A592" s="361"/>
      <c r="D592" s="361"/>
    </row>
    <row r="593" spans="1:4" ht="14.25" customHeight="1">
      <c r="A593" s="361"/>
      <c r="D593" s="361"/>
    </row>
    <row r="594" spans="1:4" ht="14.25" customHeight="1">
      <c r="A594" s="361"/>
      <c r="D594" s="361"/>
    </row>
    <row r="595" spans="1:4" ht="14.25" customHeight="1">
      <c r="A595" s="361"/>
      <c r="D595" s="361"/>
    </row>
    <row r="596" spans="1:4" ht="14.25" customHeight="1">
      <c r="A596" s="361"/>
      <c r="D596" s="361"/>
    </row>
    <row r="597" spans="1:4" ht="14.25" customHeight="1">
      <c r="A597" s="361"/>
      <c r="D597" s="361"/>
    </row>
    <row r="598" spans="1:4" ht="14.25" customHeight="1">
      <c r="A598" s="361"/>
      <c r="D598" s="361"/>
    </row>
    <row r="599" spans="1:4" ht="14.25" customHeight="1">
      <c r="A599" s="361"/>
      <c r="D599" s="361"/>
    </row>
    <row r="600" spans="1:4" ht="14.25" customHeight="1">
      <c r="A600" s="361"/>
      <c r="D600" s="361"/>
    </row>
    <row r="601" spans="1:4" ht="14.25" customHeight="1">
      <c r="A601" s="361"/>
      <c r="D601" s="361"/>
    </row>
    <row r="602" spans="1:4" ht="14.25" customHeight="1">
      <c r="A602" s="361"/>
      <c r="D602" s="361"/>
    </row>
    <row r="603" spans="1:4" ht="14.25" customHeight="1">
      <c r="A603" s="361"/>
      <c r="D603" s="361"/>
    </row>
    <row r="604" spans="1:4" ht="14.25" customHeight="1">
      <c r="A604" s="361"/>
      <c r="D604" s="361"/>
    </row>
    <row r="605" spans="1:4" ht="14.25" customHeight="1">
      <c r="A605" s="361"/>
      <c r="D605" s="361"/>
    </row>
    <row r="606" spans="1:4" ht="14.25" customHeight="1">
      <c r="A606" s="361"/>
      <c r="D606" s="361"/>
    </row>
    <row r="607" spans="1:4" ht="14.25" customHeight="1">
      <c r="A607" s="361"/>
      <c r="D607" s="361"/>
    </row>
    <row r="608" spans="1:4" ht="14.25" customHeight="1">
      <c r="A608" s="361"/>
      <c r="D608" s="361"/>
    </row>
    <row r="609" spans="1:4" ht="14.25" customHeight="1">
      <c r="A609" s="361"/>
      <c r="D609" s="361"/>
    </row>
    <row r="610" spans="1:4" ht="14.25" customHeight="1">
      <c r="A610" s="361"/>
      <c r="D610" s="361"/>
    </row>
    <row r="611" spans="1:4" ht="14.25" customHeight="1">
      <c r="A611" s="361"/>
      <c r="D611" s="361"/>
    </row>
    <row r="612" spans="1:4" ht="14.25" customHeight="1">
      <c r="A612" s="361"/>
      <c r="D612" s="361"/>
    </row>
    <row r="613" spans="1:4" ht="14.25" customHeight="1">
      <c r="A613" s="361"/>
      <c r="D613" s="361"/>
    </row>
    <row r="614" spans="1:4" ht="14.25" customHeight="1">
      <c r="A614" s="361"/>
      <c r="D614" s="361"/>
    </row>
    <row r="615" spans="1:4" ht="14.25" customHeight="1">
      <c r="A615" s="361"/>
      <c r="D615" s="361"/>
    </row>
    <row r="616" spans="1:4" ht="14.25" customHeight="1">
      <c r="A616" s="361"/>
      <c r="D616" s="361"/>
    </row>
    <row r="617" spans="1:4" ht="14.25" customHeight="1">
      <c r="A617" s="361"/>
      <c r="D617" s="361"/>
    </row>
    <row r="618" spans="1:4" ht="14.25" customHeight="1">
      <c r="A618" s="361"/>
      <c r="D618" s="361"/>
    </row>
    <row r="619" spans="1:4" ht="14.25" customHeight="1">
      <c r="A619" s="361"/>
      <c r="D619" s="361"/>
    </row>
    <row r="620" spans="1:4" ht="14.25" customHeight="1">
      <c r="A620" s="361"/>
      <c r="D620" s="361"/>
    </row>
    <row r="621" spans="1:4" ht="14.25" customHeight="1">
      <c r="A621" s="361"/>
      <c r="D621" s="361"/>
    </row>
    <row r="622" spans="1:4" ht="14.25" customHeight="1">
      <c r="A622" s="361"/>
      <c r="D622" s="361"/>
    </row>
    <row r="623" spans="1:4" ht="14.25" customHeight="1">
      <c r="A623" s="361"/>
      <c r="D623" s="361"/>
    </row>
    <row r="624" spans="1:4" ht="14.25" customHeight="1">
      <c r="A624" s="361"/>
      <c r="D624" s="361"/>
    </row>
    <row r="625" spans="1:4" ht="14.25" customHeight="1">
      <c r="A625" s="361"/>
      <c r="D625" s="361"/>
    </row>
    <row r="626" spans="1:4" ht="14.25" customHeight="1">
      <c r="A626" s="361"/>
      <c r="D626" s="361"/>
    </row>
    <row r="627" spans="1:4" ht="14.25" customHeight="1">
      <c r="A627" s="361"/>
      <c r="D627" s="361"/>
    </row>
    <row r="628" spans="1:4" ht="14.25" customHeight="1">
      <c r="A628" s="361"/>
      <c r="D628" s="361"/>
    </row>
    <row r="629" spans="1:4" ht="14.25" customHeight="1">
      <c r="A629" s="361"/>
      <c r="D629" s="361"/>
    </row>
    <row r="630" spans="1:4" ht="14.25" customHeight="1">
      <c r="A630" s="361"/>
      <c r="D630" s="361"/>
    </row>
    <row r="631" spans="1:4" ht="14.25" customHeight="1">
      <c r="A631" s="361"/>
      <c r="D631" s="361"/>
    </row>
    <row r="632" spans="1:4" ht="14.25" customHeight="1">
      <c r="A632" s="361"/>
      <c r="D632" s="361"/>
    </row>
    <row r="633" spans="1:4" ht="14.25" customHeight="1">
      <c r="A633" s="361"/>
      <c r="D633" s="361"/>
    </row>
    <row r="634" spans="1:4" ht="14.25" customHeight="1">
      <c r="A634" s="361"/>
      <c r="D634" s="361"/>
    </row>
    <row r="635" spans="1:4" ht="14.25" customHeight="1">
      <c r="A635" s="361"/>
      <c r="D635" s="361"/>
    </row>
    <row r="636" spans="1:4" ht="14.25" customHeight="1">
      <c r="A636" s="361"/>
      <c r="D636" s="361"/>
    </row>
    <row r="637" spans="1:4" ht="14.25" customHeight="1">
      <c r="A637" s="361"/>
      <c r="D637" s="361"/>
    </row>
    <row r="638" spans="1:4" ht="14.25" customHeight="1">
      <c r="A638" s="361"/>
      <c r="D638" s="361"/>
    </row>
    <row r="639" spans="1:4" ht="14.25" customHeight="1">
      <c r="A639" s="361"/>
      <c r="D639" s="361"/>
    </row>
    <row r="640" spans="1:4" ht="14.25" customHeight="1">
      <c r="A640" s="361"/>
      <c r="D640" s="361"/>
    </row>
    <row r="641" spans="1:4" ht="14.25" customHeight="1">
      <c r="A641" s="361"/>
      <c r="D641" s="361"/>
    </row>
    <row r="642" spans="1:4" ht="14.25" customHeight="1">
      <c r="A642" s="361"/>
      <c r="D642" s="361"/>
    </row>
    <row r="643" spans="1:4" ht="14.25" customHeight="1">
      <c r="A643" s="361"/>
      <c r="D643" s="361"/>
    </row>
    <row r="644" spans="1:4" ht="14.25" customHeight="1">
      <c r="A644" s="361"/>
      <c r="D644" s="361"/>
    </row>
    <row r="645" spans="1:4" ht="14.25" customHeight="1">
      <c r="A645" s="361"/>
      <c r="D645" s="361"/>
    </row>
    <row r="646" spans="1:4" ht="14.25" customHeight="1">
      <c r="A646" s="361"/>
      <c r="D646" s="361"/>
    </row>
    <row r="647" spans="1:4" ht="14.25" customHeight="1">
      <c r="A647" s="361"/>
      <c r="D647" s="361"/>
    </row>
    <row r="648" spans="1:4" ht="14.25" customHeight="1">
      <c r="A648" s="361"/>
      <c r="D648" s="361"/>
    </row>
    <row r="649" spans="1:4" ht="14.25" customHeight="1">
      <c r="A649" s="361"/>
      <c r="D649" s="361"/>
    </row>
    <row r="650" spans="1:4" ht="14.25" customHeight="1">
      <c r="A650" s="361"/>
      <c r="D650" s="361"/>
    </row>
    <row r="651" spans="1:4" ht="14.25" customHeight="1">
      <c r="A651" s="361"/>
      <c r="D651" s="361"/>
    </row>
    <row r="652" spans="1:4" ht="14.25" customHeight="1">
      <c r="A652" s="361"/>
      <c r="D652" s="361"/>
    </row>
    <row r="653" spans="1:4" ht="14.25" customHeight="1">
      <c r="A653" s="361"/>
      <c r="D653" s="361"/>
    </row>
    <row r="654" spans="1:4" ht="14.25" customHeight="1">
      <c r="A654" s="361"/>
      <c r="D654" s="361"/>
    </row>
    <row r="655" spans="1:4" ht="14.25" customHeight="1">
      <c r="A655" s="361"/>
      <c r="D655" s="361"/>
    </row>
    <row r="656" spans="1:4" ht="14.25" customHeight="1">
      <c r="A656" s="361"/>
      <c r="D656" s="361"/>
    </row>
    <row r="657" spans="1:4" ht="14.25" customHeight="1">
      <c r="A657" s="361"/>
      <c r="D657" s="361"/>
    </row>
    <row r="658" spans="1:4" ht="14.25" customHeight="1">
      <c r="A658" s="361"/>
      <c r="D658" s="361"/>
    </row>
    <row r="659" spans="1:4" ht="14.25" customHeight="1">
      <c r="A659" s="361"/>
      <c r="D659" s="361"/>
    </row>
    <row r="660" spans="1:4" ht="14.25" customHeight="1">
      <c r="A660" s="361"/>
      <c r="D660" s="361"/>
    </row>
    <row r="661" spans="1:4" ht="14.25" customHeight="1">
      <c r="A661" s="361"/>
      <c r="D661" s="361"/>
    </row>
    <row r="662" spans="1:4" ht="14.25" customHeight="1">
      <c r="A662" s="361"/>
      <c r="D662" s="361"/>
    </row>
    <row r="663" spans="1:4" ht="14.25" customHeight="1">
      <c r="A663" s="361"/>
      <c r="D663" s="361"/>
    </row>
    <row r="664" spans="1:4" ht="14.25" customHeight="1">
      <c r="A664" s="361"/>
      <c r="D664" s="361"/>
    </row>
    <row r="665" spans="1:4" ht="14.25" customHeight="1">
      <c r="A665" s="361"/>
      <c r="D665" s="361"/>
    </row>
    <row r="666" spans="1:4" ht="14.25" customHeight="1">
      <c r="A666" s="361"/>
      <c r="D666" s="361"/>
    </row>
    <row r="667" spans="1:4" ht="14.25" customHeight="1">
      <c r="A667" s="361"/>
      <c r="D667" s="361"/>
    </row>
    <row r="668" spans="1:4" ht="14.25" customHeight="1">
      <c r="A668" s="361"/>
      <c r="D668" s="361"/>
    </row>
    <row r="669" spans="1:4" ht="14.25" customHeight="1">
      <c r="A669" s="361"/>
      <c r="D669" s="361"/>
    </row>
    <row r="670" spans="1:4" ht="14.25" customHeight="1">
      <c r="A670" s="361"/>
      <c r="D670" s="361"/>
    </row>
    <row r="671" spans="1:4" ht="14.25" customHeight="1">
      <c r="A671" s="361"/>
      <c r="D671" s="361"/>
    </row>
    <row r="672" spans="1:4" ht="14.25" customHeight="1">
      <c r="A672" s="361"/>
      <c r="D672" s="361"/>
    </row>
    <row r="673" spans="1:4" ht="14.25" customHeight="1">
      <c r="A673" s="361"/>
      <c r="D673" s="361"/>
    </row>
    <row r="674" spans="1:4" ht="14.25" customHeight="1">
      <c r="A674" s="361"/>
      <c r="D674" s="361"/>
    </row>
    <row r="675" spans="1:4" ht="14.25" customHeight="1">
      <c r="A675" s="361"/>
      <c r="D675" s="361"/>
    </row>
    <row r="676" spans="1:4" ht="14.25" customHeight="1">
      <c r="A676" s="361"/>
      <c r="D676" s="361"/>
    </row>
    <row r="677" spans="1:4" ht="14.25" customHeight="1">
      <c r="A677" s="361"/>
      <c r="D677" s="361"/>
    </row>
    <row r="678" spans="1:4" ht="14.25" customHeight="1">
      <c r="A678" s="361"/>
      <c r="D678" s="361"/>
    </row>
    <row r="679" spans="1:4" ht="14.25" customHeight="1">
      <c r="A679" s="361"/>
      <c r="D679" s="361"/>
    </row>
    <row r="680" spans="1:4" ht="14.25" customHeight="1">
      <c r="A680" s="361"/>
      <c r="D680" s="361"/>
    </row>
    <row r="681" spans="1:4" ht="14.25" customHeight="1">
      <c r="A681" s="361"/>
      <c r="D681" s="361"/>
    </row>
    <row r="682" spans="1:4" ht="14.25" customHeight="1">
      <c r="A682" s="361"/>
      <c r="D682" s="361"/>
    </row>
    <row r="683" spans="1:4" ht="14.25" customHeight="1">
      <c r="A683" s="361"/>
      <c r="D683" s="361"/>
    </row>
    <row r="684" spans="1:4" ht="14.25" customHeight="1">
      <c r="A684" s="361"/>
      <c r="D684" s="361"/>
    </row>
    <row r="685" spans="1:4" ht="14.25" customHeight="1">
      <c r="A685" s="361"/>
      <c r="D685" s="361"/>
    </row>
    <row r="686" spans="1:4" ht="14.25" customHeight="1">
      <c r="A686" s="361"/>
      <c r="D686" s="361"/>
    </row>
    <row r="687" spans="1:4" ht="14.25" customHeight="1">
      <c r="A687" s="361"/>
      <c r="D687" s="361"/>
    </row>
    <row r="688" spans="1:4" ht="14.25" customHeight="1">
      <c r="A688" s="361"/>
      <c r="D688" s="361"/>
    </row>
    <row r="689" spans="1:4" ht="14.25" customHeight="1">
      <c r="A689" s="361"/>
      <c r="D689" s="361"/>
    </row>
    <row r="690" spans="1:4" ht="14.25" customHeight="1">
      <c r="A690" s="361"/>
      <c r="D690" s="361"/>
    </row>
    <row r="691" spans="1:4" ht="14.25" customHeight="1">
      <c r="A691" s="361"/>
      <c r="D691" s="361"/>
    </row>
    <row r="692" spans="1:4" ht="14.25" customHeight="1">
      <c r="A692" s="361"/>
      <c r="D692" s="361"/>
    </row>
    <row r="693" spans="1:4" ht="14.25" customHeight="1">
      <c r="A693" s="361"/>
      <c r="D693" s="361"/>
    </row>
    <row r="694" spans="1:4" ht="14.25" customHeight="1">
      <c r="A694" s="361"/>
      <c r="D694" s="361"/>
    </row>
    <row r="695" spans="1:4" ht="14.25" customHeight="1">
      <c r="A695" s="361"/>
      <c r="D695" s="361"/>
    </row>
    <row r="696" spans="1:4" ht="14.25" customHeight="1">
      <c r="A696" s="361"/>
      <c r="D696" s="361"/>
    </row>
    <row r="697" spans="1:4" ht="14.25" customHeight="1">
      <c r="A697" s="361"/>
      <c r="D697" s="361"/>
    </row>
    <row r="698" spans="1:4" ht="14.25" customHeight="1">
      <c r="A698" s="361"/>
      <c r="D698" s="361"/>
    </row>
    <row r="699" spans="1:4" ht="14.25" customHeight="1">
      <c r="A699" s="361"/>
      <c r="D699" s="361"/>
    </row>
    <row r="700" spans="1:4" ht="14.25" customHeight="1">
      <c r="A700" s="361"/>
      <c r="D700" s="361"/>
    </row>
    <row r="701" spans="1:4" ht="14.25" customHeight="1">
      <c r="A701" s="361"/>
      <c r="D701" s="361"/>
    </row>
    <row r="702" spans="1:4" ht="14.25" customHeight="1">
      <c r="A702" s="361"/>
      <c r="D702" s="361"/>
    </row>
    <row r="703" spans="1:4" ht="14.25" customHeight="1">
      <c r="A703" s="361"/>
      <c r="D703" s="361"/>
    </row>
    <row r="704" spans="1:4" ht="14.25" customHeight="1">
      <c r="A704" s="361"/>
      <c r="D704" s="361"/>
    </row>
    <row r="705" spans="1:4" ht="14.25" customHeight="1">
      <c r="A705" s="361"/>
      <c r="D705" s="361"/>
    </row>
    <row r="706" spans="1:4" ht="14.25" customHeight="1">
      <c r="A706" s="361"/>
      <c r="D706" s="361"/>
    </row>
    <row r="707" spans="1:4" ht="14.25" customHeight="1">
      <c r="A707" s="361"/>
      <c r="D707" s="361"/>
    </row>
    <row r="708" spans="1:4" ht="14.25" customHeight="1">
      <c r="A708" s="361"/>
      <c r="D708" s="361"/>
    </row>
    <row r="709" spans="1:4" ht="14.25" customHeight="1">
      <c r="A709" s="361"/>
      <c r="D709" s="361"/>
    </row>
    <row r="710" spans="1:4" ht="14.25" customHeight="1">
      <c r="A710" s="361"/>
      <c r="D710" s="361"/>
    </row>
    <row r="711" spans="1:4" ht="14.25" customHeight="1">
      <c r="A711" s="361"/>
      <c r="D711" s="361"/>
    </row>
    <row r="712" spans="1:4" ht="14.25" customHeight="1">
      <c r="A712" s="361"/>
      <c r="D712" s="361"/>
    </row>
    <row r="713" spans="1:4" ht="14.25" customHeight="1">
      <c r="A713" s="361"/>
      <c r="D713" s="361"/>
    </row>
    <row r="714" spans="1:4" ht="14.25" customHeight="1">
      <c r="A714" s="361"/>
      <c r="D714" s="361"/>
    </row>
    <row r="715" spans="1:4" ht="14.25" customHeight="1">
      <c r="A715" s="361"/>
      <c r="D715" s="361"/>
    </row>
    <row r="716" spans="1:4" ht="14.25" customHeight="1">
      <c r="A716" s="361"/>
      <c r="D716" s="361"/>
    </row>
    <row r="717" spans="1:4" ht="14.25" customHeight="1">
      <c r="A717" s="361"/>
      <c r="D717" s="361"/>
    </row>
    <row r="718" spans="1:4" ht="14.25" customHeight="1">
      <c r="A718" s="361"/>
      <c r="D718" s="361"/>
    </row>
    <row r="719" spans="1:4" ht="14.25" customHeight="1">
      <c r="A719" s="361"/>
      <c r="D719" s="361"/>
    </row>
    <row r="720" spans="1:4" ht="14.25" customHeight="1">
      <c r="A720" s="361"/>
      <c r="D720" s="361"/>
    </row>
    <row r="721" spans="1:4" ht="14.25" customHeight="1">
      <c r="A721" s="361"/>
      <c r="D721" s="361"/>
    </row>
    <row r="722" spans="1:4" ht="14.25" customHeight="1">
      <c r="A722" s="361"/>
      <c r="D722" s="361"/>
    </row>
    <row r="723" spans="1:4" ht="14.25" customHeight="1">
      <c r="A723" s="361"/>
      <c r="D723" s="361"/>
    </row>
    <row r="724" spans="1:4" ht="14.25" customHeight="1">
      <c r="A724" s="361"/>
      <c r="D724" s="361"/>
    </row>
    <row r="725" spans="1:4" ht="14.25" customHeight="1">
      <c r="A725" s="361"/>
      <c r="D725" s="361"/>
    </row>
    <row r="726" spans="1:4" ht="14.25" customHeight="1">
      <c r="A726" s="361"/>
      <c r="D726" s="361"/>
    </row>
    <row r="727" spans="1:4" ht="14.25" customHeight="1">
      <c r="A727" s="361"/>
      <c r="D727" s="361"/>
    </row>
    <row r="728" spans="1:4" ht="14.25" customHeight="1">
      <c r="A728" s="361"/>
      <c r="D728" s="361"/>
    </row>
    <row r="729" spans="1:4" ht="14.25" customHeight="1">
      <c r="A729" s="361"/>
      <c r="D729" s="361"/>
    </row>
    <row r="730" spans="1:4" ht="14.25" customHeight="1">
      <c r="A730" s="361"/>
      <c r="D730" s="361"/>
    </row>
    <row r="731" spans="1:4" ht="14.25" customHeight="1">
      <c r="A731" s="361"/>
      <c r="D731" s="361"/>
    </row>
    <row r="732" spans="1:4" ht="14.25" customHeight="1">
      <c r="A732" s="361"/>
      <c r="D732" s="361"/>
    </row>
    <row r="733" spans="1:4" ht="14.25" customHeight="1">
      <c r="A733" s="361"/>
      <c r="D733" s="361"/>
    </row>
    <row r="734" spans="1:4" ht="14.25" customHeight="1">
      <c r="A734" s="361"/>
      <c r="D734" s="361"/>
    </row>
    <row r="735" spans="1:4" ht="14.25" customHeight="1">
      <c r="A735" s="361"/>
      <c r="D735" s="361"/>
    </row>
    <row r="736" spans="1:4" ht="14.25" customHeight="1">
      <c r="A736" s="361"/>
      <c r="D736" s="361"/>
    </row>
    <row r="737" spans="1:4" ht="14.25" customHeight="1">
      <c r="A737" s="361"/>
      <c r="D737" s="361"/>
    </row>
    <row r="738" spans="1:4" ht="14.25" customHeight="1">
      <c r="A738" s="361"/>
      <c r="D738" s="361"/>
    </row>
    <row r="739" spans="1:4" ht="14.25" customHeight="1">
      <c r="A739" s="361"/>
      <c r="D739" s="361"/>
    </row>
    <row r="740" spans="1:4" ht="14.25" customHeight="1">
      <c r="A740" s="361"/>
      <c r="D740" s="361"/>
    </row>
    <row r="741" spans="1:4" ht="14.25" customHeight="1">
      <c r="A741" s="361"/>
      <c r="D741" s="361"/>
    </row>
    <row r="742" spans="1:4" ht="14.25" customHeight="1">
      <c r="A742" s="361"/>
      <c r="D742" s="361"/>
    </row>
    <row r="743" spans="1:4" ht="14.25" customHeight="1">
      <c r="A743" s="361"/>
      <c r="D743" s="361"/>
    </row>
    <row r="744" spans="1:4" ht="14.25" customHeight="1">
      <c r="A744" s="361"/>
      <c r="D744" s="361"/>
    </row>
    <row r="745" spans="1:4" ht="14.25" customHeight="1">
      <c r="A745" s="361"/>
      <c r="D745" s="361"/>
    </row>
    <row r="746" spans="1:4" ht="14.25" customHeight="1">
      <c r="A746" s="361"/>
      <c r="D746" s="361"/>
    </row>
    <row r="747" spans="1:4" ht="14.25" customHeight="1">
      <c r="A747" s="361"/>
      <c r="D747" s="361"/>
    </row>
    <row r="748" spans="1:4" ht="14.25" customHeight="1">
      <c r="A748" s="361"/>
      <c r="D748" s="361"/>
    </row>
    <row r="749" spans="1:4" ht="14.25" customHeight="1">
      <c r="A749" s="361"/>
      <c r="D749" s="361"/>
    </row>
    <row r="750" spans="1:4" ht="14.25" customHeight="1">
      <c r="A750" s="361"/>
      <c r="D750" s="361"/>
    </row>
    <row r="751" spans="1:4" ht="14.25" customHeight="1">
      <c r="A751" s="361"/>
      <c r="D751" s="361"/>
    </row>
    <row r="752" spans="1:4" ht="14.25" customHeight="1">
      <c r="A752" s="361"/>
      <c r="D752" s="361"/>
    </row>
    <row r="753" spans="1:4" ht="14.25" customHeight="1">
      <c r="A753" s="361"/>
      <c r="D753" s="361"/>
    </row>
    <row r="754" spans="1:4" ht="14.25" customHeight="1">
      <c r="A754" s="361"/>
      <c r="D754" s="361"/>
    </row>
    <row r="755" spans="1:4" ht="14.25" customHeight="1">
      <c r="A755" s="361"/>
      <c r="D755" s="361"/>
    </row>
    <row r="756" spans="1:4" ht="14.25" customHeight="1">
      <c r="A756" s="361"/>
      <c r="D756" s="361"/>
    </row>
    <row r="757" spans="1:4" ht="14.25" customHeight="1">
      <c r="A757" s="361"/>
      <c r="D757" s="361"/>
    </row>
    <row r="758" spans="1:4" ht="14.25" customHeight="1">
      <c r="A758" s="361"/>
      <c r="D758" s="361"/>
    </row>
    <row r="759" spans="1:4" ht="14.25" customHeight="1">
      <c r="A759" s="361"/>
      <c r="D759" s="361"/>
    </row>
    <row r="760" spans="1:4" ht="14.25" customHeight="1">
      <c r="A760" s="361"/>
      <c r="D760" s="361"/>
    </row>
    <row r="761" spans="1:4" ht="14.25" customHeight="1">
      <c r="A761" s="361"/>
      <c r="D761" s="361"/>
    </row>
    <row r="762" spans="1:4" ht="14.25" customHeight="1">
      <c r="A762" s="361"/>
      <c r="D762" s="361"/>
    </row>
    <row r="763" spans="1:4" ht="14.25" customHeight="1">
      <c r="A763" s="361"/>
      <c r="D763" s="361"/>
    </row>
    <row r="764" spans="1:4" ht="14.25" customHeight="1">
      <c r="A764" s="361"/>
      <c r="D764" s="361"/>
    </row>
    <row r="765" spans="1:4" ht="14.25" customHeight="1">
      <c r="A765" s="361"/>
      <c r="D765" s="361"/>
    </row>
    <row r="766" spans="1:4" ht="14.25" customHeight="1">
      <c r="A766" s="361"/>
      <c r="D766" s="361"/>
    </row>
    <row r="767" spans="1:4" ht="14.25" customHeight="1">
      <c r="A767" s="361"/>
      <c r="D767" s="361"/>
    </row>
    <row r="768" spans="1:4" ht="14.25" customHeight="1">
      <c r="A768" s="361"/>
      <c r="D768" s="361"/>
    </row>
    <row r="769" spans="1:4" ht="14.25" customHeight="1">
      <c r="A769" s="361"/>
      <c r="D769" s="361"/>
    </row>
    <row r="770" spans="1:4" ht="14.25" customHeight="1">
      <c r="A770" s="361"/>
      <c r="D770" s="361"/>
    </row>
    <row r="771" spans="1:4" ht="14.25" customHeight="1">
      <c r="A771" s="361"/>
      <c r="D771" s="361"/>
    </row>
    <row r="772" spans="1:4" ht="14.25" customHeight="1">
      <c r="A772" s="361"/>
      <c r="D772" s="361"/>
    </row>
    <row r="773" spans="1:4" ht="14.25" customHeight="1">
      <c r="A773" s="361"/>
      <c r="D773" s="361"/>
    </row>
    <row r="774" spans="1:4" ht="14.25" customHeight="1">
      <c r="A774" s="361"/>
      <c r="D774" s="361"/>
    </row>
    <row r="775" spans="1:4" ht="14.25" customHeight="1">
      <c r="A775" s="361"/>
      <c r="D775" s="361"/>
    </row>
    <row r="776" spans="1:4" ht="14.25" customHeight="1">
      <c r="A776" s="361"/>
      <c r="D776" s="361"/>
    </row>
    <row r="777" spans="1:4" ht="14.25" customHeight="1">
      <c r="A777" s="361"/>
      <c r="D777" s="361"/>
    </row>
    <row r="778" spans="1:4" ht="14.25" customHeight="1">
      <c r="A778" s="361"/>
      <c r="D778" s="361"/>
    </row>
    <row r="779" spans="1:4" ht="14.25" customHeight="1">
      <c r="A779" s="361"/>
      <c r="D779" s="361"/>
    </row>
    <row r="780" spans="1:4" ht="14.25" customHeight="1">
      <c r="A780" s="361"/>
      <c r="D780" s="361"/>
    </row>
    <row r="781" spans="1:4" ht="14.25" customHeight="1">
      <c r="A781" s="361"/>
      <c r="D781" s="361"/>
    </row>
    <row r="782" spans="1:4" ht="14.25" customHeight="1">
      <c r="A782" s="361"/>
      <c r="D782" s="361"/>
    </row>
    <row r="783" spans="1:4" ht="14.25" customHeight="1">
      <c r="A783" s="361"/>
      <c r="D783" s="361"/>
    </row>
    <row r="784" spans="1:4" ht="14.25" customHeight="1">
      <c r="A784" s="361"/>
      <c r="D784" s="361"/>
    </row>
    <row r="785" spans="1:4" ht="14.25" customHeight="1">
      <c r="A785" s="361"/>
      <c r="D785" s="361"/>
    </row>
    <row r="786" spans="1:4" ht="14.25" customHeight="1">
      <c r="A786" s="361"/>
      <c r="D786" s="361"/>
    </row>
    <row r="787" spans="1:4" ht="14.25" customHeight="1">
      <c r="A787" s="361"/>
      <c r="D787" s="361"/>
    </row>
    <row r="788" spans="1:4" ht="14.25" customHeight="1">
      <c r="A788" s="361"/>
      <c r="D788" s="361"/>
    </row>
    <row r="789" spans="1:4" ht="14.25" customHeight="1">
      <c r="A789" s="361"/>
      <c r="D789" s="361"/>
    </row>
    <row r="790" spans="1:4" ht="14.25" customHeight="1">
      <c r="A790" s="361"/>
      <c r="D790" s="361"/>
    </row>
    <row r="791" spans="1:4" ht="14.25" customHeight="1">
      <c r="A791" s="361"/>
      <c r="D791" s="361"/>
    </row>
    <row r="792" spans="1:4" ht="14.25" customHeight="1">
      <c r="A792" s="361"/>
      <c r="D792" s="361"/>
    </row>
    <row r="793" spans="1:4" ht="14.25" customHeight="1">
      <c r="A793" s="361"/>
      <c r="D793" s="361"/>
    </row>
    <row r="794" spans="1:4" ht="14.25" customHeight="1">
      <c r="A794" s="361"/>
      <c r="D794" s="361"/>
    </row>
    <row r="795" spans="1:4" ht="14.25" customHeight="1">
      <c r="A795" s="361"/>
      <c r="D795" s="361"/>
    </row>
    <row r="796" spans="1:4" ht="14.25" customHeight="1">
      <c r="A796" s="361"/>
      <c r="D796" s="361"/>
    </row>
    <row r="797" spans="1:4" ht="14.25" customHeight="1">
      <c r="A797" s="361"/>
      <c r="D797" s="361"/>
    </row>
    <row r="798" spans="1:4" ht="14.25" customHeight="1">
      <c r="A798" s="361"/>
      <c r="D798" s="361"/>
    </row>
    <row r="799" spans="1:4" ht="14.25" customHeight="1">
      <c r="A799" s="361"/>
      <c r="D799" s="361"/>
    </row>
    <row r="800" spans="1:4" ht="14.25" customHeight="1">
      <c r="A800" s="361"/>
      <c r="D800" s="361"/>
    </row>
    <row r="801" spans="1:4" ht="14.25" customHeight="1">
      <c r="A801" s="361"/>
      <c r="D801" s="361"/>
    </row>
    <row r="802" spans="1:4" ht="14.25" customHeight="1">
      <c r="A802" s="361"/>
      <c r="D802" s="361"/>
    </row>
    <row r="803" spans="1:4" ht="14.25" customHeight="1">
      <c r="A803" s="361"/>
      <c r="D803" s="361"/>
    </row>
    <row r="804" spans="1:4" ht="14.25" customHeight="1">
      <c r="A804" s="361"/>
      <c r="D804" s="361"/>
    </row>
    <row r="805" spans="1:4" ht="14.25" customHeight="1">
      <c r="A805" s="361"/>
      <c r="D805" s="361"/>
    </row>
    <row r="806" spans="1:4" ht="14.25" customHeight="1">
      <c r="A806" s="361"/>
      <c r="D806" s="361"/>
    </row>
    <row r="807" spans="1:4" ht="14.25" customHeight="1">
      <c r="A807" s="361"/>
      <c r="D807" s="361"/>
    </row>
    <row r="808" spans="1:4" ht="14.25" customHeight="1">
      <c r="A808" s="361"/>
      <c r="D808" s="361"/>
    </row>
    <row r="809" spans="1:4" ht="14.25" customHeight="1">
      <c r="A809" s="361"/>
      <c r="D809" s="361"/>
    </row>
    <row r="810" spans="1:4" ht="14.25" customHeight="1">
      <c r="A810" s="361"/>
      <c r="D810" s="361"/>
    </row>
    <row r="811" spans="1:4" ht="14.25" customHeight="1">
      <c r="A811" s="361"/>
      <c r="D811" s="361"/>
    </row>
    <row r="812" spans="1:4" ht="14.25" customHeight="1">
      <c r="A812" s="361"/>
      <c r="D812" s="361"/>
    </row>
    <row r="813" spans="1:4" ht="14.25" customHeight="1">
      <c r="A813" s="361"/>
      <c r="D813" s="361"/>
    </row>
    <row r="814" spans="1:4" ht="14.25" customHeight="1">
      <c r="A814" s="361"/>
      <c r="D814" s="361"/>
    </row>
    <row r="815" spans="1:4" ht="14.25" customHeight="1">
      <c r="A815" s="361"/>
      <c r="D815" s="361"/>
    </row>
    <row r="816" spans="1:4" ht="14.25" customHeight="1">
      <c r="A816" s="361"/>
      <c r="D816" s="361"/>
    </row>
    <row r="817" spans="1:4" ht="14.25" customHeight="1">
      <c r="A817" s="361"/>
      <c r="D817" s="361"/>
    </row>
    <row r="818" spans="1:4" ht="14.25" customHeight="1">
      <c r="A818" s="361"/>
      <c r="D818" s="361"/>
    </row>
    <row r="819" spans="1:4" ht="14.25" customHeight="1">
      <c r="A819" s="361"/>
      <c r="D819" s="361"/>
    </row>
    <row r="820" spans="1:4" ht="14.25" customHeight="1">
      <c r="A820" s="361"/>
      <c r="D820" s="361"/>
    </row>
    <row r="821" spans="1:4" ht="14.25" customHeight="1">
      <c r="A821" s="361"/>
      <c r="D821" s="361"/>
    </row>
    <row r="822" spans="1:4" ht="14.25" customHeight="1">
      <c r="A822" s="361"/>
      <c r="D822" s="361"/>
    </row>
    <row r="823" spans="1:4" ht="14.25" customHeight="1">
      <c r="A823" s="361"/>
      <c r="D823" s="361"/>
    </row>
    <row r="824" spans="1:4" ht="14.25" customHeight="1">
      <c r="A824" s="361"/>
      <c r="D824" s="361"/>
    </row>
    <row r="825" spans="1:4" ht="14.25" customHeight="1">
      <c r="A825" s="361"/>
      <c r="D825" s="361"/>
    </row>
    <row r="826" spans="1:4" ht="14.25" customHeight="1">
      <c r="A826" s="361"/>
      <c r="D826" s="361"/>
    </row>
    <row r="827" spans="1:4" ht="14.25" customHeight="1">
      <c r="A827" s="361"/>
      <c r="D827" s="361"/>
    </row>
    <row r="828" spans="1:4" ht="14.25" customHeight="1">
      <c r="A828" s="361"/>
      <c r="D828" s="361"/>
    </row>
    <row r="829" spans="1:4" ht="14.25" customHeight="1">
      <c r="A829" s="361"/>
      <c r="D829" s="361"/>
    </row>
    <row r="830" spans="1:4" ht="14.25" customHeight="1">
      <c r="A830" s="361"/>
      <c r="D830" s="361"/>
    </row>
    <row r="831" spans="1:4" ht="14.25" customHeight="1">
      <c r="A831" s="361"/>
      <c r="D831" s="361"/>
    </row>
    <row r="832" spans="1:4" ht="14.25" customHeight="1">
      <c r="A832" s="361"/>
      <c r="D832" s="361"/>
    </row>
    <row r="833" spans="1:4" ht="14.25" customHeight="1">
      <c r="A833" s="361"/>
      <c r="D833" s="361"/>
    </row>
    <row r="834" spans="1:4" ht="14.25" customHeight="1">
      <c r="A834" s="361"/>
      <c r="D834" s="361"/>
    </row>
    <row r="835" spans="1:4" ht="14.25" customHeight="1">
      <c r="A835" s="361"/>
      <c r="D835" s="361"/>
    </row>
    <row r="836" spans="1:4" ht="14.25" customHeight="1">
      <c r="A836" s="361"/>
      <c r="D836" s="361"/>
    </row>
    <row r="837" spans="1:4" ht="14.25" customHeight="1">
      <c r="A837" s="361"/>
      <c r="D837" s="361"/>
    </row>
    <row r="838" spans="1:4" ht="14.25" customHeight="1">
      <c r="A838" s="361"/>
      <c r="D838" s="361"/>
    </row>
    <row r="839" spans="1:4" ht="14.25" customHeight="1">
      <c r="A839" s="361"/>
      <c r="D839" s="361"/>
    </row>
    <row r="840" spans="1:4" ht="14.25" customHeight="1">
      <c r="A840" s="361"/>
      <c r="D840" s="361"/>
    </row>
    <row r="841" spans="1:4" ht="14.25" customHeight="1">
      <c r="A841" s="361"/>
      <c r="D841" s="361"/>
    </row>
    <row r="842" spans="1:4" ht="14.25" customHeight="1">
      <c r="A842" s="361"/>
      <c r="D842" s="361"/>
    </row>
    <row r="843" spans="1:4" ht="14.25" customHeight="1">
      <c r="A843" s="361"/>
      <c r="D843" s="361"/>
    </row>
    <row r="844" spans="1:4" ht="14.25" customHeight="1">
      <c r="A844" s="361"/>
      <c r="D844" s="361"/>
    </row>
    <row r="845" spans="1:4" ht="14.25" customHeight="1">
      <c r="A845" s="361"/>
      <c r="D845" s="361"/>
    </row>
    <row r="846" spans="1:4" ht="14.25" customHeight="1">
      <c r="A846" s="361"/>
      <c r="D846" s="361"/>
    </row>
    <row r="847" spans="1:4" ht="14.25" customHeight="1">
      <c r="A847" s="361"/>
      <c r="D847" s="361"/>
    </row>
    <row r="848" spans="1:4" ht="14.25" customHeight="1">
      <c r="A848" s="361"/>
      <c r="D848" s="361"/>
    </row>
    <row r="849" spans="1:4" ht="14.25" customHeight="1">
      <c r="A849" s="361"/>
      <c r="D849" s="361"/>
    </row>
    <row r="850" spans="1:4" ht="14.25" customHeight="1">
      <c r="A850" s="361"/>
      <c r="D850" s="361"/>
    </row>
    <row r="851" spans="1:4" ht="14.25" customHeight="1">
      <c r="A851" s="361"/>
      <c r="D851" s="361"/>
    </row>
    <row r="852" spans="1:4" ht="14.25" customHeight="1">
      <c r="A852" s="361"/>
      <c r="D852" s="361"/>
    </row>
    <row r="853" spans="1:4" ht="14.25" customHeight="1">
      <c r="A853" s="361"/>
      <c r="D853" s="361"/>
    </row>
    <row r="854" spans="1:4" ht="14.25" customHeight="1">
      <c r="A854" s="361"/>
      <c r="D854" s="361"/>
    </row>
    <row r="855" spans="1:4" ht="14.25" customHeight="1">
      <c r="A855" s="361"/>
      <c r="D855" s="361"/>
    </row>
    <row r="856" spans="1:4" ht="14.25" customHeight="1">
      <c r="A856" s="361"/>
      <c r="D856" s="361"/>
    </row>
    <row r="857" spans="1:4" ht="14.25" customHeight="1">
      <c r="A857" s="361"/>
      <c r="D857" s="361"/>
    </row>
    <row r="858" spans="1:4" ht="14.25" customHeight="1">
      <c r="A858" s="361"/>
      <c r="D858" s="361"/>
    </row>
    <row r="859" spans="1:4" ht="14.25" customHeight="1">
      <c r="A859" s="361"/>
      <c r="D859" s="361"/>
    </row>
    <row r="860" spans="1:4" ht="14.25" customHeight="1">
      <c r="A860" s="361"/>
      <c r="D860" s="361"/>
    </row>
    <row r="861" spans="1:4" ht="14.25" customHeight="1">
      <c r="A861" s="361"/>
      <c r="D861" s="361"/>
    </row>
    <row r="862" spans="1:4" ht="14.25" customHeight="1">
      <c r="A862" s="361"/>
      <c r="D862" s="361"/>
    </row>
    <row r="863" spans="1:4" ht="14.25" customHeight="1">
      <c r="A863" s="361"/>
      <c r="D863" s="361"/>
    </row>
    <row r="864" spans="1:4" ht="14.25" customHeight="1">
      <c r="A864" s="361"/>
      <c r="D864" s="361"/>
    </row>
    <row r="865" spans="1:4" ht="14.25" customHeight="1">
      <c r="A865" s="361"/>
      <c r="D865" s="361"/>
    </row>
    <row r="866" spans="1:4" ht="14.25" customHeight="1">
      <c r="A866" s="361"/>
      <c r="D866" s="361"/>
    </row>
    <row r="867" spans="1:4" ht="14.25" customHeight="1">
      <c r="A867" s="361"/>
      <c r="D867" s="361"/>
    </row>
    <row r="868" spans="1:4" ht="14.25" customHeight="1">
      <c r="A868" s="361"/>
      <c r="D868" s="361"/>
    </row>
    <row r="869" spans="1:4" ht="14.25" customHeight="1">
      <c r="A869" s="361"/>
      <c r="D869" s="361"/>
    </row>
    <row r="870" spans="1:4" ht="14.25" customHeight="1">
      <c r="A870" s="361"/>
      <c r="D870" s="361"/>
    </row>
    <row r="871" spans="1:4" ht="14.25" customHeight="1">
      <c r="A871" s="361"/>
      <c r="D871" s="361"/>
    </row>
    <row r="872" spans="1:4" ht="14.25" customHeight="1">
      <c r="A872" s="361"/>
      <c r="D872" s="361"/>
    </row>
    <row r="873" spans="1:4" ht="14.25" customHeight="1">
      <c r="A873" s="361"/>
      <c r="D873" s="361"/>
    </row>
    <row r="874" spans="1:4" ht="14.25" customHeight="1">
      <c r="A874" s="361"/>
      <c r="D874" s="361"/>
    </row>
    <row r="875" spans="1:4" ht="14.25" customHeight="1">
      <c r="A875" s="361"/>
      <c r="D875" s="361"/>
    </row>
    <row r="876" spans="1:4" ht="14.25" customHeight="1">
      <c r="A876" s="361"/>
      <c r="D876" s="361"/>
    </row>
    <row r="877" spans="1:4" ht="14.25" customHeight="1">
      <c r="A877" s="361"/>
      <c r="D877" s="361"/>
    </row>
    <row r="878" spans="1:4" ht="14.25" customHeight="1">
      <c r="A878" s="361"/>
      <c r="D878" s="361"/>
    </row>
    <row r="879" spans="1:4" ht="14.25" customHeight="1">
      <c r="A879" s="361"/>
      <c r="D879" s="361"/>
    </row>
    <row r="880" spans="1:4" ht="14.25" customHeight="1">
      <c r="A880" s="361"/>
      <c r="D880" s="361"/>
    </row>
    <row r="881" spans="1:4" ht="14.25" customHeight="1">
      <c r="A881" s="361"/>
      <c r="D881" s="361"/>
    </row>
  </sheetData>
  <mergeCells count="8">
    <mergeCell ref="B34:E34"/>
    <mergeCell ref="E12:I12"/>
    <mergeCell ref="B13:B14"/>
    <mergeCell ref="C13:C14"/>
    <mergeCell ref="D13:D14"/>
    <mergeCell ref="B26:B27"/>
    <mergeCell ref="C26:C27"/>
    <mergeCell ref="D26:D27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A961"/>
  <sheetViews>
    <sheetView workbookViewId="0"/>
  </sheetViews>
  <sheetFormatPr defaultColWidth="12.59765625" defaultRowHeight="15" customHeight="1"/>
  <cols>
    <col min="1" max="1" width="3.69921875" customWidth="1"/>
    <col min="2" max="2" width="35.09765625" customWidth="1"/>
    <col min="3" max="3" width="57" customWidth="1"/>
    <col min="8" max="8" width="18.3984375" customWidth="1"/>
    <col min="9" max="9" width="12.19921875" customWidth="1"/>
    <col min="10" max="10" width="16.59765625" customWidth="1"/>
    <col min="11" max="11" width="17" customWidth="1"/>
    <col min="12" max="12" width="7.59765625" customWidth="1"/>
    <col min="13" max="13" width="15.59765625" customWidth="1"/>
    <col min="14" max="14" width="7.59765625" customWidth="1"/>
  </cols>
  <sheetData>
    <row r="1" spans="1:27" ht="15" customHeight="1">
      <c r="A1" s="425"/>
      <c r="B1" s="425"/>
      <c r="C1" s="426"/>
      <c r="D1" s="425"/>
      <c r="E1" s="425"/>
      <c r="F1" s="425"/>
      <c r="G1" s="426"/>
      <c r="H1" s="426"/>
      <c r="I1" s="427"/>
      <c r="J1" s="428"/>
      <c r="K1" s="428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</row>
    <row r="2" spans="1:27" ht="15" customHeight="1">
      <c r="A2" s="425"/>
      <c r="B2" s="429" t="s">
        <v>208</v>
      </c>
      <c r="C2" s="425"/>
      <c r="D2" s="425"/>
      <c r="E2" s="425"/>
      <c r="F2" s="425"/>
      <c r="G2" s="425"/>
      <c r="H2" s="425"/>
      <c r="I2" s="425"/>
      <c r="J2" s="425"/>
      <c r="K2" s="42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</row>
    <row r="3" spans="1:27" ht="15" customHeight="1">
      <c r="A3" s="425"/>
      <c r="B3" s="425" t="s">
        <v>35</v>
      </c>
      <c r="C3" s="425"/>
      <c r="D3" s="425"/>
      <c r="E3" s="425"/>
      <c r="F3" s="425"/>
      <c r="G3" s="425"/>
      <c r="H3" s="425"/>
      <c r="I3" s="425"/>
      <c r="J3" s="425"/>
      <c r="K3" s="42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</row>
    <row r="4" spans="1:27" ht="15" customHeight="1">
      <c r="A4" s="425"/>
      <c r="B4" s="430" t="s">
        <v>36</v>
      </c>
      <c r="C4" s="425"/>
      <c r="D4" s="425"/>
      <c r="E4" s="425"/>
      <c r="F4" s="425"/>
      <c r="G4" s="425"/>
      <c r="H4" s="425"/>
      <c r="I4" s="425"/>
      <c r="J4" s="425"/>
      <c r="K4" s="42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</row>
    <row r="5" spans="1:27" ht="15" customHeight="1">
      <c r="A5" s="425"/>
      <c r="B5" s="430" t="s">
        <v>37</v>
      </c>
      <c r="C5" s="425"/>
      <c r="D5" s="425"/>
      <c r="E5" s="425"/>
      <c r="F5" s="425"/>
      <c r="G5" s="425"/>
      <c r="H5" s="425"/>
      <c r="I5" s="425"/>
      <c r="J5" s="425"/>
      <c r="K5" s="42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</row>
    <row r="6" spans="1:27" ht="15" customHeight="1">
      <c r="A6" s="425"/>
      <c r="B6" s="430" t="s">
        <v>38</v>
      </c>
      <c r="C6" s="430"/>
      <c r="D6" s="391"/>
      <c r="E6" s="425"/>
      <c r="F6" s="425"/>
      <c r="G6" s="426"/>
      <c r="H6" s="426"/>
      <c r="I6" s="425"/>
      <c r="J6" s="425"/>
      <c r="K6" s="42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</row>
    <row r="7" spans="1:27" ht="15" customHeight="1">
      <c r="A7" s="425"/>
      <c r="B7" s="66"/>
      <c r="C7" s="430"/>
      <c r="D7" s="391"/>
      <c r="E7" s="425"/>
      <c r="F7" s="425"/>
      <c r="G7" s="426"/>
      <c r="H7" s="426"/>
      <c r="I7" s="425"/>
      <c r="J7" s="425"/>
      <c r="K7" s="42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</row>
    <row r="8" spans="1:27" ht="15" customHeight="1">
      <c r="A8" s="425"/>
      <c r="B8" s="66"/>
      <c r="C8" s="430"/>
      <c r="D8" s="391"/>
      <c r="E8" s="425"/>
      <c r="F8" s="425"/>
      <c r="G8" s="574" t="s">
        <v>586</v>
      </c>
      <c r="H8" s="532"/>
      <c r="I8" s="425"/>
      <c r="J8" s="425"/>
      <c r="K8" s="42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</row>
    <row r="9" spans="1:27" ht="15" customHeight="1">
      <c r="A9" s="425"/>
      <c r="B9" s="66" t="s">
        <v>185</v>
      </c>
      <c r="C9" s="430"/>
      <c r="D9" s="391"/>
      <c r="E9" s="425"/>
      <c r="F9" s="425"/>
      <c r="G9" s="431" t="s">
        <v>587</v>
      </c>
      <c r="H9" s="432" t="s">
        <v>588</v>
      </c>
      <c r="I9" s="425"/>
      <c r="J9" s="425"/>
      <c r="K9" s="42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</row>
    <row r="10" spans="1:27" ht="15" customHeight="1">
      <c r="A10" s="425"/>
      <c r="B10" s="430"/>
      <c r="C10" s="430"/>
      <c r="D10" s="391"/>
      <c r="E10" s="425"/>
      <c r="F10" s="425"/>
      <c r="G10" s="431" t="s">
        <v>589</v>
      </c>
      <c r="H10" s="432" t="s">
        <v>590</v>
      </c>
      <c r="I10" s="425"/>
      <c r="J10" s="425"/>
      <c r="K10" s="425"/>
      <c r="L10" s="375"/>
      <c r="M10" s="375"/>
      <c r="N10" s="375"/>
      <c r="O10" s="375"/>
      <c r="P10" s="375"/>
      <c r="Q10" s="375"/>
      <c r="R10" s="375"/>
      <c r="S10" s="375"/>
      <c r="T10" s="375"/>
      <c r="U10" s="375"/>
      <c r="V10" s="375"/>
      <c r="W10" s="375"/>
      <c r="X10" s="375"/>
      <c r="Y10" s="375"/>
      <c r="Z10" s="375"/>
      <c r="AA10" s="375"/>
    </row>
    <row r="11" spans="1:27" ht="15" customHeight="1">
      <c r="A11" s="425"/>
      <c r="B11" s="425"/>
      <c r="C11" s="425"/>
      <c r="D11" s="425"/>
      <c r="E11" s="425"/>
      <c r="F11" s="426"/>
      <c r="G11" s="426"/>
      <c r="H11" s="430"/>
      <c r="I11" s="425"/>
      <c r="J11" s="425"/>
      <c r="K11" s="425"/>
      <c r="L11" s="375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  <c r="AA11" s="375"/>
    </row>
    <row r="12" spans="1:27" ht="15" customHeight="1">
      <c r="A12" s="425"/>
      <c r="B12" s="433" t="s">
        <v>591</v>
      </c>
      <c r="C12" s="434"/>
      <c r="D12" s="434"/>
      <c r="E12" s="435" t="s">
        <v>592</v>
      </c>
      <c r="F12" s="435" t="s">
        <v>593</v>
      </c>
      <c r="G12" s="435" t="s">
        <v>594</v>
      </c>
      <c r="H12" s="435" t="s">
        <v>595</v>
      </c>
      <c r="I12" s="425"/>
      <c r="J12" s="425"/>
      <c r="K12" s="425"/>
      <c r="L12" s="375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375"/>
      <c r="AA12" s="375"/>
    </row>
    <row r="13" spans="1:27" ht="15" customHeight="1">
      <c r="A13" s="425"/>
      <c r="B13" s="425" t="s">
        <v>596</v>
      </c>
      <c r="C13" s="425">
        <f t="shared" ref="C13:C31" si="0">E13*F13*G13</f>
        <v>156</v>
      </c>
      <c r="D13" s="425" t="s">
        <v>101</v>
      </c>
      <c r="E13" s="425">
        <v>13</v>
      </c>
      <c r="F13" s="426">
        <v>12</v>
      </c>
      <c r="G13" s="425">
        <v>1</v>
      </c>
      <c r="H13" s="430"/>
      <c r="I13" s="425"/>
      <c r="J13" s="425"/>
      <c r="K13" s="42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</row>
    <row r="14" spans="1:27" ht="15" customHeight="1">
      <c r="A14" s="425"/>
      <c r="B14" s="425" t="s">
        <v>596</v>
      </c>
      <c r="C14" s="425">
        <f t="shared" si="0"/>
        <v>266</v>
      </c>
      <c r="D14" s="425" t="s">
        <v>101</v>
      </c>
      <c r="E14" s="425">
        <v>14</v>
      </c>
      <c r="F14" s="426">
        <v>19</v>
      </c>
      <c r="G14" s="425">
        <v>1</v>
      </c>
      <c r="H14" s="430"/>
      <c r="I14" s="425"/>
      <c r="J14" s="425"/>
      <c r="K14" s="42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  <c r="AA14" s="375"/>
    </row>
    <row r="15" spans="1:27" ht="15" customHeight="1">
      <c r="A15" s="425"/>
      <c r="B15" s="425" t="s">
        <v>596</v>
      </c>
      <c r="C15" s="425">
        <f t="shared" si="0"/>
        <v>234</v>
      </c>
      <c r="D15" s="425" t="s">
        <v>101</v>
      </c>
      <c r="E15" s="425">
        <v>13</v>
      </c>
      <c r="F15" s="426">
        <v>18</v>
      </c>
      <c r="G15" s="425">
        <v>1</v>
      </c>
      <c r="H15" s="430"/>
      <c r="I15" s="425"/>
      <c r="J15" s="425"/>
      <c r="K15" s="425"/>
      <c r="L15" s="375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  <c r="AA15" s="375"/>
    </row>
    <row r="16" spans="1:27" ht="15" customHeight="1">
      <c r="A16" s="425"/>
      <c r="B16" s="425" t="s">
        <v>597</v>
      </c>
      <c r="C16" s="425">
        <f t="shared" si="0"/>
        <v>105</v>
      </c>
      <c r="D16" s="425" t="s">
        <v>101</v>
      </c>
      <c r="E16" s="425">
        <v>21</v>
      </c>
      <c r="F16" s="426">
        <v>5</v>
      </c>
      <c r="G16" s="425">
        <v>1</v>
      </c>
      <c r="H16" s="430"/>
      <c r="I16" s="425"/>
      <c r="J16" s="425"/>
      <c r="K16" s="425"/>
      <c r="L16" s="375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  <c r="AA16" s="375"/>
    </row>
    <row r="17" spans="1:27" ht="15" customHeight="1">
      <c r="A17" s="425"/>
      <c r="B17" s="425" t="s">
        <v>597</v>
      </c>
      <c r="C17" s="425">
        <f t="shared" si="0"/>
        <v>40</v>
      </c>
      <c r="D17" s="425" t="s">
        <v>101</v>
      </c>
      <c r="E17" s="425">
        <v>4</v>
      </c>
      <c r="F17" s="426">
        <v>10</v>
      </c>
      <c r="G17" s="425">
        <v>1</v>
      </c>
      <c r="H17" s="430"/>
      <c r="I17" s="425"/>
      <c r="J17" s="425"/>
      <c r="K17" s="425"/>
      <c r="L17" s="375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  <c r="AA17" s="375"/>
    </row>
    <row r="18" spans="1:27" ht="15" customHeight="1">
      <c r="A18" s="425"/>
      <c r="B18" s="425" t="s">
        <v>597</v>
      </c>
      <c r="C18" s="425">
        <f t="shared" si="0"/>
        <v>252</v>
      </c>
      <c r="D18" s="425" t="s">
        <v>101</v>
      </c>
      <c r="E18" s="425">
        <v>21</v>
      </c>
      <c r="F18" s="426">
        <v>12</v>
      </c>
      <c r="G18" s="425">
        <v>1</v>
      </c>
      <c r="H18" s="430"/>
      <c r="I18" s="425"/>
      <c r="J18" s="425"/>
      <c r="K18" s="42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</row>
    <row r="19" spans="1:27" ht="15" customHeight="1">
      <c r="A19" s="425"/>
      <c r="B19" s="425" t="s">
        <v>597</v>
      </c>
      <c r="C19" s="425">
        <f t="shared" si="0"/>
        <v>48</v>
      </c>
      <c r="D19" s="425" t="s">
        <v>101</v>
      </c>
      <c r="E19" s="425">
        <v>16</v>
      </c>
      <c r="F19" s="426">
        <v>3</v>
      </c>
      <c r="G19" s="425">
        <v>1</v>
      </c>
      <c r="H19" s="430"/>
      <c r="I19" s="425"/>
      <c r="J19" s="425"/>
      <c r="K19" s="42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375"/>
    </row>
    <row r="20" spans="1:27" ht="15" customHeight="1">
      <c r="A20" s="425"/>
      <c r="B20" s="425" t="s">
        <v>597</v>
      </c>
      <c r="C20" s="425">
        <f t="shared" si="0"/>
        <v>176</v>
      </c>
      <c r="D20" s="425" t="s">
        <v>101</v>
      </c>
      <c r="E20" s="425">
        <v>16</v>
      </c>
      <c r="F20" s="426">
        <v>11</v>
      </c>
      <c r="G20" s="425">
        <v>1</v>
      </c>
      <c r="H20" s="430"/>
      <c r="I20" s="425"/>
      <c r="J20" s="425"/>
      <c r="K20" s="425"/>
      <c r="L20" s="375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  <c r="AA20" s="375"/>
    </row>
    <row r="21" spans="1:27" ht="15" customHeight="1">
      <c r="A21" s="425"/>
      <c r="B21" s="425" t="s">
        <v>598</v>
      </c>
      <c r="C21" s="425">
        <f t="shared" si="0"/>
        <v>45</v>
      </c>
      <c r="D21" s="425" t="s">
        <v>101</v>
      </c>
      <c r="E21" s="425">
        <v>15</v>
      </c>
      <c r="F21" s="426">
        <v>3</v>
      </c>
      <c r="G21" s="425">
        <v>1</v>
      </c>
      <c r="H21" s="430"/>
      <c r="I21" s="425"/>
      <c r="J21" s="425"/>
      <c r="K21" s="42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  <c r="AA21" s="375"/>
    </row>
    <row r="22" spans="1:27" ht="15" customHeight="1">
      <c r="A22" s="425"/>
      <c r="B22" s="425" t="s">
        <v>599</v>
      </c>
      <c r="C22" s="425">
        <f t="shared" si="0"/>
        <v>108</v>
      </c>
      <c r="D22" s="425" t="s">
        <v>101</v>
      </c>
      <c r="E22" s="425">
        <v>18</v>
      </c>
      <c r="F22" s="426">
        <v>6</v>
      </c>
      <c r="G22" s="425">
        <v>1</v>
      </c>
      <c r="H22" s="430"/>
      <c r="I22" s="425"/>
      <c r="J22" s="425"/>
      <c r="K22" s="42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</row>
    <row r="23" spans="1:27" ht="15" customHeight="1">
      <c r="A23" s="425"/>
      <c r="B23" s="425" t="s">
        <v>600</v>
      </c>
      <c r="C23" s="425">
        <f t="shared" si="0"/>
        <v>221</v>
      </c>
      <c r="D23" s="425" t="s">
        <v>101</v>
      </c>
      <c r="E23" s="425">
        <v>17</v>
      </c>
      <c r="F23" s="426">
        <v>13</v>
      </c>
      <c r="G23" s="425">
        <v>1</v>
      </c>
      <c r="H23" s="430"/>
      <c r="I23" s="425"/>
      <c r="J23" s="425"/>
      <c r="K23" s="42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  <c r="AA23" s="375"/>
    </row>
    <row r="24" spans="1:27" ht="15" customHeight="1">
      <c r="A24" s="425"/>
      <c r="B24" s="425" t="s">
        <v>600</v>
      </c>
      <c r="C24" s="425">
        <f t="shared" si="0"/>
        <v>440</v>
      </c>
      <c r="D24" s="425" t="s">
        <v>101</v>
      </c>
      <c r="E24" s="425">
        <v>55</v>
      </c>
      <c r="F24" s="426">
        <v>8</v>
      </c>
      <c r="G24" s="425">
        <v>1</v>
      </c>
      <c r="H24" s="430"/>
      <c r="I24" s="425"/>
      <c r="J24" s="425"/>
      <c r="K24" s="42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  <c r="AA24" s="375"/>
    </row>
    <row r="25" spans="1:27" ht="15" customHeight="1">
      <c r="A25" s="425"/>
      <c r="B25" s="425" t="s">
        <v>601</v>
      </c>
      <c r="C25" s="425">
        <f t="shared" si="0"/>
        <v>70</v>
      </c>
      <c r="D25" s="425" t="s">
        <v>101</v>
      </c>
      <c r="E25" s="425">
        <v>7</v>
      </c>
      <c r="F25" s="426">
        <v>10</v>
      </c>
      <c r="G25" s="425">
        <v>1</v>
      </c>
      <c r="H25" s="430"/>
      <c r="I25" s="425"/>
      <c r="J25" s="425"/>
      <c r="K25" s="42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</row>
    <row r="26" spans="1:27" ht="15" customHeight="1">
      <c r="A26" s="425"/>
      <c r="B26" s="425" t="s">
        <v>602</v>
      </c>
      <c r="C26" s="425">
        <f t="shared" si="0"/>
        <v>189</v>
      </c>
      <c r="D26" s="425" t="s">
        <v>101</v>
      </c>
      <c r="E26" s="425">
        <v>63</v>
      </c>
      <c r="F26" s="426">
        <v>3</v>
      </c>
      <c r="G26" s="425">
        <v>1</v>
      </c>
      <c r="H26" s="430"/>
      <c r="I26" s="425"/>
      <c r="J26" s="425"/>
      <c r="K26" s="42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</row>
    <row r="27" spans="1:27" ht="15" customHeight="1">
      <c r="A27" s="425"/>
      <c r="B27" s="425" t="s">
        <v>603</v>
      </c>
      <c r="C27" s="425">
        <f t="shared" si="0"/>
        <v>720</v>
      </c>
      <c r="D27" s="425" t="s">
        <v>101</v>
      </c>
      <c r="E27" s="425">
        <v>72</v>
      </c>
      <c r="F27" s="426">
        <v>10</v>
      </c>
      <c r="G27" s="425">
        <v>1</v>
      </c>
      <c r="H27" s="430"/>
      <c r="I27" s="425"/>
      <c r="J27" s="425"/>
      <c r="K27" s="42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</row>
    <row r="28" spans="1:27" ht="14.4">
      <c r="A28" s="425"/>
      <c r="B28" s="425" t="s">
        <v>603</v>
      </c>
      <c r="C28" s="425">
        <f t="shared" si="0"/>
        <v>144</v>
      </c>
      <c r="D28" s="425" t="s">
        <v>101</v>
      </c>
      <c r="E28" s="425">
        <v>16</v>
      </c>
      <c r="F28" s="426">
        <v>9</v>
      </c>
      <c r="G28" s="425">
        <v>1</v>
      </c>
      <c r="H28" s="430"/>
      <c r="I28" s="425"/>
      <c r="J28" s="425"/>
      <c r="K28" s="42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</row>
    <row r="29" spans="1:27" ht="14.4">
      <c r="A29" s="425"/>
      <c r="B29" s="425" t="s">
        <v>603</v>
      </c>
      <c r="C29" s="425">
        <f t="shared" si="0"/>
        <v>85</v>
      </c>
      <c r="D29" s="425" t="s">
        <v>101</v>
      </c>
      <c r="E29" s="425">
        <v>17</v>
      </c>
      <c r="F29" s="426">
        <v>5</v>
      </c>
      <c r="G29" s="425">
        <v>1</v>
      </c>
      <c r="H29" s="430"/>
      <c r="I29" s="425"/>
      <c r="J29" s="425"/>
      <c r="K29" s="42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</row>
    <row r="30" spans="1:27" ht="14.4">
      <c r="A30" s="425"/>
      <c r="B30" s="425" t="s">
        <v>603</v>
      </c>
      <c r="C30" s="425">
        <f t="shared" si="0"/>
        <v>99</v>
      </c>
      <c r="D30" s="425" t="s">
        <v>101</v>
      </c>
      <c r="E30" s="425">
        <v>11</v>
      </c>
      <c r="F30" s="426">
        <v>9</v>
      </c>
      <c r="G30" s="425">
        <v>1</v>
      </c>
      <c r="H30" s="430"/>
      <c r="I30" s="425"/>
      <c r="J30" s="425"/>
      <c r="K30" s="42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</row>
    <row r="31" spans="1:27" ht="14.4">
      <c r="A31" s="425"/>
      <c r="B31" s="425" t="s">
        <v>604</v>
      </c>
      <c r="C31" s="425">
        <f t="shared" si="0"/>
        <v>1584</v>
      </c>
      <c r="D31" s="425" t="s">
        <v>101</v>
      </c>
      <c r="E31" s="425">
        <v>176</v>
      </c>
      <c r="F31" s="426">
        <v>9</v>
      </c>
      <c r="G31" s="425">
        <v>1</v>
      </c>
      <c r="H31" s="430"/>
      <c r="I31" s="425"/>
      <c r="J31" s="425"/>
      <c r="K31" s="42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</row>
    <row r="32" spans="1:27" ht="14.4">
      <c r="A32" s="425"/>
      <c r="B32" s="425"/>
      <c r="C32" s="425"/>
      <c r="D32" s="425"/>
      <c r="E32" s="425"/>
      <c r="F32" s="426"/>
      <c r="G32" s="425"/>
      <c r="H32" s="430"/>
      <c r="I32" s="425"/>
      <c r="J32" s="425"/>
      <c r="K32" s="42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</row>
    <row r="33" spans="1:27" ht="14.4">
      <c r="A33" s="425"/>
      <c r="B33" s="433" t="s">
        <v>605</v>
      </c>
      <c r="C33" s="434"/>
      <c r="D33" s="434"/>
      <c r="E33" s="435" t="s">
        <v>592</v>
      </c>
      <c r="F33" s="435" t="s">
        <v>593</v>
      </c>
      <c r="G33" s="434"/>
      <c r="H33" s="436"/>
      <c r="I33" s="425"/>
      <c r="J33" s="425"/>
      <c r="K33" s="42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</row>
    <row r="34" spans="1:27" ht="14.4">
      <c r="A34" s="425"/>
      <c r="B34" s="425" t="s">
        <v>606</v>
      </c>
      <c r="C34" s="425">
        <v>122</v>
      </c>
      <c r="D34" s="425" t="s">
        <v>101</v>
      </c>
      <c r="E34" s="425"/>
      <c r="F34" s="426"/>
      <c r="G34" s="425"/>
      <c r="H34" s="430"/>
      <c r="I34" s="425"/>
      <c r="J34" s="425"/>
      <c r="K34" s="42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</row>
    <row r="35" spans="1:27" ht="14.4">
      <c r="A35" s="425"/>
      <c r="B35" s="425" t="s">
        <v>607</v>
      </c>
      <c r="C35" s="425">
        <v>102</v>
      </c>
      <c r="D35" s="425" t="s">
        <v>101</v>
      </c>
      <c r="E35" s="425"/>
      <c r="F35" s="426"/>
      <c r="G35" s="425"/>
      <c r="H35" s="430"/>
      <c r="I35" s="425"/>
      <c r="J35" s="425"/>
      <c r="K35" s="42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</row>
    <row r="36" spans="1:27" ht="14.4">
      <c r="A36" s="425"/>
      <c r="B36" s="425" t="s">
        <v>608</v>
      </c>
      <c r="C36" s="425">
        <v>653</v>
      </c>
      <c r="D36" s="425" t="s">
        <v>101</v>
      </c>
      <c r="E36" s="425"/>
      <c r="F36" s="426"/>
      <c r="G36" s="425"/>
      <c r="H36" s="430"/>
      <c r="I36" s="425"/>
      <c r="J36" s="425"/>
      <c r="K36" s="42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</row>
    <row r="37" spans="1:27" ht="14.4">
      <c r="A37" s="425"/>
      <c r="B37" s="425" t="s">
        <v>608</v>
      </c>
      <c r="C37" s="425">
        <f t="shared" ref="C37:C38" si="1">E37*F37</f>
        <v>175</v>
      </c>
      <c r="D37" s="425" t="s">
        <v>101</v>
      </c>
      <c r="E37" s="425">
        <v>35</v>
      </c>
      <c r="F37" s="426">
        <v>5</v>
      </c>
      <c r="G37" s="425"/>
      <c r="H37" s="430"/>
      <c r="I37" s="425"/>
      <c r="J37" s="425"/>
      <c r="K37" s="42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</row>
    <row r="38" spans="1:27" ht="14.4">
      <c r="A38" s="425"/>
      <c r="B38" s="425" t="s">
        <v>608</v>
      </c>
      <c r="C38" s="425">
        <f t="shared" si="1"/>
        <v>318</v>
      </c>
      <c r="D38" s="425" t="s">
        <v>101</v>
      </c>
      <c r="E38" s="425">
        <v>53</v>
      </c>
      <c r="F38" s="426">
        <v>6</v>
      </c>
      <c r="G38" s="425"/>
      <c r="H38" s="430"/>
      <c r="I38" s="425"/>
      <c r="J38" s="425"/>
      <c r="K38" s="42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</row>
    <row r="39" spans="1:27" ht="14.4">
      <c r="A39" s="425"/>
      <c r="B39" s="425" t="s">
        <v>602</v>
      </c>
      <c r="C39" s="425">
        <v>113</v>
      </c>
      <c r="D39" s="425" t="s">
        <v>101</v>
      </c>
      <c r="E39" s="425"/>
      <c r="F39" s="426"/>
      <c r="G39" s="425"/>
      <c r="H39" s="430"/>
      <c r="I39" s="425"/>
      <c r="J39" s="425"/>
      <c r="K39" s="42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</row>
    <row r="40" spans="1:27" ht="14.4">
      <c r="A40" s="425"/>
      <c r="B40" s="425" t="s">
        <v>602</v>
      </c>
      <c r="C40" s="425">
        <f t="shared" ref="C40:C43" si="2">E40*F40</f>
        <v>29</v>
      </c>
      <c r="D40" s="425" t="s">
        <v>101</v>
      </c>
      <c r="E40" s="425">
        <v>29</v>
      </c>
      <c r="F40" s="426">
        <v>1</v>
      </c>
      <c r="G40" s="425"/>
      <c r="H40" s="430"/>
      <c r="I40" s="425"/>
      <c r="J40" s="425"/>
      <c r="K40" s="42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</row>
    <row r="41" spans="1:27" ht="14.4">
      <c r="A41" s="425"/>
      <c r="B41" s="425" t="s">
        <v>603</v>
      </c>
      <c r="C41" s="425">
        <f t="shared" si="2"/>
        <v>51</v>
      </c>
      <c r="D41" s="425" t="s">
        <v>101</v>
      </c>
      <c r="E41" s="425">
        <v>51</v>
      </c>
      <c r="F41" s="426">
        <v>1</v>
      </c>
      <c r="G41" s="425"/>
      <c r="H41" s="430"/>
      <c r="I41" s="425"/>
      <c r="J41" s="425"/>
      <c r="K41" s="42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</row>
    <row r="42" spans="1:27" ht="14.4">
      <c r="A42" s="425"/>
      <c r="B42" s="425" t="s">
        <v>603</v>
      </c>
      <c r="C42" s="425">
        <f t="shared" si="2"/>
        <v>255</v>
      </c>
      <c r="D42" s="425" t="s">
        <v>101</v>
      </c>
      <c r="E42" s="425">
        <v>51</v>
      </c>
      <c r="F42" s="426">
        <v>5</v>
      </c>
      <c r="G42" s="425"/>
      <c r="H42" s="430"/>
      <c r="I42" s="425"/>
      <c r="J42" s="425"/>
      <c r="K42" s="42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</row>
    <row r="43" spans="1:27" ht="14.4">
      <c r="A43" s="425"/>
      <c r="B43" s="425" t="s">
        <v>609</v>
      </c>
      <c r="C43" s="425">
        <f t="shared" si="2"/>
        <v>40</v>
      </c>
      <c r="D43" s="425" t="s">
        <v>101</v>
      </c>
      <c r="E43" s="425">
        <v>10</v>
      </c>
      <c r="F43" s="426">
        <v>4</v>
      </c>
      <c r="G43" s="425"/>
      <c r="H43" s="430"/>
      <c r="I43" s="425"/>
      <c r="J43" s="425"/>
      <c r="K43" s="42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</row>
    <row r="44" spans="1:27" ht="14.4">
      <c r="A44" s="425"/>
      <c r="B44" s="425" t="s">
        <v>610</v>
      </c>
      <c r="C44" s="425">
        <v>904</v>
      </c>
      <c r="D44" s="425" t="s">
        <v>101</v>
      </c>
      <c r="E44" s="425"/>
      <c r="F44" s="426"/>
      <c r="G44" s="425"/>
      <c r="H44" s="430"/>
      <c r="I44" s="425"/>
      <c r="J44" s="425"/>
      <c r="K44" s="42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</row>
    <row r="45" spans="1:27" ht="14.4">
      <c r="A45" s="425"/>
      <c r="B45" s="425" t="s">
        <v>611</v>
      </c>
      <c r="C45" s="425">
        <v>174</v>
      </c>
      <c r="D45" s="425" t="s">
        <v>101</v>
      </c>
      <c r="E45" s="425"/>
      <c r="F45" s="426"/>
      <c r="G45" s="425"/>
      <c r="H45" s="430"/>
      <c r="I45" s="425"/>
      <c r="J45" s="425"/>
      <c r="K45" s="42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</row>
    <row r="46" spans="1:27" ht="14.4">
      <c r="A46" s="425"/>
      <c r="B46" s="425" t="s">
        <v>612</v>
      </c>
      <c r="C46" s="425">
        <v>748</v>
      </c>
      <c r="D46" s="425" t="s">
        <v>101</v>
      </c>
      <c r="E46" s="425"/>
      <c r="F46" s="426"/>
      <c r="G46" s="425"/>
      <c r="H46" s="430"/>
      <c r="I46" s="425"/>
      <c r="J46" s="425"/>
      <c r="K46" s="42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</row>
    <row r="47" spans="1:27" ht="14.4">
      <c r="A47" s="425"/>
      <c r="B47" s="425" t="s">
        <v>613</v>
      </c>
      <c r="C47" s="425">
        <v>174</v>
      </c>
      <c r="D47" s="425" t="s">
        <v>101</v>
      </c>
      <c r="E47" s="425"/>
      <c r="F47" s="426"/>
      <c r="G47" s="425"/>
      <c r="H47" s="430"/>
      <c r="I47" s="425"/>
      <c r="J47" s="425"/>
      <c r="K47" s="42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</row>
    <row r="48" spans="1:27" ht="14.4">
      <c r="A48" s="425"/>
      <c r="B48" s="425" t="s">
        <v>614</v>
      </c>
      <c r="C48" s="425">
        <v>552</v>
      </c>
      <c r="D48" s="425" t="s">
        <v>101</v>
      </c>
      <c r="E48" s="425"/>
      <c r="F48" s="426"/>
      <c r="G48" s="425"/>
      <c r="H48" s="430"/>
      <c r="I48" s="425"/>
      <c r="J48" s="425"/>
      <c r="K48" s="42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</row>
    <row r="49" spans="1:27" ht="14.4">
      <c r="A49" s="425"/>
      <c r="B49" s="425" t="s">
        <v>615</v>
      </c>
      <c r="C49" s="425">
        <v>173</v>
      </c>
      <c r="D49" s="425" t="s">
        <v>199</v>
      </c>
      <c r="E49" s="425"/>
      <c r="F49" s="426"/>
      <c r="G49" s="426"/>
      <c r="H49" s="430"/>
      <c r="I49" s="425"/>
      <c r="J49" s="425"/>
      <c r="K49" s="42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</row>
    <row r="50" spans="1:27" ht="14.4">
      <c r="A50" s="425"/>
      <c r="B50" s="425"/>
      <c r="C50" s="425"/>
      <c r="D50" s="425"/>
      <c r="E50" s="425"/>
      <c r="F50" s="426"/>
      <c r="G50" s="426"/>
      <c r="H50" s="430"/>
      <c r="I50" s="425"/>
      <c r="J50" s="425"/>
      <c r="K50" s="42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</row>
    <row r="51" spans="1:27" ht="14.4">
      <c r="A51" s="425"/>
      <c r="B51" s="433" t="s">
        <v>616</v>
      </c>
      <c r="C51" s="434"/>
      <c r="D51" s="434"/>
      <c r="E51" s="435" t="s">
        <v>617</v>
      </c>
      <c r="F51" s="435" t="s">
        <v>593</v>
      </c>
      <c r="G51" s="435" t="s">
        <v>618</v>
      </c>
      <c r="H51" s="435" t="s">
        <v>619</v>
      </c>
      <c r="I51" s="425"/>
      <c r="J51" s="425"/>
      <c r="K51" s="42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</row>
    <row r="52" spans="1:27" ht="14.4">
      <c r="A52" s="425"/>
      <c r="B52" s="429" t="s">
        <v>620</v>
      </c>
      <c r="C52" s="425"/>
      <c r="D52" s="425"/>
      <c r="E52" s="425"/>
      <c r="F52" s="426"/>
      <c r="G52" s="426"/>
      <c r="H52" s="430"/>
      <c r="I52" s="425"/>
      <c r="J52" s="425"/>
      <c r="K52" s="42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</row>
    <row r="53" spans="1:27" ht="14.4">
      <c r="A53" s="425"/>
      <c r="B53" s="425" t="s">
        <v>621</v>
      </c>
      <c r="C53" s="425">
        <f>E53*F53*G53*2</f>
        <v>56</v>
      </c>
      <c r="D53" s="425" t="s">
        <v>101</v>
      </c>
      <c r="E53" s="425">
        <v>1</v>
      </c>
      <c r="F53" s="426">
        <v>7</v>
      </c>
      <c r="G53" s="426">
        <v>4</v>
      </c>
      <c r="H53" s="430"/>
      <c r="I53" s="425"/>
      <c r="J53" s="425"/>
      <c r="K53" s="42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</row>
    <row r="54" spans="1:27" ht="14.4">
      <c r="A54" s="425"/>
      <c r="B54" s="429" t="s">
        <v>622</v>
      </c>
      <c r="C54" s="425"/>
      <c r="D54" s="425"/>
      <c r="E54" s="425"/>
      <c r="F54" s="426"/>
      <c r="G54" s="426"/>
      <c r="H54" s="430"/>
      <c r="I54" s="425"/>
      <c r="J54" s="425"/>
      <c r="K54" s="42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</row>
    <row r="55" spans="1:27" ht="14.4">
      <c r="A55" s="425"/>
      <c r="B55" s="425" t="s">
        <v>621</v>
      </c>
      <c r="C55" s="425">
        <f>E55*F55*G55*2</f>
        <v>126</v>
      </c>
      <c r="D55" s="425" t="s">
        <v>101</v>
      </c>
      <c r="E55" s="425">
        <v>3</v>
      </c>
      <c r="F55" s="426">
        <v>7</v>
      </c>
      <c r="G55" s="426">
        <v>3</v>
      </c>
      <c r="H55" s="430"/>
      <c r="I55" s="425"/>
      <c r="J55" s="425"/>
      <c r="K55" s="42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</row>
    <row r="56" spans="1:27" ht="14.4">
      <c r="A56" s="425"/>
      <c r="B56" s="429" t="s">
        <v>622</v>
      </c>
      <c r="C56" s="425"/>
      <c r="D56" s="425"/>
      <c r="E56" s="425"/>
      <c r="F56" s="426"/>
      <c r="G56" s="426"/>
      <c r="H56" s="430"/>
      <c r="I56" s="425"/>
      <c r="J56" s="425"/>
      <c r="K56" s="42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</row>
    <row r="57" spans="1:27" ht="14.4">
      <c r="A57" s="425"/>
      <c r="B57" s="425" t="s">
        <v>623</v>
      </c>
      <c r="C57" s="425">
        <f>E57*F57*G57*2</f>
        <v>84</v>
      </c>
      <c r="D57" s="425" t="s">
        <v>101</v>
      </c>
      <c r="E57" s="425">
        <v>2</v>
      </c>
      <c r="F57" s="426">
        <v>7</v>
      </c>
      <c r="G57" s="426">
        <v>3</v>
      </c>
      <c r="H57" s="430"/>
      <c r="I57" s="425"/>
      <c r="J57" s="425"/>
      <c r="K57" s="42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</row>
    <row r="58" spans="1:27" ht="14.4">
      <c r="A58" s="425"/>
      <c r="B58" s="425"/>
      <c r="C58" s="425"/>
      <c r="D58" s="425"/>
      <c r="E58" s="425"/>
      <c r="F58" s="426"/>
      <c r="G58" s="426"/>
      <c r="H58" s="430"/>
      <c r="I58" s="425"/>
      <c r="J58" s="425"/>
      <c r="K58" s="42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</row>
    <row r="59" spans="1:27" ht="14.4">
      <c r="A59" s="425"/>
      <c r="B59" s="433" t="s">
        <v>624</v>
      </c>
      <c r="C59" s="434"/>
      <c r="D59" s="434"/>
      <c r="E59" s="435" t="s">
        <v>575</v>
      </c>
      <c r="F59" s="435" t="s">
        <v>593</v>
      </c>
      <c r="G59" s="435"/>
      <c r="H59" s="435"/>
      <c r="I59" s="425"/>
      <c r="J59" s="425"/>
      <c r="K59" s="42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</row>
    <row r="60" spans="1:27" ht="14.4">
      <c r="A60" s="425"/>
      <c r="B60" s="429" t="s">
        <v>625</v>
      </c>
      <c r="C60" s="425"/>
      <c r="D60" s="425"/>
      <c r="E60" s="425"/>
      <c r="F60" s="426"/>
      <c r="G60" s="426"/>
      <c r="H60" s="430"/>
      <c r="I60" s="425"/>
      <c r="J60" s="425"/>
      <c r="K60" s="42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</row>
    <row r="61" spans="1:27" ht="14.4">
      <c r="A61" s="425"/>
      <c r="B61" s="425" t="s">
        <v>626</v>
      </c>
      <c r="C61" s="425">
        <f t="shared" ref="C61:C62" si="3">E61*F61</f>
        <v>12</v>
      </c>
      <c r="D61" s="425" t="s">
        <v>199</v>
      </c>
      <c r="E61" s="425">
        <v>1</v>
      </c>
      <c r="F61" s="426">
        <v>12</v>
      </c>
      <c r="G61" s="426"/>
      <c r="H61" s="430"/>
      <c r="I61" s="425"/>
      <c r="J61" s="425"/>
      <c r="K61" s="42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</row>
    <row r="62" spans="1:27" ht="14.4">
      <c r="A62" s="425"/>
      <c r="B62" s="425" t="s">
        <v>627</v>
      </c>
      <c r="C62" s="425">
        <f t="shared" si="3"/>
        <v>120</v>
      </c>
      <c r="D62" s="425" t="s">
        <v>199</v>
      </c>
      <c r="E62" s="425">
        <v>12</v>
      </c>
      <c r="F62" s="426">
        <v>10</v>
      </c>
      <c r="G62" s="426"/>
      <c r="H62" s="430"/>
      <c r="I62" s="425"/>
      <c r="J62" s="425"/>
      <c r="K62" s="42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</row>
    <row r="63" spans="1:27" ht="14.4">
      <c r="A63" s="425"/>
      <c r="B63" s="425"/>
      <c r="C63" s="425"/>
      <c r="D63" s="425"/>
      <c r="E63" s="425"/>
      <c r="F63" s="426"/>
      <c r="G63" s="426"/>
      <c r="H63" s="430"/>
      <c r="I63" s="425"/>
      <c r="J63" s="425"/>
      <c r="K63" s="42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</row>
    <row r="64" spans="1:27" ht="14.4">
      <c r="A64" s="425"/>
      <c r="B64" s="437" t="s">
        <v>628</v>
      </c>
      <c r="C64" s="438"/>
      <c r="D64" s="438"/>
      <c r="E64" s="438"/>
      <c r="F64" s="574"/>
      <c r="G64" s="532"/>
      <c r="H64" s="438"/>
      <c r="I64" s="438"/>
      <c r="J64" s="438"/>
      <c r="K64" s="438"/>
      <c r="L64" s="425"/>
      <c r="M64" s="42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</row>
    <row r="65" spans="1:27" ht="14.4">
      <c r="A65" s="425"/>
      <c r="B65" s="439" t="s">
        <v>84</v>
      </c>
      <c r="C65" s="440" t="s">
        <v>85</v>
      </c>
      <c r="D65" s="440" t="s">
        <v>86</v>
      </c>
      <c r="E65" s="440" t="s">
        <v>87</v>
      </c>
      <c r="F65" s="575" t="s">
        <v>629</v>
      </c>
      <c r="G65" s="532"/>
      <c r="H65" s="440" t="s">
        <v>630</v>
      </c>
      <c r="I65" s="440" t="s">
        <v>87</v>
      </c>
      <c r="J65" s="440" t="s">
        <v>631</v>
      </c>
      <c r="K65" s="440" t="s">
        <v>632</v>
      </c>
      <c r="L65" s="425"/>
      <c r="M65" s="42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</row>
    <row r="66" spans="1:27" ht="14.4">
      <c r="A66" s="425"/>
      <c r="B66" s="441" t="s">
        <v>174</v>
      </c>
      <c r="C66" s="442"/>
      <c r="D66" s="442"/>
      <c r="E66" s="442"/>
      <c r="F66" s="576">
        <v>1</v>
      </c>
      <c r="G66" s="532"/>
      <c r="H66" s="442"/>
      <c r="I66" s="442"/>
      <c r="J66" s="442"/>
      <c r="K66" s="442"/>
      <c r="L66" s="425"/>
      <c r="M66" s="425" t="s">
        <v>633</v>
      </c>
      <c r="N66" s="375">
        <v>15</v>
      </c>
      <c r="O66" s="375" t="s">
        <v>634</v>
      </c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</row>
    <row r="67" spans="1:27" ht="28.2">
      <c r="A67" s="425"/>
      <c r="B67" s="431" t="s">
        <v>596</v>
      </c>
      <c r="C67" s="443" t="s">
        <v>635</v>
      </c>
      <c r="D67" s="444">
        <f>SUM(C13:C15)</f>
        <v>656</v>
      </c>
      <c r="E67" s="444" t="str">
        <f>D31</f>
        <v>SF</v>
      </c>
      <c r="F67" s="445">
        <f t="shared" ref="F67:F80" si="4">ROUNDUP((D67*$F$66),0)</f>
        <v>656</v>
      </c>
      <c r="G67" s="445" t="str">
        <f t="shared" ref="G67:G80" si="5">E67</f>
        <v>SF</v>
      </c>
      <c r="H67" s="446">
        <v>7</v>
      </c>
      <c r="I67" s="447" t="s">
        <v>636</v>
      </c>
      <c r="J67" s="448">
        <f t="shared" ref="J67:J80" si="6">1/H67</f>
        <v>0.14285714285714285</v>
      </c>
      <c r="K67" s="444">
        <f t="shared" ref="K67:K80" si="7">ROUNDUP(J67*F67,0)</f>
        <v>94</v>
      </c>
      <c r="L67" s="425"/>
      <c r="M67" s="425" t="s">
        <v>637</v>
      </c>
      <c r="N67" s="375">
        <v>8</v>
      </c>
      <c r="O67" s="375" t="s">
        <v>638</v>
      </c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</row>
    <row r="68" spans="1:27" ht="14.4">
      <c r="A68" s="425"/>
      <c r="B68" s="431" t="s">
        <v>597</v>
      </c>
      <c r="C68" s="443" t="s">
        <v>639</v>
      </c>
      <c r="D68" s="444">
        <f>SUM(C16:C20)</f>
        <v>621</v>
      </c>
      <c r="E68" s="444" t="s">
        <v>101</v>
      </c>
      <c r="F68" s="445">
        <f t="shared" si="4"/>
        <v>621</v>
      </c>
      <c r="G68" s="445" t="str">
        <f t="shared" si="5"/>
        <v>SF</v>
      </c>
      <c r="H68" s="446">
        <v>12</v>
      </c>
      <c r="I68" s="447" t="s">
        <v>636</v>
      </c>
      <c r="J68" s="448">
        <f t="shared" si="6"/>
        <v>8.3333333333333329E-2</v>
      </c>
      <c r="K68" s="444">
        <f t="shared" si="7"/>
        <v>52</v>
      </c>
      <c r="L68" s="425"/>
      <c r="M68" s="425" t="s">
        <v>640</v>
      </c>
      <c r="N68" s="375">
        <f>SUM(K67:K81)</f>
        <v>461</v>
      </c>
      <c r="O68" s="375" t="s">
        <v>641</v>
      </c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</row>
    <row r="69" spans="1:27" ht="14.4">
      <c r="A69" s="425"/>
      <c r="B69" s="431" t="s">
        <v>598</v>
      </c>
      <c r="C69" s="443" t="s">
        <v>642</v>
      </c>
      <c r="D69" s="444">
        <f t="shared" ref="D69:D70" si="8">SUM(C21)</f>
        <v>45</v>
      </c>
      <c r="E69" s="444" t="s">
        <v>101</v>
      </c>
      <c r="F69" s="445">
        <f t="shared" si="4"/>
        <v>45</v>
      </c>
      <c r="G69" s="445" t="str">
        <f t="shared" si="5"/>
        <v>SF</v>
      </c>
      <c r="H69" s="446">
        <v>11</v>
      </c>
      <c r="I69" s="447" t="s">
        <v>636</v>
      </c>
      <c r="J69" s="448">
        <f t="shared" si="6"/>
        <v>9.0909090909090912E-2</v>
      </c>
      <c r="K69" s="444">
        <f t="shared" si="7"/>
        <v>5</v>
      </c>
      <c r="L69" s="425"/>
      <c r="M69" s="429" t="s">
        <v>643</v>
      </c>
      <c r="N69" s="395">
        <f>ROUNDUP(N68/(N66*N67),0)</f>
        <v>4</v>
      </c>
      <c r="O69" s="395" t="s">
        <v>644</v>
      </c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</row>
    <row r="70" spans="1:27" ht="14.4">
      <c r="A70" s="425"/>
      <c r="B70" s="431" t="s">
        <v>599</v>
      </c>
      <c r="C70" s="443" t="s">
        <v>645</v>
      </c>
      <c r="D70" s="444">
        <f t="shared" si="8"/>
        <v>108</v>
      </c>
      <c r="E70" s="444" t="s">
        <v>101</v>
      </c>
      <c r="F70" s="445">
        <f t="shared" si="4"/>
        <v>108</v>
      </c>
      <c r="G70" s="445" t="str">
        <f t="shared" si="5"/>
        <v>SF</v>
      </c>
      <c r="H70" s="446">
        <v>9</v>
      </c>
      <c r="I70" s="447" t="s">
        <v>636</v>
      </c>
      <c r="J70" s="448">
        <f t="shared" si="6"/>
        <v>0.1111111111111111</v>
      </c>
      <c r="K70" s="444">
        <f t="shared" si="7"/>
        <v>12</v>
      </c>
      <c r="L70" s="425"/>
      <c r="M70" s="42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</row>
    <row r="71" spans="1:27" ht="14.4">
      <c r="A71" s="425"/>
      <c r="B71" s="431" t="s">
        <v>600</v>
      </c>
      <c r="C71" s="443" t="s">
        <v>646</v>
      </c>
      <c r="D71" s="444">
        <f>SUM(C23:C24)</f>
        <v>661</v>
      </c>
      <c r="E71" s="444" t="s">
        <v>101</v>
      </c>
      <c r="F71" s="445">
        <f t="shared" si="4"/>
        <v>661</v>
      </c>
      <c r="G71" s="445" t="str">
        <f t="shared" si="5"/>
        <v>SF</v>
      </c>
      <c r="H71" s="446">
        <v>30</v>
      </c>
      <c r="I71" s="447" t="s">
        <v>636</v>
      </c>
      <c r="J71" s="448">
        <f t="shared" si="6"/>
        <v>3.3333333333333333E-2</v>
      </c>
      <c r="K71" s="444">
        <f t="shared" si="7"/>
        <v>23</v>
      </c>
      <c r="L71" s="425"/>
      <c r="M71" s="42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</row>
    <row r="72" spans="1:27" ht="14.4">
      <c r="A72" s="425"/>
      <c r="B72" s="431" t="s">
        <v>601</v>
      </c>
      <c r="C72" s="443" t="s">
        <v>647</v>
      </c>
      <c r="D72" s="444">
        <f>SUM(C25)</f>
        <v>70</v>
      </c>
      <c r="E72" s="444" t="s">
        <v>101</v>
      </c>
      <c r="F72" s="445">
        <f t="shared" si="4"/>
        <v>70</v>
      </c>
      <c r="G72" s="445" t="str">
        <f t="shared" si="5"/>
        <v>SF</v>
      </c>
      <c r="H72" s="446">
        <v>7</v>
      </c>
      <c r="I72" s="447" t="s">
        <v>636</v>
      </c>
      <c r="J72" s="448">
        <f t="shared" si="6"/>
        <v>0.14285714285714285</v>
      </c>
      <c r="K72" s="444">
        <f t="shared" si="7"/>
        <v>10</v>
      </c>
      <c r="L72" s="425"/>
      <c r="M72" s="42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</row>
    <row r="73" spans="1:27" ht="14.4">
      <c r="A73" s="425"/>
      <c r="B73" s="431" t="s">
        <v>648</v>
      </c>
      <c r="C73" s="443" t="s">
        <v>649</v>
      </c>
      <c r="D73" s="444">
        <f>SUM(C31)</f>
        <v>1584</v>
      </c>
      <c r="E73" s="444" t="s">
        <v>101</v>
      </c>
      <c r="F73" s="445">
        <f t="shared" si="4"/>
        <v>1584</v>
      </c>
      <c r="G73" s="445" t="str">
        <f t="shared" si="5"/>
        <v>SF</v>
      </c>
      <c r="H73" s="446">
        <v>20</v>
      </c>
      <c r="I73" s="447" t="s">
        <v>636</v>
      </c>
      <c r="J73" s="448">
        <f t="shared" si="6"/>
        <v>0.05</v>
      </c>
      <c r="K73" s="444">
        <f t="shared" si="7"/>
        <v>80</v>
      </c>
      <c r="L73" s="425"/>
      <c r="M73" s="42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</row>
    <row r="74" spans="1:27" ht="42">
      <c r="A74" s="425"/>
      <c r="B74" s="431" t="s">
        <v>611</v>
      </c>
      <c r="C74" s="443" t="s">
        <v>650</v>
      </c>
      <c r="D74" s="444">
        <f t="shared" ref="D74:D75" si="9">C45</f>
        <v>174</v>
      </c>
      <c r="E74" s="444" t="s">
        <v>101</v>
      </c>
      <c r="F74" s="445">
        <f t="shared" si="4"/>
        <v>174</v>
      </c>
      <c r="G74" s="445" t="str">
        <f t="shared" si="5"/>
        <v>SF</v>
      </c>
      <c r="H74" s="446">
        <v>9</v>
      </c>
      <c r="I74" s="447" t="s">
        <v>636</v>
      </c>
      <c r="J74" s="448">
        <f t="shared" si="6"/>
        <v>0.1111111111111111</v>
      </c>
      <c r="K74" s="444">
        <f t="shared" si="7"/>
        <v>20</v>
      </c>
      <c r="L74" s="425"/>
      <c r="M74" s="42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</row>
    <row r="75" spans="1:27" ht="42">
      <c r="A75" s="425"/>
      <c r="B75" s="431" t="s">
        <v>612</v>
      </c>
      <c r="C75" s="443" t="s">
        <v>651</v>
      </c>
      <c r="D75" s="444">
        <f t="shared" si="9"/>
        <v>748</v>
      </c>
      <c r="E75" s="444" t="s">
        <v>101</v>
      </c>
      <c r="F75" s="445">
        <f t="shared" si="4"/>
        <v>748</v>
      </c>
      <c r="G75" s="445" t="str">
        <f t="shared" si="5"/>
        <v>SF</v>
      </c>
      <c r="H75" s="446">
        <v>9</v>
      </c>
      <c r="I75" s="447" t="s">
        <v>636</v>
      </c>
      <c r="J75" s="448">
        <f t="shared" si="6"/>
        <v>0.1111111111111111</v>
      </c>
      <c r="K75" s="444">
        <f t="shared" si="7"/>
        <v>84</v>
      </c>
      <c r="L75" s="425"/>
      <c r="M75" s="42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</row>
    <row r="76" spans="1:27" ht="28.2">
      <c r="A76" s="425"/>
      <c r="B76" s="431" t="s">
        <v>614</v>
      </c>
      <c r="C76" s="443" t="s">
        <v>652</v>
      </c>
      <c r="D76" s="444">
        <f>C48</f>
        <v>552</v>
      </c>
      <c r="E76" s="444" t="s">
        <v>101</v>
      </c>
      <c r="F76" s="445">
        <f t="shared" si="4"/>
        <v>552</v>
      </c>
      <c r="G76" s="445" t="str">
        <f t="shared" si="5"/>
        <v>SF</v>
      </c>
      <c r="H76" s="446">
        <v>15</v>
      </c>
      <c r="I76" s="447" t="s">
        <v>636</v>
      </c>
      <c r="J76" s="448">
        <f t="shared" si="6"/>
        <v>6.6666666666666666E-2</v>
      </c>
      <c r="K76" s="444">
        <f t="shared" si="7"/>
        <v>37</v>
      </c>
      <c r="L76" s="425"/>
      <c r="M76" s="42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</row>
    <row r="77" spans="1:27" ht="14.4">
      <c r="A77" s="425"/>
      <c r="B77" s="449"/>
      <c r="C77" s="443" t="s">
        <v>653</v>
      </c>
      <c r="D77" s="444">
        <f>ROUNDUP(D76/4/12,0)</f>
        <v>12</v>
      </c>
      <c r="E77" s="444" t="s">
        <v>97</v>
      </c>
      <c r="F77" s="445">
        <f t="shared" si="4"/>
        <v>12</v>
      </c>
      <c r="G77" s="445" t="str">
        <f t="shared" si="5"/>
        <v>EA</v>
      </c>
      <c r="H77" s="446">
        <v>7</v>
      </c>
      <c r="I77" s="447" t="s">
        <v>654</v>
      </c>
      <c r="J77" s="448">
        <f t="shared" si="6"/>
        <v>0.14285714285714285</v>
      </c>
      <c r="K77" s="444">
        <f t="shared" si="7"/>
        <v>2</v>
      </c>
      <c r="L77" s="425"/>
      <c r="M77" s="42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</row>
    <row r="78" spans="1:27" ht="14.4">
      <c r="A78" s="425"/>
      <c r="B78" s="449"/>
      <c r="C78" s="443" t="s">
        <v>655</v>
      </c>
      <c r="D78" s="444">
        <f>ROUNDUP(D76/4/2,0)</f>
        <v>69</v>
      </c>
      <c r="E78" s="444" t="s">
        <v>97</v>
      </c>
      <c r="F78" s="445">
        <f t="shared" si="4"/>
        <v>69</v>
      </c>
      <c r="G78" s="445" t="str">
        <f t="shared" si="5"/>
        <v>EA</v>
      </c>
      <c r="H78" s="446">
        <v>7</v>
      </c>
      <c r="I78" s="447" t="s">
        <v>654</v>
      </c>
      <c r="J78" s="448">
        <f t="shared" si="6"/>
        <v>0.14285714285714285</v>
      </c>
      <c r="K78" s="444">
        <f t="shared" si="7"/>
        <v>10</v>
      </c>
      <c r="L78" s="425"/>
      <c r="M78" s="42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</row>
    <row r="79" spans="1:27" ht="14.4">
      <c r="A79" s="425"/>
      <c r="B79" s="449"/>
      <c r="C79" s="443" t="s">
        <v>656</v>
      </c>
      <c r="D79" s="444">
        <f>C49</f>
        <v>173</v>
      </c>
      <c r="E79" s="444" t="s">
        <v>97</v>
      </c>
      <c r="F79" s="445">
        <f t="shared" si="4"/>
        <v>173</v>
      </c>
      <c r="G79" s="445" t="str">
        <f t="shared" si="5"/>
        <v>EA</v>
      </c>
      <c r="H79" s="446">
        <v>7</v>
      </c>
      <c r="I79" s="447" t="s">
        <v>654</v>
      </c>
      <c r="J79" s="448">
        <f t="shared" si="6"/>
        <v>0.14285714285714285</v>
      </c>
      <c r="K79" s="444">
        <f t="shared" si="7"/>
        <v>25</v>
      </c>
      <c r="L79" s="425"/>
      <c r="M79" s="42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</row>
    <row r="80" spans="1:27" ht="14.4">
      <c r="A80" s="425"/>
      <c r="B80" s="449"/>
      <c r="C80" s="443" t="s">
        <v>657</v>
      </c>
      <c r="D80" s="444">
        <f>D77*4</f>
        <v>48</v>
      </c>
      <c r="E80" s="444" t="s">
        <v>97</v>
      </c>
      <c r="F80" s="445">
        <f t="shared" si="4"/>
        <v>48</v>
      </c>
      <c r="G80" s="445" t="str">
        <f t="shared" si="5"/>
        <v>EA</v>
      </c>
      <c r="H80" s="446">
        <v>7</v>
      </c>
      <c r="I80" s="447" t="s">
        <v>654</v>
      </c>
      <c r="J80" s="448">
        <f t="shared" si="6"/>
        <v>0.14285714285714285</v>
      </c>
      <c r="K80" s="444">
        <f t="shared" si="7"/>
        <v>7</v>
      </c>
      <c r="L80" s="425"/>
      <c r="M80" s="42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</row>
    <row r="81" spans="1:27" ht="14.4">
      <c r="A81" s="425"/>
      <c r="B81" s="449"/>
      <c r="C81" s="444"/>
      <c r="D81" s="444"/>
      <c r="E81" s="444"/>
      <c r="F81" s="445"/>
      <c r="G81" s="445"/>
      <c r="H81" s="444"/>
      <c r="I81" s="447"/>
      <c r="J81" s="448"/>
      <c r="K81" s="444"/>
      <c r="L81" s="425"/>
      <c r="M81" s="42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</row>
    <row r="82" spans="1:27" ht="14.4">
      <c r="A82" s="425"/>
      <c r="B82" s="441" t="s">
        <v>658</v>
      </c>
      <c r="C82" s="442"/>
      <c r="D82" s="442"/>
      <c r="E82" s="442"/>
      <c r="F82" s="450"/>
      <c r="G82" s="450"/>
      <c r="H82" s="442"/>
      <c r="I82" s="451"/>
      <c r="J82" s="452"/>
      <c r="K82" s="442"/>
      <c r="L82" s="425"/>
      <c r="M82" s="425" t="s">
        <v>633</v>
      </c>
      <c r="N82" s="375">
        <v>5</v>
      </c>
      <c r="O82" s="375" t="s">
        <v>634</v>
      </c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</row>
    <row r="83" spans="1:27" ht="14.4">
      <c r="A83" s="425"/>
      <c r="B83" s="449" t="s">
        <v>659</v>
      </c>
      <c r="C83" s="432"/>
      <c r="D83" s="446"/>
      <c r="E83" s="444"/>
      <c r="F83" s="445"/>
      <c r="G83" s="445"/>
      <c r="H83" s="446"/>
      <c r="I83" s="447"/>
      <c r="J83" s="448"/>
      <c r="K83" s="444"/>
      <c r="L83" s="425"/>
      <c r="M83" s="425" t="s">
        <v>637</v>
      </c>
      <c r="N83" s="375">
        <v>8</v>
      </c>
      <c r="O83" s="375" t="s">
        <v>638</v>
      </c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</row>
    <row r="84" spans="1:27" ht="14.4">
      <c r="A84" s="425"/>
      <c r="B84" s="431" t="s">
        <v>660</v>
      </c>
      <c r="C84" s="444" t="s">
        <v>661</v>
      </c>
      <c r="D84" s="446">
        <f>SUM(C26:C31,C35:C42)</f>
        <v>4517</v>
      </c>
      <c r="E84" s="444" t="s">
        <v>101</v>
      </c>
      <c r="F84" s="445">
        <f t="shared" ref="F84:F85" si="10">ROUNDUP((D84*$F$66),0)</f>
        <v>4517</v>
      </c>
      <c r="G84" s="445" t="str">
        <f t="shared" ref="G84:G85" si="11">E84</f>
        <v>SF</v>
      </c>
      <c r="H84" s="446">
        <v>180</v>
      </c>
      <c r="I84" s="447" t="s">
        <v>636</v>
      </c>
      <c r="J84" s="448">
        <f t="shared" ref="J84:J85" si="12">1/H84</f>
        <v>5.5555555555555558E-3</v>
      </c>
      <c r="K84" s="444">
        <f t="shared" ref="K84:K85" si="13">ROUNDUP(J84*F84,0)</f>
        <v>26</v>
      </c>
      <c r="L84" s="425"/>
      <c r="M84" s="425" t="s">
        <v>640</v>
      </c>
      <c r="N84" s="375">
        <f>SUM(K84:K110)</f>
        <v>116</v>
      </c>
      <c r="O84" s="375" t="s">
        <v>641</v>
      </c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</row>
    <row r="85" spans="1:27" ht="14.4">
      <c r="A85" s="425"/>
      <c r="B85" s="431" t="s">
        <v>662</v>
      </c>
      <c r="C85" s="444" t="s">
        <v>661</v>
      </c>
      <c r="D85" s="446">
        <f>C44</f>
        <v>904</v>
      </c>
      <c r="E85" s="444" t="s">
        <v>101</v>
      </c>
      <c r="F85" s="445">
        <f t="shared" si="10"/>
        <v>904</v>
      </c>
      <c r="G85" s="445" t="str">
        <f t="shared" si="11"/>
        <v>SF</v>
      </c>
      <c r="H85" s="446">
        <v>100</v>
      </c>
      <c r="I85" s="447" t="s">
        <v>636</v>
      </c>
      <c r="J85" s="448">
        <f t="shared" si="12"/>
        <v>0.01</v>
      </c>
      <c r="K85" s="444">
        <f t="shared" si="13"/>
        <v>10</v>
      </c>
      <c r="L85" s="425"/>
      <c r="M85" s="429" t="s">
        <v>643</v>
      </c>
      <c r="N85" s="395">
        <f>ROUNDUP(N84/(N82*N83),0)</f>
        <v>3</v>
      </c>
      <c r="O85" s="395" t="s">
        <v>644</v>
      </c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</row>
    <row r="86" spans="1:27" ht="14.4">
      <c r="A86" s="425"/>
      <c r="B86" s="431"/>
      <c r="C86" s="432"/>
      <c r="D86" s="446"/>
      <c r="E86" s="444"/>
      <c r="F86" s="445"/>
      <c r="G86" s="445"/>
      <c r="H86" s="446"/>
      <c r="I86" s="447"/>
      <c r="J86" s="448"/>
      <c r="K86" s="444"/>
      <c r="L86" s="425"/>
      <c r="M86" s="42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</row>
    <row r="87" spans="1:27" ht="14.4">
      <c r="A87" s="425"/>
      <c r="B87" s="449" t="s">
        <v>663</v>
      </c>
      <c r="C87" s="432"/>
      <c r="D87" s="446"/>
      <c r="E87" s="444"/>
      <c r="F87" s="445"/>
      <c r="G87" s="445"/>
      <c r="H87" s="446"/>
      <c r="I87" s="447"/>
      <c r="J87" s="448"/>
      <c r="K87" s="444"/>
      <c r="L87" s="425"/>
      <c r="M87" s="42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</row>
    <row r="88" spans="1:27" ht="14.4">
      <c r="A88" s="425"/>
      <c r="B88" s="449" t="s">
        <v>664</v>
      </c>
      <c r="C88" s="432"/>
      <c r="D88" s="446"/>
      <c r="E88" s="444"/>
      <c r="F88" s="445"/>
      <c r="G88" s="445"/>
      <c r="H88" s="446"/>
      <c r="I88" s="447"/>
      <c r="J88" s="448"/>
      <c r="K88" s="444"/>
      <c r="L88" s="425"/>
      <c r="M88" s="42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</row>
    <row r="89" spans="1:27" ht="14.4">
      <c r="A89" s="425"/>
      <c r="B89" s="431" t="s">
        <v>665</v>
      </c>
      <c r="C89" s="444" t="s">
        <v>666</v>
      </c>
      <c r="D89" s="446">
        <f>SUM(C26)</f>
        <v>189</v>
      </c>
      <c r="E89" s="444" t="s">
        <v>101</v>
      </c>
      <c r="F89" s="445">
        <f t="shared" ref="F89:F90" si="14">ROUNDUP((D89*$F$66),0)</f>
        <v>189</v>
      </c>
      <c r="G89" s="445" t="str">
        <f t="shared" ref="G89:G90" si="15">E89</f>
        <v>SF</v>
      </c>
      <c r="H89" s="446">
        <v>80</v>
      </c>
      <c r="I89" s="447" t="s">
        <v>636</v>
      </c>
      <c r="J89" s="448">
        <f t="shared" ref="J89:J90" si="16">1/H89</f>
        <v>1.2500000000000001E-2</v>
      </c>
      <c r="K89" s="444">
        <f t="shared" ref="K89:K90" si="17">ROUNDUP(J89*F89,0)</f>
        <v>3</v>
      </c>
      <c r="L89" s="425"/>
      <c r="M89" s="42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</row>
    <row r="90" spans="1:27" ht="14.4">
      <c r="A90" s="425"/>
      <c r="B90" s="431" t="s">
        <v>665</v>
      </c>
      <c r="C90" s="444" t="s">
        <v>667</v>
      </c>
      <c r="D90" s="446">
        <f>SUM(C27:C30)</f>
        <v>1048</v>
      </c>
      <c r="E90" s="444" t="s">
        <v>101</v>
      </c>
      <c r="F90" s="445">
        <f t="shared" si="14"/>
        <v>1048</v>
      </c>
      <c r="G90" s="445" t="str">
        <f t="shared" si="15"/>
        <v>SF</v>
      </c>
      <c r="H90" s="446">
        <v>80</v>
      </c>
      <c r="I90" s="447" t="s">
        <v>636</v>
      </c>
      <c r="J90" s="448">
        <f t="shared" si="16"/>
        <v>1.2500000000000001E-2</v>
      </c>
      <c r="K90" s="444">
        <f t="shared" si="17"/>
        <v>14</v>
      </c>
      <c r="L90" s="425"/>
      <c r="M90" s="42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</row>
    <row r="91" spans="1:27" ht="14.4">
      <c r="A91" s="425"/>
      <c r="B91" s="449"/>
      <c r="C91" s="432"/>
      <c r="D91" s="446"/>
      <c r="E91" s="444"/>
      <c r="F91" s="445"/>
      <c r="G91" s="445"/>
      <c r="H91" s="446"/>
      <c r="I91" s="447"/>
      <c r="J91" s="448"/>
      <c r="K91" s="444"/>
      <c r="L91" s="425"/>
      <c r="M91" s="42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</row>
    <row r="92" spans="1:27" ht="14.4">
      <c r="A92" s="425"/>
      <c r="B92" s="449" t="s">
        <v>668</v>
      </c>
      <c r="C92" s="432"/>
      <c r="D92" s="446"/>
      <c r="E92" s="444"/>
      <c r="F92" s="445"/>
      <c r="G92" s="445"/>
      <c r="H92" s="446"/>
      <c r="I92" s="447"/>
      <c r="J92" s="448"/>
      <c r="K92" s="444"/>
      <c r="L92" s="425"/>
      <c r="M92" s="42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</row>
    <row r="93" spans="1:27" ht="14.4">
      <c r="A93" s="425"/>
      <c r="B93" s="431" t="s">
        <v>665</v>
      </c>
      <c r="C93" s="444" t="s">
        <v>666</v>
      </c>
      <c r="D93" s="446">
        <f>SUM(C34,C39:C40)</f>
        <v>264</v>
      </c>
      <c r="E93" s="444" t="s">
        <v>101</v>
      </c>
      <c r="F93" s="445">
        <f t="shared" ref="F93:F98" si="18">ROUNDUP((D93*$F$66),0)</f>
        <v>264</v>
      </c>
      <c r="G93" s="445" t="str">
        <f t="shared" ref="G93:G98" si="19">E93</f>
        <v>SF</v>
      </c>
      <c r="H93" s="446">
        <v>75</v>
      </c>
      <c r="I93" s="447" t="s">
        <v>636</v>
      </c>
      <c r="J93" s="448">
        <f t="shared" ref="J93:J98" si="20">1/H93</f>
        <v>1.3333333333333334E-2</v>
      </c>
      <c r="K93" s="444">
        <f t="shared" ref="K93:K98" si="21">ROUNDUP(J93*F93,0)</f>
        <v>4</v>
      </c>
      <c r="L93" s="425"/>
      <c r="M93" s="42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</row>
    <row r="94" spans="1:27" ht="14.4">
      <c r="A94" s="425"/>
      <c r="B94" s="431" t="s">
        <v>665</v>
      </c>
      <c r="C94" s="444" t="s">
        <v>669</v>
      </c>
      <c r="D94" s="446">
        <f>SUM(C36:C38)</f>
        <v>1146</v>
      </c>
      <c r="E94" s="444" t="s">
        <v>101</v>
      </c>
      <c r="F94" s="445">
        <f t="shared" si="18"/>
        <v>1146</v>
      </c>
      <c r="G94" s="445" t="str">
        <f t="shared" si="19"/>
        <v>SF</v>
      </c>
      <c r="H94" s="446">
        <v>75</v>
      </c>
      <c r="I94" s="447" t="s">
        <v>636</v>
      </c>
      <c r="J94" s="448">
        <f t="shared" si="20"/>
        <v>1.3333333333333334E-2</v>
      </c>
      <c r="K94" s="444">
        <f t="shared" si="21"/>
        <v>16</v>
      </c>
      <c r="L94" s="425"/>
      <c r="M94" s="42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</row>
    <row r="95" spans="1:27" ht="14.4">
      <c r="A95" s="425"/>
      <c r="B95" s="431" t="s">
        <v>665</v>
      </c>
      <c r="C95" s="444" t="s">
        <v>670</v>
      </c>
      <c r="D95" s="446">
        <f>SUM(C35)</f>
        <v>102</v>
      </c>
      <c r="E95" s="444" t="s">
        <v>101</v>
      </c>
      <c r="F95" s="445">
        <f t="shared" si="18"/>
        <v>102</v>
      </c>
      <c r="G95" s="445" t="str">
        <f t="shared" si="19"/>
        <v>SF</v>
      </c>
      <c r="H95" s="446">
        <v>75</v>
      </c>
      <c r="I95" s="447" t="s">
        <v>636</v>
      </c>
      <c r="J95" s="448">
        <f t="shared" si="20"/>
        <v>1.3333333333333334E-2</v>
      </c>
      <c r="K95" s="444">
        <f t="shared" si="21"/>
        <v>2</v>
      </c>
      <c r="L95" s="425"/>
      <c r="M95" s="42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</row>
    <row r="96" spans="1:27" ht="14.4">
      <c r="A96" s="425"/>
      <c r="B96" s="431" t="s">
        <v>665</v>
      </c>
      <c r="C96" s="444" t="s">
        <v>667</v>
      </c>
      <c r="D96" s="446">
        <f>SUM(C41:C42)</f>
        <v>306</v>
      </c>
      <c r="E96" s="444" t="s">
        <v>101</v>
      </c>
      <c r="F96" s="445">
        <f t="shared" si="18"/>
        <v>306</v>
      </c>
      <c r="G96" s="445" t="str">
        <f t="shared" si="19"/>
        <v>SF</v>
      </c>
      <c r="H96" s="446">
        <v>75</v>
      </c>
      <c r="I96" s="447" t="s">
        <v>636</v>
      </c>
      <c r="J96" s="448">
        <f t="shared" si="20"/>
        <v>1.3333333333333334E-2</v>
      </c>
      <c r="K96" s="444">
        <f t="shared" si="21"/>
        <v>5</v>
      </c>
      <c r="L96" s="425"/>
      <c r="M96" s="42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</row>
    <row r="97" spans="1:27" ht="14.4">
      <c r="A97" s="425"/>
      <c r="B97" s="431" t="s">
        <v>665</v>
      </c>
      <c r="C97" s="444" t="s">
        <v>671</v>
      </c>
      <c r="D97" s="446">
        <f>SUM(C43)</f>
        <v>40</v>
      </c>
      <c r="E97" s="444" t="s">
        <v>101</v>
      </c>
      <c r="F97" s="445">
        <f t="shared" si="18"/>
        <v>40</v>
      </c>
      <c r="G97" s="445" t="str">
        <f t="shared" si="19"/>
        <v>SF</v>
      </c>
      <c r="H97" s="446">
        <v>75</v>
      </c>
      <c r="I97" s="447" t="s">
        <v>636</v>
      </c>
      <c r="J97" s="448">
        <f t="shared" si="20"/>
        <v>1.3333333333333334E-2</v>
      </c>
      <c r="K97" s="444">
        <f t="shared" si="21"/>
        <v>1</v>
      </c>
      <c r="L97" s="425"/>
      <c r="M97" s="42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</row>
    <row r="98" spans="1:27" ht="14.4">
      <c r="A98" s="425"/>
      <c r="B98" s="431" t="s">
        <v>672</v>
      </c>
      <c r="C98" s="444" t="s">
        <v>667</v>
      </c>
      <c r="D98" s="446">
        <f>C44</f>
        <v>904</v>
      </c>
      <c r="E98" s="444" t="s">
        <v>101</v>
      </c>
      <c r="F98" s="445">
        <f t="shared" si="18"/>
        <v>904</v>
      </c>
      <c r="G98" s="445" t="str">
        <f t="shared" si="19"/>
        <v>SF</v>
      </c>
      <c r="H98" s="446">
        <v>60</v>
      </c>
      <c r="I98" s="447" t="s">
        <v>636</v>
      </c>
      <c r="J98" s="448">
        <f t="shared" si="20"/>
        <v>1.6666666666666666E-2</v>
      </c>
      <c r="K98" s="444">
        <f t="shared" si="21"/>
        <v>16</v>
      </c>
      <c r="L98" s="425"/>
      <c r="M98" s="42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</row>
    <row r="99" spans="1:27" ht="14.4">
      <c r="A99" s="425"/>
      <c r="B99" s="431"/>
      <c r="C99" s="444"/>
      <c r="D99" s="446"/>
      <c r="E99" s="444"/>
      <c r="F99" s="445"/>
      <c r="G99" s="445"/>
      <c r="H99" s="446"/>
      <c r="I99" s="447"/>
      <c r="J99" s="448"/>
      <c r="K99" s="444"/>
      <c r="L99" s="425"/>
      <c r="M99" s="42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</row>
    <row r="100" spans="1:27" ht="14.4">
      <c r="A100" s="425"/>
      <c r="B100" s="449" t="s">
        <v>673</v>
      </c>
      <c r="C100" s="432"/>
      <c r="D100" s="446"/>
      <c r="E100" s="444"/>
      <c r="F100" s="445"/>
      <c r="G100" s="445"/>
      <c r="H100" s="446"/>
      <c r="I100" s="447"/>
      <c r="J100" s="448"/>
      <c r="K100" s="444"/>
      <c r="L100" s="425"/>
      <c r="M100" s="42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</row>
    <row r="101" spans="1:27" ht="14.4">
      <c r="A101" s="425"/>
      <c r="B101" s="431" t="s">
        <v>674</v>
      </c>
      <c r="C101" s="444" t="s">
        <v>675</v>
      </c>
      <c r="D101" s="446">
        <f>E55</f>
        <v>3</v>
      </c>
      <c r="E101" s="444" t="s">
        <v>97</v>
      </c>
      <c r="F101" s="445">
        <f t="shared" ref="F101:F102" si="22">ROUNDUP((D101*$F$66),0)</f>
        <v>3</v>
      </c>
      <c r="G101" s="445" t="str">
        <f t="shared" ref="G101:G102" si="23">E101</f>
        <v>EA</v>
      </c>
      <c r="H101" s="446">
        <v>0.75</v>
      </c>
      <c r="I101" s="447" t="s">
        <v>654</v>
      </c>
      <c r="J101" s="448">
        <f t="shared" ref="J101:J102" si="24">1/H101</f>
        <v>1.3333333333333333</v>
      </c>
      <c r="K101" s="444">
        <f t="shared" ref="K101:K102" si="25">ROUNDUP(J101*F101,0)</f>
        <v>4</v>
      </c>
      <c r="L101" s="425"/>
      <c r="M101" s="42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</row>
    <row r="102" spans="1:27" ht="14.4">
      <c r="A102" s="425"/>
      <c r="B102" s="431" t="s">
        <v>676</v>
      </c>
      <c r="C102" s="444" t="s">
        <v>675</v>
      </c>
      <c r="D102" s="446">
        <f>E53</f>
        <v>1</v>
      </c>
      <c r="E102" s="444" t="s">
        <v>97</v>
      </c>
      <c r="F102" s="445">
        <f t="shared" si="22"/>
        <v>1</v>
      </c>
      <c r="G102" s="445" t="str">
        <f t="shared" si="23"/>
        <v>EA</v>
      </c>
      <c r="H102" s="446">
        <v>0.75</v>
      </c>
      <c r="I102" s="447" t="s">
        <v>654</v>
      </c>
      <c r="J102" s="448">
        <f t="shared" si="24"/>
        <v>1.3333333333333333</v>
      </c>
      <c r="K102" s="444">
        <f t="shared" si="25"/>
        <v>2</v>
      </c>
      <c r="L102" s="425"/>
      <c r="M102" s="42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</row>
    <row r="103" spans="1:27" ht="14.4">
      <c r="A103" s="425"/>
      <c r="B103" s="449"/>
      <c r="C103" s="432"/>
      <c r="D103" s="446"/>
      <c r="E103" s="444"/>
      <c r="F103" s="445"/>
      <c r="G103" s="445"/>
      <c r="H103" s="446"/>
      <c r="I103" s="447"/>
      <c r="J103" s="448"/>
      <c r="K103" s="444"/>
      <c r="L103" s="425"/>
      <c r="M103" s="42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</row>
    <row r="104" spans="1:27" ht="14.4">
      <c r="A104" s="425"/>
      <c r="B104" s="449" t="s">
        <v>677</v>
      </c>
      <c r="C104" s="432"/>
      <c r="D104" s="446"/>
      <c r="E104" s="444"/>
      <c r="F104" s="445"/>
      <c r="G104" s="445"/>
      <c r="H104" s="446"/>
      <c r="I104" s="447"/>
      <c r="J104" s="448"/>
      <c r="K104" s="444"/>
      <c r="L104" s="425"/>
      <c r="M104" s="42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</row>
    <row r="105" spans="1:27" ht="14.4">
      <c r="A105" s="425"/>
      <c r="B105" s="431" t="s">
        <v>678</v>
      </c>
      <c r="C105" s="444" t="s">
        <v>675</v>
      </c>
      <c r="D105" s="446">
        <f>E55</f>
        <v>3</v>
      </c>
      <c r="E105" s="444" t="s">
        <v>97</v>
      </c>
      <c r="F105" s="445">
        <f t="shared" ref="F105:F107" si="26">ROUNDUP((D105*$F$66),0)</f>
        <v>3</v>
      </c>
      <c r="G105" s="445" t="str">
        <f t="shared" ref="G105:G107" si="27">E105</f>
        <v>EA</v>
      </c>
      <c r="H105" s="446">
        <v>0.5</v>
      </c>
      <c r="I105" s="447" t="s">
        <v>654</v>
      </c>
      <c r="J105" s="448">
        <f t="shared" ref="J105:J107" si="28">1/H105</f>
        <v>2</v>
      </c>
      <c r="K105" s="444">
        <f t="shared" ref="K105:K107" si="29">ROUNDUP(J105*F105,0)</f>
        <v>6</v>
      </c>
      <c r="L105" s="425"/>
      <c r="M105" s="42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</row>
    <row r="106" spans="1:27" ht="14.4">
      <c r="A106" s="425"/>
      <c r="B106" s="431" t="s">
        <v>679</v>
      </c>
      <c r="C106" s="444" t="s">
        <v>675</v>
      </c>
      <c r="D106" s="446">
        <f>E53</f>
        <v>1</v>
      </c>
      <c r="E106" s="444" t="s">
        <v>97</v>
      </c>
      <c r="F106" s="445">
        <f t="shared" si="26"/>
        <v>1</v>
      </c>
      <c r="G106" s="445" t="str">
        <f t="shared" si="27"/>
        <v>EA</v>
      </c>
      <c r="H106" s="446">
        <v>0.5</v>
      </c>
      <c r="I106" s="447" t="s">
        <v>654</v>
      </c>
      <c r="J106" s="448">
        <f t="shared" si="28"/>
        <v>2</v>
      </c>
      <c r="K106" s="444">
        <f t="shared" si="29"/>
        <v>2</v>
      </c>
      <c r="L106" s="425"/>
      <c r="M106" s="42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</row>
    <row r="107" spans="1:27" ht="14.4">
      <c r="A107" s="425"/>
      <c r="B107" s="431" t="s">
        <v>678</v>
      </c>
      <c r="C107" s="444" t="s">
        <v>680</v>
      </c>
      <c r="D107" s="446">
        <f>E57</f>
        <v>2</v>
      </c>
      <c r="E107" s="444" t="s">
        <v>97</v>
      </c>
      <c r="F107" s="445">
        <f t="shared" si="26"/>
        <v>2</v>
      </c>
      <c r="G107" s="445" t="str">
        <f t="shared" si="27"/>
        <v>EA</v>
      </c>
      <c r="H107" s="446">
        <v>0.5</v>
      </c>
      <c r="I107" s="447" t="s">
        <v>654</v>
      </c>
      <c r="J107" s="448">
        <f t="shared" si="28"/>
        <v>2</v>
      </c>
      <c r="K107" s="444">
        <f t="shared" si="29"/>
        <v>4</v>
      </c>
      <c r="L107" s="425"/>
      <c r="M107" s="42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</row>
    <row r="108" spans="1:27" ht="14.4">
      <c r="A108" s="425"/>
      <c r="B108" s="449"/>
      <c r="C108" s="432"/>
      <c r="D108" s="446"/>
      <c r="E108" s="444"/>
      <c r="F108" s="445"/>
      <c r="G108" s="445"/>
      <c r="H108" s="446"/>
      <c r="I108" s="447"/>
      <c r="J108" s="448"/>
      <c r="K108" s="444"/>
      <c r="L108" s="425"/>
      <c r="M108" s="42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</row>
    <row r="109" spans="1:27" ht="14.4">
      <c r="A109" s="425"/>
      <c r="B109" s="449" t="s">
        <v>624</v>
      </c>
      <c r="C109" s="432"/>
      <c r="D109" s="446"/>
      <c r="E109" s="444"/>
      <c r="F109" s="445"/>
      <c r="G109" s="445"/>
      <c r="H109" s="446"/>
      <c r="I109" s="447"/>
      <c r="J109" s="448"/>
      <c r="K109" s="444"/>
      <c r="L109" s="425"/>
      <c r="M109" s="42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</row>
    <row r="110" spans="1:27" ht="14.4">
      <c r="A110" s="425"/>
      <c r="B110" s="431" t="s">
        <v>626</v>
      </c>
      <c r="C110" s="444" t="s">
        <v>667</v>
      </c>
      <c r="D110" s="446">
        <f>C61</f>
        <v>12</v>
      </c>
      <c r="E110" s="444" t="s">
        <v>199</v>
      </c>
      <c r="F110" s="445">
        <f>ROUNDUP((D110*$F$66),0)</f>
        <v>12</v>
      </c>
      <c r="G110" s="445" t="str">
        <f>E110</f>
        <v>LF</v>
      </c>
      <c r="H110" s="446">
        <v>20</v>
      </c>
      <c r="I110" s="447" t="s">
        <v>681</v>
      </c>
      <c r="J110" s="448">
        <f>1/H110</f>
        <v>0.05</v>
      </c>
      <c r="K110" s="444">
        <f>ROUNDUP(J110*F110,0)</f>
        <v>1</v>
      </c>
      <c r="L110" s="425"/>
      <c r="M110" s="42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</row>
    <row r="111" spans="1:27" ht="14.4">
      <c r="A111" s="425"/>
      <c r="B111" s="425"/>
      <c r="C111" s="425"/>
      <c r="D111" s="391"/>
      <c r="E111" s="425"/>
      <c r="F111" s="425"/>
      <c r="G111" s="425"/>
      <c r="H111" s="425"/>
      <c r="I111" s="430"/>
      <c r="J111" s="425"/>
      <c r="K111" s="42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</row>
    <row r="112" spans="1:27" ht="14.4">
      <c r="A112" s="425"/>
      <c r="B112" s="425"/>
      <c r="C112" s="425"/>
      <c r="D112" s="391"/>
      <c r="E112" s="425"/>
      <c r="F112" s="425"/>
      <c r="G112" s="425"/>
      <c r="H112" s="425"/>
      <c r="I112" s="430"/>
      <c r="J112" s="425"/>
      <c r="K112" s="42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</row>
    <row r="113" spans="1:27" ht="14.4">
      <c r="A113" s="425"/>
      <c r="B113" s="425"/>
      <c r="C113" s="425"/>
      <c r="D113" s="391"/>
      <c r="E113" s="425"/>
      <c r="F113" s="425"/>
      <c r="G113" s="425"/>
      <c r="H113" s="425"/>
      <c r="I113" s="430"/>
      <c r="J113" s="425"/>
      <c r="K113" s="42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</row>
    <row r="114" spans="1:27" ht="14.4">
      <c r="A114" s="425"/>
      <c r="B114" s="425"/>
      <c r="C114" s="425"/>
      <c r="D114" s="391"/>
      <c r="E114" s="425"/>
      <c r="F114" s="425"/>
      <c r="G114" s="425"/>
      <c r="H114" s="425"/>
      <c r="I114" s="430"/>
      <c r="J114" s="425"/>
      <c r="K114" s="42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</row>
    <row r="115" spans="1:27" ht="14.4">
      <c r="A115" s="425"/>
      <c r="B115" s="425"/>
      <c r="C115" s="425"/>
      <c r="D115" s="391"/>
      <c r="E115" s="425"/>
      <c r="F115" s="425"/>
      <c r="G115" s="425"/>
      <c r="H115" s="425"/>
      <c r="I115" s="430"/>
      <c r="J115" s="425"/>
      <c r="K115" s="42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</row>
    <row r="116" spans="1:27" ht="14.4">
      <c r="A116" s="425"/>
      <c r="B116" s="425"/>
      <c r="C116" s="425"/>
      <c r="D116" s="391"/>
      <c r="E116" s="425"/>
      <c r="F116" s="425"/>
      <c r="G116" s="425"/>
      <c r="H116" s="425"/>
      <c r="I116" s="425"/>
      <c r="J116" s="425"/>
      <c r="K116" s="42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</row>
    <row r="117" spans="1:27" ht="14.4">
      <c r="A117" s="425"/>
      <c r="B117" s="425"/>
      <c r="C117" s="425"/>
      <c r="D117" s="391"/>
      <c r="E117" s="425"/>
      <c r="F117" s="425"/>
      <c r="G117" s="425"/>
      <c r="H117" s="425"/>
      <c r="I117" s="425"/>
      <c r="J117" s="425"/>
      <c r="K117" s="42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</row>
    <row r="118" spans="1:27" ht="14.4">
      <c r="A118" s="425"/>
      <c r="B118" s="425"/>
      <c r="C118" s="425"/>
      <c r="D118" s="391"/>
      <c r="E118" s="425"/>
      <c r="F118" s="425"/>
      <c r="G118" s="425"/>
      <c r="H118" s="425"/>
      <c r="I118" s="425"/>
      <c r="J118" s="425"/>
      <c r="K118" s="42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</row>
    <row r="119" spans="1:27" ht="14.4">
      <c r="A119" s="425"/>
      <c r="B119" s="425"/>
      <c r="C119" s="425"/>
      <c r="D119" s="391"/>
      <c r="E119" s="425"/>
      <c r="F119" s="425"/>
      <c r="G119" s="425"/>
      <c r="H119" s="425"/>
      <c r="I119" s="425"/>
      <c r="J119" s="425"/>
      <c r="K119" s="42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</row>
    <row r="120" spans="1:27" ht="14.4">
      <c r="A120" s="425"/>
      <c r="B120" s="425"/>
      <c r="C120" s="425"/>
      <c r="D120" s="391"/>
      <c r="E120" s="425"/>
      <c r="F120" s="425"/>
      <c r="G120" s="425"/>
      <c r="H120" s="425"/>
      <c r="I120" s="425"/>
      <c r="J120" s="425"/>
      <c r="K120" s="42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</row>
    <row r="121" spans="1:27" ht="14.4">
      <c r="A121" s="425"/>
      <c r="B121" s="425"/>
      <c r="C121" s="425"/>
      <c r="D121" s="391"/>
      <c r="E121" s="425"/>
      <c r="F121" s="425"/>
      <c r="G121" s="425"/>
      <c r="H121" s="425"/>
      <c r="I121" s="425"/>
      <c r="J121" s="425"/>
      <c r="K121" s="42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</row>
    <row r="122" spans="1:27" ht="14.4">
      <c r="A122" s="425"/>
      <c r="B122" s="425"/>
      <c r="C122" s="425"/>
      <c r="D122" s="391"/>
      <c r="E122" s="425"/>
      <c r="F122" s="425"/>
      <c r="G122" s="425"/>
      <c r="H122" s="425"/>
      <c r="I122" s="425"/>
      <c r="J122" s="425"/>
      <c r="K122" s="42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  <c r="AA122" s="375"/>
    </row>
    <row r="123" spans="1:27" ht="14.4">
      <c r="A123" s="425"/>
      <c r="B123" s="425"/>
      <c r="C123" s="425"/>
      <c r="D123" s="391"/>
      <c r="E123" s="425"/>
      <c r="F123" s="425"/>
      <c r="G123" s="425"/>
      <c r="H123" s="425"/>
      <c r="I123" s="425"/>
      <c r="J123" s="425"/>
      <c r="K123" s="42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  <c r="AA123" s="375"/>
    </row>
    <row r="124" spans="1:27" ht="14.4">
      <c r="A124" s="425"/>
      <c r="B124" s="425"/>
      <c r="C124" s="425"/>
      <c r="D124" s="391"/>
      <c r="E124" s="425"/>
      <c r="F124" s="425"/>
      <c r="G124" s="425"/>
      <c r="H124" s="425"/>
      <c r="I124" s="425"/>
      <c r="J124" s="425"/>
      <c r="K124" s="42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</row>
    <row r="125" spans="1:27" ht="14.4">
      <c r="A125" s="425"/>
      <c r="B125" s="425"/>
      <c r="C125" s="425"/>
      <c r="D125" s="391"/>
      <c r="E125" s="425"/>
      <c r="F125" s="425"/>
      <c r="G125" s="425"/>
      <c r="H125" s="425"/>
      <c r="I125" s="425"/>
      <c r="J125" s="425"/>
      <c r="K125" s="42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</row>
    <row r="126" spans="1:27" ht="14.4">
      <c r="A126" s="425"/>
      <c r="B126" s="425"/>
      <c r="C126" s="425"/>
      <c r="D126" s="391"/>
      <c r="E126" s="425"/>
      <c r="F126" s="425"/>
      <c r="G126" s="425"/>
      <c r="H126" s="425"/>
      <c r="I126" s="425"/>
      <c r="J126" s="425"/>
      <c r="K126" s="42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  <c r="AA126" s="375"/>
    </row>
    <row r="127" spans="1:27" ht="14.4">
      <c r="A127" s="425"/>
      <c r="B127" s="425"/>
      <c r="C127" s="425"/>
      <c r="D127" s="391"/>
      <c r="E127" s="425"/>
      <c r="F127" s="425"/>
      <c r="G127" s="425"/>
      <c r="H127" s="425"/>
      <c r="I127" s="425"/>
      <c r="J127" s="425"/>
      <c r="K127" s="42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  <c r="AA127" s="375"/>
    </row>
    <row r="128" spans="1:27" ht="14.4">
      <c r="A128" s="425"/>
      <c r="B128" s="425"/>
      <c r="C128" s="425"/>
      <c r="D128" s="391"/>
      <c r="E128" s="425"/>
      <c r="F128" s="425"/>
      <c r="G128" s="425"/>
      <c r="H128" s="425"/>
      <c r="I128" s="425"/>
      <c r="J128" s="425"/>
      <c r="K128" s="42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  <c r="AA128" s="375"/>
    </row>
    <row r="129" spans="1:27" ht="14.4">
      <c r="A129" s="425"/>
      <c r="B129" s="425"/>
      <c r="C129" s="425"/>
      <c r="D129" s="391"/>
      <c r="E129" s="425"/>
      <c r="F129" s="425"/>
      <c r="G129" s="425"/>
      <c r="H129" s="425"/>
      <c r="I129" s="425"/>
      <c r="J129" s="425"/>
      <c r="K129" s="42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  <c r="AA129" s="375"/>
    </row>
    <row r="130" spans="1:27" ht="14.4">
      <c r="A130" s="425"/>
      <c r="B130" s="425"/>
      <c r="C130" s="425"/>
      <c r="D130" s="391"/>
      <c r="E130" s="425"/>
      <c r="F130" s="425"/>
      <c r="G130" s="425"/>
      <c r="H130" s="425"/>
      <c r="I130" s="425"/>
      <c r="J130" s="425"/>
      <c r="K130" s="42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  <c r="AA130" s="375"/>
    </row>
    <row r="131" spans="1:27" ht="14.4">
      <c r="A131" s="425"/>
      <c r="B131" s="425"/>
      <c r="C131" s="425"/>
      <c r="D131" s="391"/>
      <c r="E131" s="425"/>
      <c r="F131" s="425"/>
      <c r="G131" s="425"/>
      <c r="H131" s="425"/>
      <c r="I131" s="425"/>
      <c r="J131" s="425"/>
      <c r="K131" s="42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</row>
    <row r="132" spans="1:27" ht="14.4">
      <c r="A132" s="425"/>
      <c r="B132" s="425"/>
      <c r="C132" s="425"/>
      <c r="D132" s="391"/>
      <c r="E132" s="425"/>
      <c r="F132" s="425"/>
      <c r="G132" s="425"/>
      <c r="H132" s="425"/>
      <c r="I132" s="425"/>
      <c r="J132" s="425"/>
      <c r="K132" s="42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</row>
    <row r="133" spans="1:27" ht="14.4">
      <c r="A133" s="425"/>
      <c r="B133" s="425"/>
      <c r="C133" s="425"/>
      <c r="D133" s="391"/>
      <c r="E133" s="425"/>
      <c r="F133" s="425"/>
      <c r="G133" s="425"/>
      <c r="H133" s="425"/>
      <c r="I133" s="425"/>
      <c r="J133" s="425"/>
      <c r="K133" s="42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  <c r="AA133" s="375"/>
    </row>
    <row r="134" spans="1:27" ht="14.4">
      <c r="A134" s="425"/>
      <c r="B134" s="425"/>
      <c r="C134" s="425"/>
      <c r="D134" s="391"/>
      <c r="E134" s="425"/>
      <c r="F134" s="425"/>
      <c r="G134" s="425"/>
      <c r="H134" s="425"/>
      <c r="I134" s="425"/>
      <c r="J134" s="425"/>
      <c r="K134" s="42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</row>
    <row r="135" spans="1:27" ht="14.4">
      <c r="A135" s="425"/>
      <c r="B135" s="425"/>
      <c r="C135" s="425"/>
      <c r="D135" s="391"/>
      <c r="E135" s="425"/>
      <c r="F135" s="425"/>
      <c r="G135" s="425"/>
      <c r="H135" s="425"/>
      <c r="I135" s="425"/>
      <c r="J135" s="425"/>
      <c r="K135" s="42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  <c r="AA135" s="375"/>
    </row>
    <row r="136" spans="1:27" ht="14.4">
      <c r="A136" s="425"/>
      <c r="B136" s="425"/>
      <c r="C136" s="425"/>
      <c r="D136" s="391"/>
      <c r="E136" s="425"/>
      <c r="F136" s="425"/>
      <c r="G136" s="425"/>
      <c r="H136" s="425"/>
      <c r="I136" s="425"/>
      <c r="J136" s="425"/>
      <c r="K136" s="42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</row>
    <row r="137" spans="1:27" ht="14.4">
      <c r="A137" s="425"/>
      <c r="B137" s="425"/>
      <c r="C137" s="425"/>
      <c r="D137" s="391"/>
      <c r="E137" s="425"/>
      <c r="F137" s="425"/>
      <c r="G137" s="425"/>
      <c r="H137" s="425"/>
      <c r="I137" s="425"/>
      <c r="J137" s="425"/>
      <c r="K137" s="42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  <c r="AA137" s="375"/>
    </row>
    <row r="138" spans="1:27" ht="14.4">
      <c r="A138" s="425"/>
      <c r="B138" s="425"/>
      <c r="C138" s="425"/>
      <c r="D138" s="391"/>
      <c r="E138" s="425"/>
      <c r="F138" s="425"/>
      <c r="G138" s="425"/>
      <c r="H138" s="425"/>
      <c r="I138" s="425"/>
      <c r="J138" s="425"/>
      <c r="K138" s="42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  <c r="AA138" s="375"/>
    </row>
    <row r="139" spans="1:27" ht="14.4">
      <c r="A139" s="425"/>
      <c r="B139" s="425"/>
      <c r="C139" s="425"/>
      <c r="D139" s="391"/>
      <c r="E139" s="425"/>
      <c r="F139" s="425"/>
      <c r="G139" s="425"/>
      <c r="H139" s="425"/>
      <c r="I139" s="425"/>
      <c r="J139" s="425"/>
      <c r="K139" s="42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</row>
    <row r="140" spans="1:27" ht="14.4">
      <c r="A140" s="425"/>
      <c r="B140" s="425"/>
      <c r="C140" s="425"/>
      <c r="D140" s="391"/>
      <c r="E140" s="425"/>
      <c r="F140" s="425"/>
      <c r="G140" s="425"/>
      <c r="H140" s="425"/>
      <c r="I140" s="425"/>
      <c r="J140" s="425"/>
      <c r="K140" s="42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  <c r="AA140" s="375"/>
    </row>
    <row r="141" spans="1:27" ht="14.4">
      <c r="A141" s="425"/>
      <c r="B141" s="425"/>
      <c r="C141" s="425"/>
      <c r="D141" s="391"/>
      <c r="E141" s="425"/>
      <c r="F141" s="425"/>
      <c r="G141" s="425"/>
      <c r="H141" s="425"/>
      <c r="I141" s="425"/>
      <c r="J141" s="425"/>
      <c r="K141" s="42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  <c r="AA141" s="375"/>
    </row>
    <row r="142" spans="1:27" ht="14.4">
      <c r="A142" s="425"/>
      <c r="B142" s="425"/>
      <c r="C142" s="425"/>
      <c r="D142" s="391"/>
      <c r="E142" s="425"/>
      <c r="F142" s="425"/>
      <c r="G142" s="425"/>
      <c r="H142" s="425"/>
      <c r="I142" s="425"/>
      <c r="J142" s="425"/>
      <c r="K142" s="42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  <c r="AA142" s="375"/>
    </row>
    <row r="143" spans="1:27" ht="14.4">
      <c r="A143" s="425"/>
      <c r="B143" s="425"/>
      <c r="C143" s="425"/>
      <c r="D143" s="391"/>
      <c r="E143" s="425"/>
      <c r="F143" s="425"/>
      <c r="G143" s="425"/>
      <c r="H143" s="425"/>
      <c r="I143" s="425"/>
      <c r="J143" s="425"/>
      <c r="K143" s="42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  <c r="AA143" s="375"/>
    </row>
    <row r="144" spans="1:27" ht="14.4">
      <c r="A144" s="425"/>
      <c r="B144" s="425"/>
      <c r="C144" s="425"/>
      <c r="D144" s="391"/>
      <c r="E144" s="425"/>
      <c r="F144" s="425"/>
      <c r="G144" s="425"/>
      <c r="H144" s="425"/>
      <c r="I144" s="425"/>
      <c r="J144" s="425"/>
      <c r="K144" s="42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  <c r="AA144" s="375"/>
    </row>
    <row r="145" spans="1:27" ht="14.4">
      <c r="A145" s="425"/>
      <c r="B145" s="425"/>
      <c r="C145" s="425"/>
      <c r="D145" s="391"/>
      <c r="E145" s="425"/>
      <c r="F145" s="425"/>
      <c r="G145" s="425"/>
      <c r="H145" s="425"/>
      <c r="I145" s="425"/>
      <c r="J145" s="425"/>
      <c r="K145" s="42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  <c r="AA145" s="375"/>
    </row>
    <row r="146" spans="1:27" ht="14.4">
      <c r="A146" s="425"/>
      <c r="B146" s="425"/>
      <c r="C146" s="425"/>
      <c r="D146" s="391"/>
      <c r="E146" s="425"/>
      <c r="F146" s="425"/>
      <c r="G146" s="425"/>
      <c r="H146" s="425"/>
      <c r="I146" s="425"/>
      <c r="J146" s="425"/>
      <c r="K146" s="42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  <c r="AA146" s="375"/>
    </row>
    <row r="147" spans="1:27" ht="14.4">
      <c r="A147" s="425"/>
      <c r="B147" s="425"/>
      <c r="C147" s="425"/>
      <c r="D147" s="391"/>
      <c r="E147" s="425"/>
      <c r="F147" s="425"/>
      <c r="G147" s="425"/>
      <c r="H147" s="425"/>
      <c r="I147" s="425"/>
      <c r="J147" s="425"/>
      <c r="K147" s="42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  <c r="AA147" s="375"/>
    </row>
    <row r="148" spans="1:27" ht="14.4">
      <c r="A148" s="425"/>
      <c r="B148" s="425"/>
      <c r="C148" s="425"/>
      <c r="D148" s="391"/>
      <c r="E148" s="425"/>
      <c r="F148" s="425"/>
      <c r="G148" s="425"/>
      <c r="H148" s="425"/>
      <c r="I148" s="425"/>
      <c r="J148" s="425"/>
      <c r="K148" s="42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  <c r="AA148" s="375"/>
    </row>
    <row r="149" spans="1:27" ht="14.4">
      <c r="A149" s="425"/>
      <c r="B149" s="425"/>
      <c r="C149" s="425"/>
      <c r="D149" s="391"/>
      <c r="E149" s="425"/>
      <c r="F149" s="425"/>
      <c r="G149" s="425"/>
      <c r="H149" s="425"/>
      <c r="I149" s="425"/>
      <c r="J149" s="425"/>
      <c r="K149" s="42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  <c r="AA149" s="375"/>
    </row>
    <row r="150" spans="1:27" ht="14.4">
      <c r="A150" s="425"/>
      <c r="B150" s="425"/>
      <c r="C150" s="425"/>
      <c r="D150" s="391"/>
      <c r="E150" s="425"/>
      <c r="F150" s="425"/>
      <c r="G150" s="425"/>
      <c r="H150" s="425"/>
      <c r="I150" s="425"/>
      <c r="J150" s="425"/>
      <c r="K150" s="42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  <c r="AA150" s="375"/>
    </row>
    <row r="151" spans="1:27" ht="14.4">
      <c r="A151" s="425"/>
      <c r="B151" s="425"/>
      <c r="C151" s="425"/>
      <c r="D151" s="391"/>
      <c r="E151" s="425"/>
      <c r="F151" s="425"/>
      <c r="G151" s="425"/>
      <c r="H151" s="425"/>
      <c r="I151" s="425"/>
      <c r="J151" s="425"/>
      <c r="K151" s="42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  <c r="AA151" s="375"/>
    </row>
    <row r="152" spans="1:27" ht="14.4">
      <c r="A152" s="425"/>
      <c r="B152" s="425"/>
      <c r="C152" s="425"/>
      <c r="D152" s="391"/>
      <c r="E152" s="425"/>
      <c r="F152" s="425"/>
      <c r="G152" s="425"/>
      <c r="H152" s="425"/>
      <c r="I152" s="425"/>
      <c r="J152" s="425"/>
      <c r="K152" s="42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  <c r="AA152" s="375"/>
    </row>
    <row r="153" spans="1:27" ht="14.4">
      <c r="A153" s="425"/>
      <c r="B153" s="425"/>
      <c r="C153" s="425"/>
      <c r="D153" s="391"/>
      <c r="E153" s="425"/>
      <c r="F153" s="425"/>
      <c r="G153" s="425"/>
      <c r="H153" s="425"/>
      <c r="I153" s="425"/>
      <c r="J153" s="425"/>
      <c r="K153" s="42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  <c r="AA153" s="375"/>
    </row>
    <row r="154" spans="1:27" ht="14.4">
      <c r="A154" s="425"/>
      <c r="B154" s="425"/>
      <c r="C154" s="425"/>
      <c r="D154" s="391"/>
      <c r="E154" s="425"/>
      <c r="F154" s="425"/>
      <c r="G154" s="425"/>
      <c r="H154" s="425"/>
      <c r="I154" s="425"/>
      <c r="J154" s="425"/>
      <c r="K154" s="42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  <c r="AA154" s="375"/>
    </row>
    <row r="155" spans="1:27" ht="14.4">
      <c r="A155" s="425"/>
      <c r="B155" s="425"/>
      <c r="C155" s="425"/>
      <c r="D155" s="391"/>
      <c r="E155" s="425"/>
      <c r="F155" s="425"/>
      <c r="G155" s="425"/>
      <c r="H155" s="425"/>
      <c r="I155" s="425"/>
      <c r="J155" s="425"/>
      <c r="K155" s="42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  <c r="AA155" s="375"/>
    </row>
    <row r="156" spans="1:27" ht="14.4">
      <c r="A156" s="425"/>
      <c r="B156" s="425"/>
      <c r="C156" s="425"/>
      <c r="D156" s="391"/>
      <c r="E156" s="425"/>
      <c r="F156" s="425"/>
      <c r="G156" s="425"/>
      <c r="H156" s="425"/>
      <c r="I156" s="425"/>
      <c r="J156" s="425"/>
      <c r="K156" s="42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  <c r="AA156" s="375"/>
    </row>
    <row r="157" spans="1:27" ht="14.4">
      <c r="A157" s="425"/>
      <c r="B157" s="425"/>
      <c r="C157" s="425"/>
      <c r="D157" s="391"/>
      <c r="E157" s="425"/>
      <c r="F157" s="425"/>
      <c r="G157" s="425"/>
      <c r="H157" s="425"/>
      <c r="I157" s="425"/>
      <c r="J157" s="425"/>
      <c r="K157" s="42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  <c r="AA157" s="375"/>
    </row>
    <row r="158" spans="1:27" ht="14.4">
      <c r="A158" s="425"/>
      <c r="B158" s="425"/>
      <c r="C158" s="425"/>
      <c r="D158" s="391"/>
      <c r="E158" s="425"/>
      <c r="F158" s="425"/>
      <c r="G158" s="425"/>
      <c r="H158" s="425"/>
      <c r="I158" s="425"/>
      <c r="J158" s="425"/>
      <c r="K158" s="42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  <c r="AA158" s="375"/>
    </row>
    <row r="159" spans="1:27" ht="14.4">
      <c r="A159" s="425"/>
      <c r="B159" s="425"/>
      <c r="C159" s="425"/>
      <c r="D159" s="391"/>
      <c r="E159" s="425"/>
      <c r="F159" s="425"/>
      <c r="G159" s="425"/>
      <c r="H159" s="425"/>
      <c r="I159" s="425"/>
      <c r="J159" s="425"/>
      <c r="K159" s="42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  <c r="AA159" s="375"/>
    </row>
    <row r="160" spans="1:27" ht="14.4">
      <c r="A160" s="425"/>
      <c r="B160" s="425"/>
      <c r="C160" s="425"/>
      <c r="D160" s="391"/>
      <c r="E160" s="425"/>
      <c r="F160" s="425"/>
      <c r="G160" s="425"/>
      <c r="H160" s="425"/>
      <c r="I160" s="425"/>
      <c r="J160" s="425"/>
      <c r="K160" s="42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  <c r="AA160" s="375"/>
    </row>
    <row r="161" spans="1:27" ht="14.4">
      <c r="A161" s="425"/>
      <c r="B161" s="425"/>
      <c r="C161" s="425"/>
      <c r="D161" s="391"/>
      <c r="E161" s="425"/>
      <c r="F161" s="425"/>
      <c r="G161" s="425"/>
      <c r="H161" s="425"/>
      <c r="I161" s="425"/>
      <c r="J161" s="425"/>
      <c r="K161" s="42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  <c r="AA161" s="375"/>
    </row>
    <row r="162" spans="1:27" ht="14.4">
      <c r="A162" s="425"/>
      <c r="B162" s="425"/>
      <c r="C162" s="425"/>
      <c r="D162" s="391"/>
      <c r="E162" s="425"/>
      <c r="F162" s="425"/>
      <c r="G162" s="425"/>
      <c r="H162" s="425"/>
      <c r="I162" s="425"/>
      <c r="J162" s="425"/>
      <c r="K162" s="42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  <c r="AA162" s="375"/>
    </row>
    <row r="163" spans="1:27" ht="14.4">
      <c r="A163" s="425"/>
      <c r="B163" s="425"/>
      <c r="C163" s="425"/>
      <c r="D163" s="391"/>
      <c r="E163" s="425"/>
      <c r="F163" s="425"/>
      <c r="G163" s="425"/>
      <c r="H163" s="425"/>
      <c r="I163" s="425"/>
      <c r="J163" s="425"/>
      <c r="K163" s="42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  <c r="AA163" s="375"/>
    </row>
    <row r="164" spans="1:27" ht="14.4">
      <c r="A164" s="425"/>
      <c r="B164" s="425"/>
      <c r="C164" s="425"/>
      <c r="D164" s="391"/>
      <c r="E164" s="425"/>
      <c r="F164" s="425"/>
      <c r="G164" s="425"/>
      <c r="H164" s="425"/>
      <c r="I164" s="425"/>
      <c r="J164" s="425"/>
      <c r="K164" s="42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  <c r="AA164" s="375"/>
    </row>
    <row r="165" spans="1:27" ht="14.4">
      <c r="A165" s="425"/>
      <c r="B165" s="425"/>
      <c r="C165" s="425"/>
      <c r="D165" s="391"/>
      <c r="E165" s="425"/>
      <c r="F165" s="425"/>
      <c r="G165" s="425"/>
      <c r="H165" s="425"/>
      <c r="I165" s="425"/>
      <c r="J165" s="425"/>
      <c r="K165" s="42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  <c r="AA165" s="375"/>
    </row>
    <row r="166" spans="1:27" ht="14.4">
      <c r="A166" s="425"/>
      <c r="B166" s="425"/>
      <c r="C166" s="425"/>
      <c r="D166" s="391"/>
      <c r="E166" s="425"/>
      <c r="F166" s="425"/>
      <c r="G166" s="425"/>
      <c r="H166" s="425"/>
      <c r="I166" s="425"/>
      <c r="J166" s="425"/>
      <c r="K166" s="42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  <c r="AA166" s="375"/>
    </row>
    <row r="167" spans="1:27" ht="14.4">
      <c r="A167" s="425"/>
      <c r="B167" s="425"/>
      <c r="C167" s="425"/>
      <c r="D167" s="391"/>
      <c r="E167" s="425"/>
      <c r="F167" s="425"/>
      <c r="G167" s="425"/>
      <c r="H167" s="425"/>
      <c r="I167" s="425"/>
      <c r="J167" s="425"/>
      <c r="K167" s="42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  <c r="AA167" s="375"/>
    </row>
    <row r="168" spans="1:27" ht="14.4">
      <c r="A168" s="425"/>
      <c r="B168" s="425"/>
      <c r="C168" s="425"/>
      <c r="D168" s="391"/>
      <c r="E168" s="425"/>
      <c r="F168" s="425"/>
      <c r="G168" s="425"/>
      <c r="H168" s="425"/>
      <c r="I168" s="425"/>
      <c r="J168" s="425"/>
      <c r="K168" s="42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  <c r="AA168" s="375"/>
    </row>
    <row r="169" spans="1:27" ht="14.4">
      <c r="A169" s="425"/>
      <c r="B169" s="425"/>
      <c r="C169" s="425"/>
      <c r="D169" s="391"/>
      <c r="E169" s="425"/>
      <c r="F169" s="425"/>
      <c r="G169" s="425"/>
      <c r="H169" s="425"/>
      <c r="I169" s="425"/>
      <c r="J169" s="425"/>
      <c r="K169" s="42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  <c r="AA169" s="375"/>
    </row>
    <row r="170" spans="1:27" ht="14.4">
      <c r="A170" s="425"/>
      <c r="B170" s="425"/>
      <c r="C170" s="425"/>
      <c r="D170" s="391"/>
      <c r="E170" s="425"/>
      <c r="F170" s="425"/>
      <c r="G170" s="425"/>
      <c r="H170" s="425"/>
      <c r="I170" s="425"/>
      <c r="J170" s="425"/>
      <c r="K170" s="42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  <c r="AA170" s="375"/>
    </row>
    <row r="171" spans="1:27" ht="14.4">
      <c r="A171" s="425"/>
      <c r="B171" s="425"/>
      <c r="C171" s="425"/>
      <c r="D171" s="391"/>
      <c r="E171" s="425"/>
      <c r="F171" s="425"/>
      <c r="G171" s="425"/>
      <c r="H171" s="425"/>
      <c r="I171" s="425"/>
      <c r="J171" s="425"/>
      <c r="K171" s="42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  <c r="AA171" s="375"/>
    </row>
    <row r="172" spans="1:27" ht="14.4">
      <c r="A172" s="425"/>
      <c r="B172" s="425"/>
      <c r="C172" s="425"/>
      <c r="D172" s="391"/>
      <c r="E172" s="425"/>
      <c r="F172" s="425"/>
      <c r="G172" s="425"/>
      <c r="H172" s="425"/>
      <c r="I172" s="425"/>
      <c r="J172" s="425"/>
      <c r="K172" s="42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  <c r="AA172" s="375"/>
    </row>
    <row r="173" spans="1:27" ht="14.4">
      <c r="A173" s="425"/>
      <c r="B173" s="425"/>
      <c r="C173" s="425"/>
      <c r="D173" s="391"/>
      <c r="E173" s="425"/>
      <c r="F173" s="425"/>
      <c r="G173" s="425"/>
      <c r="H173" s="425"/>
      <c r="I173" s="425"/>
      <c r="J173" s="425"/>
      <c r="K173" s="42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  <c r="AA173" s="375"/>
    </row>
    <row r="174" spans="1:27" ht="14.4">
      <c r="A174" s="425"/>
      <c r="B174" s="425"/>
      <c r="C174" s="425"/>
      <c r="D174" s="391"/>
      <c r="E174" s="425"/>
      <c r="F174" s="425"/>
      <c r="G174" s="425"/>
      <c r="H174" s="425"/>
      <c r="I174" s="425"/>
      <c r="J174" s="425"/>
      <c r="K174" s="42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375"/>
    </row>
    <row r="175" spans="1:27" ht="14.4">
      <c r="A175" s="425"/>
      <c r="B175" s="425"/>
      <c r="C175" s="425"/>
      <c r="D175" s="391"/>
      <c r="E175" s="425"/>
      <c r="F175" s="425"/>
      <c r="G175" s="425"/>
      <c r="H175" s="425"/>
      <c r="I175" s="425"/>
      <c r="J175" s="425"/>
      <c r="K175" s="42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  <c r="AA175" s="375"/>
    </row>
    <row r="176" spans="1:27" ht="14.4">
      <c r="A176" s="425"/>
      <c r="B176" s="425"/>
      <c r="C176" s="425"/>
      <c r="D176" s="391"/>
      <c r="E176" s="425"/>
      <c r="F176" s="425"/>
      <c r="G176" s="425"/>
      <c r="H176" s="425"/>
      <c r="I176" s="425"/>
      <c r="J176" s="425"/>
      <c r="K176" s="42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  <c r="AA176" s="375"/>
    </row>
    <row r="177" spans="1:27" ht="14.4">
      <c r="A177" s="425"/>
      <c r="B177" s="425"/>
      <c r="C177" s="425"/>
      <c r="D177" s="391"/>
      <c r="E177" s="425"/>
      <c r="F177" s="425"/>
      <c r="G177" s="425"/>
      <c r="H177" s="425"/>
      <c r="I177" s="425"/>
      <c r="J177" s="425"/>
      <c r="K177" s="42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  <c r="AA177" s="375"/>
    </row>
    <row r="178" spans="1:27" ht="14.4">
      <c r="A178" s="425"/>
      <c r="B178" s="425"/>
      <c r="C178" s="425"/>
      <c r="D178" s="391"/>
      <c r="E178" s="425"/>
      <c r="F178" s="425"/>
      <c r="G178" s="425"/>
      <c r="H178" s="425"/>
      <c r="I178" s="425"/>
      <c r="J178" s="425"/>
      <c r="K178" s="42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  <c r="AA178" s="375"/>
    </row>
    <row r="179" spans="1:27" ht="14.4">
      <c r="A179" s="425"/>
      <c r="B179" s="425"/>
      <c r="C179" s="425"/>
      <c r="D179" s="391"/>
      <c r="E179" s="425"/>
      <c r="F179" s="425"/>
      <c r="G179" s="425"/>
      <c r="H179" s="425"/>
      <c r="I179" s="425"/>
      <c r="J179" s="425"/>
      <c r="K179" s="42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  <c r="AA179" s="375"/>
    </row>
    <row r="180" spans="1:27" ht="14.4">
      <c r="A180" s="425"/>
      <c r="B180" s="425"/>
      <c r="C180" s="425"/>
      <c r="D180" s="391"/>
      <c r="E180" s="425"/>
      <c r="F180" s="425"/>
      <c r="G180" s="425"/>
      <c r="H180" s="425"/>
      <c r="I180" s="425"/>
      <c r="J180" s="425"/>
      <c r="K180" s="42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  <c r="AA180" s="375"/>
    </row>
    <row r="181" spans="1:27" ht="14.4">
      <c r="A181" s="425"/>
      <c r="B181" s="425"/>
      <c r="C181" s="425"/>
      <c r="D181" s="391"/>
      <c r="E181" s="425"/>
      <c r="F181" s="425"/>
      <c r="G181" s="425"/>
      <c r="H181" s="425"/>
      <c r="I181" s="425"/>
      <c r="J181" s="425"/>
      <c r="K181" s="42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  <c r="AA181" s="375"/>
    </row>
    <row r="182" spans="1:27" ht="14.4">
      <c r="A182" s="425"/>
      <c r="B182" s="425"/>
      <c r="C182" s="425"/>
      <c r="D182" s="391"/>
      <c r="E182" s="425"/>
      <c r="F182" s="425"/>
      <c r="G182" s="425"/>
      <c r="H182" s="425"/>
      <c r="I182" s="425"/>
      <c r="J182" s="425"/>
      <c r="K182" s="42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  <c r="AA182" s="375"/>
    </row>
    <row r="183" spans="1:27" ht="14.4">
      <c r="A183" s="425"/>
      <c r="B183" s="425"/>
      <c r="C183" s="425"/>
      <c r="D183" s="391"/>
      <c r="E183" s="425"/>
      <c r="F183" s="425"/>
      <c r="G183" s="425"/>
      <c r="H183" s="425"/>
      <c r="I183" s="425"/>
      <c r="J183" s="425"/>
      <c r="K183" s="42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  <c r="AA183" s="375"/>
    </row>
    <row r="184" spans="1:27" ht="14.4">
      <c r="A184" s="425"/>
      <c r="B184" s="425"/>
      <c r="C184" s="425"/>
      <c r="D184" s="391"/>
      <c r="E184" s="425"/>
      <c r="F184" s="425"/>
      <c r="G184" s="425"/>
      <c r="H184" s="425"/>
      <c r="I184" s="425"/>
      <c r="J184" s="425"/>
      <c r="K184" s="42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  <c r="AA184" s="375"/>
    </row>
    <row r="185" spans="1:27" ht="14.4">
      <c r="A185" s="425"/>
      <c r="B185" s="425"/>
      <c r="C185" s="425"/>
      <c r="D185" s="391"/>
      <c r="E185" s="425"/>
      <c r="F185" s="425"/>
      <c r="G185" s="425"/>
      <c r="H185" s="425"/>
      <c r="I185" s="425"/>
      <c r="J185" s="425"/>
      <c r="K185" s="42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  <c r="AA185" s="375"/>
    </row>
    <row r="186" spans="1:27" ht="14.4">
      <c r="A186" s="425"/>
      <c r="B186" s="425"/>
      <c r="C186" s="425"/>
      <c r="D186" s="391"/>
      <c r="E186" s="425"/>
      <c r="F186" s="425"/>
      <c r="G186" s="425"/>
      <c r="H186" s="425"/>
      <c r="I186" s="425"/>
      <c r="J186" s="425"/>
      <c r="K186" s="42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  <c r="AA186" s="375"/>
    </row>
    <row r="187" spans="1:27" ht="14.4">
      <c r="A187" s="425"/>
      <c r="B187" s="425"/>
      <c r="C187" s="425"/>
      <c r="D187" s="391"/>
      <c r="E187" s="425"/>
      <c r="F187" s="425"/>
      <c r="G187" s="425"/>
      <c r="H187" s="425"/>
      <c r="I187" s="425"/>
      <c r="J187" s="425"/>
      <c r="K187" s="42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  <c r="AA187" s="375"/>
    </row>
    <row r="188" spans="1:27" ht="14.4">
      <c r="A188" s="425"/>
      <c r="B188" s="425"/>
      <c r="C188" s="425"/>
      <c r="D188" s="391"/>
      <c r="E188" s="425"/>
      <c r="F188" s="425"/>
      <c r="G188" s="425"/>
      <c r="H188" s="425"/>
      <c r="I188" s="425"/>
      <c r="J188" s="425"/>
      <c r="K188" s="42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  <c r="AA188" s="375"/>
    </row>
    <row r="189" spans="1:27" ht="14.4">
      <c r="A189" s="425"/>
      <c r="B189" s="425"/>
      <c r="C189" s="425"/>
      <c r="D189" s="391"/>
      <c r="E189" s="425"/>
      <c r="F189" s="425"/>
      <c r="G189" s="425"/>
      <c r="H189" s="425"/>
      <c r="I189" s="425"/>
      <c r="J189" s="425"/>
      <c r="K189" s="42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  <c r="AA189" s="375"/>
    </row>
    <row r="190" spans="1:27" ht="14.4">
      <c r="A190" s="425"/>
      <c r="B190" s="425"/>
      <c r="C190" s="425"/>
      <c r="D190" s="391"/>
      <c r="E190" s="425"/>
      <c r="F190" s="425"/>
      <c r="G190" s="425"/>
      <c r="H190" s="425"/>
      <c r="I190" s="425"/>
      <c r="J190" s="425"/>
      <c r="K190" s="42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</row>
    <row r="191" spans="1:27" ht="14.4">
      <c r="A191" s="425"/>
      <c r="B191" s="425"/>
      <c r="C191" s="425"/>
      <c r="D191" s="391"/>
      <c r="E191" s="425"/>
      <c r="F191" s="425"/>
      <c r="G191" s="425"/>
      <c r="H191" s="425"/>
      <c r="I191" s="425"/>
      <c r="J191" s="425"/>
      <c r="K191" s="42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  <c r="AA191" s="375"/>
    </row>
    <row r="192" spans="1:27" ht="14.4">
      <c r="A192" s="425"/>
      <c r="B192" s="425"/>
      <c r="C192" s="425"/>
      <c r="D192" s="391"/>
      <c r="E192" s="425"/>
      <c r="F192" s="425"/>
      <c r="G192" s="425"/>
      <c r="H192" s="425"/>
      <c r="I192" s="425"/>
      <c r="J192" s="425"/>
      <c r="K192" s="42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  <c r="AA192" s="375"/>
    </row>
    <row r="193" spans="1:27" ht="14.4">
      <c r="A193" s="425"/>
      <c r="B193" s="425"/>
      <c r="C193" s="425"/>
      <c r="D193" s="391"/>
      <c r="E193" s="425"/>
      <c r="F193" s="425"/>
      <c r="G193" s="425"/>
      <c r="H193" s="425"/>
      <c r="I193" s="425"/>
      <c r="J193" s="425"/>
      <c r="K193" s="42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375"/>
    </row>
    <row r="194" spans="1:27" ht="14.4">
      <c r="A194" s="425"/>
      <c r="B194" s="425"/>
      <c r="C194" s="425"/>
      <c r="D194" s="391"/>
      <c r="E194" s="425"/>
      <c r="F194" s="425"/>
      <c r="G194" s="425"/>
      <c r="H194" s="425"/>
      <c r="I194" s="425"/>
      <c r="J194" s="425"/>
      <c r="K194" s="42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  <c r="AA194" s="375"/>
    </row>
    <row r="195" spans="1:27" ht="14.4">
      <c r="A195" s="425"/>
      <c r="B195" s="425"/>
      <c r="C195" s="425"/>
      <c r="D195" s="391"/>
      <c r="E195" s="425"/>
      <c r="F195" s="425"/>
      <c r="G195" s="425"/>
      <c r="H195" s="425"/>
      <c r="I195" s="425"/>
      <c r="J195" s="425"/>
      <c r="K195" s="42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  <c r="AA195" s="375"/>
    </row>
    <row r="196" spans="1:27" ht="14.4">
      <c r="A196" s="425"/>
      <c r="B196" s="425"/>
      <c r="C196" s="425"/>
      <c r="D196" s="391"/>
      <c r="E196" s="425"/>
      <c r="F196" s="425"/>
      <c r="G196" s="425"/>
      <c r="H196" s="425"/>
      <c r="I196" s="425"/>
      <c r="J196" s="425"/>
      <c r="K196" s="42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  <c r="AA196" s="375"/>
    </row>
    <row r="197" spans="1:27" ht="14.4">
      <c r="A197" s="425"/>
      <c r="B197" s="425"/>
      <c r="C197" s="425"/>
      <c r="D197" s="391"/>
      <c r="E197" s="425"/>
      <c r="F197" s="425"/>
      <c r="G197" s="425"/>
      <c r="H197" s="425"/>
      <c r="I197" s="425"/>
      <c r="J197" s="425"/>
      <c r="K197" s="42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  <c r="AA197" s="375"/>
    </row>
    <row r="198" spans="1:27" ht="14.4">
      <c r="A198" s="425"/>
      <c r="B198" s="425"/>
      <c r="C198" s="425"/>
      <c r="D198" s="391"/>
      <c r="E198" s="425"/>
      <c r="F198" s="425"/>
      <c r="G198" s="425"/>
      <c r="H198" s="425"/>
      <c r="I198" s="425"/>
      <c r="J198" s="425"/>
      <c r="K198" s="42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  <c r="AA198" s="375"/>
    </row>
    <row r="199" spans="1:27" ht="14.4">
      <c r="A199" s="425"/>
      <c r="B199" s="425"/>
      <c r="C199" s="425"/>
      <c r="D199" s="391"/>
      <c r="E199" s="425"/>
      <c r="F199" s="425"/>
      <c r="G199" s="425"/>
      <c r="H199" s="425"/>
      <c r="I199" s="425"/>
      <c r="J199" s="425"/>
      <c r="K199" s="42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  <c r="AA199" s="375"/>
    </row>
    <row r="200" spans="1:27" ht="14.4">
      <c r="A200" s="425"/>
      <c r="B200" s="425"/>
      <c r="C200" s="425"/>
      <c r="D200" s="391"/>
      <c r="E200" s="425"/>
      <c r="F200" s="425"/>
      <c r="G200" s="425"/>
      <c r="H200" s="425"/>
      <c r="I200" s="425"/>
      <c r="J200" s="425"/>
      <c r="K200" s="42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  <c r="AA200" s="375"/>
    </row>
    <row r="201" spans="1:27" ht="14.4">
      <c r="A201" s="425"/>
      <c r="B201" s="425"/>
      <c r="C201" s="425"/>
      <c r="D201" s="391"/>
      <c r="E201" s="425"/>
      <c r="F201" s="425"/>
      <c r="G201" s="425"/>
      <c r="H201" s="425"/>
      <c r="I201" s="425"/>
      <c r="J201" s="425"/>
      <c r="K201" s="42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  <c r="AA201" s="375"/>
    </row>
    <row r="202" spans="1:27" ht="14.4">
      <c r="A202" s="425"/>
      <c r="B202" s="425"/>
      <c r="C202" s="425"/>
      <c r="D202" s="391"/>
      <c r="E202" s="425"/>
      <c r="F202" s="425"/>
      <c r="G202" s="425"/>
      <c r="H202" s="425"/>
      <c r="I202" s="425"/>
      <c r="J202" s="425"/>
      <c r="K202" s="42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  <c r="AA202" s="375"/>
    </row>
    <row r="203" spans="1:27" ht="14.4">
      <c r="A203" s="425"/>
      <c r="B203" s="425"/>
      <c r="C203" s="425"/>
      <c r="D203" s="391"/>
      <c r="E203" s="425"/>
      <c r="F203" s="425"/>
      <c r="G203" s="425"/>
      <c r="H203" s="425"/>
      <c r="I203" s="425"/>
      <c r="J203" s="425"/>
      <c r="K203" s="42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  <c r="AA203" s="375"/>
    </row>
    <row r="204" spans="1:27" ht="14.4">
      <c r="A204" s="425"/>
      <c r="B204" s="425"/>
      <c r="C204" s="425"/>
      <c r="D204" s="391"/>
      <c r="E204" s="425"/>
      <c r="F204" s="425"/>
      <c r="G204" s="425"/>
      <c r="H204" s="425"/>
      <c r="I204" s="425"/>
      <c r="J204" s="425"/>
      <c r="K204" s="42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  <c r="AA204" s="375"/>
    </row>
    <row r="205" spans="1:27" ht="14.4">
      <c r="A205" s="425"/>
      <c r="B205" s="425"/>
      <c r="C205" s="425"/>
      <c r="D205" s="391"/>
      <c r="E205" s="425"/>
      <c r="F205" s="425"/>
      <c r="G205" s="425"/>
      <c r="H205" s="425"/>
      <c r="I205" s="425"/>
      <c r="J205" s="425"/>
      <c r="K205" s="42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375"/>
    </row>
    <row r="206" spans="1:27" ht="14.4">
      <c r="A206" s="425"/>
      <c r="B206" s="425"/>
      <c r="C206" s="425"/>
      <c r="D206" s="391"/>
      <c r="E206" s="425"/>
      <c r="F206" s="425"/>
      <c r="G206" s="425"/>
      <c r="H206" s="425"/>
      <c r="I206" s="425"/>
      <c r="J206" s="425"/>
      <c r="K206" s="42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  <c r="AA206" s="375"/>
    </row>
    <row r="207" spans="1:27" ht="14.4">
      <c r="A207" s="425"/>
      <c r="B207" s="425"/>
      <c r="C207" s="425"/>
      <c r="D207" s="391"/>
      <c r="E207" s="425"/>
      <c r="F207" s="425"/>
      <c r="G207" s="425"/>
      <c r="H207" s="425"/>
      <c r="I207" s="425"/>
      <c r="J207" s="425"/>
      <c r="K207" s="42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  <c r="AA207" s="375"/>
    </row>
    <row r="208" spans="1:27" ht="14.4">
      <c r="A208" s="425"/>
      <c r="B208" s="425"/>
      <c r="C208" s="425"/>
      <c r="D208" s="391"/>
      <c r="E208" s="425"/>
      <c r="F208" s="425"/>
      <c r="G208" s="425"/>
      <c r="H208" s="425"/>
      <c r="I208" s="425"/>
      <c r="J208" s="425"/>
      <c r="K208" s="42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  <c r="AA208" s="375"/>
    </row>
    <row r="209" spans="1:27" ht="14.4">
      <c r="A209" s="425"/>
      <c r="B209" s="425"/>
      <c r="C209" s="425"/>
      <c r="D209" s="391"/>
      <c r="E209" s="425"/>
      <c r="F209" s="425"/>
      <c r="G209" s="425"/>
      <c r="H209" s="425"/>
      <c r="I209" s="425"/>
      <c r="J209" s="425"/>
      <c r="K209" s="42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  <c r="AA209" s="375"/>
    </row>
    <row r="210" spans="1:27" ht="14.4">
      <c r="A210" s="425"/>
      <c r="B210" s="425"/>
      <c r="C210" s="425"/>
      <c r="D210" s="391"/>
      <c r="E210" s="425"/>
      <c r="F210" s="425"/>
      <c r="G210" s="425"/>
      <c r="H210" s="425"/>
      <c r="I210" s="425"/>
      <c r="J210" s="425"/>
      <c r="K210" s="42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  <c r="AA210" s="375"/>
    </row>
    <row r="211" spans="1:27" ht="14.4">
      <c r="A211" s="425"/>
      <c r="B211" s="425"/>
      <c r="C211" s="425"/>
      <c r="D211" s="391"/>
      <c r="E211" s="425"/>
      <c r="F211" s="425"/>
      <c r="G211" s="425"/>
      <c r="H211" s="425"/>
      <c r="I211" s="425"/>
      <c r="J211" s="425"/>
      <c r="K211" s="42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  <c r="AA211" s="375"/>
    </row>
    <row r="212" spans="1:27" ht="14.4">
      <c r="A212" s="425"/>
      <c r="B212" s="425"/>
      <c r="C212" s="425"/>
      <c r="D212" s="391"/>
      <c r="E212" s="425"/>
      <c r="F212" s="425"/>
      <c r="G212" s="425"/>
      <c r="H212" s="425"/>
      <c r="I212" s="425"/>
      <c r="J212" s="425"/>
      <c r="K212" s="42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  <c r="AA212" s="375"/>
    </row>
    <row r="213" spans="1:27" ht="14.4">
      <c r="A213" s="425"/>
      <c r="B213" s="425"/>
      <c r="C213" s="425"/>
      <c r="D213" s="391"/>
      <c r="E213" s="425"/>
      <c r="F213" s="425"/>
      <c r="G213" s="425"/>
      <c r="H213" s="425"/>
      <c r="I213" s="425"/>
      <c r="J213" s="425"/>
      <c r="K213" s="42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  <c r="AA213" s="375"/>
    </row>
    <row r="214" spans="1:27" ht="14.4">
      <c r="A214" s="425"/>
      <c r="B214" s="425"/>
      <c r="C214" s="425"/>
      <c r="D214" s="391"/>
      <c r="E214" s="425"/>
      <c r="F214" s="425"/>
      <c r="G214" s="425"/>
      <c r="H214" s="425"/>
      <c r="I214" s="425"/>
      <c r="J214" s="425"/>
      <c r="K214" s="42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  <c r="AA214" s="375"/>
    </row>
    <row r="215" spans="1:27" ht="14.4">
      <c r="A215" s="425"/>
      <c r="B215" s="425"/>
      <c r="C215" s="425"/>
      <c r="D215" s="391"/>
      <c r="E215" s="425"/>
      <c r="F215" s="425"/>
      <c r="G215" s="425"/>
      <c r="H215" s="425"/>
      <c r="I215" s="425"/>
      <c r="J215" s="425"/>
      <c r="K215" s="42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  <c r="AA215" s="375"/>
    </row>
    <row r="216" spans="1:27" ht="14.4">
      <c r="A216" s="425"/>
      <c r="B216" s="425"/>
      <c r="C216" s="425"/>
      <c r="D216" s="391"/>
      <c r="E216" s="425"/>
      <c r="F216" s="425"/>
      <c r="G216" s="425"/>
      <c r="H216" s="425"/>
      <c r="I216" s="425"/>
      <c r="J216" s="425"/>
      <c r="K216" s="42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  <c r="AA216" s="375"/>
    </row>
    <row r="217" spans="1:27" ht="14.4">
      <c r="A217" s="425"/>
      <c r="B217" s="425"/>
      <c r="C217" s="425"/>
      <c r="D217" s="391"/>
      <c r="E217" s="425"/>
      <c r="F217" s="425"/>
      <c r="G217" s="425"/>
      <c r="H217" s="425"/>
      <c r="I217" s="425"/>
      <c r="J217" s="425"/>
      <c r="K217" s="42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  <c r="AA217" s="375"/>
    </row>
    <row r="218" spans="1:27" ht="14.4">
      <c r="A218" s="425"/>
      <c r="B218" s="425"/>
      <c r="C218" s="425"/>
      <c r="D218" s="391"/>
      <c r="E218" s="425"/>
      <c r="F218" s="425"/>
      <c r="G218" s="425"/>
      <c r="H218" s="425"/>
      <c r="I218" s="425"/>
      <c r="J218" s="425"/>
      <c r="K218" s="42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  <c r="AA218" s="375"/>
    </row>
    <row r="219" spans="1:27" ht="14.4">
      <c r="A219" s="425"/>
      <c r="B219" s="425"/>
      <c r="C219" s="425"/>
      <c r="D219" s="391"/>
      <c r="E219" s="425"/>
      <c r="F219" s="425"/>
      <c r="G219" s="425"/>
      <c r="H219" s="425"/>
      <c r="I219" s="425"/>
      <c r="J219" s="425"/>
      <c r="K219" s="42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  <c r="AA219" s="375"/>
    </row>
    <row r="220" spans="1:27" ht="14.4">
      <c r="A220" s="425"/>
      <c r="B220" s="425"/>
      <c r="C220" s="425"/>
      <c r="D220" s="391"/>
      <c r="E220" s="425"/>
      <c r="F220" s="425"/>
      <c r="G220" s="425"/>
      <c r="H220" s="425"/>
      <c r="I220" s="425"/>
      <c r="J220" s="425"/>
      <c r="K220" s="42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  <c r="AA220" s="375"/>
    </row>
    <row r="221" spans="1:27" ht="14.4">
      <c r="A221" s="425"/>
      <c r="B221" s="425"/>
      <c r="C221" s="425"/>
      <c r="D221" s="391"/>
      <c r="E221" s="425"/>
      <c r="F221" s="425"/>
      <c r="G221" s="425"/>
      <c r="H221" s="425"/>
      <c r="I221" s="425"/>
      <c r="J221" s="425"/>
      <c r="K221" s="425"/>
      <c r="L221" s="375"/>
      <c r="M221" s="375"/>
      <c r="N221" s="375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  <c r="AA221" s="375"/>
    </row>
    <row r="222" spans="1:27" ht="14.4">
      <c r="A222" s="425"/>
      <c r="B222" s="425"/>
      <c r="C222" s="425"/>
      <c r="D222" s="391"/>
      <c r="E222" s="425"/>
      <c r="F222" s="425"/>
      <c r="G222" s="425"/>
      <c r="H222" s="425"/>
      <c r="I222" s="425"/>
      <c r="J222" s="425"/>
      <c r="K222" s="425"/>
      <c r="L222" s="375"/>
      <c r="M222" s="375"/>
      <c r="N222" s="375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  <c r="AA222" s="375"/>
    </row>
    <row r="223" spans="1:27" ht="14.4">
      <c r="A223" s="425"/>
      <c r="B223" s="425"/>
      <c r="C223" s="425"/>
      <c r="D223" s="391"/>
      <c r="E223" s="425"/>
      <c r="F223" s="425"/>
      <c r="G223" s="425"/>
      <c r="H223" s="425"/>
      <c r="I223" s="425"/>
      <c r="J223" s="425"/>
      <c r="K223" s="425"/>
      <c r="L223" s="375"/>
      <c r="M223" s="375"/>
      <c r="N223" s="375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  <c r="AA223" s="375"/>
    </row>
    <row r="224" spans="1:27" ht="14.4">
      <c r="A224" s="425"/>
      <c r="B224" s="425"/>
      <c r="C224" s="425"/>
      <c r="D224" s="391"/>
      <c r="E224" s="425"/>
      <c r="F224" s="425"/>
      <c r="G224" s="425"/>
      <c r="H224" s="425"/>
      <c r="I224" s="425"/>
      <c r="J224" s="425"/>
      <c r="K224" s="425"/>
      <c r="L224" s="375"/>
      <c r="M224" s="375"/>
      <c r="N224" s="375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  <c r="AA224" s="375"/>
    </row>
    <row r="225" spans="1:27" ht="14.4">
      <c r="A225" s="425"/>
      <c r="B225" s="425"/>
      <c r="C225" s="425"/>
      <c r="D225" s="391"/>
      <c r="E225" s="425"/>
      <c r="F225" s="425"/>
      <c r="G225" s="425"/>
      <c r="H225" s="425"/>
      <c r="I225" s="425"/>
      <c r="J225" s="425"/>
      <c r="K225" s="42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  <c r="AA225" s="375"/>
    </row>
    <row r="226" spans="1:27" ht="14.4">
      <c r="A226" s="425"/>
      <c r="B226" s="425"/>
      <c r="C226" s="425"/>
      <c r="D226" s="391"/>
      <c r="E226" s="425"/>
      <c r="F226" s="425"/>
      <c r="G226" s="425"/>
      <c r="H226" s="425"/>
      <c r="I226" s="425"/>
      <c r="J226" s="425"/>
      <c r="K226" s="42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  <c r="AA226" s="375"/>
    </row>
    <row r="227" spans="1:27" ht="14.4">
      <c r="A227" s="425"/>
      <c r="B227" s="425"/>
      <c r="C227" s="425"/>
      <c r="D227" s="391"/>
      <c r="E227" s="425"/>
      <c r="F227" s="425"/>
      <c r="G227" s="425"/>
      <c r="H227" s="425"/>
      <c r="I227" s="425"/>
      <c r="J227" s="425"/>
      <c r="K227" s="42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  <c r="AA227" s="375"/>
    </row>
    <row r="228" spans="1:27" ht="14.4">
      <c r="A228" s="425"/>
      <c r="B228" s="425"/>
      <c r="C228" s="425"/>
      <c r="D228" s="391"/>
      <c r="E228" s="425"/>
      <c r="F228" s="425"/>
      <c r="G228" s="425"/>
      <c r="H228" s="425"/>
      <c r="I228" s="425"/>
      <c r="J228" s="425"/>
      <c r="K228" s="42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  <c r="AA228" s="375"/>
    </row>
    <row r="229" spans="1:27" ht="14.4">
      <c r="A229" s="425"/>
      <c r="B229" s="425"/>
      <c r="C229" s="425"/>
      <c r="D229" s="391"/>
      <c r="E229" s="425"/>
      <c r="F229" s="425"/>
      <c r="G229" s="425"/>
      <c r="H229" s="425"/>
      <c r="I229" s="425"/>
      <c r="J229" s="425"/>
      <c r="K229" s="42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  <c r="AA229" s="375"/>
    </row>
    <row r="230" spans="1:27" ht="14.4">
      <c r="A230" s="425"/>
      <c r="B230" s="425"/>
      <c r="C230" s="425"/>
      <c r="D230" s="391"/>
      <c r="E230" s="425"/>
      <c r="F230" s="425"/>
      <c r="G230" s="425"/>
      <c r="H230" s="425"/>
      <c r="I230" s="425"/>
      <c r="J230" s="425"/>
      <c r="K230" s="42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  <c r="AA230" s="375"/>
    </row>
    <row r="231" spans="1:27" ht="14.4">
      <c r="A231" s="425"/>
      <c r="B231" s="425"/>
      <c r="C231" s="425"/>
      <c r="D231" s="391"/>
      <c r="E231" s="425"/>
      <c r="F231" s="425"/>
      <c r="G231" s="425"/>
      <c r="H231" s="425"/>
      <c r="I231" s="425"/>
      <c r="J231" s="425"/>
      <c r="K231" s="42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  <c r="AA231" s="375"/>
    </row>
    <row r="232" spans="1:27" ht="14.4">
      <c r="A232" s="425"/>
      <c r="B232" s="425"/>
      <c r="C232" s="425"/>
      <c r="D232" s="391"/>
      <c r="E232" s="425"/>
      <c r="F232" s="425"/>
      <c r="G232" s="425"/>
      <c r="H232" s="425"/>
      <c r="I232" s="425"/>
      <c r="J232" s="425"/>
      <c r="K232" s="425"/>
      <c r="L232" s="375"/>
      <c r="M232" s="375"/>
      <c r="N232" s="375"/>
      <c r="O232" s="375"/>
      <c r="P232" s="375"/>
      <c r="Q232" s="375"/>
      <c r="R232" s="375"/>
      <c r="S232" s="375"/>
      <c r="T232" s="375"/>
      <c r="U232" s="375"/>
      <c r="V232" s="375"/>
      <c r="W232" s="375"/>
      <c r="X232" s="375"/>
      <c r="Y232" s="375"/>
      <c r="Z232" s="375"/>
      <c r="AA232" s="375"/>
    </row>
    <row r="233" spans="1:27" ht="14.4">
      <c r="A233" s="425"/>
      <c r="B233" s="425"/>
      <c r="C233" s="425"/>
      <c r="D233" s="391"/>
      <c r="E233" s="425"/>
      <c r="F233" s="425"/>
      <c r="G233" s="425"/>
      <c r="H233" s="425"/>
      <c r="I233" s="425"/>
      <c r="J233" s="425"/>
      <c r="K233" s="425"/>
      <c r="L233" s="375"/>
      <c r="M233" s="375"/>
      <c r="N233" s="375"/>
      <c r="O233" s="375"/>
      <c r="P233" s="375"/>
      <c r="Q233" s="375"/>
      <c r="R233" s="375"/>
      <c r="S233" s="375"/>
      <c r="T233" s="375"/>
      <c r="U233" s="375"/>
      <c r="V233" s="375"/>
      <c r="W233" s="375"/>
      <c r="X233" s="375"/>
      <c r="Y233" s="375"/>
      <c r="Z233" s="375"/>
      <c r="AA233" s="375"/>
    </row>
    <row r="234" spans="1:27" ht="14.4">
      <c r="A234" s="425"/>
      <c r="B234" s="425"/>
      <c r="C234" s="425"/>
      <c r="D234" s="391"/>
      <c r="E234" s="425"/>
      <c r="F234" s="425"/>
      <c r="G234" s="425"/>
      <c r="H234" s="425"/>
      <c r="I234" s="425"/>
      <c r="J234" s="425"/>
      <c r="K234" s="425"/>
      <c r="L234" s="375"/>
      <c r="M234" s="375"/>
      <c r="N234" s="375"/>
      <c r="O234" s="375"/>
      <c r="P234" s="375"/>
      <c r="Q234" s="375"/>
      <c r="R234" s="375"/>
      <c r="S234" s="375"/>
      <c r="T234" s="375"/>
      <c r="U234" s="375"/>
      <c r="V234" s="375"/>
      <c r="W234" s="375"/>
      <c r="X234" s="375"/>
      <c r="Y234" s="375"/>
      <c r="Z234" s="375"/>
      <c r="AA234" s="375"/>
    </row>
    <row r="235" spans="1:27" ht="14.4">
      <c r="A235" s="425"/>
      <c r="B235" s="425"/>
      <c r="C235" s="425"/>
      <c r="D235" s="391"/>
      <c r="E235" s="425"/>
      <c r="F235" s="425"/>
      <c r="G235" s="425"/>
      <c r="H235" s="425"/>
      <c r="I235" s="425"/>
      <c r="J235" s="425"/>
      <c r="K235" s="42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  <c r="AA235" s="375"/>
    </row>
    <row r="236" spans="1:27" ht="14.4">
      <c r="A236" s="425"/>
      <c r="B236" s="425"/>
      <c r="C236" s="425"/>
      <c r="D236" s="391"/>
      <c r="E236" s="425"/>
      <c r="F236" s="425"/>
      <c r="G236" s="425"/>
      <c r="H236" s="425"/>
      <c r="I236" s="425"/>
      <c r="J236" s="425"/>
      <c r="K236" s="425"/>
      <c r="L236" s="375"/>
      <c r="M236" s="375"/>
      <c r="N236" s="375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  <c r="AA236" s="375"/>
    </row>
    <row r="237" spans="1:27" ht="14.4">
      <c r="A237" s="425"/>
      <c r="B237" s="425"/>
      <c r="C237" s="425"/>
      <c r="D237" s="391"/>
      <c r="E237" s="425"/>
      <c r="F237" s="425"/>
      <c r="G237" s="425"/>
      <c r="H237" s="425"/>
      <c r="I237" s="425"/>
      <c r="J237" s="425"/>
      <c r="K237" s="425"/>
      <c r="L237" s="375"/>
      <c r="M237" s="375"/>
      <c r="N237" s="375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  <c r="AA237" s="375"/>
    </row>
    <row r="238" spans="1:27" ht="14.4">
      <c r="A238" s="425"/>
      <c r="B238" s="425"/>
      <c r="C238" s="425"/>
      <c r="D238" s="391"/>
      <c r="E238" s="425"/>
      <c r="F238" s="425"/>
      <c r="G238" s="425"/>
      <c r="H238" s="425"/>
      <c r="I238" s="425"/>
      <c r="J238" s="425"/>
      <c r="K238" s="425"/>
      <c r="L238" s="375"/>
      <c r="M238" s="375"/>
      <c r="N238" s="375"/>
      <c r="O238" s="375"/>
      <c r="P238" s="375"/>
      <c r="Q238" s="375"/>
      <c r="R238" s="375"/>
      <c r="S238" s="375"/>
      <c r="T238" s="375"/>
      <c r="U238" s="375"/>
      <c r="V238" s="375"/>
      <c r="W238" s="375"/>
      <c r="X238" s="375"/>
      <c r="Y238" s="375"/>
      <c r="Z238" s="375"/>
      <c r="AA238" s="375"/>
    </row>
    <row r="239" spans="1:27" ht="14.4">
      <c r="A239" s="425"/>
      <c r="B239" s="425"/>
      <c r="C239" s="425"/>
      <c r="D239" s="391"/>
      <c r="E239" s="425"/>
      <c r="F239" s="425"/>
      <c r="G239" s="425"/>
      <c r="H239" s="425"/>
      <c r="I239" s="425"/>
      <c r="J239" s="425"/>
      <c r="K239" s="425"/>
      <c r="L239" s="375"/>
      <c r="M239" s="375"/>
      <c r="N239" s="375"/>
      <c r="O239" s="375"/>
      <c r="P239" s="375"/>
      <c r="Q239" s="375"/>
      <c r="R239" s="375"/>
      <c r="S239" s="375"/>
      <c r="T239" s="375"/>
      <c r="U239" s="375"/>
      <c r="V239" s="375"/>
      <c r="W239" s="375"/>
      <c r="X239" s="375"/>
      <c r="Y239" s="375"/>
      <c r="Z239" s="375"/>
      <c r="AA239" s="375"/>
    </row>
    <row r="240" spans="1:27" ht="14.4">
      <c r="A240" s="425"/>
      <c r="B240" s="425"/>
      <c r="C240" s="425"/>
      <c r="D240" s="391"/>
      <c r="E240" s="425"/>
      <c r="F240" s="425"/>
      <c r="G240" s="425"/>
      <c r="H240" s="425"/>
      <c r="I240" s="425"/>
      <c r="J240" s="425"/>
      <c r="K240" s="425"/>
      <c r="L240" s="375"/>
      <c r="M240" s="375"/>
      <c r="N240" s="375"/>
      <c r="O240" s="375"/>
      <c r="P240" s="375"/>
      <c r="Q240" s="375"/>
      <c r="R240" s="375"/>
      <c r="S240" s="375"/>
      <c r="T240" s="375"/>
      <c r="U240" s="375"/>
      <c r="V240" s="375"/>
      <c r="W240" s="375"/>
      <c r="X240" s="375"/>
      <c r="Y240" s="375"/>
      <c r="Z240" s="375"/>
      <c r="AA240" s="375"/>
    </row>
    <row r="241" spans="1:27" ht="14.4">
      <c r="A241" s="425"/>
      <c r="B241" s="425"/>
      <c r="C241" s="425"/>
      <c r="D241" s="391"/>
      <c r="E241" s="425"/>
      <c r="F241" s="425"/>
      <c r="G241" s="425"/>
      <c r="H241" s="425"/>
      <c r="I241" s="425"/>
      <c r="J241" s="425"/>
      <c r="K241" s="425"/>
      <c r="L241" s="375"/>
      <c r="M241" s="375"/>
      <c r="N241" s="375"/>
      <c r="O241" s="375"/>
      <c r="P241" s="375"/>
      <c r="Q241" s="375"/>
      <c r="R241" s="375"/>
      <c r="S241" s="375"/>
      <c r="T241" s="375"/>
      <c r="U241" s="375"/>
      <c r="V241" s="375"/>
      <c r="W241" s="375"/>
      <c r="X241" s="375"/>
      <c r="Y241" s="375"/>
      <c r="Z241" s="375"/>
      <c r="AA241" s="375"/>
    </row>
    <row r="242" spans="1:27" ht="14.4">
      <c r="A242" s="425"/>
      <c r="B242" s="425"/>
      <c r="C242" s="425"/>
      <c r="D242" s="391"/>
      <c r="E242" s="425"/>
      <c r="F242" s="425"/>
      <c r="G242" s="425"/>
      <c r="H242" s="425"/>
      <c r="I242" s="425"/>
      <c r="J242" s="425"/>
      <c r="K242" s="425"/>
      <c r="L242" s="375"/>
      <c r="M242" s="375"/>
      <c r="N242" s="375"/>
      <c r="O242" s="375"/>
      <c r="P242" s="375"/>
      <c r="Q242" s="375"/>
      <c r="R242" s="375"/>
      <c r="S242" s="375"/>
      <c r="T242" s="375"/>
      <c r="U242" s="375"/>
      <c r="V242" s="375"/>
      <c r="W242" s="375"/>
      <c r="X242" s="375"/>
      <c r="Y242" s="375"/>
      <c r="Z242" s="375"/>
      <c r="AA242" s="375"/>
    </row>
    <row r="243" spans="1:27" ht="14.4">
      <c r="A243" s="425"/>
      <c r="B243" s="425"/>
      <c r="C243" s="425"/>
      <c r="D243" s="391"/>
      <c r="E243" s="425"/>
      <c r="F243" s="425"/>
      <c r="G243" s="425"/>
      <c r="H243" s="425"/>
      <c r="I243" s="425"/>
      <c r="J243" s="425"/>
      <c r="K243" s="425"/>
      <c r="L243" s="375"/>
      <c r="M243" s="375"/>
      <c r="N243" s="375"/>
      <c r="O243" s="375"/>
      <c r="P243" s="375"/>
      <c r="Q243" s="375"/>
      <c r="R243" s="375"/>
      <c r="S243" s="375"/>
      <c r="T243" s="375"/>
      <c r="U243" s="375"/>
      <c r="V243" s="375"/>
      <c r="W243" s="375"/>
      <c r="X243" s="375"/>
      <c r="Y243" s="375"/>
      <c r="Z243" s="375"/>
      <c r="AA243" s="375"/>
    </row>
    <row r="244" spans="1:27" ht="14.4">
      <c r="A244" s="425"/>
      <c r="B244" s="425"/>
      <c r="C244" s="425"/>
      <c r="D244" s="391"/>
      <c r="E244" s="425"/>
      <c r="F244" s="425"/>
      <c r="G244" s="425"/>
      <c r="H244" s="425"/>
      <c r="I244" s="425"/>
      <c r="J244" s="425"/>
      <c r="K244" s="425"/>
      <c r="L244" s="375"/>
      <c r="M244" s="375"/>
      <c r="N244" s="375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  <c r="AA244" s="375"/>
    </row>
    <row r="245" spans="1:27" ht="14.4">
      <c r="A245" s="425"/>
      <c r="B245" s="425"/>
      <c r="C245" s="425"/>
      <c r="D245" s="391"/>
      <c r="E245" s="425"/>
      <c r="F245" s="425"/>
      <c r="G245" s="425"/>
      <c r="H245" s="425"/>
      <c r="I245" s="425"/>
      <c r="J245" s="425"/>
      <c r="K245" s="425"/>
      <c r="L245" s="375"/>
      <c r="M245" s="375"/>
      <c r="N245" s="375"/>
      <c r="O245" s="375"/>
      <c r="P245" s="375"/>
      <c r="Q245" s="375"/>
      <c r="R245" s="375"/>
      <c r="S245" s="375"/>
      <c r="T245" s="375"/>
      <c r="U245" s="375"/>
      <c r="V245" s="375"/>
      <c r="W245" s="375"/>
      <c r="X245" s="375"/>
      <c r="Y245" s="375"/>
      <c r="Z245" s="375"/>
      <c r="AA245" s="375"/>
    </row>
    <row r="246" spans="1:27" ht="14.4">
      <c r="A246" s="425"/>
      <c r="B246" s="425"/>
      <c r="C246" s="425"/>
      <c r="D246" s="391"/>
      <c r="E246" s="425"/>
      <c r="F246" s="425"/>
      <c r="G246" s="425"/>
      <c r="H246" s="425"/>
      <c r="I246" s="425"/>
      <c r="J246" s="425"/>
      <c r="K246" s="425"/>
      <c r="L246" s="375"/>
      <c r="M246" s="375"/>
      <c r="N246" s="375"/>
      <c r="O246" s="375"/>
      <c r="P246" s="375"/>
      <c r="Q246" s="375"/>
      <c r="R246" s="375"/>
      <c r="S246" s="375"/>
      <c r="T246" s="375"/>
      <c r="U246" s="375"/>
      <c r="V246" s="375"/>
      <c r="W246" s="375"/>
      <c r="X246" s="375"/>
      <c r="Y246" s="375"/>
      <c r="Z246" s="375"/>
      <c r="AA246" s="375"/>
    </row>
    <row r="247" spans="1:27" ht="14.4">
      <c r="A247" s="425"/>
      <c r="B247" s="425"/>
      <c r="C247" s="425"/>
      <c r="D247" s="391"/>
      <c r="E247" s="425"/>
      <c r="F247" s="425"/>
      <c r="G247" s="425"/>
      <c r="H247" s="425"/>
      <c r="I247" s="425"/>
      <c r="J247" s="425"/>
      <c r="K247" s="425"/>
      <c r="L247" s="375"/>
      <c r="M247" s="375"/>
      <c r="N247" s="375"/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  <c r="AA247" s="375"/>
    </row>
    <row r="248" spans="1:27" ht="14.4">
      <c r="A248" s="425"/>
      <c r="B248" s="425"/>
      <c r="C248" s="425"/>
      <c r="D248" s="391"/>
      <c r="E248" s="425"/>
      <c r="F248" s="425"/>
      <c r="G248" s="425"/>
      <c r="H248" s="425"/>
      <c r="I248" s="425"/>
      <c r="J248" s="425"/>
      <c r="K248" s="425"/>
      <c r="L248" s="375"/>
      <c r="M248" s="375"/>
      <c r="N248" s="375"/>
      <c r="O248" s="375"/>
      <c r="P248" s="375"/>
      <c r="Q248" s="375"/>
      <c r="R248" s="375"/>
      <c r="S248" s="375"/>
      <c r="T248" s="375"/>
      <c r="U248" s="375"/>
      <c r="V248" s="375"/>
      <c r="W248" s="375"/>
      <c r="X248" s="375"/>
      <c r="Y248" s="375"/>
      <c r="Z248" s="375"/>
      <c r="AA248" s="375"/>
    </row>
    <row r="249" spans="1:27" ht="14.4">
      <c r="A249" s="425"/>
      <c r="B249" s="425"/>
      <c r="C249" s="425"/>
      <c r="D249" s="391"/>
      <c r="E249" s="425"/>
      <c r="F249" s="425"/>
      <c r="G249" s="425"/>
      <c r="H249" s="425"/>
      <c r="I249" s="425"/>
      <c r="J249" s="425"/>
      <c r="K249" s="425"/>
      <c r="L249" s="375"/>
      <c r="M249" s="375"/>
      <c r="N249" s="375"/>
      <c r="O249" s="375"/>
      <c r="P249" s="375"/>
      <c r="Q249" s="375"/>
      <c r="R249" s="375"/>
      <c r="S249" s="375"/>
      <c r="T249" s="375"/>
      <c r="U249" s="375"/>
      <c r="V249" s="375"/>
      <c r="W249" s="375"/>
      <c r="X249" s="375"/>
      <c r="Y249" s="375"/>
      <c r="Z249" s="375"/>
      <c r="AA249" s="375"/>
    </row>
    <row r="250" spans="1:27" ht="14.4">
      <c r="A250" s="425"/>
      <c r="B250" s="425"/>
      <c r="C250" s="425"/>
      <c r="D250" s="391"/>
      <c r="E250" s="425"/>
      <c r="F250" s="425"/>
      <c r="G250" s="425"/>
      <c r="H250" s="425"/>
      <c r="I250" s="425"/>
      <c r="J250" s="425"/>
      <c r="K250" s="425"/>
      <c r="L250" s="375"/>
      <c r="M250" s="375"/>
      <c r="N250" s="375"/>
      <c r="O250" s="375"/>
      <c r="P250" s="375"/>
      <c r="Q250" s="375"/>
      <c r="R250" s="375"/>
      <c r="S250" s="375"/>
      <c r="T250" s="375"/>
      <c r="U250" s="375"/>
      <c r="V250" s="375"/>
      <c r="W250" s="375"/>
      <c r="X250" s="375"/>
      <c r="Y250" s="375"/>
      <c r="Z250" s="375"/>
      <c r="AA250" s="375"/>
    </row>
    <row r="251" spans="1:27" ht="14.4">
      <c r="A251" s="425"/>
      <c r="B251" s="425"/>
      <c r="C251" s="425"/>
      <c r="D251" s="391"/>
      <c r="E251" s="425"/>
      <c r="F251" s="425"/>
      <c r="G251" s="425"/>
      <c r="H251" s="425"/>
      <c r="I251" s="425"/>
      <c r="J251" s="425"/>
      <c r="K251" s="425"/>
      <c r="L251" s="375"/>
      <c r="M251" s="375"/>
      <c r="N251" s="375"/>
      <c r="O251" s="375"/>
      <c r="P251" s="375"/>
      <c r="Q251" s="375"/>
      <c r="R251" s="375"/>
      <c r="S251" s="375"/>
      <c r="T251" s="375"/>
      <c r="U251" s="375"/>
      <c r="V251" s="375"/>
      <c r="W251" s="375"/>
      <c r="X251" s="375"/>
      <c r="Y251" s="375"/>
      <c r="Z251" s="375"/>
      <c r="AA251" s="375"/>
    </row>
    <row r="252" spans="1:27" ht="14.4">
      <c r="A252" s="425"/>
      <c r="B252" s="425"/>
      <c r="C252" s="425"/>
      <c r="D252" s="391"/>
      <c r="E252" s="425"/>
      <c r="F252" s="425"/>
      <c r="G252" s="425"/>
      <c r="H252" s="425"/>
      <c r="I252" s="425"/>
      <c r="J252" s="425"/>
      <c r="K252" s="425"/>
      <c r="L252" s="375"/>
      <c r="M252" s="375"/>
      <c r="N252" s="375"/>
      <c r="O252" s="375"/>
      <c r="P252" s="375"/>
      <c r="Q252" s="375"/>
      <c r="R252" s="375"/>
      <c r="S252" s="375"/>
      <c r="T252" s="375"/>
      <c r="U252" s="375"/>
      <c r="V252" s="375"/>
      <c r="W252" s="375"/>
      <c r="X252" s="375"/>
      <c r="Y252" s="375"/>
      <c r="Z252" s="375"/>
      <c r="AA252" s="375"/>
    </row>
    <row r="253" spans="1:27" ht="14.4">
      <c r="A253" s="425"/>
      <c r="B253" s="425"/>
      <c r="C253" s="425"/>
      <c r="D253" s="391"/>
      <c r="E253" s="425"/>
      <c r="F253" s="425"/>
      <c r="G253" s="425"/>
      <c r="H253" s="425"/>
      <c r="I253" s="425"/>
      <c r="J253" s="425"/>
      <c r="K253" s="425"/>
      <c r="L253" s="375"/>
      <c r="M253" s="375"/>
      <c r="N253" s="375"/>
      <c r="O253" s="375"/>
      <c r="P253" s="375"/>
      <c r="Q253" s="375"/>
      <c r="R253" s="375"/>
      <c r="S253" s="375"/>
      <c r="T253" s="375"/>
      <c r="U253" s="375"/>
      <c r="V253" s="375"/>
      <c r="W253" s="375"/>
      <c r="X253" s="375"/>
      <c r="Y253" s="375"/>
      <c r="Z253" s="375"/>
      <c r="AA253" s="375"/>
    </row>
    <row r="254" spans="1:27" ht="14.4">
      <c r="A254" s="425"/>
      <c r="B254" s="425"/>
      <c r="C254" s="425"/>
      <c r="D254" s="391"/>
      <c r="E254" s="425"/>
      <c r="F254" s="425"/>
      <c r="G254" s="425"/>
      <c r="H254" s="425"/>
      <c r="I254" s="425"/>
      <c r="J254" s="425"/>
      <c r="K254" s="425"/>
      <c r="L254" s="375"/>
      <c r="M254" s="375"/>
      <c r="N254" s="375"/>
      <c r="O254" s="375"/>
      <c r="P254" s="375"/>
      <c r="Q254" s="375"/>
      <c r="R254" s="375"/>
      <c r="S254" s="375"/>
      <c r="T254" s="375"/>
      <c r="U254" s="375"/>
      <c r="V254" s="375"/>
      <c r="W254" s="375"/>
      <c r="X254" s="375"/>
      <c r="Y254" s="375"/>
      <c r="Z254" s="375"/>
      <c r="AA254" s="375"/>
    </row>
    <row r="255" spans="1:27" ht="14.4">
      <c r="A255" s="425"/>
      <c r="B255" s="425"/>
      <c r="C255" s="425"/>
      <c r="D255" s="391"/>
      <c r="E255" s="425"/>
      <c r="F255" s="425"/>
      <c r="G255" s="425"/>
      <c r="H255" s="425"/>
      <c r="I255" s="425"/>
      <c r="J255" s="425"/>
      <c r="K255" s="425"/>
      <c r="L255" s="375"/>
      <c r="M255" s="375"/>
      <c r="N255" s="375"/>
      <c r="O255" s="375"/>
      <c r="P255" s="375"/>
      <c r="Q255" s="375"/>
      <c r="R255" s="375"/>
      <c r="S255" s="375"/>
      <c r="T255" s="375"/>
      <c r="U255" s="375"/>
      <c r="V255" s="375"/>
      <c r="W255" s="375"/>
      <c r="X255" s="375"/>
      <c r="Y255" s="375"/>
      <c r="Z255" s="375"/>
      <c r="AA255" s="375"/>
    </row>
    <row r="256" spans="1:27" ht="14.4">
      <c r="A256" s="425"/>
      <c r="B256" s="425"/>
      <c r="C256" s="425"/>
      <c r="D256" s="391"/>
      <c r="E256" s="425"/>
      <c r="F256" s="425"/>
      <c r="G256" s="425"/>
      <c r="H256" s="425"/>
      <c r="I256" s="425"/>
      <c r="J256" s="425"/>
      <c r="K256" s="425"/>
      <c r="L256" s="375"/>
      <c r="M256" s="375"/>
      <c r="N256" s="375"/>
      <c r="O256" s="375"/>
      <c r="P256" s="375"/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  <c r="AA256" s="375"/>
    </row>
    <row r="257" spans="1:27" ht="14.4">
      <c r="A257" s="425"/>
      <c r="B257" s="425"/>
      <c r="C257" s="425"/>
      <c r="D257" s="391"/>
      <c r="E257" s="425"/>
      <c r="F257" s="425"/>
      <c r="G257" s="425"/>
      <c r="H257" s="425"/>
      <c r="I257" s="425"/>
      <c r="J257" s="425"/>
      <c r="K257" s="425"/>
      <c r="L257" s="375"/>
      <c r="M257" s="375"/>
      <c r="N257" s="375"/>
      <c r="O257" s="375"/>
      <c r="P257" s="375"/>
      <c r="Q257" s="375"/>
      <c r="R257" s="375"/>
      <c r="S257" s="375"/>
      <c r="T257" s="375"/>
      <c r="U257" s="375"/>
      <c r="V257" s="375"/>
      <c r="W257" s="375"/>
      <c r="X257" s="375"/>
      <c r="Y257" s="375"/>
      <c r="Z257" s="375"/>
      <c r="AA257" s="375"/>
    </row>
    <row r="258" spans="1:27" ht="14.4">
      <c r="A258" s="425"/>
      <c r="B258" s="425"/>
      <c r="C258" s="425"/>
      <c r="D258" s="391"/>
      <c r="E258" s="425"/>
      <c r="F258" s="425"/>
      <c r="G258" s="425"/>
      <c r="H258" s="425"/>
      <c r="I258" s="425"/>
      <c r="J258" s="425"/>
      <c r="K258" s="425"/>
      <c r="L258" s="375"/>
      <c r="M258" s="375"/>
      <c r="N258" s="375"/>
      <c r="O258" s="375"/>
      <c r="P258" s="375"/>
      <c r="Q258" s="375"/>
      <c r="R258" s="375"/>
      <c r="S258" s="375"/>
      <c r="T258" s="375"/>
      <c r="U258" s="375"/>
      <c r="V258" s="375"/>
      <c r="W258" s="375"/>
      <c r="X258" s="375"/>
      <c r="Y258" s="375"/>
      <c r="Z258" s="375"/>
      <c r="AA258" s="375"/>
    </row>
    <row r="259" spans="1:27" ht="14.4">
      <c r="A259" s="425"/>
      <c r="B259" s="425"/>
      <c r="C259" s="425"/>
      <c r="D259" s="391"/>
      <c r="E259" s="425"/>
      <c r="F259" s="425"/>
      <c r="G259" s="425"/>
      <c r="H259" s="425"/>
      <c r="I259" s="425"/>
      <c r="J259" s="425"/>
      <c r="K259" s="425"/>
      <c r="L259" s="375"/>
      <c r="M259" s="375"/>
      <c r="N259" s="375"/>
      <c r="O259" s="375"/>
      <c r="P259" s="375"/>
      <c r="Q259" s="375"/>
      <c r="R259" s="375"/>
      <c r="S259" s="375"/>
      <c r="T259" s="375"/>
      <c r="U259" s="375"/>
      <c r="V259" s="375"/>
      <c r="W259" s="375"/>
      <c r="X259" s="375"/>
      <c r="Y259" s="375"/>
      <c r="Z259" s="375"/>
      <c r="AA259" s="375"/>
    </row>
    <row r="260" spans="1:27" ht="14.4">
      <c r="A260" s="425"/>
      <c r="B260" s="425"/>
      <c r="C260" s="425"/>
      <c r="D260" s="391"/>
      <c r="E260" s="425"/>
      <c r="F260" s="425"/>
      <c r="G260" s="425"/>
      <c r="H260" s="425"/>
      <c r="I260" s="425"/>
      <c r="J260" s="425"/>
      <c r="K260" s="425"/>
      <c r="L260" s="375"/>
      <c r="M260" s="375"/>
      <c r="N260" s="375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  <c r="AA260" s="375"/>
    </row>
    <row r="261" spans="1:27" ht="14.4">
      <c r="A261" s="425"/>
      <c r="B261" s="425"/>
      <c r="C261" s="425"/>
      <c r="D261" s="391"/>
      <c r="E261" s="425"/>
      <c r="F261" s="425"/>
      <c r="G261" s="425"/>
      <c r="H261" s="425"/>
      <c r="I261" s="425"/>
      <c r="J261" s="425"/>
      <c r="K261" s="42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375"/>
    </row>
    <row r="262" spans="1:27" ht="14.4">
      <c r="A262" s="425"/>
      <c r="B262" s="425"/>
      <c r="C262" s="425"/>
      <c r="D262" s="391"/>
      <c r="E262" s="425"/>
      <c r="F262" s="425"/>
      <c r="G262" s="425"/>
      <c r="H262" s="425"/>
      <c r="I262" s="425"/>
      <c r="J262" s="425"/>
      <c r="K262" s="425"/>
      <c r="L262" s="375"/>
      <c r="M262" s="375"/>
      <c r="N262" s="375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  <c r="AA262" s="375"/>
    </row>
    <row r="263" spans="1:27" ht="14.4">
      <c r="A263" s="425"/>
      <c r="B263" s="425"/>
      <c r="C263" s="425"/>
      <c r="D263" s="391"/>
      <c r="E263" s="425"/>
      <c r="F263" s="425"/>
      <c r="G263" s="425"/>
      <c r="H263" s="425"/>
      <c r="I263" s="425"/>
      <c r="J263" s="425"/>
      <c r="K263" s="425"/>
      <c r="L263" s="375"/>
      <c r="M263" s="375"/>
      <c r="N263" s="375"/>
      <c r="O263" s="375"/>
      <c r="P263" s="375"/>
      <c r="Q263" s="375"/>
      <c r="R263" s="375"/>
      <c r="S263" s="375"/>
      <c r="T263" s="375"/>
      <c r="U263" s="375"/>
      <c r="V263" s="375"/>
      <c r="W263" s="375"/>
      <c r="X263" s="375"/>
      <c r="Y263" s="375"/>
      <c r="Z263" s="375"/>
      <c r="AA263" s="375"/>
    </row>
    <row r="264" spans="1:27" ht="14.4">
      <c r="A264" s="425"/>
      <c r="B264" s="425"/>
      <c r="C264" s="425"/>
      <c r="D264" s="391"/>
      <c r="E264" s="425"/>
      <c r="F264" s="425"/>
      <c r="G264" s="425"/>
      <c r="H264" s="425"/>
      <c r="I264" s="425"/>
      <c r="J264" s="425"/>
      <c r="K264" s="425"/>
      <c r="L264" s="375"/>
      <c r="M264" s="375"/>
      <c r="N264" s="375"/>
      <c r="O264" s="375"/>
      <c r="P264" s="375"/>
      <c r="Q264" s="375"/>
      <c r="R264" s="375"/>
      <c r="S264" s="375"/>
      <c r="T264" s="375"/>
      <c r="U264" s="375"/>
      <c r="V264" s="375"/>
      <c r="W264" s="375"/>
      <c r="X264" s="375"/>
      <c r="Y264" s="375"/>
      <c r="Z264" s="375"/>
      <c r="AA264" s="375"/>
    </row>
    <row r="265" spans="1:27" ht="14.4">
      <c r="A265" s="425"/>
      <c r="B265" s="425"/>
      <c r="C265" s="425"/>
      <c r="D265" s="391"/>
      <c r="E265" s="425"/>
      <c r="F265" s="425"/>
      <c r="G265" s="425"/>
      <c r="H265" s="425"/>
      <c r="I265" s="425"/>
      <c r="J265" s="425"/>
      <c r="K265" s="425"/>
      <c r="L265" s="375"/>
      <c r="M265" s="375"/>
      <c r="N265" s="375"/>
      <c r="O265" s="375"/>
      <c r="P265" s="375"/>
      <c r="Q265" s="375"/>
      <c r="R265" s="375"/>
      <c r="S265" s="375"/>
      <c r="T265" s="375"/>
      <c r="U265" s="375"/>
      <c r="V265" s="375"/>
      <c r="W265" s="375"/>
      <c r="X265" s="375"/>
      <c r="Y265" s="375"/>
      <c r="Z265" s="375"/>
      <c r="AA265" s="375"/>
    </row>
    <row r="266" spans="1:27" ht="14.4">
      <c r="A266" s="425"/>
      <c r="B266" s="425"/>
      <c r="C266" s="425"/>
      <c r="D266" s="391"/>
      <c r="E266" s="425"/>
      <c r="F266" s="425"/>
      <c r="G266" s="425"/>
      <c r="H266" s="425"/>
      <c r="I266" s="425"/>
      <c r="J266" s="425"/>
      <c r="K266" s="425"/>
      <c r="L266" s="375"/>
      <c r="M266" s="375"/>
      <c r="N266" s="375"/>
      <c r="O266" s="375"/>
      <c r="P266" s="375"/>
      <c r="Q266" s="375"/>
      <c r="R266" s="375"/>
      <c r="S266" s="375"/>
      <c r="T266" s="375"/>
      <c r="U266" s="375"/>
      <c r="V266" s="375"/>
      <c r="W266" s="375"/>
      <c r="X266" s="375"/>
      <c r="Y266" s="375"/>
      <c r="Z266" s="375"/>
      <c r="AA266" s="375"/>
    </row>
    <row r="267" spans="1:27" ht="14.4">
      <c r="A267" s="425"/>
      <c r="B267" s="425"/>
      <c r="C267" s="425"/>
      <c r="D267" s="391"/>
      <c r="E267" s="425"/>
      <c r="F267" s="425"/>
      <c r="G267" s="425"/>
      <c r="H267" s="425"/>
      <c r="I267" s="425"/>
      <c r="J267" s="425"/>
      <c r="K267" s="42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375"/>
    </row>
    <row r="268" spans="1:27" ht="14.4">
      <c r="A268" s="425"/>
      <c r="B268" s="425"/>
      <c r="C268" s="425"/>
      <c r="D268" s="391"/>
      <c r="E268" s="425"/>
      <c r="F268" s="425"/>
      <c r="G268" s="425"/>
      <c r="H268" s="425"/>
      <c r="I268" s="425"/>
      <c r="J268" s="425"/>
      <c r="K268" s="425"/>
      <c r="L268" s="375"/>
      <c r="M268" s="375"/>
      <c r="N268" s="375"/>
      <c r="O268" s="375"/>
      <c r="P268" s="375"/>
      <c r="Q268" s="375"/>
      <c r="R268" s="375"/>
      <c r="S268" s="375"/>
      <c r="T268" s="375"/>
      <c r="U268" s="375"/>
      <c r="V268" s="375"/>
      <c r="W268" s="375"/>
      <c r="X268" s="375"/>
      <c r="Y268" s="375"/>
      <c r="Z268" s="375"/>
      <c r="AA268" s="375"/>
    </row>
    <row r="269" spans="1:27" ht="14.4">
      <c r="A269" s="425"/>
      <c r="B269" s="425"/>
      <c r="C269" s="425"/>
      <c r="D269" s="391"/>
      <c r="E269" s="425"/>
      <c r="F269" s="425"/>
      <c r="G269" s="425"/>
      <c r="H269" s="425"/>
      <c r="I269" s="425"/>
      <c r="J269" s="425"/>
      <c r="K269" s="425"/>
      <c r="L269" s="375"/>
      <c r="M269" s="375"/>
      <c r="N269" s="375"/>
      <c r="O269" s="375"/>
      <c r="P269" s="375"/>
      <c r="Q269" s="375"/>
      <c r="R269" s="375"/>
      <c r="S269" s="375"/>
      <c r="T269" s="375"/>
      <c r="U269" s="375"/>
      <c r="V269" s="375"/>
      <c r="W269" s="375"/>
      <c r="X269" s="375"/>
      <c r="Y269" s="375"/>
      <c r="Z269" s="375"/>
      <c r="AA269" s="375"/>
    </row>
    <row r="270" spans="1:27" ht="14.4">
      <c r="A270" s="425"/>
      <c r="B270" s="425"/>
      <c r="C270" s="425"/>
      <c r="D270" s="391"/>
      <c r="E270" s="425"/>
      <c r="F270" s="425"/>
      <c r="G270" s="425"/>
      <c r="H270" s="425"/>
      <c r="I270" s="425"/>
      <c r="J270" s="425"/>
      <c r="K270" s="425"/>
      <c r="L270" s="375"/>
      <c r="M270" s="375"/>
      <c r="N270" s="375"/>
      <c r="O270" s="375"/>
      <c r="P270" s="375"/>
      <c r="Q270" s="375"/>
      <c r="R270" s="375"/>
      <c r="S270" s="375"/>
      <c r="T270" s="375"/>
      <c r="U270" s="375"/>
      <c r="V270" s="375"/>
      <c r="W270" s="375"/>
      <c r="X270" s="375"/>
      <c r="Y270" s="375"/>
      <c r="Z270" s="375"/>
      <c r="AA270" s="375"/>
    </row>
    <row r="271" spans="1:27" ht="14.4">
      <c r="A271" s="425"/>
      <c r="B271" s="425"/>
      <c r="C271" s="425"/>
      <c r="D271" s="391"/>
      <c r="E271" s="425"/>
      <c r="F271" s="425"/>
      <c r="G271" s="425"/>
      <c r="H271" s="425"/>
      <c r="I271" s="425"/>
      <c r="J271" s="425"/>
      <c r="K271" s="425"/>
      <c r="L271" s="375"/>
      <c r="M271" s="375"/>
      <c r="N271" s="375"/>
      <c r="O271" s="375"/>
      <c r="P271" s="375"/>
      <c r="Q271" s="375"/>
      <c r="R271" s="375"/>
      <c r="S271" s="375"/>
      <c r="T271" s="375"/>
      <c r="U271" s="375"/>
      <c r="V271" s="375"/>
      <c r="W271" s="375"/>
      <c r="X271" s="375"/>
      <c r="Y271" s="375"/>
      <c r="Z271" s="375"/>
      <c r="AA271" s="375"/>
    </row>
    <row r="272" spans="1:27" ht="14.4">
      <c r="A272" s="425"/>
      <c r="B272" s="425"/>
      <c r="C272" s="425"/>
      <c r="D272" s="391"/>
      <c r="E272" s="425"/>
      <c r="F272" s="425"/>
      <c r="G272" s="425"/>
      <c r="H272" s="425"/>
      <c r="I272" s="425"/>
      <c r="J272" s="425"/>
      <c r="K272" s="425"/>
      <c r="L272" s="375"/>
      <c r="M272" s="375"/>
      <c r="N272" s="375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  <c r="AA272" s="375"/>
    </row>
    <row r="273" spans="1:27" ht="14.4">
      <c r="A273" s="425"/>
      <c r="B273" s="425"/>
      <c r="C273" s="425"/>
      <c r="D273" s="391"/>
      <c r="E273" s="425"/>
      <c r="F273" s="425"/>
      <c r="G273" s="425"/>
      <c r="H273" s="425"/>
      <c r="I273" s="425"/>
      <c r="J273" s="425"/>
      <c r="K273" s="425"/>
      <c r="L273" s="375"/>
      <c r="M273" s="375"/>
      <c r="N273" s="375"/>
      <c r="O273" s="375"/>
      <c r="P273" s="375"/>
      <c r="Q273" s="375"/>
      <c r="R273" s="375"/>
      <c r="S273" s="375"/>
      <c r="T273" s="375"/>
      <c r="U273" s="375"/>
      <c r="V273" s="375"/>
      <c r="W273" s="375"/>
      <c r="X273" s="375"/>
      <c r="Y273" s="375"/>
      <c r="Z273" s="375"/>
      <c r="AA273" s="375"/>
    </row>
    <row r="274" spans="1:27" ht="14.4">
      <c r="A274" s="425"/>
      <c r="B274" s="425"/>
      <c r="C274" s="425"/>
      <c r="D274" s="391"/>
      <c r="E274" s="425"/>
      <c r="F274" s="425"/>
      <c r="G274" s="425"/>
      <c r="H274" s="425"/>
      <c r="I274" s="425"/>
      <c r="J274" s="425"/>
      <c r="K274" s="42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375"/>
    </row>
    <row r="275" spans="1:27" ht="14.4">
      <c r="A275" s="425"/>
      <c r="B275" s="425"/>
      <c r="C275" s="425"/>
      <c r="D275" s="391"/>
      <c r="E275" s="425"/>
      <c r="F275" s="425"/>
      <c r="G275" s="425"/>
      <c r="H275" s="425"/>
      <c r="I275" s="425"/>
      <c r="J275" s="425"/>
      <c r="K275" s="425"/>
      <c r="L275" s="375"/>
      <c r="M275" s="375"/>
      <c r="N275" s="375"/>
      <c r="O275" s="375"/>
      <c r="P275" s="375"/>
      <c r="Q275" s="375"/>
      <c r="R275" s="375"/>
      <c r="S275" s="375"/>
      <c r="T275" s="375"/>
      <c r="U275" s="375"/>
      <c r="V275" s="375"/>
      <c r="W275" s="375"/>
      <c r="X275" s="375"/>
      <c r="Y275" s="375"/>
      <c r="Z275" s="375"/>
      <c r="AA275" s="375"/>
    </row>
    <row r="276" spans="1:27" ht="14.4">
      <c r="A276" s="425"/>
      <c r="B276" s="425"/>
      <c r="C276" s="425"/>
      <c r="D276" s="391"/>
      <c r="E276" s="425"/>
      <c r="F276" s="425"/>
      <c r="G276" s="425"/>
      <c r="H276" s="425"/>
      <c r="I276" s="425"/>
      <c r="J276" s="425"/>
      <c r="K276" s="425"/>
      <c r="L276" s="375"/>
      <c r="M276" s="375"/>
      <c r="N276" s="375"/>
      <c r="O276" s="375"/>
      <c r="P276" s="375"/>
      <c r="Q276" s="375"/>
      <c r="R276" s="375"/>
      <c r="S276" s="375"/>
      <c r="T276" s="375"/>
      <c r="U276" s="375"/>
      <c r="V276" s="375"/>
      <c r="W276" s="375"/>
      <c r="X276" s="375"/>
      <c r="Y276" s="375"/>
      <c r="Z276" s="375"/>
      <c r="AA276" s="375"/>
    </row>
    <row r="277" spans="1:27" ht="14.4">
      <c r="A277" s="425"/>
      <c r="B277" s="425"/>
      <c r="C277" s="425"/>
      <c r="D277" s="391"/>
      <c r="E277" s="425"/>
      <c r="F277" s="425"/>
      <c r="G277" s="425"/>
      <c r="H277" s="425"/>
      <c r="I277" s="425"/>
      <c r="J277" s="425"/>
      <c r="K277" s="425"/>
      <c r="L277" s="375"/>
      <c r="M277" s="375"/>
      <c r="N277" s="375"/>
      <c r="O277" s="375"/>
      <c r="P277" s="375"/>
      <c r="Q277" s="375"/>
      <c r="R277" s="375"/>
      <c r="S277" s="375"/>
      <c r="T277" s="375"/>
      <c r="U277" s="375"/>
      <c r="V277" s="375"/>
      <c r="W277" s="375"/>
      <c r="X277" s="375"/>
      <c r="Y277" s="375"/>
      <c r="Z277" s="375"/>
      <c r="AA277" s="375"/>
    </row>
    <row r="278" spans="1:27" ht="14.4">
      <c r="A278" s="425"/>
      <c r="B278" s="425"/>
      <c r="C278" s="425"/>
      <c r="D278" s="391"/>
      <c r="E278" s="425"/>
      <c r="F278" s="425"/>
      <c r="G278" s="425"/>
      <c r="H278" s="425"/>
      <c r="I278" s="425"/>
      <c r="J278" s="425"/>
      <c r="K278" s="425"/>
      <c r="L278" s="375"/>
      <c r="M278" s="375"/>
      <c r="N278" s="375"/>
      <c r="O278" s="375"/>
      <c r="P278" s="375"/>
      <c r="Q278" s="375"/>
      <c r="R278" s="375"/>
      <c r="S278" s="375"/>
      <c r="T278" s="375"/>
      <c r="U278" s="375"/>
      <c r="V278" s="375"/>
      <c r="W278" s="375"/>
      <c r="X278" s="375"/>
      <c r="Y278" s="375"/>
      <c r="Z278" s="375"/>
      <c r="AA278" s="375"/>
    </row>
    <row r="279" spans="1:27" ht="14.4">
      <c r="A279" s="425"/>
      <c r="B279" s="425"/>
      <c r="C279" s="425"/>
      <c r="D279" s="391"/>
      <c r="E279" s="425"/>
      <c r="F279" s="425"/>
      <c r="G279" s="425"/>
      <c r="H279" s="425"/>
      <c r="I279" s="425"/>
      <c r="J279" s="425"/>
      <c r="K279" s="425"/>
      <c r="L279" s="375"/>
      <c r="M279" s="375"/>
      <c r="N279" s="375"/>
      <c r="O279" s="375"/>
      <c r="P279" s="375"/>
      <c r="Q279" s="375"/>
      <c r="R279" s="375"/>
      <c r="S279" s="375"/>
      <c r="T279" s="375"/>
      <c r="U279" s="375"/>
      <c r="V279" s="375"/>
      <c r="W279" s="375"/>
      <c r="X279" s="375"/>
      <c r="Y279" s="375"/>
      <c r="Z279" s="375"/>
      <c r="AA279" s="375"/>
    </row>
    <row r="280" spans="1:27" ht="14.4">
      <c r="A280" s="425"/>
      <c r="B280" s="425"/>
      <c r="C280" s="425"/>
      <c r="D280" s="391"/>
      <c r="E280" s="425"/>
      <c r="F280" s="425"/>
      <c r="G280" s="425"/>
      <c r="H280" s="425"/>
      <c r="I280" s="425"/>
      <c r="J280" s="425"/>
      <c r="K280" s="425"/>
      <c r="L280" s="375"/>
      <c r="M280" s="375"/>
      <c r="N280" s="375"/>
      <c r="O280" s="375"/>
      <c r="P280" s="375"/>
      <c r="Q280" s="375"/>
      <c r="R280" s="375"/>
      <c r="S280" s="375"/>
      <c r="T280" s="375"/>
      <c r="U280" s="375"/>
      <c r="V280" s="375"/>
      <c r="W280" s="375"/>
      <c r="X280" s="375"/>
      <c r="Y280" s="375"/>
      <c r="Z280" s="375"/>
      <c r="AA280" s="375"/>
    </row>
    <row r="281" spans="1:27" ht="14.4">
      <c r="A281" s="425"/>
      <c r="B281" s="425"/>
      <c r="C281" s="425"/>
      <c r="D281" s="391"/>
      <c r="E281" s="425"/>
      <c r="F281" s="425"/>
      <c r="G281" s="425"/>
      <c r="H281" s="425"/>
      <c r="I281" s="425"/>
      <c r="J281" s="425"/>
      <c r="K281" s="425"/>
      <c r="L281" s="375"/>
      <c r="M281" s="375"/>
      <c r="N281" s="375"/>
      <c r="O281" s="375"/>
      <c r="P281" s="375"/>
      <c r="Q281" s="375"/>
      <c r="R281" s="375"/>
      <c r="S281" s="375"/>
      <c r="T281" s="375"/>
      <c r="U281" s="375"/>
      <c r="V281" s="375"/>
      <c r="W281" s="375"/>
      <c r="X281" s="375"/>
      <c r="Y281" s="375"/>
      <c r="Z281" s="375"/>
      <c r="AA281" s="375"/>
    </row>
    <row r="282" spans="1:27" ht="14.4">
      <c r="A282" s="425"/>
      <c r="B282" s="425"/>
      <c r="C282" s="425"/>
      <c r="D282" s="391"/>
      <c r="E282" s="425"/>
      <c r="F282" s="425"/>
      <c r="G282" s="425"/>
      <c r="H282" s="425"/>
      <c r="I282" s="425"/>
      <c r="J282" s="425"/>
      <c r="K282" s="425"/>
      <c r="L282" s="375"/>
      <c r="M282" s="375"/>
      <c r="N282" s="375"/>
      <c r="O282" s="375"/>
      <c r="P282" s="375"/>
      <c r="Q282" s="375"/>
      <c r="R282" s="375"/>
      <c r="S282" s="375"/>
      <c r="T282" s="375"/>
      <c r="U282" s="375"/>
      <c r="V282" s="375"/>
      <c r="W282" s="375"/>
      <c r="X282" s="375"/>
      <c r="Y282" s="375"/>
      <c r="Z282" s="375"/>
      <c r="AA282" s="375"/>
    </row>
    <row r="283" spans="1:27" ht="14.4">
      <c r="A283" s="425"/>
      <c r="B283" s="425"/>
      <c r="C283" s="425"/>
      <c r="D283" s="391"/>
      <c r="E283" s="425"/>
      <c r="F283" s="425"/>
      <c r="G283" s="425"/>
      <c r="H283" s="425"/>
      <c r="I283" s="425"/>
      <c r="J283" s="425"/>
      <c r="K283" s="425"/>
      <c r="L283" s="375"/>
      <c r="M283" s="375"/>
      <c r="N283" s="375"/>
      <c r="O283" s="375"/>
      <c r="P283" s="375"/>
      <c r="Q283" s="375"/>
      <c r="R283" s="375"/>
      <c r="S283" s="375"/>
      <c r="T283" s="375"/>
      <c r="U283" s="375"/>
      <c r="V283" s="375"/>
      <c r="W283" s="375"/>
      <c r="X283" s="375"/>
      <c r="Y283" s="375"/>
      <c r="Z283" s="375"/>
      <c r="AA283" s="375"/>
    </row>
    <row r="284" spans="1:27" ht="14.4">
      <c r="A284" s="425"/>
      <c r="B284" s="425"/>
      <c r="C284" s="425"/>
      <c r="D284" s="391"/>
      <c r="E284" s="425"/>
      <c r="F284" s="425"/>
      <c r="G284" s="425"/>
      <c r="H284" s="425"/>
      <c r="I284" s="425"/>
      <c r="J284" s="425"/>
      <c r="K284" s="42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375"/>
    </row>
    <row r="285" spans="1:27" ht="14.4">
      <c r="A285" s="425"/>
      <c r="B285" s="425"/>
      <c r="C285" s="425"/>
      <c r="D285" s="391"/>
      <c r="E285" s="425"/>
      <c r="F285" s="425"/>
      <c r="G285" s="425"/>
      <c r="H285" s="425"/>
      <c r="I285" s="425"/>
      <c r="J285" s="425"/>
      <c r="K285" s="425"/>
      <c r="L285" s="375"/>
      <c r="M285" s="375"/>
      <c r="N285" s="375"/>
      <c r="O285" s="375"/>
      <c r="P285" s="375"/>
      <c r="Q285" s="375"/>
      <c r="R285" s="375"/>
      <c r="S285" s="375"/>
      <c r="T285" s="375"/>
      <c r="U285" s="375"/>
      <c r="V285" s="375"/>
      <c r="W285" s="375"/>
      <c r="X285" s="375"/>
      <c r="Y285" s="375"/>
      <c r="Z285" s="375"/>
      <c r="AA285" s="375"/>
    </row>
    <row r="286" spans="1:27" ht="14.4">
      <c r="A286" s="425"/>
      <c r="B286" s="425"/>
      <c r="C286" s="425"/>
      <c r="D286" s="391"/>
      <c r="E286" s="425"/>
      <c r="F286" s="425"/>
      <c r="G286" s="425"/>
      <c r="H286" s="425"/>
      <c r="I286" s="425"/>
      <c r="J286" s="425"/>
      <c r="K286" s="425"/>
      <c r="L286" s="375"/>
      <c r="M286" s="375"/>
      <c r="N286" s="375"/>
      <c r="O286" s="375"/>
      <c r="P286" s="375"/>
      <c r="Q286" s="375"/>
      <c r="R286" s="375"/>
      <c r="S286" s="375"/>
      <c r="T286" s="375"/>
      <c r="U286" s="375"/>
      <c r="V286" s="375"/>
      <c r="W286" s="375"/>
      <c r="X286" s="375"/>
      <c r="Y286" s="375"/>
      <c r="Z286" s="375"/>
      <c r="AA286" s="375"/>
    </row>
    <row r="287" spans="1:27" ht="14.4">
      <c r="A287" s="425"/>
      <c r="B287" s="425"/>
      <c r="C287" s="425"/>
      <c r="D287" s="391"/>
      <c r="E287" s="425"/>
      <c r="F287" s="425"/>
      <c r="G287" s="425"/>
      <c r="H287" s="425"/>
      <c r="I287" s="425"/>
      <c r="J287" s="425"/>
      <c r="K287" s="425"/>
      <c r="L287" s="375"/>
      <c r="M287" s="375"/>
      <c r="N287" s="375"/>
      <c r="O287" s="375"/>
      <c r="P287" s="375"/>
      <c r="Q287" s="375"/>
      <c r="R287" s="375"/>
      <c r="S287" s="375"/>
      <c r="T287" s="375"/>
      <c r="U287" s="375"/>
      <c r="V287" s="375"/>
      <c r="W287" s="375"/>
      <c r="X287" s="375"/>
      <c r="Y287" s="375"/>
      <c r="Z287" s="375"/>
      <c r="AA287" s="375"/>
    </row>
    <row r="288" spans="1:27" ht="14.4">
      <c r="A288" s="425"/>
      <c r="B288" s="425"/>
      <c r="C288" s="425"/>
      <c r="D288" s="391"/>
      <c r="E288" s="425"/>
      <c r="F288" s="425"/>
      <c r="G288" s="425"/>
      <c r="H288" s="425"/>
      <c r="I288" s="425"/>
      <c r="J288" s="425"/>
      <c r="K288" s="425"/>
      <c r="L288" s="375"/>
      <c r="M288" s="375"/>
      <c r="N288" s="375"/>
      <c r="O288" s="375"/>
      <c r="P288" s="375"/>
      <c r="Q288" s="375"/>
      <c r="R288" s="375"/>
      <c r="S288" s="375"/>
      <c r="T288" s="375"/>
      <c r="U288" s="375"/>
      <c r="V288" s="375"/>
      <c r="W288" s="375"/>
      <c r="X288" s="375"/>
      <c r="Y288" s="375"/>
      <c r="Z288" s="375"/>
      <c r="AA288" s="375"/>
    </row>
    <row r="289" spans="1:27" ht="14.4">
      <c r="A289" s="425"/>
      <c r="B289" s="425"/>
      <c r="C289" s="425"/>
      <c r="D289" s="391"/>
      <c r="E289" s="425"/>
      <c r="F289" s="425"/>
      <c r="G289" s="425"/>
      <c r="H289" s="425"/>
      <c r="I289" s="425"/>
      <c r="J289" s="425"/>
      <c r="K289" s="425"/>
      <c r="L289" s="375"/>
      <c r="M289" s="375"/>
      <c r="N289" s="375"/>
      <c r="O289" s="375"/>
      <c r="P289" s="375"/>
      <c r="Q289" s="375"/>
      <c r="R289" s="375"/>
      <c r="S289" s="375"/>
      <c r="T289" s="375"/>
      <c r="U289" s="375"/>
      <c r="V289" s="375"/>
      <c r="W289" s="375"/>
      <c r="X289" s="375"/>
      <c r="Y289" s="375"/>
      <c r="Z289" s="375"/>
      <c r="AA289" s="375"/>
    </row>
    <row r="290" spans="1:27" ht="14.4">
      <c r="A290" s="425"/>
      <c r="B290" s="425"/>
      <c r="C290" s="425"/>
      <c r="D290" s="391"/>
      <c r="E290" s="425"/>
      <c r="F290" s="425"/>
      <c r="G290" s="425"/>
      <c r="H290" s="425"/>
      <c r="I290" s="425"/>
      <c r="J290" s="425"/>
      <c r="K290" s="425"/>
      <c r="L290" s="375"/>
      <c r="M290" s="375"/>
      <c r="N290" s="375"/>
      <c r="O290" s="375"/>
      <c r="P290" s="375"/>
      <c r="Q290" s="375"/>
      <c r="R290" s="375"/>
      <c r="S290" s="375"/>
      <c r="T290" s="375"/>
      <c r="U290" s="375"/>
      <c r="V290" s="375"/>
      <c r="W290" s="375"/>
      <c r="X290" s="375"/>
      <c r="Y290" s="375"/>
      <c r="Z290" s="375"/>
      <c r="AA290" s="375"/>
    </row>
    <row r="291" spans="1:27" ht="14.4">
      <c r="A291" s="425"/>
      <c r="B291" s="425"/>
      <c r="C291" s="425"/>
      <c r="D291" s="391"/>
      <c r="E291" s="425"/>
      <c r="F291" s="425"/>
      <c r="G291" s="425"/>
      <c r="H291" s="425"/>
      <c r="I291" s="425"/>
      <c r="J291" s="425"/>
      <c r="K291" s="425"/>
      <c r="L291" s="375"/>
      <c r="M291" s="375"/>
      <c r="N291" s="375"/>
      <c r="O291" s="375"/>
      <c r="P291" s="375"/>
      <c r="Q291" s="375"/>
      <c r="R291" s="375"/>
      <c r="S291" s="375"/>
      <c r="T291" s="375"/>
      <c r="U291" s="375"/>
      <c r="V291" s="375"/>
      <c r="W291" s="375"/>
      <c r="X291" s="375"/>
      <c r="Y291" s="375"/>
      <c r="Z291" s="375"/>
      <c r="AA291" s="375"/>
    </row>
    <row r="292" spans="1:27" ht="14.4">
      <c r="A292" s="425"/>
      <c r="B292" s="425"/>
      <c r="C292" s="425"/>
      <c r="D292" s="391"/>
      <c r="E292" s="425"/>
      <c r="F292" s="425"/>
      <c r="G292" s="425"/>
      <c r="H292" s="425"/>
      <c r="I292" s="425"/>
      <c r="J292" s="425"/>
      <c r="K292" s="425"/>
      <c r="L292" s="375"/>
      <c r="M292" s="375"/>
      <c r="N292" s="375"/>
      <c r="O292" s="375"/>
      <c r="P292" s="375"/>
      <c r="Q292" s="375"/>
      <c r="R292" s="375"/>
      <c r="S292" s="375"/>
      <c r="T292" s="375"/>
      <c r="U292" s="375"/>
      <c r="V292" s="375"/>
      <c r="W292" s="375"/>
      <c r="X292" s="375"/>
      <c r="Y292" s="375"/>
      <c r="Z292" s="375"/>
      <c r="AA292" s="375"/>
    </row>
    <row r="293" spans="1:27" ht="14.4">
      <c r="A293" s="425"/>
      <c r="B293" s="425"/>
      <c r="C293" s="425"/>
      <c r="D293" s="391"/>
      <c r="E293" s="425"/>
      <c r="F293" s="425"/>
      <c r="G293" s="425"/>
      <c r="H293" s="425"/>
      <c r="I293" s="425"/>
      <c r="J293" s="425"/>
      <c r="K293" s="425"/>
      <c r="L293" s="375"/>
      <c r="M293" s="375"/>
      <c r="N293" s="375"/>
      <c r="O293" s="375"/>
      <c r="P293" s="375"/>
      <c r="Q293" s="375"/>
      <c r="R293" s="375"/>
      <c r="S293" s="375"/>
      <c r="T293" s="375"/>
      <c r="U293" s="375"/>
      <c r="V293" s="375"/>
      <c r="W293" s="375"/>
      <c r="X293" s="375"/>
      <c r="Y293" s="375"/>
      <c r="Z293" s="375"/>
      <c r="AA293" s="375"/>
    </row>
    <row r="294" spans="1:27" ht="14.4">
      <c r="A294" s="425"/>
      <c r="B294" s="425"/>
      <c r="C294" s="425"/>
      <c r="D294" s="391"/>
      <c r="E294" s="425"/>
      <c r="F294" s="425"/>
      <c r="G294" s="425"/>
      <c r="H294" s="425"/>
      <c r="I294" s="425"/>
      <c r="J294" s="425"/>
      <c r="K294" s="425"/>
      <c r="L294" s="375"/>
      <c r="M294" s="375"/>
      <c r="N294" s="375"/>
      <c r="O294" s="375"/>
      <c r="P294" s="375"/>
      <c r="Q294" s="375"/>
      <c r="R294" s="375"/>
      <c r="S294" s="375"/>
      <c r="T294" s="375"/>
      <c r="U294" s="375"/>
      <c r="V294" s="375"/>
      <c r="W294" s="375"/>
      <c r="X294" s="375"/>
      <c r="Y294" s="375"/>
      <c r="Z294" s="375"/>
      <c r="AA294" s="375"/>
    </row>
    <row r="295" spans="1:27" ht="14.4">
      <c r="A295" s="425"/>
      <c r="B295" s="425"/>
      <c r="C295" s="425"/>
      <c r="D295" s="391"/>
      <c r="E295" s="425"/>
      <c r="F295" s="425"/>
      <c r="G295" s="425"/>
      <c r="H295" s="425"/>
      <c r="I295" s="425"/>
      <c r="J295" s="425"/>
      <c r="K295" s="425"/>
      <c r="L295" s="375"/>
      <c r="M295" s="375"/>
      <c r="N295" s="375"/>
      <c r="O295" s="375"/>
      <c r="P295" s="375"/>
      <c r="Q295" s="375"/>
      <c r="R295" s="375"/>
      <c r="S295" s="375"/>
      <c r="T295" s="375"/>
      <c r="U295" s="375"/>
      <c r="V295" s="375"/>
      <c r="W295" s="375"/>
      <c r="X295" s="375"/>
      <c r="Y295" s="375"/>
      <c r="Z295" s="375"/>
      <c r="AA295" s="375"/>
    </row>
    <row r="296" spans="1:27" ht="14.4">
      <c r="A296" s="425"/>
      <c r="B296" s="425"/>
      <c r="C296" s="425"/>
      <c r="D296" s="391"/>
      <c r="E296" s="425"/>
      <c r="F296" s="425"/>
      <c r="G296" s="425"/>
      <c r="H296" s="425"/>
      <c r="I296" s="425"/>
      <c r="J296" s="425"/>
      <c r="K296" s="425"/>
      <c r="L296" s="375"/>
      <c r="M296" s="375"/>
      <c r="N296" s="375"/>
      <c r="O296" s="375"/>
      <c r="P296" s="375"/>
      <c r="Q296" s="375"/>
      <c r="R296" s="375"/>
      <c r="S296" s="375"/>
      <c r="T296" s="375"/>
      <c r="U296" s="375"/>
      <c r="V296" s="375"/>
      <c r="W296" s="375"/>
      <c r="X296" s="375"/>
      <c r="Y296" s="375"/>
      <c r="Z296" s="375"/>
      <c r="AA296" s="375"/>
    </row>
    <row r="297" spans="1:27" ht="14.4">
      <c r="A297" s="425"/>
      <c r="B297" s="425"/>
      <c r="C297" s="425"/>
      <c r="D297" s="391"/>
      <c r="E297" s="425"/>
      <c r="F297" s="425"/>
      <c r="G297" s="425"/>
      <c r="H297" s="425"/>
      <c r="I297" s="425"/>
      <c r="J297" s="425"/>
      <c r="K297" s="425"/>
      <c r="L297" s="375"/>
      <c r="M297" s="375"/>
      <c r="N297" s="375"/>
      <c r="O297" s="375"/>
      <c r="P297" s="375"/>
      <c r="Q297" s="375"/>
      <c r="R297" s="375"/>
      <c r="S297" s="375"/>
      <c r="T297" s="375"/>
      <c r="U297" s="375"/>
      <c r="V297" s="375"/>
      <c r="W297" s="375"/>
      <c r="X297" s="375"/>
      <c r="Y297" s="375"/>
      <c r="Z297" s="375"/>
      <c r="AA297" s="375"/>
    </row>
    <row r="298" spans="1:27" ht="14.4">
      <c r="A298" s="425"/>
      <c r="B298" s="425"/>
      <c r="C298" s="425"/>
      <c r="D298" s="391"/>
      <c r="E298" s="425"/>
      <c r="F298" s="425"/>
      <c r="G298" s="425"/>
      <c r="H298" s="425"/>
      <c r="I298" s="425"/>
      <c r="J298" s="425"/>
      <c r="K298" s="425"/>
      <c r="L298" s="375"/>
      <c r="M298" s="375"/>
      <c r="N298" s="375"/>
      <c r="O298" s="375"/>
      <c r="P298" s="375"/>
      <c r="Q298" s="375"/>
      <c r="R298" s="375"/>
      <c r="S298" s="375"/>
      <c r="T298" s="375"/>
      <c r="U298" s="375"/>
      <c r="V298" s="375"/>
      <c r="W298" s="375"/>
      <c r="X298" s="375"/>
      <c r="Y298" s="375"/>
      <c r="Z298" s="375"/>
      <c r="AA298" s="375"/>
    </row>
    <row r="299" spans="1:27" ht="14.4">
      <c r="A299" s="425"/>
      <c r="B299" s="425"/>
      <c r="C299" s="425"/>
      <c r="D299" s="391"/>
      <c r="E299" s="425"/>
      <c r="F299" s="425"/>
      <c r="G299" s="425"/>
      <c r="H299" s="425"/>
      <c r="I299" s="425"/>
      <c r="J299" s="425"/>
      <c r="K299" s="425"/>
      <c r="L299" s="375"/>
      <c r="M299" s="375"/>
      <c r="N299" s="375"/>
      <c r="O299" s="375"/>
      <c r="P299" s="375"/>
      <c r="Q299" s="375"/>
      <c r="R299" s="375"/>
      <c r="S299" s="375"/>
      <c r="T299" s="375"/>
      <c r="U299" s="375"/>
      <c r="V299" s="375"/>
      <c r="W299" s="375"/>
      <c r="X299" s="375"/>
      <c r="Y299" s="375"/>
      <c r="Z299" s="375"/>
      <c r="AA299" s="375"/>
    </row>
    <row r="300" spans="1:27" ht="14.4">
      <c r="A300" s="425"/>
      <c r="B300" s="425"/>
      <c r="C300" s="425"/>
      <c r="D300" s="391"/>
      <c r="E300" s="425"/>
      <c r="F300" s="425"/>
      <c r="G300" s="425"/>
      <c r="H300" s="425"/>
      <c r="I300" s="425"/>
      <c r="J300" s="425"/>
      <c r="K300" s="425"/>
      <c r="L300" s="375"/>
      <c r="M300" s="375"/>
      <c r="N300" s="375"/>
      <c r="O300" s="375"/>
      <c r="P300" s="375"/>
      <c r="Q300" s="375"/>
      <c r="R300" s="375"/>
      <c r="S300" s="375"/>
      <c r="T300" s="375"/>
      <c r="U300" s="375"/>
      <c r="V300" s="375"/>
      <c r="W300" s="375"/>
      <c r="X300" s="375"/>
      <c r="Y300" s="375"/>
      <c r="Z300" s="375"/>
      <c r="AA300" s="375"/>
    </row>
    <row r="301" spans="1:27" ht="14.4">
      <c r="A301" s="425"/>
      <c r="B301" s="425"/>
      <c r="C301" s="425"/>
      <c r="D301" s="391"/>
      <c r="E301" s="425"/>
      <c r="F301" s="425"/>
      <c r="G301" s="425"/>
      <c r="H301" s="425"/>
      <c r="I301" s="425"/>
      <c r="J301" s="425"/>
      <c r="K301" s="425"/>
      <c r="L301" s="375"/>
      <c r="M301" s="375"/>
      <c r="N301" s="375"/>
      <c r="O301" s="375"/>
      <c r="P301" s="375"/>
      <c r="Q301" s="375"/>
      <c r="R301" s="375"/>
      <c r="S301" s="375"/>
      <c r="T301" s="375"/>
      <c r="U301" s="375"/>
      <c r="V301" s="375"/>
      <c r="W301" s="375"/>
      <c r="X301" s="375"/>
      <c r="Y301" s="375"/>
      <c r="Z301" s="375"/>
      <c r="AA301" s="375"/>
    </row>
    <row r="302" spans="1:27" ht="14.4">
      <c r="A302" s="425"/>
      <c r="B302" s="425"/>
      <c r="C302" s="425"/>
      <c r="D302" s="391"/>
      <c r="E302" s="425"/>
      <c r="F302" s="425"/>
      <c r="G302" s="425"/>
      <c r="H302" s="425"/>
      <c r="I302" s="425"/>
      <c r="J302" s="425"/>
      <c r="K302" s="425"/>
      <c r="L302" s="375"/>
      <c r="M302" s="375"/>
      <c r="N302" s="375"/>
      <c r="O302" s="375"/>
      <c r="P302" s="375"/>
      <c r="Q302" s="375"/>
      <c r="R302" s="375"/>
      <c r="S302" s="375"/>
      <c r="T302" s="375"/>
      <c r="U302" s="375"/>
      <c r="V302" s="375"/>
      <c r="W302" s="375"/>
      <c r="X302" s="375"/>
      <c r="Y302" s="375"/>
      <c r="Z302" s="375"/>
      <c r="AA302" s="375"/>
    </row>
    <row r="303" spans="1:27" ht="14.4">
      <c r="A303" s="425"/>
      <c r="B303" s="425"/>
      <c r="C303" s="425"/>
      <c r="D303" s="391"/>
      <c r="E303" s="425"/>
      <c r="F303" s="425"/>
      <c r="G303" s="425"/>
      <c r="H303" s="425"/>
      <c r="I303" s="425"/>
      <c r="J303" s="425"/>
      <c r="K303" s="425"/>
      <c r="L303" s="375"/>
      <c r="M303" s="375"/>
      <c r="N303" s="375"/>
      <c r="O303" s="375"/>
      <c r="P303" s="375"/>
      <c r="Q303" s="375"/>
      <c r="R303" s="375"/>
      <c r="S303" s="375"/>
      <c r="T303" s="375"/>
      <c r="U303" s="375"/>
      <c r="V303" s="375"/>
      <c r="W303" s="375"/>
      <c r="X303" s="375"/>
      <c r="Y303" s="375"/>
      <c r="Z303" s="375"/>
      <c r="AA303" s="375"/>
    </row>
    <row r="304" spans="1:27" ht="14.4">
      <c r="A304" s="425"/>
      <c r="B304" s="425"/>
      <c r="C304" s="425"/>
      <c r="D304" s="391"/>
      <c r="E304" s="425"/>
      <c r="F304" s="425"/>
      <c r="G304" s="425"/>
      <c r="H304" s="425"/>
      <c r="I304" s="425"/>
      <c r="J304" s="425"/>
      <c r="K304" s="425"/>
      <c r="L304" s="375"/>
      <c r="M304" s="375"/>
      <c r="N304" s="375"/>
      <c r="O304" s="375"/>
      <c r="P304" s="375"/>
      <c r="Q304" s="375"/>
      <c r="R304" s="375"/>
      <c r="S304" s="375"/>
      <c r="T304" s="375"/>
      <c r="U304" s="375"/>
      <c r="V304" s="375"/>
      <c r="W304" s="375"/>
      <c r="X304" s="375"/>
      <c r="Y304" s="375"/>
      <c r="Z304" s="375"/>
      <c r="AA304" s="375"/>
    </row>
    <row r="305" spans="1:27" ht="14.4">
      <c r="A305" s="425"/>
      <c r="B305" s="425"/>
      <c r="C305" s="425"/>
      <c r="D305" s="391"/>
      <c r="E305" s="425"/>
      <c r="F305" s="425"/>
      <c r="G305" s="425"/>
      <c r="H305" s="425"/>
      <c r="I305" s="425"/>
      <c r="J305" s="425"/>
      <c r="K305" s="425"/>
      <c r="L305" s="375"/>
      <c r="M305" s="375"/>
      <c r="N305" s="375"/>
      <c r="O305" s="375"/>
      <c r="P305" s="375"/>
      <c r="Q305" s="375"/>
      <c r="R305" s="375"/>
      <c r="S305" s="375"/>
      <c r="T305" s="375"/>
      <c r="U305" s="375"/>
      <c r="V305" s="375"/>
      <c r="W305" s="375"/>
      <c r="X305" s="375"/>
      <c r="Y305" s="375"/>
      <c r="Z305" s="375"/>
      <c r="AA305" s="375"/>
    </row>
    <row r="306" spans="1:27" ht="14.4">
      <c r="A306" s="425"/>
      <c r="B306" s="425"/>
      <c r="C306" s="425"/>
      <c r="D306" s="391"/>
      <c r="E306" s="425"/>
      <c r="F306" s="425"/>
      <c r="G306" s="425"/>
      <c r="H306" s="425"/>
      <c r="I306" s="425"/>
      <c r="J306" s="425"/>
      <c r="K306" s="425"/>
      <c r="L306" s="375"/>
      <c r="M306" s="375"/>
      <c r="N306" s="375"/>
      <c r="O306" s="375"/>
      <c r="P306" s="375"/>
      <c r="Q306" s="375"/>
      <c r="R306" s="375"/>
      <c r="S306" s="375"/>
      <c r="T306" s="375"/>
      <c r="U306" s="375"/>
      <c r="V306" s="375"/>
      <c r="W306" s="375"/>
      <c r="X306" s="375"/>
      <c r="Y306" s="375"/>
      <c r="Z306" s="375"/>
      <c r="AA306" s="375"/>
    </row>
    <row r="307" spans="1:27" ht="14.4">
      <c r="A307" s="425"/>
      <c r="B307" s="425"/>
      <c r="C307" s="425"/>
      <c r="D307" s="391"/>
      <c r="E307" s="425"/>
      <c r="F307" s="425"/>
      <c r="G307" s="425"/>
      <c r="H307" s="425"/>
      <c r="I307" s="425"/>
      <c r="J307" s="425"/>
      <c r="K307" s="425"/>
      <c r="L307" s="375"/>
      <c r="M307" s="375"/>
      <c r="N307" s="375"/>
      <c r="O307" s="375"/>
      <c r="P307" s="375"/>
      <c r="Q307" s="375"/>
      <c r="R307" s="375"/>
      <c r="S307" s="375"/>
      <c r="T307" s="375"/>
      <c r="U307" s="375"/>
      <c r="V307" s="375"/>
      <c r="W307" s="375"/>
      <c r="X307" s="375"/>
      <c r="Y307" s="375"/>
      <c r="Z307" s="375"/>
      <c r="AA307" s="375"/>
    </row>
    <row r="308" spans="1:27" ht="14.4">
      <c r="A308" s="425"/>
      <c r="B308" s="425"/>
      <c r="C308" s="425"/>
      <c r="D308" s="391"/>
      <c r="E308" s="425"/>
      <c r="F308" s="425"/>
      <c r="G308" s="425"/>
      <c r="H308" s="425"/>
      <c r="I308" s="425"/>
      <c r="J308" s="425"/>
      <c r="K308" s="425"/>
      <c r="L308" s="375"/>
      <c r="M308" s="375"/>
      <c r="N308" s="375"/>
      <c r="O308" s="375"/>
      <c r="P308" s="375"/>
      <c r="Q308" s="375"/>
      <c r="R308" s="375"/>
      <c r="S308" s="375"/>
      <c r="T308" s="375"/>
      <c r="U308" s="375"/>
      <c r="V308" s="375"/>
      <c r="W308" s="375"/>
      <c r="X308" s="375"/>
      <c r="Y308" s="375"/>
      <c r="Z308" s="375"/>
      <c r="AA308" s="375"/>
    </row>
    <row r="309" spans="1:27" ht="14.4">
      <c r="A309" s="425"/>
      <c r="B309" s="425"/>
      <c r="C309" s="425"/>
      <c r="D309" s="391"/>
      <c r="E309" s="425"/>
      <c r="F309" s="425"/>
      <c r="G309" s="425"/>
      <c r="H309" s="425"/>
      <c r="I309" s="425"/>
      <c r="J309" s="425"/>
      <c r="K309" s="425"/>
      <c r="L309" s="375"/>
      <c r="M309" s="375"/>
      <c r="N309" s="375"/>
      <c r="O309" s="375"/>
      <c r="P309" s="375"/>
      <c r="Q309" s="375"/>
      <c r="R309" s="375"/>
      <c r="S309" s="375"/>
      <c r="T309" s="375"/>
      <c r="U309" s="375"/>
      <c r="V309" s="375"/>
      <c r="W309" s="375"/>
      <c r="X309" s="375"/>
      <c r="Y309" s="375"/>
      <c r="Z309" s="375"/>
      <c r="AA309" s="375"/>
    </row>
    <row r="310" spans="1:27" ht="14.4">
      <c r="A310" s="425"/>
      <c r="B310" s="425"/>
      <c r="C310" s="425"/>
      <c r="D310" s="391"/>
      <c r="E310" s="425"/>
      <c r="F310" s="425"/>
      <c r="G310" s="425"/>
      <c r="H310" s="425"/>
      <c r="I310" s="425"/>
      <c r="J310" s="425"/>
      <c r="K310" s="425"/>
      <c r="L310" s="375"/>
      <c r="M310" s="375"/>
      <c r="N310" s="375"/>
      <c r="O310" s="375"/>
      <c r="P310" s="375"/>
      <c r="Q310" s="375"/>
      <c r="R310" s="375"/>
      <c r="S310" s="375"/>
      <c r="T310" s="375"/>
      <c r="U310" s="375"/>
      <c r="V310" s="375"/>
      <c r="W310" s="375"/>
      <c r="X310" s="375"/>
      <c r="Y310" s="375"/>
      <c r="Z310" s="375"/>
      <c r="AA310" s="375"/>
    </row>
    <row r="311" spans="1:27" ht="14.4">
      <c r="A311" s="425"/>
      <c r="B311" s="425"/>
      <c r="C311" s="425"/>
      <c r="D311" s="391"/>
      <c r="E311" s="425"/>
      <c r="F311" s="425"/>
      <c r="G311" s="425"/>
      <c r="H311" s="425"/>
      <c r="I311" s="425"/>
      <c r="J311" s="425"/>
      <c r="K311" s="425"/>
      <c r="L311" s="375"/>
      <c r="M311" s="375"/>
      <c r="N311" s="375"/>
      <c r="O311" s="375"/>
      <c r="P311" s="375"/>
      <c r="Q311" s="375"/>
      <c r="R311" s="375"/>
      <c r="S311" s="375"/>
      <c r="T311" s="375"/>
      <c r="U311" s="375"/>
      <c r="V311" s="375"/>
      <c r="W311" s="375"/>
      <c r="X311" s="375"/>
      <c r="Y311" s="375"/>
      <c r="Z311" s="375"/>
      <c r="AA311" s="375"/>
    </row>
    <row r="312" spans="1:27" ht="14.4">
      <c r="A312" s="425"/>
      <c r="B312" s="425"/>
      <c r="C312" s="425"/>
      <c r="D312" s="391"/>
      <c r="E312" s="425"/>
      <c r="F312" s="425"/>
      <c r="G312" s="425"/>
      <c r="H312" s="425"/>
      <c r="I312" s="425"/>
      <c r="J312" s="425"/>
      <c r="K312" s="425"/>
      <c r="L312" s="375"/>
      <c r="M312" s="375"/>
      <c r="N312" s="375"/>
      <c r="O312" s="375"/>
      <c r="P312" s="375"/>
      <c r="Q312" s="375"/>
      <c r="R312" s="375"/>
      <c r="S312" s="375"/>
      <c r="T312" s="375"/>
      <c r="U312" s="375"/>
      <c r="V312" s="375"/>
      <c r="W312" s="375"/>
      <c r="X312" s="375"/>
      <c r="Y312" s="375"/>
      <c r="Z312" s="375"/>
      <c r="AA312" s="375"/>
    </row>
    <row r="313" spans="1:27" ht="14.4">
      <c r="A313" s="425"/>
      <c r="B313" s="425"/>
      <c r="C313" s="425"/>
      <c r="D313" s="391"/>
      <c r="E313" s="425"/>
      <c r="F313" s="425"/>
      <c r="G313" s="425"/>
      <c r="H313" s="425"/>
      <c r="I313" s="425"/>
      <c r="J313" s="425"/>
      <c r="K313" s="425"/>
      <c r="L313" s="375"/>
      <c r="M313" s="375"/>
      <c r="N313" s="375"/>
      <c r="O313" s="375"/>
      <c r="P313" s="375"/>
      <c r="Q313" s="375"/>
      <c r="R313" s="375"/>
      <c r="S313" s="375"/>
      <c r="T313" s="375"/>
      <c r="U313" s="375"/>
      <c r="V313" s="375"/>
      <c r="W313" s="375"/>
      <c r="X313" s="375"/>
      <c r="Y313" s="375"/>
      <c r="Z313" s="375"/>
      <c r="AA313" s="375"/>
    </row>
    <row r="314" spans="1:27" ht="14.4">
      <c r="A314" s="425"/>
      <c r="B314" s="425"/>
      <c r="C314" s="425"/>
      <c r="D314" s="391"/>
      <c r="E314" s="425"/>
      <c r="F314" s="425"/>
      <c r="G314" s="425"/>
      <c r="H314" s="425"/>
      <c r="I314" s="425"/>
      <c r="J314" s="425"/>
      <c r="K314" s="425"/>
      <c r="L314" s="375"/>
      <c r="M314" s="375"/>
      <c r="N314" s="375"/>
      <c r="O314" s="375"/>
      <c r="P314" s="375"/>
      <c r="Q314" s="375"/>
      <c r="R314" s="375"/>
      <c r="S314" s="375"/>
      <c r="T314" s="375"/>
      <c r="U314" s="375"/>
      <c r="V314" s="375"/>
      <c r="W314" s="375"/>
      <c r="X314" s="375"/>
      <c r="Y314" s="375"/>
      <c r="Z314" s="375"/>
      <c r="AA314" s="375"/>
    </row>
    <row r="315" spans="1:27" ht="14.4">
      <c r="A315" s="425"/>
      <c r="B315" s="425"/>
      <c r="C315" s="425"/>
      <c r="D315" s="391"/>
      <c r="E315" s="425"/>
      <c r="F315" s="425"/>
      <c r="G315" s="425"/>
      <c r="H315" s="425"/>
      <c r="I315" s="425"/>
      <c r="J315" s="425"/>
      <c r="K315" s="425"/>
      <c r="L315" s="375"/>
      <c r="M315" s="375"/>
      <c r="N315" s="375"/>
      <c r="O315" s="375"/>
      <c r="P315" s="375"/>
      <c r="Q315" s="375"/>
      <c r="R315" s="375"/>
      <c r="S315" s="375"/>
      <c r="T315" s="375"/>
      <c r="U315" s="375"/>
      <c r="V315" s="375"/>
      <c r="W315" s="375"/>
      <c r="X315" s="375"/>
      <c r="Y315" s="375"/>
      <c r="Z315" s="375"/>
      <c r="AA315" s="375"/>
    </row>
    <row r="316" spans="1:27" ht="14.4">
      <c r="A316" s="425"/>
      <c r="B316" s="425"/>
      <c r="C316" s="425"/>
      <c r="D316" s="391"/>
      <c r="E316" s="425"/>
      <c r="F316" s="425"/>
      <c r="G316" s="425"/>
      <c r="H316" s="425"/>
      <c r="I316" s="425"/>
      <c r="J316" s="425"/>
      <c r="K316" s="425"/>
      <c r="L316" s="375"/>
      <c r="M316" s="375"/>
      <c r="N316" s="375"/>
      <c r="O316" s="375"/>
      <c r="P316" s="375"/>
      <c r="Q316" s="375"/>
      <c r="R316" s="375"/>
      <c r="S316" s="375"/>
      <c r="T316" s="375"/>
      <c r="U316" s="375"/>
      <c r="V316" s="375"/>
      <c r="W316" s="375"/>
      <c r="X316" s="375"/>
      <c r="Y316" s="375"/>
      <c r="Z316" s="375"/>
      <c r="AA316" s="375"/>
    </row>
    <row r="317" spans="1:27" ht="14.4">
      <c r="A317" s="425"/>
      <c r="B317" s="425"/>
      <c r="C317" s="425"/>
      <c r="D317" s="391"/>
      <c r="E317" s="425"/>
      <c r="F317" s="425"/>
      <c r="G317" s="425"/>
      <c r="H317" s="425"/>
      <c r="I317" s="425"/>
      <c r="J317" s="425"/>
      <c r="K317" s="425"/>
      <c r="L317" s="375"/>
      <c r="M317" s="375"/>
      <c r="N317" s="375"/>
      <c r="O317" s="375"/>
      <c r="P317" s="375"/>
      <c r="Q317" s="375"/>
      <c r="R317" s="375"/>
      <c r="S317" s="375"/>
      <c r="T317" s="375"/>
      <c r="U317" s="375"/>
      <c r="V317" s="375"/>
      <c r="W317" s="375"/>
      <c r="X317" s="375"/>
      <c r="Y317" s="375"/>
      <c r="Z317" s="375"/>
      <c r="AA317" s="375"/>
    </row>
    <row r="318" spans="1:27" ht="14.4">
      <c r="A318" s="425"/>
      <c r="B318" s="425"/>
      <c r="C318" s="425"/>
      <c r="D318" s="391"/>
      <c r="E318" s="425"/>
      <c r="F318" s="425"/>
      <c r="G318" s="425"/>
      <c r="H318" s="425"/>
      <c r="I318" s="425"/>
      <c r="J318" s="425"/>
      <c r="K318" s="425"/>
      <c r="L318" s="375"/>
      <c r="M318" s="375"/>
      <c r="N318" s="375"/>
      <c r="O318" s="375"/>
      <c r="P318" s="375"/>
      <c r="Q318" s="375"/>
      <c r="R318" s="375"/>
      <c r="S318" s="375"/>
      <c r="T318" s="375"/>
      <c r="U318" s="375"/>
      <c r="V318" s="375"/>
      <c r="W318" s="375"/>
      <c r="X318" s="375"/>
      <c r="Y318" s="375"/>
      <c r="Z318" s="375"/>
      <c r="AA318" s="375"/>
    </row>
    <row r="319" spans="1:27" ht="14.4">
      <c r="A319" s="425"/>
      <c r="B319" s="425"/>
      <c r="C319" s="425"/>
      <c r="D319" s="391"/>
      <c r="E319" s="425"/>
      <c r="F319" s="425"/>
      <c r="G319" s="425"/>
      <c r="H319" s="425"/>
      <c r="I319" s="425"/>
      <c r="J319" s="425"/>
      <c r="K319" s="425"/>
      <c r="L319" s="375"/>
      <c r="M319" s="375"/>
      <c r="N319" s="375"/>
      <c r="O319" s="375"/>
      <c r="P319" s="375"/>
      <c r="Q319" s="375"/>
      <c r="R319" s="375"/>
      <c r="S319" s="375"/>
      <c r="T319" s="375"/>
      <c r="U319" s="375"/>
      <c r="V319" s="375"/>
      <c r="W319" s="375"/>
      <c r="X319" s="375"/>
      <c r="Y319" s="375"/>
      <c r="Z319" s="375"/>
      <c r="AA319" s="375"/>
    </row>
    <row r="320" spans="1:27" ht="14.4">
      <c r="A320" s="425"/>
      <c r="B320" s="425"/>
      <c r="C320" s="425"/>
      <c r="D320" s="391"/>
      <c r="E320" s="425"/>
      <c r="F320" s="425"/>
      <c r="G320" s="425"/>
      <c r="H320" s="425"/>
      <c r="I320" s="425"/>
      <c r="J320" s="425"/>
      <c r="K320" s="425"/>
      <c r="L320" s="375"/>
      <c r="M320" s="375"/>
      <c r="N320" s="375"/>
      <c r="O320" s="375"/>
      <c r="P320" s="375"/>
      <c r="Q320" s="375"/>
      <c r="R320" s="375"/>
      <c r="S320" s="375"/>
      <c r="T320" s="375"/>
      <c r="U320" s="375"/>
      <c r="V320" s="375"/>
      <c r="W320" s="375"/>
      <c r="X320" s="375"/>
      <c r="Y320" s="375"/>
      <c r="Z320" s="375"/>
      <c r="AA320" s="375"/>
    </row>
    <row r="321" spans="1:27" ht="14.4">
      <c r="A321" s="425"/>
      <c r="B321" s="425"/>
      <c r="C321" s="425"/>
      <c r="D321" s="391"/>
      <c r="E321" s="425"/>
      <c r="F321" s="425"/>
      <c r="G321" s="425"/>
      <c r="H321" s="425"/>
      <c r="I321" s="425"/>
      <c r="J321" s="425"/>
      <c r="K321" s="425"/>
      <c r="L321" s="375"/>
      <c r="M321" s="375"/>
      <c r="N321" s="375"/>
      <c r="O321" s="375"/>
      <c r="P321" s="375"/>
      <c r="Q321" s="375"/>
      <c r="R321" s="375"/>
      <c r="S321" s="375"/>
      <c r="T321" s="375"/>
      <c r="U321" s="375"/>
      <c r="V321" s="375"/>
      <c r="W321" s="375"/>
      <c r="X321" s="375"/>
      <c r="Y321" s="375"/>
      <c r="Z321" s="375"/>
      <c r="AA321" s="375"/>
    </row>
    <row r="322" spans="1:27" ht="14.4">
      <c r="A322" s="425"/>
      <c r="B322" s="425"/>
      <c r="C322" s="425"/>
      <c r="D322" s="391"/>
      <c r="E322" s="425"/>
      <c r="F322" s="425"/>
      <c r="G322" s="425"/>
      <c r="H322" s="425"/>
      <c r="I322" s="425"/>
      <c r="J322" s="425"/>
      <c r="K322" s="425"/>
      <c r="L322" s="375"/>
      <c r="M322" s="375"/>
      <c r="N322" s="375"/>
      <c r="O322" s="375"/>
      <c r="P322" s="375"/>
      <c r="Q322" s="375"/>
      <c r="R322" s="375"/>
      <c r="S322" s="375"/>
      <c r="T322" s="375"/>
      <c r="U322" s="375"/>
      <c r="V322" s="375"/>
      <c r="W322" s="375"/>
      <c r="X322" s="375"/>
      <c r="Y322" s="375"/>
      <c r="Z322" s="375"/>
      <c r="AA322" s="375"/>
    </row>
    <row r="323" spans="1:27" ht="14.4">
      <c r="A323" s="425"/>
      <c r="B323" s="425"/>
      <c r="C323" s="425"/>
      <c r="D323" s="391"/>
      <c r="E323" s="425"/>
      <c r="F323" s="425"/>
      <c r="G323" s="425"/>
      <c r="H323" s="425"/>
      <c r="I323" s="425"/>
      <c r="J323" s="425"/>
      <c r="K323" s="425"/>
      <c r="L323" s="375"/>
      <c r="M323" s="375"/>
      <c r="N323" s="375"/>
      <c r="O323" s="375"/>
      <c r="P323" s="375"/>
      <c r="Q323" s="375"/>
      <c r="R323" s="375"/>
      <c r="S323" s="375"/>
      <c r="T323" s="375"/>
      <c r="U323" s="375"/>
      <c r="V323" s="375"/>
      <c r="W323" s="375"/>
      <c r="X323" s="375"/>
      <c r="Y323" s="375"/>
      <c r="Z323" s="375"/>
      <c r="AA323" s="375"/>
    </row>
    <row r="324" spans="1:27" ht="14.4">
      <c r="A324" s="425"/>
      <c r="B324" s="425"/>
      <c r="C324" s="425"/>
      <c r="D324" s="391"/>
      <c r="E324" s="425"/>
      <c r="F324" s="425"/>
      <c r="G324" s="425"/>
      <c r="H324" s="425"/>
      <c r="I324" s="425"/>
      <c r="J324" s="425"/>
      <c r="K324" s="425"/>
      <c r="L324" s="375"/>
      <c r="M324" s="375"/>
      <c r="N324" s="375"/>
      <c r="O324" s="375"/>
      <c r="P324" s="375"/>
      <c r="Q324" s="375"/>
      <c r="R324" s="375"/>
      <c r="S324" s="375"/>
      <c r="T324" s="375"/>
      <c r="U324" s="375"/>
      <c r="V324" s="375"/>
      <c r="W324" s="375"/>
      <c r="X324" s="375"/>
      <c r="Y324" s="375"/>
      <c r="Z324" s="375"/>
      <c r="AA324" s="375"/>
    </row>
    <row r="325" spans="1:27" ht="14.4">
      <c r="A325" s="425"/>
      <c r="B325" s="425"/>
      <c r="C325" s="425"/>
      <c r="D325" s="391"/>
      <c r="E325" s="425"/>
      <c r="F325" s="425"/>
      <c r="G325" s="425"/>
      <c r="H325" s="425"/>
      <c r="I325" s="425"/>
      <c r="J325" s="425"/>
      <c r="K325" s="425"/>
      <c r="L325" s="375"/>
      <c r="M325" s="375"/>
      <c r="N325" s="375"/>
      <c r="O325" s="375"/>
      <c r="P325" s="375"/>
      <c r="Q325" s="375"/>
      <c r="R325" s="375"/>
      <c r="S325" s="375"/>
      <c r="T325" s="375"/>
      <c r="U325" s="375"/>
      <c r="V325" s="375"/>
      <c r="W325" s="375"/>
      <c r="X325" s="375"/>
      <c r="Y325" s="375"/>
      <c r="Z325" s="375"/>
      <c r="AA325" s="375"/>
    </row>
    <row r="326" spans="1:27" ht="14.4">
      <c r="A326" s="425"/>
      <c r="B326" s="425"/>
      <c r="C326" s="425"/>
      <c r="D326" s="391"/>
      <c r="E326" s="425"/>
      <c r="F326" s="425"/>
      <c r="G326" s="425"/>
      <c r="H326" s="425"/>
      <c r="I326" s="425"/>
      <c r="J326" s="425"/>
      <c r="K326" s="425"/>
      <c r="L326" s="375"/>
      <c r="M326" s="375"/>
      <c r="N326" s="375"/>
      <c r="O326" s="375"/>
      <c r="P326" s="375"/>
      <c r="Q326" s="375"/>
      <c r="R326" s="375"/>
      <c r="S326" s="375"/>
      <c r="T326" s="375"/>
      <c r="U326" s="375"/>
      <c r="V326" s="375"/>
      <c r="W326" s="375"/>
      <c r="X326" s="375"/>
      <c r="Y326" s="375"/>
      <c r="Z326" s="375"/>
      <c r="AA326" s="375"/>
    </row>
    <row r="327" spans="1:27" ht="14.4">
      <c r="A327" s="425"/>
      <c r="B327" s="425"/>
      <c r="C327" s="425"/>
      <c r="D327" s="391"/>
      <c r="E327" s="425"/>
      <c r="F327" s="425"/>
      <c r="G327" s="425"/>
      <c r="H327" s="425"/>
      <c r="I327" s="425"/>
      <c r="J327" s="425"/>
      <c r="K327" s="425"/>
      <c r="L327" s="375"/>
      <c r="M327" s="375"/>
      <c r="N327" s="375"/>
      <c r="O327" s="375"/>
      <c r="P327" s="375"/>
      <c r="Q327" s="375"/>
      <c r="R327" s="375"/>
      <c r="S327" s="375"/>
      <c r="T327" s="375"/>
      <c r="U327" s="375"/>
      <c r="V327" s="375"/>
      <c r="W327" s="375"/>
      <c r="X327" s="375"/>
      <c r="Y327" s="375"/>
      <c r="Z327" s="375"/>
      <c r="AA327" s="375"/>
    </row>
    <row r="328" spans="1:27" ht="14.4">
      <c r="A328" s="425"/>
      <c r="B328" s="425"/>
      <c r="C328" s="425"/>
      <c r="D328" s="391"/>
      <c r="E328" s="425"/>
      <c r="F328" s="425"/>
      <c r="G328" s="425"/>
      <c r="H328" s="425"/>
      <c r="I328" s="425"/>
      <c r="J328" s="425"/>
      <c r="K328" s="425"/>
      <c r="L328" s="375"/>
      <c r="M328" s="375"/>
      <c r="N328" s="375"/>
      <c r="O328" s="375"/>
      <c r="P328" s="375"/>
      <c r="Q328" s="375"/>
      <c r="R328" s="375"/>
      <c r="S328" s="375"/>
      <c r="T328" s="375"/>
      <c r="U328" s="375"/>
      <c r="V328" s="375"/>
      <c r="W328" s="375"/>
      <c r="X328" s="375"/>
      <c r="Y328" s="375"/>
      <c r="Z328" s="375"/>
      <c r="AA328" s="375"/>
    </row>
    <row r="329" spans="1:27" ht="14.4">
      <c r="A329" s="425"/>
      <c r="B329" s="425"/>
      <c r="C329" s="425"/>
      <c r="D329" s="391"/>
      <c r="E329" s="425"/>
      <c r="F329" s="425"/>
      <c r="G329" s="425"/>
      <c r="H329" s="425"/>
      <c r="I329" s="425"/>
      <c r="J329" s="425"/>
      <c r="K329" s="425"/>
      <c r="L329" s="375"/>
      <c r="M329" s="375"/>
      <c r="N329" s="375"/>
      <c r="O329" s="375"/>
      <c r="P329" s="375"/>
      <c r="Q329" s="375"/>
      <c r="R329" s="375"/>
      <c r="S329" s="375"/>
      <c r="T329" s="375"/>
      <c r="U329" s="375"/>
      <c r="V329" s="375"/>
      <c r="W329" s="375"/>
      <c r="X329" s="375"/>
      <c r="Y329" s="375"/>
      <c r="Z329" s="375"/>
      <c r="AA329" s="375"/>
    </row>
    <row r="330" spans="1:27" ht="14.4">
      <c r="A330" s="425"/>
      <c r="B330" s="425"/>
      <c r="C330" s="425"/>
      <c r="D330" s="391"/>
      <c r="E330" s="425"/>
      <c r="F330" s="425"/>
      <c r="G330" s="425"/>
      <c r="H330" s="425"/>
      <c r="I330" s="425"/>
      <c r="J330" s="425"/>
      <c r="K330" s="425"/>
      <c r="L330" s="375"/>
      <c r="M330" s="375"/>
      <c r="N330" s="375"/>
      <c r="O330" s="375"/>
      <c r="P330" s="375"/>
      <c r="Q330" s="375"/>
      <c r="R330" s="375"/>
      <c r="S330" s="375"/>
      <c r="T330" s="375"/>
      <c r="U330" s="375"/>
      <c r="V330" s="375"/>
      <c r="W330" s="375"/>
      <c r="X330" s="375"/>
      <c r="Y330" s="375"/>
      <c r="Z330" s="375"/>
      <c r="AA330" s="375"/>
    </row>
    <row r="331" spans="1:27" ht="14.4">
      <c r="A331" s="425"/>
      <c r="B331" s="425"/>
      <c r="C331" s="425"/>
      <c r="D331" s="391"/>
      <c r="E331" s="425"/>
      <c r="F331" s="425"/>
      <c r="G331" s="425"/>
      <c r="H331" s="425"/>
      <c r="I331" s="425"/>
      <c r="J331" s="425"/>
      <c r="K331" s="425"/>
      <c r="L331" s="375"/>
      <c r="M331" s="375"/>
      <c r="N331" s="375"/>
      <c r="O331" s="375"/>
      <c r="P331" s="375"/>
      <c r="Q331" s="375"/>
      <c r="R331" s="375"/>
      <c r="S331" s="375"/>
      <c r="T331" s="375"/>
      <c r="U331" s="375"/>
      <c r="V331" s="375"/>
      <c r="W331" s="375"/>
      <c r="X331" s="375"/>
      <c r="Y331" s="375"/>
      <c r="Z331" s="375"/>
      <c r="AA331" s="375"/>
    </row>
    <row r="332" spans="1:27" ht="14.4">
      <c r="A332" s="425"/>
      <c r="B332" s="425"/>
      <c r="C332" s="425"/>
      <c r="D332" s="391"/>
      <c r="E332" s="425"/>
      <c r="F332" s="425"/>
      <c r="G332" s="425"/>
      <c r="H332" s="425"/>
      <c r="I332" s="425"/>
      <c r="J332" s="425"/>
      <c r="K332" s="425"/>
      <c r="L332" s="375"/>
      <c r="M332" s="375"/>
      <c r="N332" s="375"/>
      <c r="O332" s="375"/>
      <c r="P332" s="375"/>
      <c r="Q332" s="375"/>
      <c r="R332" s="375"/>
      <c r="S332" s="375"/>
      <c r="T332" s="375"/>
      <c r="U332" s="375"/>
      <c r="V332" s="375"/>
      <c r="W332" s="375"/>
      <c r="X332" s="375"/>
      <c r="Y332" s="375"/>
      <c r="Z332" s="375"/>
      <c r="AA332" s="375"/>
    </row>
    <row r="333" spans="1:27" ht="14.4">
      <c r="A333" s="425"/>
      <c r="B333" s="425"/>
      <c r="C333" s="425"/>
      <c r="D333" s="391"/>
      <c r="E333" s="425"/>
      <c r="F333" s="425"/>
      <c r="G333" s="425"/>
      <c r="H333" s="425"/>
      <c r="I333" s="425"/>
      <c r="J333" s="425"/>
      <c r="K333" s="425"/>
      <c r="L333" s="375"/>
      <c r="M333" s="375"/>
      <c r="N333" s="375"/>
      <c r="O333" s="375"/>
      <c r="P333" s="375"/>
      <c r="Q333" s="375"/>
      <c r="R333" s="375"/>
      <c r="S333" s="375"/>
      <c r="T333" s="375"/>
      <c r="U333" s="375"/>
      <c r="V333" s="375"/>
      <c r="W333" s="375"/>
      <c r="X333" s="375"/>
      <c r="Y333" s="375"/>
      <c r="Z333" s="375"/>
      <c r="AA333" s="375"/>
    </row>
    <row r="334" spans="1:27" ht="14.4">
      <c r="A334" s="425"/>
      <c r="B334" s="425"/>
      <c r="C334" s="425"/>
      <c r="D334" s="391"/>
      <c r="E334" s="425"/>
      <c r="F334" s="425"/>
      <c r="G334" s="425"/>
      <c r="H334" s="425"/>
      <c r="I334" s="425"/>
      <c r="J334" s="425"/>
      <c r="K334" s="425"/>
      <c r="L334" s="375"/>
      <c r="M334" s="375"/>
      <c r="N334" s="375"/>
      <c r="O334" s="375"/>
      <c r="P334" s="375"/>
      <c r="Q334" s="375"/>
      <c r="R334" s="375"/>
      <c r="S334" s="375"/>
      <c r="T334" s="375"/>
      <c r="U334" s="375"/>
      <c r="V334" s="375"/>
      <c r="W334" s="375"/>
      <c r="X334" s="375"/>
      <c r="Y334" s="375"/>
      <c r="Z334" s="375"/>
      <c r="AA334" s="375"/>
    </row>
    <row r="335" spans="1:27" ht="14.4">
      <c r="A335" s="425"/>
      <c r="B335" s="425"/>
      <c r="C335" s="425"/>
      <c r="D335" s="391"/>
      <c r="E335" s="425"/>
      <c r="F335" s="425"/>
      <c r="G335" s="425"/>
      <c r="H335" s="425"/>
      <c r="I335" s="425"/>
      <c r="J335" s="425"/>
      <c r="K335" s="425"/>
      <c r="L335" s="375"/>
      <c r="M335" s="375"/>
      <c r="N335" s="375"/>
      <c r="O335" s="375"/>
      <c r="P335" s="375"/>
      <c r="Q335" s="375"/>
      <c r="R335" s="375"/>
      <c r="S335" s="375"/>
      <c r="T335" s="375"/>
      <c r="U335" s="375"/>
      <c r="V335" s="375"/>
      <c r="W335" s="375"/>
      <c r="X335" s="375"/>
      <c r="Y335" s="375"/>
      <c r="Z335" s="375"/>
      <c r="AA335" s="375"/>
    </row>
    <row r="336" spans="1:27" ht="14.4">
      <c r="A336" s="425"/>
      <c r="B336" s="425"/>
      <c r="C336" s="425"/>
      <c r="D336" s="391"/>
      <c r="E336" s="425"/>
      <c r="F336" s="425"/>
      <c r="G336" s="425"/>
      <c r="H336" s="425"/>
      <c r="I336" s="425"/>
      <c r="J336" s="425"/>
      <c r="K336" s="425"/>
      <c r="L336" s="375"/>
      <c r="M336" s="375"/>
      <c r="N336" s="375"/>
      <c r="O336" s="375"/>
      <c r="P336" s="375"/>
      <c r="Q336" s="375"/>
      <c r="R336" s="375"/>
      <c r="S336" s="375"/>
      <c r="T336" s="375"/>
      <c r="U336" s="375"/>
      <c r="V336" s="375"/>
      <c r="W336" s="375"/>
      <c r="X336" s="375"/>
      <c r="Y336" s="375"/>
      <c r="Z336" s="375"/>
      <c r="AA336" s="375"/>
    </row>
    <row r="337" spans="1:27" ht="14.4">
      <c r="A337" s="425"/>
      <c r="B337" s="425"/>
      <c r="C337" s="425"/>
      <c r="D337" s="391"/>
      <c r="E337" s="425"/>
      <c r="F337" s="425"/>
      <c r="G337" s="425"/>
      <c r="H337" s="425"/>
      <c r="I337" s="425"/>
      <c r="J337" s="425"/>
      <c r="K337" s="425"/>
      <c r="L337" s="375"/>
      <c r="M337" s="375"/>
      <c r="N337" s="375"/>
      <c r="O337" s="375"/>
      <c r="P337" s="375"/>
      <c r="Q337" s="375"/>
      <c r="R337" s="375"/>
      <c r="S337" s="375"/>
      <c r="T337" s="375"/>
      <c r="U337" s="375"/>
      <c r="V337" s="375"/>
      <c r="W337" s="375"/>
      <c r="X337" s="375"/>
      <c r="Y337" s="375"/>
      <c r="Z337" s="375"/>
      <c r="AA337" s="375"/>
    </row>
    <row r="338" spans="1:27" ht="14.4">
      <c r="A338" s="425"/>
      <c r="B338" s="425"/>
      <c r="C338" s="425"/>
      <c r="D338" s="391"/>
      <c r="E338" s="425"/>
      <c r="F338" s="425"/>
      <c r="G338" s="425"/>
      <c r="H338" s="425"/>
      <c r="I338" s="425"/>
      <c r="J338" s="425"/>
      <c r="K338" s="425"/>
      <c r="L338" s="375"/>
      <c r="M338" s="375"/>
      <c r="N338" s="375"/>
      <c r="O338" s="375"/>
      <c r="P338" s="375"/>
      <c r="Q338" s="375"/>
      <c r="R338" s="375"/>
      <c r="S338" s="375"/>
      <c r="T338" s="375"/>
      <c r="U338" s="375"/>
      <c r="V338" s="375"/>
      <c r="W338" s="375"/>
      <c r="X338" s="375"/>
      <c r="Y338" s="375"/>
      <c r="Z338" s="375"/>
      <c r="AA338" s="375"/>
    </row>
    <row r="339" spans="1:27" ht="14.4">
      <c r="A339" s="425"/>
      <c r="B339" s="425"/>
      <c r="C339" s="425"/>
      <c r="D339" s="391"/>
      <c r="E339" s="425"/>
      <c r="F339" s="425"/>
      <c r="G339" s="425"/>
      <c r="H339" s="425"/>
      <c r="I339" s="425"/>
      <c r="J339" s="425"/>
      <c r="K339" s="425"/>
      <c r="L339" s="375"/>
      <c r="M339" s="375"/>
      <c r="N339" s="375"/>
      <c r="O339" s="375"/>
      <c r="P339" s="375"/>
      <c r="Q339" s="375"/>
      <c r="R339" s="375"/>
      <c r="S339" s="375"/>
      <c r="T339" s="375"/>
      <c r="U339" s="375"/>
      <c r="V339" s="375"/>
      <c r="W339" s="375"/>
      <c r="X339" s="375"/>
      <c r="Y339" s="375"/>
      <c r="Z339" s="375"/>
      <c r="AA339" s="375"/>
    </row>
    <row r="340" spans="1:27" ht="14.4">
      <c r="A340" s="425"/>
      <c r="B340" s="425"/>
      <c r="C340" s="425"/>
      <c r="D340" s="391"/>
      <c r="E340" s="425"/>
      <c r="F340" s="425"/>
      <c r="G340" s="425"/>
      <c r="H340" s="425"/>
      <c r="I340" s="425"/>
      <c r="J340" s="425"/>
      <c r="K340" s="425"/>
      <c r="L340" s="375"/>
      <c r="M340" s="375"/>
      <c r="N340" s="375"/>
      <c r="O340" s="375"/>
      <c r="P340" s="375"/>
      <c r="Q340" s="375"/>
      <c r="R340" s="375"/>
      <c r="S340" s="375"/>
      <c r="T340" s="375"/>
      <c r="U340" s="375"/>
      <c r="V340" s="375"/>
      <c r="W340" s="375"/>
      <c r="X340" s="375"/>
      <c r="Y340" s="375"/>
      <c r="Z340" s="375"/>
      <c r="AA340" s="375"/>
    </row>
    <row r="341" spans="1:27" ht="14.4">
      <c r="A341" s="425"/>
      <c r="B341" s="425"/>
      <c r="C341" s="425"/>
      <c r="D341" s="391"/>
      <c r="E341" s="425"/>
      <c r="F341" s="425"/>
      <c r="G341" s="425"/>
      <c r="H341" s="425"/>
      <c r="I341" s="425"/>
      <c r="J341" s="425"/>
      <c r="K341" s="425"/>
      <c r="L341" s="375"/>
      <c r="M341" s="375"/>
      <c r="N341" s="375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  <c r="AA341" s="375"/>
    </row>
    <row r="342" spans="1:27" ht="14.4">
      <c r="A342" s="425"/>
      <c r="B342" s="425"/>
      <c r="C342" s="425"/>
      <c r="D342" s="391"/>
      <c r="E342" s="425"/>
      <c r="F342" s="425"/>
      <c r="G342" s="425"/>
      <c r="H342" s="425"/>
      <c r="I342" s="425"/>
      <c r="J342" s="425"/>
      <c r="K342" s="425"/>
      <c r="L342" s="375"/>
      <c r="M342" s="375"/>
      <c r="N342" s="375"/>
      <c r="O342" s="375"/>
      <c r="P342" s="375"/>
      <c r="Q342" s="375"/>
      <c r="R342" s="375"/>
      <c r="S342" s="375"/>
      <c r="T342" s="375"/>
      <c r="U342" s="375"/>
      <c r="V342" s="375"/>
      <c r="W342" s="375"/>
      <c r="X342" s="375"/>
      <c r="Y342" s="375"/>
      <c r="Z342" s="375"/>
      <c r="AA342" s="375"/>
    </row>
    <row r="343" spans="1:27" ht="14.4">
      <c r="A343" s="425"/>
      <c r="B343" s="425"/>
      <c r="C343" s="425"/>
      <c r="D343" s="391"/>
      <c r="E343" s="425"/>
      <c r="F343" s="425"/>
      <c r="G343" s="425"/>
      <c r="H343" s="425"/>
      <c r="I343" s="425"/>
      <c r="J343" s="425"/>
      <c r="K343" s="425"/>
      <c r="L343" s="375"/>
      <c r="M343" s="375"/>
      <c r="N343" s="375"/>
      <c r="O343" s="375"/>
      <c r="P343" s="375"/>
      <c r="Q343" s="375"/>
      <c r="R343" s="375"/>
      <c r="S343" s="375"/>
      <c r="T343" s="375"/>
      <c r="U343" s="375"/>
      <c r="V343" s="375"/>
      <c r="W343" s="375"/>
      <c r="X343" s="375"/>
      <c r="Y343" s="375"/>
      <c r="Z343" s="375"/>
      <c r="AA343" s="375"/>
    </row>
    <row r="344" spans="1:27" ht="14.4">
      <c r="A344" s="425"/>
      <c r="B344" s="425"/>
      <c r="C344" s="425"/>
      <c r="D344" s="391"/>
      <c r="E344" s="425"/>
      <c r="F344" s="425"/>
      <c r="G344" s="425"/>
      <c r="H344" s="425"/>
      <c r="I344" s="425"/>
      <c r="J344" s="425"/>
      <c r="K344" s="425"/>
      <c r="L344" s="375"/>
      <c r="M344" s="375"/>
      <c r="N344" s="375"/>
      <c r="O344" s="375"/>
      <c r="P344" s="375"/>
      <c r="Q344" s="375"/>
      <c r="R344" s="375"/>
      <c r="S344" s="375"/>
      <c r="T344" s="375"/>
      <c r="U344" s="375"/>
      <c r="V344" s="375"/>
      <c r="W344" s="375"/>
      <c r="X344" s="375"/>
      <c r="Y344" s="375"/>
      <c r="Z344" s="375"/>
      <c r="AA344" s="375"/>
    </row>
    <row r="345" spans="1:27" ht="14.4">
      <c r="A345" s="425"/>
      <c r="B345" s="425"/>
      <c r="C345" s="425"/>
      <c r="D345" s="391"/>
      <c r="E345" s="425"/>
      <c r="F345" s="425"/>
      <c r="G345" s="425"/>
      <c r="H345" s="425"/>
      <c r="I345" s="425"/>
      <c r="J345" s="425"/>
      <c r="K345" s="425"/>
      <c r="L345" s="375"/>
      <c r="M345" s="375"/>
      <c r="N345" s="375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375"/>
      <c r="Z345" s="375"/>
      <c r="AA345" s="375"/>
    </row>
    <row r="346" spans="1:27" ht="14.4">
      <c r="A346" s="425"/>
      <c r="B346" s="425"/>
      <c r="C346" s="425"/>
      <c r="D346" s="391"/>
      <c r="E346" s="425"/>
      <c r="F346" s="425"/>
      <c r="G346" s="425"/>
      <c r="H346" s="425"/>
      <c r="I346" s="425"/>
      <c r="J346" s="425"/>
      <c r="K346" s="425"/>
      <c r="L346" s="375"/>
      <c r="M346" s="375"/>
      <c r="N346" s="375"/>
      <c r="O346" s="375"/>
      <c r="P346" s="375"/>
      <c r="Q346" s="375"/>
      <c r="R346" s="375"/>
      <c r="S346" s="375"/>
      <c r="T346" s="375"/>
      <c r="U346" s="375"/>
      <c r="V346" s="375"/>
      <c r="W346" s="375"/>
      <c r="X346" s="375"/>
      <c r="Y346" s="375"/>
      <c r="Z346" s="375"/>
      <c r="AA346" s="375"/>
    </row>
    <row r="347" spans="1:27" ht="14.4">
      <c r="A347" s="425"/>
      <c r="B347" s="425"/>
      <c r="C347" s="425"/>
      <c r="D347" s="391"/>
      <c r="E347" s="425"/>
      <c r="F347" s="425"/>
      <c r="G347" s="425"/>
      <c r="H347" s="425"/>
      <c r="I347" s="425"/>
      <c r="J347" s="425"/>
      <c r="K347" s="425"/>
      <c r="L347" s="375"/>
      <c r="M347" s="375"/>
      <c r="N347" s="375"/>
      <c r="O347" s="375"/>
      <c r="P347" s="375"/>
      <c r="Q347" s="375"/>
      <c r="R347" s="375"/>
      <c r="S347" s="375"/>
      <c r="T347" s="375"/>
      <c r="U347" s="375"/>
      <c r="V347" s="375"/>
      <c r="W347" s="375"/>
      <c r="X347" s="375"/>
      <c r="Y347" s="375"/>
      <c r="Z347" s="375"/>
      <c r="AA347" s="375"/>
    </row>
    <row r="348" spans="1:27" ht="14.4">
      <c r="A348" s="425"/>
      <c r="B348" s="425"/>
      <c r="C348" s="425"/>
      <c r="D348" s="391"/>
      <c r="E348" s="425"/>
      <c r="F348" s="425"/>
      <c r="G348" s="425"/>
      <c r="H348" s="425"/>
      <c r="I348" s="425"/>
      <c r="J348" s="425"/>
      <c r="K348" s="425"/>
      <c r="L348" s="375"/>
      <c r="M348" s="375"/>
      <c r="N348" s="375"/>
      <c r="O348" s="375"/>
      <c r="P348" s="375"/>
      <c r="Q348" s="375"/>
      <c r="R348" s="375"/>
      <c r="S348" s="375"/>
      <c r="T348" s="375"/>
      <c r="U348" s="375"/>
      <c r="V348" s="375"/>
      <c r="W348" s="375"/>
      <c r="X348" s="375"/>
      <c r="Y348" s="375"/>
      <c r="Z348" s="375"/>
      <c r="AA348" s="375"/>
    </row>
    <row r="349" spans="1:27" ht="14.4">
      <c r="A349" s="425"/>
      <c r="B349" s="425"/>
      <c r="C349" s="425"/>
      <c r="D349" s="391"/>
      <c r="E349" s="425"/>
      <c r="F349" s="425"/>
      <c r="G349" s="425"/>
      <c r="H349" s="425"/>
      <c r="I349" s="425"/>
      <c r="J349" s="425"/>
      <c r="K349" s="425"/>
      <c r="L349" s="375"/>
      <c r="M349" s="375"/>
      <c r="N349" s="375"/>
      <c r="O349" s="375"/>
      <c r="P349" s="375"/>
      <c r="Q349" s="375"/>
      <c r="R349" s="375"/>
      <c r="S349" s="375"/>
      <c r="T349" s="375"/>
      <c r="U349" s="375"/>
      <c r="V349" s="375"/>
      <c r="W349" s="375"/>
      <c r="X349" s="375"/>
      <c r="Y349" s="375"/>
      <c r="Z349" s="375"/>
      <c r="AA349" s="375"/>
    </row>
    <row r="350" spans="1:27" ht="14.4">
      <c r="A350" s="425"/>
      <c r="B350" s="425"/>
      <c r="C350" s="425"/>
      <c r="D350" s="391"/>
      <c r="E350" s="425"/>
      <c r="F350" s="425"/>
      <c r="G350" s="425"/>
      <c r="H350" s="425"/>
      <c r="I350" s="425"/>
      <c r="J350" s="425"/>
      <c r="K350" s="425"/>
      <c r="L350" s="375"/>
      <c r="M350" s="375"/>
      <c r="N350" s="375"/>
      <c r="O350" s="375"/>
      <c r="P350" s="375"/>
      <c r="Q350" s="375"/>
      <c r="R350" s="375"/>
      <c r="S350" s="375"/>
      <c r="T350" s="375"/>
      <c r="U350" s="375"/>
      <c r="V350" s="375"/>
      <c r="W350" s="375"/>
      <c r="X350" s="375"/>
      <c r="Y350" s="375"/>
      <c r="Z350" s="375"/>
      <c r="AA350" s="375"/>
    </row>
    <row r="351" spans="1:27" ht="14.4">
      <c r="A351" s="425"/>
      <c r="B351" s="425"/>
      <c r="C351" s="425"/>
      <c r="D351" s="391"/>
      <c r="E351" s="425"/>
      <c r="F351" s="425"/>
      <c r="G351" s="425"/>
      <c r="H351" s="425"/>
      <c r="I351" s="425"/>
      <c r="J351" s="425"/>
      <c r="K351" s="425"/>
      <c r="L351" s="375"/>
      <c r="M351" s="375"/>
      <c r="N351" s="375"/>
      <c r="O351" s="375"/>
      <c r="P351" s="375"/>
      <c r="Q351" s="375"/>
      <c r="R351" s="375"/>
      <c r="S351" s="375"/>
      <c r="T351" s="375"/>
      <c r="U351" s="375"/>
      <c r="V351" s="375"/>
      <c r="W351" s="375"/>
      <c r="X351" s="375"/>
      <c r="Y351" s="375"/>
      <c r="Z351" s="375"/>
      <c r="AA351" s="375"/>
    </row>
    <row r="352" spans="1:27" ht="14.4">
      <c r="A352" s="425"/>
      <c r="B352" s="425"/>
      <c r="C352" s="425"/>
      <c r="D352" s="391"/>
      <c r="E352" s="425"/>
      <c r="F352" s="425"/>
      <c r="G352" s="425"/>
      <c r="H352" s="425"/>
      <c r="I352" s="425"/>
      <c r="J352" s="425"/>
      <c r="K352" s="425"/>
      <c r="L352" s="375"/>
      <c r="M352" s="375"/>
      <c r="N352" s="375"/>
      <c r="O352" s="375"/>
      <c r="P352" s="375"/>
      <c r="Q352" s="375"/>
      <c r="R352" s="375"/>
      <c r="S352" s="375"/>
      <c r="T352" s="375"/>
      <c r="U352" s="375"/>
      <c r="V352" s="375"/>
      <c r="W352" s="375"/>
      <c r="X352" s="375"/>
      <c r="Y352" s="375"/>
      <c r="Z352" s="375"/>
      <c r="AA352" s="375"/>
    </row>
    <row r="353" spans="1:27" ht="14.4">
      <c r="A353" s="425"/>
      <c r="B353" s="425"/>
      <c r="C353" s="425"/>
      <c r="D353" s="391"/>
      <c r="E353" s="425"/>
      <c r="F353" s="425"/>
      <c r="G353" s="425"/>
      <c r="H353" s="425"/>
      <c r="I353" s="425"/>
      <c r="J353" s="425"/>
      <c r="K353" s="425"/>
      <c r="L353" s="375"/>
      <c r="M353" s="375"/>
      <c r="N353" s="375"/>
      <c r="O353" s="375"/>
      <c r="P353" s="375"/>
      <c r="Q353" s="375"/>
      <c r="R353" s="375"/>
      <c r="S353" s="375"/>
      <c r="T353" s="375"/>
      <c r="U353" s="375"/>
      <c r="V353" s="375"/>
      <c r="W353" s="375"/>
      <c r="X353" s="375"/>
      <c r="Y353" s="375"/>
      <c r="Z353" s="375"/>
      <c r="AA353" s="375"/>
    </row>
    <row r="354" spans="1:27" ht="14.4">
      <c r="A354" s="425"/>
      <c r="B354" s="425"/>
      <c r="C354" s="425"/>
      <c r="D354" s="391"/>
      <c r="E354" s="425"/>
      <c r="F354" s="425"/>
      <c r="G354" s="425"/>
      <c r="H354" s="425"/>
      <c r="I354" s="425"/>
      <c r="J354" s="425"/>
      <c r="K354" s="425"/>
      <c r="L354" s="375"/>
      <c r="M354" s="375"/>
      <c r="N354" s="375"/>
      <c r="O354" s="375"/>
      <c r="P354" s="375"/>
      <c r="Q354" s="375"/>
      <c r="R354" s="375"/>
      <c r="S354" s="375"/>
      <c r="T354" s="375"/>
      <c r="U354" s="375"/>
      <c r="V354" s="375"/>
      <c r="W354" s="375"/>
      <c r="X354" s="375"/>
      <c r="Y354" s="375"/>
      <c r="Z354" s="375"/>
      <c r="AA354" s="375"/>
    </row>
    <row r="355" spans="1:27" ht="14.4">
      <c r="A355" s="425"/>
      <c r="B355" s="425"/>
      <c r="C355" s="425"/>
      <c r="D355" s="391"/>
      <c r="E355" s="425"/>
      <c r="F355" s="425"/>
      <c r="G355" s="425"/>
      <c r="H355" s="425"/>
      <c r="I355" s="425"/>
      <c r="J355" s="425"/>
      <c r="K355" s="425"/>
      <c r="L355" s="375"/>
      <c r="M355" s="375"/>
      <c r="N355" s="375"/>
      <c r="O355" s="375"/>
      <c r="P355" s="375"/>
      <c r="Q355" s="375"/>
      <c r="R355" s="375"/>
      <c r="S355" s="375"/>
      <c r="T355" s="375"/>
      <c r="U355" s="375"/>
      <c r="V355" s="375"/>
      <c r="W355" s="375"/>
      <c r="X355" s="375"/>
      <c r="Y355" s="375"/>
      <c r="Z355" s="375"/>
      <c r="AA355" s="375"/>
    </row>
    <row r="356" spans="1:27" ht="14.4">
      <c r="A356" s="425"/>
      <c r="B356" s="425"/>
      <c r="C356" s="425"/>
      <c r="D356" s="391"/>
      <c r="E356" s="425"/>
      <c r="F356" s="425"/>
      <c r="G356" s="425"/>
      <c r="H356" s="425"/>
      <c r="I356" s="425"/>
      <c r="J356" s="425"/>
      <c r="K356" s="425"/>
      <c r="L356" s="375"/>
      <c r="M356" s="375"/>
      <c r="N356" s="375"/>
      <c r="O356" s="375"/>
      <c r="P356" s="375"/>
      <c r="Q356" s="375"/>
      <c r="R356" s="375"/>
      <c r="S356" s="375"/>
      <c r="T356" s="375"/>
      <c r="U356" s="375"/>
      <c r="V356" s="375"/>
      <c r="W356" s="375"/>
      <c r="X356" s="375"/>
      <c r="Y356" s="375"/>
      <c r="Z356" s="375"/>
      <c r="AA356" s="375"/>
    </row>
    <row r="357" spans="1:27" ht="14.4">
      <c r="A357" s="425"/>
      <c r="B357" s="425"/>
      <c r="C357" s="425"/>
      <c r="D357" s="391"/>
      <c r="E357" s="425"/>
      <c r="F357" s="425"/>
      <c r="G357" s="425"/>
      <c r="H357" s="425"/>
      <c r="I357" s="425"/>
      <c r="J357" s="425"/>
      <c r="K357" s="425"/>
      <c r="L357" s="375"/>
      <c r="M357" s="375"/>
      <c r="N357" s="375"/>
      <c r="O357" s="375"/>
      <c r="P357" s="375"/>
      <c r="Q357" s="375"/>
      <c r="R357" s="375"/>
      <c r="S357" s="375"/>
      <c r="T357" s="375"/>
      <c r="U357" s="375"/>
      <c r="V357" s="375"/>
      <c r="W357" s="375"/>
      <c r="X357" s="375"/>
      <c r="Y357" s="375"/>
      <c r="Z357" s="375"/>
      <c r="AA357" s="375"/>
    </row>
    <row r="358" spans="1:27" ht="14.4">
      <c r="A358" s="425"/>
      <c r="B358" s="425"/>
      <c r="C358" s="425"/>
      <c r="D358" s="391"/>
      <c r="E358" s="425"/>
      <c r="F358" s="425"/>
      <c r="G358" s="425"/>
      <c r="H358" s="425"/>
      <c r="I358" s="425"/>
      <c r="J358" s="425"/>
      <c r="K358" s="425"/>
      <c r="L358" s="375"/>
      <c r="M358" s="375"/>
      <c r="N358" s="375"/>
      <c r="O358" s="375"/>
      <c r="P358" s="375"/>
      <c r="Q358" s="375"/>
      <c r="R358" s="375"/>
      <c r="S358" s="375"/>
      <c r="T358" s="375"/>
      <c r="U358" s="375"/>
      <c r="V358" s="375"/>
      <c r="W358" s="375"/>
      <c r="X358" s="375"/>
      <c r="Y358" s="375"/>
      <c r="Z358" s="375"/>
      <c r="AA358" s="375"/>
    </row>
    <row r="359" spans="1:27" ht="14.4">
      <c r="A359" s="425"/>
      <c r="B359" s="425"/>
      <c r="C359" s="425"/>
      <c r="D359" s="391"/>
      <c r="E359" s="425"/>
      <c r="F359" s="425"/>
      <c r="G359" s="425"/>
      <c r="H359" s="425"/>
      <c r="I359" s="425"/>
      <c r="J359" s="425"/>
      <c r="K359" s="425"/>
      <c r="L359" s="375"/>
      <c r="M359" s="375"/>
      <c r="N359" s="375"/>
      <c r="O359" s="375"/>
      <c r="P359" s="375"/>
      <c r="Q359" s="375"/>
      <c r="R359" s="375"/>
      <c r="S359" s="375"/>
      <c r="T359" s="375"/>
      <c r="U359" s="375"/>
      <c r="V359" s="375"/>
      <c r="W359" s="375"/>
      <c r="X359" s="375"/>
      <c r="Y359" s="375"/>
      <c r="Z359" s="375"/>
      <c r="AA359" s="375"/>
    </row>
    <row r="360" spans="1:27" ht="14.4">
      <c r="A360" s="425"/>
      <c r="B360" s="425"/>
      <c r="C360" s="425"/>
      <c r="D360" s="391"/>
      <c r="E360" s="425"/>
      <c r="F360" s="425"/>
      <c r="G360" s="425"/>
      <c r="H360" s="425"/>
      <c r="I360" s="425"/>
      <c r="J360" s="425"/>
      <c r="K360" s="425"/>
      <c r="L360" s="375"/>
      <c r="M360" s="375"/>
      <c r="N360" s="375"/>
      <c r="O360" s="375"/>
      <c r="P360" s="375"/>
      <c r="Q360" s="375"/>
      <c r="R360" s="375"/>
      <c r="S360" s="375"/>
      <c r="T360" s="375"/>
      <c r="U360" s="375"/>
      <c r="V360" s="375"/>
      <c r="W360" s="375"/>
      <c r="X360" s="375"/>
      <c r="Y360" s="375"/>
      <c r="Z360" s="375"/>
      <c r="AA360" s="375"/>
    </row>
    <row r="361" spans="1:27" ht="14.4">
      <c r="A361" s="425"/>
      <c r="B361" s="425"/>
      <c r="C361" s="425"/>
      <c r="D361" s="391"/>
      <c r="E361" s="425"/>
      <c r="F361" s="425"/>
      <c r="G361" s="425"/>
      <c r="H361" s="425"/>
      <c r="I361" s="425"/>
      <c r="J361" s="425"/>
      <c r="K361" s="425"/>
      <c r="L361" s="375"/>
      <c r="M361" s="375"/>
      <c r="N361" s="375"/>
      <c r="O361" s="375"/>
      <c r="P361" s="375"/>
      <c r="Q361" s="375"/>
      <c r="R361" s="375"/>
      <c r="S361" s="375"/>
      <c r="T361" s="375"/>
      <c r="U361" s="375"/>
      <c r="V361" s="375"/>
      <c r="W361" s="375"/>
      <c r="X361" s="375"/>
      <c r="Y361" s="375"/>
      <c r="Z361" s="375"/>
      <c r="AA361" s="375"/>
    </row>
    <row r="362" spans="1:27" ht="14.4">
      <c r="A362" s="425"/>
      <c r="B362" s="425"/>
      <c r="C362" s="425"/>
      <c r="D362" s="391"/>
      <c r="E362" s="425"/>
      <c r="F362" s="425"/>
      <c r="G362" s="425"/>
      <c r="H362" s="425"/>
      <c r="I362" s="425"/>
      <c r="J362" s="425"/>
      <c r="K362" s="425"/>
      <c r="L362" s="375"/>
      <c r="M362" s="375"/>
      <c r="N362" s="375"/>
      <c r="O362" s="375"/>
      <c r="P362" s="375"/>
      <c r="Q362" s="375"/>
      <c r="R362" s="375"/>
      <c r="S362" s="375"/>
      <c r="T362" s="375"/>
      <c r="U362" s="375"/>
      <c r="V362" s="375"/>
      <c r="W362" s="375"/>
      <c r="X362" s="375"/>
      <c r="Y362" s="375"/>
      <c r="Z362" s="375"/>
      <c r="AA362" s="375"/>
    </row>
    <row r="363" spans="1:27" ht="14.4">
      <c r="A363" s="425"/>
      <c r="B363" s="425"/>
      <c r="C363" s="425"/>
      <c r="D363" s="391"/>
      <c r="E363" s="425"/>
      <c r="F363" s="425"/>
      <c r="G363" s="425"/>
      <c r="H363" s="425"/>
      <c r="I363" s="425"/>
      <c r="J363" s="425"/>
      <c r="K363" s="425"/>
      <c r="L363" s="375"/>
      <c r="M363" s="375"/>
      <c r="N363" s="375"/>
      <c r="O363" s="375"/>
      <c r="P363" s="375"/>
      <c r="Q363" s="375"/>
      <c r="R363" s="375"/>
      <c r="S363" s="375"/>
      <c r="T363" s="375"/>
      <c r="U363" s="375"/>
      <c r="V363" s="375"/>
      <c r="W363" s="375"/>
      <c r="X363" s="375"/>
      <c r="Y363" s="375"/>
      <c r="Z363" s="375"/>
      <c r="AA363" s="375"/>
    </row>
    <row r="364" spans="1:27" ht="14.4">
      <c r="A364" s="425"/>
      <c r="B364" s="425"/>
      <c r="C364" s="425"/>
      <c r="D364" s="391"/>
      <c r="E364" s="425"/>
      <c r="F364" s="425"/>
      <c r="G364" s="425"/>
      <c r="H364" s="425"/>
      <c r="I364" s="425"/>
      <c r="J364" s="425"/>
      <c r="K364" s="425"/>
      <c r="L364" s="375"/>
      <c r="M364" s="375"/>
      <c r="N364" s="375"/>
      <c r="O364" s="375"/>
      <c r="P364" s="375"/>
      <c r="Q364" s="375"/>
      <c r="R364" s="375"/>
      <c r="S364" s="375"/>
      <c r="T364" s="375"/>
      <c r="U364" s="375"/>
      <c r="V364" s="375"/>
      <c r="W364" s="375"/>
      <c r="X364" s="375"/>
      <c r="Y364" s="375"/>
      <c r="Z364" s="375"/>
      <c r="AA364" s="375"/>
    </row>
    <row r="365" spans="1:27" ht="14.4">
      <c r="A365" s="425"/>
      <c r="B365" s="425"/>
      <c r="C365" s="425"/>
      <c r="D365" s="391"/>
      <c r="E365" s="425"/>
      <c r="F365" s="425"/>
      <c r="G365" s="425"/>
      <c r="H365" s="425"/>
      <c r="I365" s="425"/>
      <c r="J365" s="425"/>
      <c r="K365" s="425"/>
      <c r="L365" s="375"/>
      <c r="M365" s="375"/>
      <c r="N365" s="375"/>
      <c r="O365" s="375"/>
      <c r="P365" s="375"/>
      <c r="Q365" s="375"/>
      <c r="R365" s="375"/>
      <c r="S365" s="375"/>
      <c r="T365" s="375"/>
      <c r="U365" s="375"/>
      <c r="V365" s="375"/>
      <c r="W365" s="375"/>
      <c r="X365" s="375"/>
      <c r="Y365" s="375"/>
      <c r="Z365" s="375"/>
      <c r="AA365" s="375"/>
    </row>
    <row r="366" spans="1:27" ht="14.4">
      <c r="A366" s="425"/>
      <c r="B366" s="425"/>
      <c r="C366" s="425"/>
      <c r="D366" s="391"/>
      <c r="E366" s="425"/>
      <c r="F366" s="425"/>
      <c r="G366" s="425"/>
      <c r="H366" s="425"/>
      <c r="I366" s="425"/>
      <c r="J366" s="425"/>
      <c r="K366" s="425"/>
      <c r="L366" s="375"/>
      <c r="M366" s="375"/>
      <c r="N366" s="375"/>
      <c r="O366" s="375"/>
      <c r="P366" s="375"/>
      <c r="Q366" s="375"/>
      <c r="R366" s="375"/>
      <c r="S366" s="375"/>
      <c r="T366" s="375"/>
      <c r="U366" s="375"/>
      <c r="V366" s="375"/>
      <c r="W366" s="375"/>
      <c r="X366" s="375"/>
      <c r="Y366" s="375"/>
      <c r="Z366" s="375"/>
      <c r="AA366" s="375"/>
    </row>
    <row r="367" spans="1:27" ht="14.4">
      <c r="A367" s="425"/>
      <c r="B367" s="425"/>
      <c r="C367" s="425"/>
      <c r="D367" s="391"/>
      <c r="E367" s="425"/>
      <c r="F367" s="425"/>
      <c r="G367" s="425"/>
      <c r="H367" s="425"/>
      <c r="I367" s="425"/>
      <c r="J367" s="425"/>
      <c r="K367" s="425"/>
      <c r="L367" s="375"/>
      <c r="M367" s="375"/>
      <c r="N367" s="375"/>
      <c r="O367" s="375"/>
      <c r="P367" s="375"/>
      <c r="Q367" s="375"/>
      <c r="R367" s="375"/>
      <c r="S367" s="375"/>
      <c r="T367" s="375"/>
      <c r="U367" s="375"/>
      <c r="V367" s="375"/>
      <c r="W367" s="375"/>
      <c r="X367" s="375"/>
      <c r="Y367" s="375"/>
      <c r="Z367" s="375"/>
      <c r="AA367" s="375"/>
    </row>
    <row r="368" spans="1:27" ht="14.4">
      <c r="A368" s="425"/>
      <c r="B368" s="425"/>
      <c r="C368" s="425"/>
      <c r="D368" s="391"/>
      <c r="E368" s="425"/>
      <c r="F368" s="425"/>
      <c r="G368" s="425"/>
      <c r="H368" s="425"/>
      <c r="I368" s="425"/>
      <c r="J368" s="425"/>
      <c r="K368" s="425"/>
      <c r="L368" s="375"/>
      <c r="M368" s="375"/>
      <c r="N368" s="375"/>
      <c r="O368" s="375"/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  <c r="AA368" s="375"/>
    </row>
    <row r="369" spans="1:27" ht="14.4">
      <c r="A369" s="425"/>
      <c r="B369" s="425"/>
      <c r="C369" s="425"/>
      <c r="D369" s="391"/>
      <c r="E369" s="425"/>
      <c r="F369" s="425"/>
      <c r="G369" s="425"/>
      <c r="H369" s="425"/>
      <c r="I369" s="425"/>
      <c r="J369" s="425"/>
      <c r="K369" s="425"/>
      <c r="L369" s="375"/>
      <c r="M369" s="375"/>
      <c r="N369" s="375"/>
      <c r="O369" s="375"/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  <c r="AA369" s="375"/>
    </row>
    <row r="370" spans="1:27" ht="14.4">
      <c r="A370" s="425"/>
      <c r="B370" s="425"/>
      <c r="C370" s="425"/>
      <c r="D370" s="391"/>
      <c r="E370" s="425"/>
      <c r="F370" s="425"/>
      <c r="G370" s="425"/>
      <c r="H370" s="425"/>
      <c r="I370" s="425"/>
      <c r="J370" s="425"/>
      <c r="K370" s="425"/>
      <c r="L370" s="375"/>
      <c r="M370" s="375"/>
      <c r="N370" s="375"/>
      <c r="O370" s="375"/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  <c r="AA370" s="375"/>
    </row>
    <row r="371" spans="1:27" ht="14.4">
      <c r="A371" s="425"/>
      <c r="B371" s="425"/>
      <c r="C371" s="425"/>
      <c r="D371" s="391"/>
      <c r="E371" s="425"/>
      <c r="F371" s="425"/>
      <c r="G371" s="425"/>
      <c r="H371" s="425"/>
      <c r="I371" s="425"/>
      <c r="J371" s="425"/>
      <c r="K371" s="425"/>
      <c r="L371" s="375"/>
      <c r="M371" s="375"/>
      <c r="N371" s="375"/>
      <c r="O371" s="375"/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  <c r="AA371" s="375"/>
    </row>
    <row r="372" spans="1:27" ht="14.4">
      <c r="A372" s="425"/>
      <c r="B372" s="425"/>
      <c r="C372" s="425"/>
      <c r="D372" s="391"/>
      <c r="E372" s="425"/>
      <c r="F372" s="425"/>
      <c r="G372" s="425"/>
      <c r="H372" s="425"/>
      <c r="I372" s="425"/>
      <c r="J372" s="425"/>
      <c r="K372" s="425"/>
      <c r="L372" s="375"/>
      <c r="M372" s="375"/>
      <c r="N372" s="375"/>
      <c r="O372" s="375"/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  <c r="AA372" s="375"/>
    </row>
    <row r="373" spans="1:27" ht="14.4">
      <c r="A373" s="425"/>
      <c r="B373" s="425"/>
      <c r="C373" s="425"/>
      <c r="D373" s="391"/>
      <c r="E373" s="425"/>
      <c r="F373" s="425"/>
      <c r="G373" s="425"/>
      <c r="H373" s="425"/>
      <c r="I373" s="425"/>
      <c r="J373" s="425"/>
      <c r="K373" s="425"/>
      <c r="L373" s="375"/>
      <c r="M373" s="375"/>
      <c r="N373" s="375"/>
      <c r="O373" s="375"/>
      <c r="P373" s="375"/>
      <c r="Q373" s="375"/>
      <c r="R373" s="375"/>
      <c r="S373" s="375"/>
      <c r="T373" s="375"/>
      <c r="U373" s="375"/>
      <c r="V373" s="375"/>
      <c r="W373" s="375"/>
      <c r="X373" s="375"/>
      <c r="Y373" s="375"/>
      <c r="Z373" s="375"/>
      <c r="AA373" s="375"/>
    </row>
    <row r="374" spans="1:27" ht="14.4">
      <c r="A374" s="425"/>
      <c r="B374" s="425"/>
      <c r="C374" s="425"/>
      <c r="D374" s="391"/>
      <c r="E374" s="425"/>
      <c r="F374" s="425"/>
      <c r="G374" s="425"/>
      <c r="H374" s="425"/>
      <c r="I374" s="425"/>
      <c r="J374" s="425"/>
      <c r="K374" s="425"/>
      <c r="L374" s="375"/>
      <c r="M374" s="375"/>
      <c r="N374" s="375"/>
      <c r="O374" s="375"/>
      <c r="P374" s="375"/>
      <c r="Q374" s="375"/>
      <c r="R374" s="375"/>
      <c r="S374" s="375"/>
      <c r="T374" s="375"/>
      <c r="U374" s="375"/>
      <c r="V374" s="375"/>
      <c r="W374" s="375"/>
      <c r="X374" s="375"/>
      <c r="Y374" s="375"/>
      <c r="Z374" s="375"/>
      <c r="AA374" s="375"/>
    </row>
    <row r="375" spans="1:27" ht="14.4">
      <c r="A375" s="425"/>
      <c r="B375" s="425"/>
      <c r="C375" s="425"/>
      <c r="D375" s="391"/>
      <c r="E375" s="425"/>
      <c r="F375" s="425"/>
      <c r="G375" s="425"/>
      <c r="H375" s="425"/>
      <c r="I375" s="425"/>
      <c r="J375" s="425"/>
      <c r="K375" s="425"/>
      <c r="L375" s="375"/>
      <c r="M375" s="375"/>
      <c r="N375" s="375"/>
      <c r="O375" s="375"/>
      <c r="P375" s="375"/>
      <c r="Q375" s="375"/>
      <c r="R375" s="375"/>
      <c r="S375" s="375"/>
      <c r="T375" s="375"/>
      <c r="U375" s="375"/>
      <c r="V375" s="375"/>
      <c r="W375" s="375"/>
      <c r="X375" s="375"/>
      <c r="Y375" s="375"/>
      <c r="Z375" s="375"/>
      <c r="AA375" s="375"/>
    </row>
    <row r="376" spans="1:27" ht="14.4">
      <c r="A376" s="425"/>
      <c r="B376" s="425"/>
      <c r="C376" s="425"/>
      <c r="D376" s="391"/>
      <c r="E376" s="425"/>
      <c r="F376" s="425"/>
      <c r="G376" s="425"/>
      <c r="H376" s="425"/>
      <c r="I376" s="425"/>
      <c r="J376" s="425"/>
      <c r="K376" s="425"/>
      <c r="L376" s="375"/>
      <c r="M376" s="375"/>
      <c r="N376" s="375"/>
      <c r="O376" s="375"/>
      <c r="P376" s="375"/>
      <c r="Q376" s="375"/>
      <c r="R376" s="375"/>
      <c r="S376" s="375"/>
      <c r="T376" s="375"/>
      <c r="U376" s="375"/>
      <c r="V376" s="375"/>
      <c r="W376" s="375"/>
      <c r="X376" s="375"/>
      <c r="Y376" s="375"/>
      <c r="Z376" s="375"/>
      <c r="AA376" s="375"/>
    </row>
    <row r="377" spans="1:27" ht="14.4">
      <c r="A377" s="425"/>
      <c r="B377" s="425"/>
      <c r="C377" s="425"/>
      <c r="D377" s="391"/>
      <c r="E377" s="425"/>
      <c r="F377" s="425"/>
      <c r="G377" s="425"/>
      <c r="H377" s="425"/>
      <c r="I377" s="425"/>
      <c r="J377" s="425"/>
      <c r="K377" s="425"/>
      <c r="L377" s="375"/>
      <c r="M377" s="375"/>
      <c r="N377" s="375"/>
      <c r="O377" s="375"/>
      <c r="P377" s="375"/>
      <c r="Q377" s="375"/>
      <c r="R377" s="375"/>
      <c r="S377" s="375"/>
      <c r="T377" s="375"/>
      <c r="U377" s="375"/>
      <c r="V377" s="375"/>
      <c r="W377" s="375"/>
      <c r="X377" s="375"/>
      <c r="Y377" s="375"/>
      <c r="Z377" s="375"/>
      <c r="AA377" s="375"/>
    </row>
    <row r="378" spans="1:27" ht="14.4">
      <c r="A378" s="425"/>
      <c r="B378" s="425"/>
      <c r="C378" s="425"/>
      <c r="D378" s="391"/>
      <c r="E378" s="425"/>
      <c r="F378" s="425"/>
      <c r="G378" s="425"/>
      <c r="H378" s="425"/>
      <c r="I378" s="425"/>
      <c r="J378" s="425"/>
      <c r="K378" s="425"/>
      <c r="L378" s="375"/>
      <c r="M378" s="375"/>
      <c r="N378" s="375"/>
      <c r="O378" s="375"/>
      <c r="P378" s="375"/>
      <c r="Q378" s="375"/>
      <c r="R378" s="375"/>
      <c r="S378" s="375"/>
      <c r="T378" s="375"/>
      <c r="U378" s="375"/>
      <c r="V378" s="375"/>
      <c r="W378" s="375"/>
      <c r="X378" s="375"/>
      <c r="Y378" s="375"/>
      <c r="Z378" s="375"/>
      <c r="AA378" s="375"/>
    </row>
    <row r="379" spans="1:27" ht="14.4">
      <c r="A379" s="425"/>
      <c r="B379" s="425"/>
      <c r="C379" s="425"/>
      <c r="D379" s="391"/>
      <c r="E379" s="425"/>
      <c r="F379" s="425"/>
      <c r="G379" s="425"/>
      <c r="H379" s="425"/>
      <c r="I379" s="425"/>
      <c r="J379" s="425"/>
      <c r="K379" s="425"/>
      <c r="L379" s="375"/>
      <c r="M379" s="375"/>
      <c r="N379" s="375"/>
      <c r="O379" s="375"/>
      <c r="P379" s="375"/>
      <c r="Q379" s="375"/>
      <c r="R379" s="375"/>
      <c r="S379" s="375"/>
      <c r="T379" s="375"/>
      <c r="U379" s="375"/>
      <c r="V379" s="375"/>
      <c r="W379" s="375"/>
      <c r="X379" s="375"/>
      <c r="Y379" s="375"/>
      <c r="Z379" s="375"/>
      <c r="AA379" s="375"/>
    </row>
    <row r="380" spans="1:27" ht="14.4">
      <c r="A380" s="425"/>
      <c r="B380" s="425"/>
      <c r="C380" s="425"/>
      <c r="D380" s="391"/>
      <c r="E380" s="425"/>
      <c r="F380" s="425"/>
      <c r="G380" s="425"/>
      <c r="H380" s="425"/>
      <c r="I380" s="425"/>
      <c r="J380" s="425"/>
      <c r="K380" s="425"/>
      <c r="L380" s="375"/>
      <c r="M380" s="375"/>
      <c r="N380" s="375"/>
      <c r="O380" s="375"/>
      <c r="P380" s="375"/>
      <c r="Q380" s="375"/>
      <c r="R380" s="375"/>
      <c r="S380" s="375"/>
      <c r="T380" s="375"/>
      <c r="U380" s="375"/>
      <c r="V380" s="375"/>
      <c r="W380" s="375"/>
      <c r="X380" s="375"/>
      <c r="Y380" s="375"/>
      <c r="Z380" s="375"/>
      <c r="AA380" s="375"/>
    </row>
    <row r="381" spans="1:27" ht="14.4">
      <c r="A381" s="425"/>
      <c r="B381" s="425"/>
      <c r="C381" s="425"/>
      <c r="D381" s="391"/>
      <c r="E381" s="425"/>
      <c r="F381" s="425"/>
      <c r="G381" s="425"/>
      <c r="H381" s="425"/>
      <c r="I381" s="425"/>
      <c r="J381" s="425"/>
      <c r="K381" s="425"/>
      <c r="L381" s="375"/>
      <c r="M381" s="375"/>
      <c r="N381" s="375"/>
      <c r="O381" s="375"/>
      <c r="P381" s="375"/>
      <c r="Q381" s="375"/>
      <c r="R381" s="375"/>
      <c r="S381" s="375"/>
      <c r="T381" s="375"/>
      <c r="U381" s="375"/>
      <c r="V381" s="375"/>
      <c r="W381" s="375"/>
      <c r="X381" s="375"/>
      <c r="Y381" s="375"/>
      <c r="Z381" s="375"/>
      <c r="AA381" s="375"/>
    </row>
    <row r="382" spans="1:27" ht="14.4">
      <c r="A382" s="425"/>
      <c r="B382" s="425"/>
      <c r="C382" s="425"/>
      <c r="D382" s="391"/>
      <c r="E382" s="425"/>
      <c r="F382" s="425"/>
      <c r="G382" s="425"/>
      <c r="H382" s="425"/>
      <c r="I382" s="425"/>
      <c r="J382" s="425"/>
      <c r="K382" s="425"/>
      <c r="L382" s="375"/>
      <c r="M382" s="375"/>
      <c r="N382" s="375"/>
      <c r="O382" s="375"/>
      <c r="P382" s="375"/>
      <c r="Q382" s="375"/>
      <c r="R382" s="375"/>
      <c r="S382" s="375"/>
      <c r="T382" s="375"/>
      <c r="U382" s="375"/>
      <c r="V382" s="375"/>
      <c r="W382" s="375"/>
      <c r="X382" s="375"/>
      <c r="Y382" s="375"/>
      <c r="Z382" s="375"/>
      <c r="AA382" s="375"/>
    </row>
    <row r="383" spans="1:27" ht="14.4">
      <c r="A383" s="425"/>
      <c r="B383" s="425"/>
      <c r="C383" s="425"/>
      <c r="D383" s="391"/>
      <c r="E383" s="425"/>
      <c r="F383" s="425"/>
      <c r="G383" s="425"/>
      <c r="H383" s="425"/>
      <c r="I383" s="425"/>
      <c r="J383" s="425"/>
      <c r="K383" s="425"/>
      <c r="L383" s="375"/>
      <c r="M383" s="375"/>
      <c r="N383" s="375"/>
      <c r="O383" s="375"/>
      <c r="P383" s="375"/>
      <c r="Q383" s="375"/>
      <c r="R383" s="375"/>
      <c r="S383" s="375"/>
      <c r="T383" s="375"/>
      <c r="U383" s="375"/>
      <c r="V383" s="375"/>
      <c r="W383" s="375"/>
      <c r="X383" s="375"/>
      <c r="Y383" s="375"/>
      <c r="Z383" s="375"/>
      <c r="AA383" s="375"/>
    </row>
    <row r="384" spans="1:27" ht="14.4">
      <c r="A384" s="425"/>
      <c r="B384" s="425"/>
      <c r="C384" s="425"/>
      <c r="D384" s="391"/>
      <c r="E384" s="425"/>
      <c r="F384" s="425"/>
      <c r="G384" s="425"/>
      <c r="H384" s="425"/>
      <c r="I384" s="425"/>
      <c r="J384" s="425"/>
      <c r="K384" s="425"/>
      <c r="L384" s="375"/>
      <c r="M384" s="375"/>
      <c r="N384" s="375"/>
      <c r="O384" s="375"/>
      <c r="P384" s="375"/>
      <c r="Q384" s="375"/>
      <c r="R384" s="375"/>
      <c r="S384" s="375"/>
      <c r="T384" s="375"/>
      <c r="U384" s="375"/>
      <c r="V384" s="375"/>
      <c r="W384" s="375"/>
      <c r="X384" s="375"/>
      <c r="Y384" s="375"/>
      <c r="Z384" s="375"/>
      <c r="AA384" s="375"/>
    </row>
    <row r="385" spans="1:27" ht="14.4">
      <c r="A385" s="425"/>
      <c r="B385" s="425"/>
      <c r="C385" s="425"/>
      <c r="D385" s="391"/>
      <c r="E385" s="425"/>
      <c r="F385" s="425"/>
      <c r="G385" s="425"/>
      <c r="H385" s="425"/>
      <c r="I385" s="425"/>
      <c r="J385" s="425"/>
      <c r="K385" s="425"/>
      <c r="L385" s="375"/>
      <c r="M385" s="375"/>
      <c r="N385" s="375"/>
      <c r="O385" s="375"/>
      <c r="P385" s="375"/>
      <c r="Q385" s="375"/>
      <c r="R385" s="375"/>
      <c r="S385" s="375"/>
      <c r="T385" s="375"/>
      <c r="U385" s="375"/>
      <c r="V385" s="375"/>
      <c r="W385" s="375"/>
      <c r="X385" s="375"/>
      <c r="Y385" s="375"/>
      <c r="Z385" s="375"/>
      <c r="AA385" s="375"/>
    </row>
    <row r="386" spans="1:27" ht="14.4">
      <c r="A386" s="425"/>
      <c r="B386" s="425"/>
      <c r="C386" s="425"/>
      <c r="D386" s="391"/>
      <c r="E386" s="425"/>
      <c r="F386" s="425"/>
      <c r="G386" s="425"/>
      <c r="H386" s="425"/>
      <c r="I386" s="425"/>
      <c r="J386" s="425"/>
      <c r="K386" s="425"/>
      <c r="L386" s="375"/>
      <c r="M386" s="375"/>
      <c r="N386" s="375"/>
      <c r="O386" s="375"/>
      <c r="P386" s="375"/>
      <c r="Q386" s="375"/>
      <c r="R386" s="375"/>
      <c r="S386" s="375"/>
      <c r="T386" s="375"/>
      <c r="U386" s="375"/>
      <c r="V386" s="375"/>
      <c r="W386" s="375"/>
      <c r="X386" s="375"/>
      <c r="Y386" s="375"/>
      <c r="Z386" s="375"/>
      <c r="AA386" s="375"/>
    </row>
    <row r="387" spans="1:27" ht="14.4">
      <c r="A387" s="425"/>
      <c r="B387" s="425"/>
      <c r="C387" s="425"/>
      <c r="D387" s="391"/>
      <c r="E387" s="425"/>
      <c r="F387" s="425"/>
      <c r="G387" s="425"/>
      <c r="H387" s="425"/>
      <c r="I387" s="425"/>
      <c r="J387" s="425"/>
      <c r="K387" s="425"/>
      <c r="L387" s="375"/>
      <c r="M387" s="375"/>
      <c r="N387" s="375"/>
      <c r="O387" s="375"/>
      <c r="P387" s="375"/>
      <c r="Q387" s="375"/>
      <c r="R387" s="375"/>
      <c r="S387" s="375"/>
      <c r="T387" s="375"/>
      <c r="U387" s="375"/>
      <c r="V387" s="375"/>
      <c r="W387" s="375"/>
      <c r="X387" s="375"/>
      <c r="Y387" s="375"/>
      <c r="Z387" s="375"/>
      <c r="AA387" s="375"/>
    </row>
    <row r="388" spans="1:27" ht="14.4">
      <c r="A388" s="425"/>
      <c r="B388" s="425"/>
      <c r="C388" s="425"/>
      <c r="D388" s="391"/>
      <c r="E388" s="425"/>
      <c r="F388" s="425"/>
      <c r="G388" s="425"/>
      <c r="H388" s="425"/>
      <c r="I388" s="425"/>
      <c r="J388" s="425"/>
      <c r="K388" s="425"/>
      <c r="L388" s="375"/>
      <c r="M388" s="375"/>
      <c r="N388" s="375"/>
      <c r="O388" s="375"/>
      <c r="P388" s="375"/>
      <c r="Q388" s="375"/>
      <c r="R388" s="375"/>
      <c r="S388" s="375"/>
      <c r="T388" s="375"/>
      <c r="U388" s="375"/>
      <c r="V388" s="375"/>
      <c r="W388" s="375"/>
      <c r="X388" s="375"/>
      <c r="Y388" s="375"/>
      <c r="Z388" s="375"/>
      <c r="AA388" s="375"/>
    </row>
    <row r="389" spans="1:27" ht="14.4">
      <c r="A389" s="425"/>
      <c r="B389" s="425"/>
      <c r="C389" s="425"/>
      <c r="D389" s="391"/>
      <c r="E389" s="425"/>
      <c r="F389" s="425"/>
      <c r="G389" s="425"/>
      <c r="H389" s="425"/>
      <c r="I389" s="425"/>
      <c r="J389" s="425"/>
      <c r="K389" s="425"/>
      <c r="L389" s="375"/>
      <c r="M389" s="375"/>
      <c r="N389" s="375"/>
      <c r="O389" s="375"/>
      <c r="P389" s="375"/>
      <c r="Q389" s="375"/>
      <c r="R389" s="375"/>
      <c r="S389" s="375"/>
      <c r="T389" s="375"/>
      <c r="U389" s="375"/>
      <c r="V389" s="375"/>
      <c r="W389" s="375"/>
      <c r="X389" s="375"/>
      <c r="Y389" s="375"/>
      <c r="Z389" s="375"/>
      <c r="AA389" s="375"/>
    </row>
    <row r="390" spans="1:27" ht="14.4">
      <c r="A390" s="425"/>
      <c r="B390" s="425"/>
      <c r="C390" s="425"/>
      <c r="D390" s="391"/>
      <c r="E390" s="425"/>
      <c r="F390" s="425"/>
      <c r="G390" s="425"/>
      <c r="H390" s="425"/>
      <c r="I390" s="425"/>
      <c r="J390" s="425"/>
      <c r="K390" s="425"/>
      <c r="L390" s="375"/>
      <c r="M390" s="375"/>
      <c r="N390" s="375"/>
      <c r="O390" s="375"/>
      <c r="P390" s="375"/>
      <c r="Q390" s="375"/>
      <c r="R390" s="375"/>
      <c r="S390" s="375"/>
      <c r="T390" s="375"/>
      <c r="U390" s="375"/>
      <c r="V390" s="375"/>
      <c r="W390" s="375"/>
      <c r="X390" s="375"/>
      <c r="Y390" s="375"/>
      <c r="Z390" s="375"/>
      <c r="AA390" s="375"/>
    </row>
    <row r="391" spans="1:27" ht="14.4">
      <c r="A391" s="425"/>
      <c r="B391" s="425"/>
      <c r="C391" s="425"/>
      <c r="D391" s="391"/>
      <c r="E391" s="425"/>
      <c r="F391" s="425"/>
      <c r="G391" s="425"/>
      <c r="H391" s="425"/>
      <c r="I391" s="425"/>
      <c r="J391" s="425"/>
      <c r="K391" s="425"/>
      <c r="L391" s="375"/>
      <c r="M391" s="375"/>
      <c r="N391" s="375"/>
      <c r="O391" s="375"/>
      <c r="P391" s="375"/>
      <c r="Q391" s="375"/>
      <c r="R391" s="375"/>
      <c r="S391" s="375"/>
      <c r="T391" s="375"/>
      <c r="U391" s="375"/>
      <c r="V391" s="375"/>
      <c r="W391" s="375"/>
      <c r="X391" s="375"/>
      <c r="Y391" s="375"/>
      <c r="Z391" s="375"/>
      <c r="AA391" s="375"/>
    </row>
    <row r="392" spans="1:27" ht="14.4">
      <c r="A392" s="425"/>
      <c r="B392" s="425"/>
      <c r="C392" s="425"/>
      <c r="D392" s="391"/>
      <c r="E392" s="425"/>
      <c r="F392" s="425"/>
      <c r="G392" s="425"/>
      <c r="H392" s="425"/>
      <c r="I392" s="425"/>
      <c r="J392" s="425"/>
      <c r="K392" s="425"/>
      <c r="L392" s="375"/>
      <c r="M392" s="375"/>
      <c r="N392" s="375"/>
      <c r="O392" s="375"/>
      <c r="P392" s="375"/>
      <c r="Q392" s="375"/>
      <c r="R392" s="375"/>
      <c r="S392" s="375"/>
      <c r="T392" s="375"/>
      <c r="U392" s="375"/>
      <c r="V392" s="375"/>
      <c r="W392" s="375"/>
      <c r="X392" s="375"/>
      <c r="Y392" s="375"/>
      <c r="Z392" s="375"/>
      <c r="AA392" s="375"/>
    </row>
    <row r="393" spans="1:27" ht="14.4">
      <c r="A393" s="425"/>
      <c r="B393" s="425"/>
      <c r="C393" s="425"/>
      <c r="D393" s="391"/>
      <c r="E393" s="425"/>
      <c r="F393" s="425"/>
      <c r="G393" s="425"/>
      <c r="H393" s="425"/>
      <c r="I393" s="425"/>
      <c r="J393" s="425"/>
      <c r="K393" s="425"/>
      <c r="L393" s="375"/>
      <c r="M393" s="375"/>
      <c r="N393" s="375"/>
      <c r="O393" s="375"/>
      <c r="P393" s="375"/>
      <c r="Q393" s="375"/>
      <c r="R393" s="375"/>
      <c r="S393" s="375"/>
      <c r="T393" s="375"/>
      <c r="U393" s="375"/>
      <c r="V393" s="375"/>
      <c r="W393" s="375"/>
      <c r="X393" s="375"/>
      <c r="Y393" s="375"/>
      <c r="Z393" s="375"/>
      <c r="AA393" s="375"/>
    </row>
    <row r="394" spans="1:27" ht="14.4">
      <c r="A394" s="425"/>
      <c r="B394" s="425"/>
      <c r="C394" s="425"/>
      <c r="D394" s="391"/>
      <c r="E394" s="425"/>
      <c r="F394" s="425"/>
      <c r="G394" s="425"/>
      <c r="H394" s="425"/>
      <c r="I394" s="425"/>
      <c r="J394" s="425"/>
      <c r="K394" s="425"/>
      <c r="L394" s="375"/>
      <c r="M394" s="375"/>
      <c r="N394" s="375"/>
      <c r="O394" s="375"/>
      <c r="P394" s="375"/>
      <c r="Q394" s="375"/>
      <c r="R394" s="375"/>
      <c r="S394" s="375"/>
      <c r="T394" s="375"/>
      <c r="U394" s="375"/>
      <c r="V394" s="375"/>
      <c r="W394" s="375"/>
      <c r="X394" s="375"/>
      <c r="Y394" s="375"/>
      <c r="Z394" s="375"/>
      <c r="AA394" s="375"/>
    </row>
    <row r="395" spans="1:27" ht="14.4">
      <c r="A395" s="425"/>
      <c r="B395" s="425"/>
      <c r="C395" s="425"/>
      <c r="D395" s="391"/>
      <c r="E395" s="425"/>
      <c r="F395" s="425"/>
      <c r="G395" s="425"/>
      <c r="H395" s="425"/>
      <c r="I395" s="425"/>
      <c r="J395" s="425"/>
      <c r="K395" s="425"/>
      <c r="L395" s="375"/>
      <c r="M395" s="375"/>
      <c r="N395" s="375"/>
      <c r="O395" s="375"/>
      <c r="P395" s="375"/>
      <c r="Q395" s="375"/>
      <c r="R395" s="375"/>
      <c r="S395" s="375"/>
      <c r="T395" s="375"/>
      <c r="U395" s="375"/>
      <c r="V395" s="375"/>
      <c r="W395" s="375"/>
      <c r="X395" s="375"/>
      <c r="Y395" s="375"/>
      <c r="Z395" s="375"/>
      <c r="AA395" s="375"/>
    </row>
    <row r="396" spans="1:27" ht="14.4">
      <c r="A396" s="425"/>
      <c r="B396" s="425"/>
      <c r="C396" s="425"/>
      <c r="D396" s="391"/>
      <c r="E396" s="425"/>
      <c r="F396" s="425"/>
      <c r="G396" s="425"/>
      <c r="H396" s="425"/>
      <c r="I396" s="425"/>
      <c r="J396" s="425"/>
      <c r="K396" s="425"/>
      <c r="L396" s="375"/>
      <c r="M396" s="375"/>
      <c r="N396" s="375"/>
      <c r="O396" s="375"/>
      <c r="P396" s="375"/>
      <c r="Q396" s="375"/>
      <c r="R396" s="375"/>
      <c r="S396" s="375"/>
      <c r="T396" s="375"/>
      <c r="U396" s="375"/>
      <c r="V396" s="375"/>
      <c r="W396" s="375"/>
      <c r="X396" s="375"/>
      <c r="Y396" s="375"/>
      <c r="Z396" s="375"/>
      <c r="AA396" s="375"/>
    </row>
    <row r="397" spans="1:27" ht="14.4">
      <c r="A397" s="425"/>
      <c r="B397" s="425"/>
      <c r="C397" s="425"/>
      <c r="D397" s="391"/>
      <c r="E397" s="425"/>
      <c r="F397" s="425"/>
      <c r="G397" s="425"/>
      <c r="H397" s="425"/>
      <c r="I397" s="425"/>
      <c r="J397" s="425"/>
      <c r="K397" s="425"/>
      <c r="L397" s="375"/>
      <c r="M397" s="375"/>
      <c r="N397" s="375"/>
      <c r="O397" s="375"/>
      <c r="P397" s="375"/>
      <c r="Q397" s="375"/>
      <c r="R397" s="375"/>
      <c r="S397" s="375"/>
      <c r="T397" s="375"/>
      <c r="U397" s="375"/>
      <c r="V397" s="375"/>
      <c r="W397" s="375"/>
      <c r="X397" s="375"/>
      <c r="Y397" s="375"/>
      <c r="Z397" s="375"/>
      <c r="AA397" s="375"/>
    </row>
    <row r="398" spans="1:27" ht="14.4">
      <c r="A398" s="425"/>
      <c r="B398" s="425"/>
      <c r="C398" s="425"/>
      <c r="D398" s="391"/>
      <c r="E398" s="425"/>
      <c r="F398" s="425"/>
      <c r="G398" s="425"/>
      <c r="H398" s="425"/>
      <c r="I398" s="425"/>
      <c r="J398" s="425"/>
      <c r="K398" s="425"/>
      <c r="L398" s="375"/>
      <c r="M398" s="375"/>
      <c r="N398" s="375"/>
      <c r="O398" s="375"/>
      <c r="P398" s="375"/>
      <c r="Q398" s="375"/>
      <c r="R398" s="375"/>
      <c r="S398" s="375"/>
      <c r="T398" s="375"/>
      <c r="U398" s="375"/>
      <c r="V398" s="375"/>
      <c r="W398" s="375"/>
      <c r="X398" s="375"/>
      <c r="Y398" s="375"/>
      <c r="Z398" s="375"/>
      <c r="AA398" s="375"/>
    </row>
    <row r="399" spans="1:27" ht="14.4">
      <c r="A399" s="425"/>
      <c r="B399" s="425"/>
      <c r="C399" s="425"/>
      <c r="D399" s="391"/>
      <c r="E399" s="425"/>
      <c r="F399" s="425"/>
      <c r="G399" s="425"/>
      <c r="H399" s="425"/>
      <c r="I399" s="425"/>
      <c r="J399" s="425"/>
      <c r="K399" s="425"/>
      <c r="L399" s="375"/>
      <c r="M399" s="375"/>
      <c r="N399" s="375"/>
      <c r="O399" s="375"/>
      <c r="P399" s="375"/>
      <c r="Q399" s="375"/>
      <c r="R399" s="375"/>
      <c r="S399" s="375"/>
      <c r="T399" s="375"/>
      <c r="U399" s="375"/>
      <c r="V399" s="375"/>
      <c r="W399" s="375"/>
      <c r="X399" s="375"/>
      <c r="Y399" s="375"/>
      <c r="Z399" s="375"/>
      <c r="AA399" s="375"/>
    </row>
    <row r="400" spans="1:27" ht="14.4">
      <c r="A400" s="425"/>
      <c r="B400" s="425"/>
      <c r="C400" s="425"/>
      <c r="D400" s="391"/>
      <c r="E400" s="425"/>
      <c r="F400" s="425"/>
      <c r="G400" s="425"/>
      <c r="H400" s="425"/>
      <c r="I400" s="425"/>
      <c r="J400" s="425"/>
      <c r="K400" s="425"/>
      <c r="L400" s="375"/>
      <c r="M400" s="375"/>
      <c r="N400" s="375"/>
      <c r="O400" s="375"/>
      <c r="P400" s="375"/>
      <c r="Q400" s="375"/>
      <c r="R400" s="375"/>
      <c r="S400" s="375"/>
      <c r="T400" s="375"/>
      <c r="U400" s="375"/>
      <c r="V400" s="375"/>
      <c r="W400" s="375"/>
      <c r="X400" s="375"/>
      <c r="Y400" s="375"/>
      <c r="Z400" s="375"/>
      <c r="AA400" s="375"/>
    </row>
    <row r="401" spans="1:27" ht="14.4">
      <c r="A401" s="425"/>
      <c r="B401" s="425"/>
      <c r="C401" s="425"/>
      <c r="D401" s="391"/>
      <c r="E401" s="425"/>
      <c r="F401" s="425"/>
      <c r="G401" s="425"/>
      <c r="H401" s="425"/>
      <c r="I401" s="425"/>
      <c r="J401" s="425"/>
      <c r="K401" s="425"/>
      <c r="L401" s="375"/>
      <c r="M401" s="375"/>
      <c r="N401" s="375"/>
      <c r="O401" s="375"/>
      <c r="P401" s="375"/>
      <c r="Q401" s="375"/>
      <c r="R401" s="375"/>
      <c r="S401" s="375"/>
      <c r="T401" s="375"/>
      <c r="U401" s="375"/>
      <c r="V401" s="375"/>
      <c r="W401" s="375"/>
      <c r="X401" s="375"/>
      <c r="Y401" s="375"/>
      <c r="Z401" s="375"/>
      <c r="AA401" s="375"/>
    </row>
    <row r="402" spans="1:27" ht="14.4">
      <c r="A402" s="425"/>
      <c r="B402" s="425"/>
      <c r="C402" s="425"/>
      <c r="D402" s="391"/>
      <c r="E402" s="425"/>
      <c r="F402" s="425"/>
      <c r="G402" s="425"/>
      <c r="H402" s="425"/>
      <c r="I402" s="425"/>
      <c r="J402" s="425"/>
      <c r="K402" s="425"/>
      <c r="L402" s="375"/>
      <c r="M402" s="375"/>
      <c r="N402" s="375"/>
      <c r="O402" s="375"/>
      <c r="P402" s="375"/>
      <c r="Q402" s="375"/>
      <c r="R402" s="375"/>
      <c r="S402" s="375"/>
      <c r="T402" s="375"/>
      <c r="U402" s="375"/>
      <c r="V402" s="375"/>
      <c r="W402" s="375"/>
      <c r="X402" s="375"/>
      <c r="Y402" s="375"/>
      <c r="Z402" s="375"/>
      <c r="AA402" s="375"/>
    </row>
    <row r="403" spans="1:27" ht="14.4">
      <c r="A403" s="425"/>
      <c r="B403" s="425"/>
      <c r="C403" s="425"/>
      <c r="D403" s="391"/>
      <c r="E403" s="425"/>
      <c r="F403" s="425"/>
      <c r="G403" s="425"/>
      <c r="H403" s="425"/>
      <c r="I403" s="425"/>
      <c r="J403" s="425"/>
      <c r="K403" s="425"/>
      <c r="L403" s="375"/>
      <c r="M403" s="375"/>
      <c r="N403" s="375"/>
      <c r="O403" s="375"/>
      <c r="P403" s="375"/>
      <c r="Q403" s="375"/>
      <c r="R403" s="375"/>
      <c r="S403" s="375"/>
      <c r="T403" s="375"/>
      <c r="U403" s="375"/>
      <c r="V403" s="375"/>
      <c r="W403" s="375"/>
      <c r="X403" s="375"/>
      <c r="Y403" s="375"/>
      <c r="Z403" s="375"/>
      <c r="AA403" s="375"/>
    </row>
    <row r="404" spans="1:27" ht="14.4">
      <c r="A404" s="425"/>
      <c r="B404" s="425"/>
      <c r="C404" s="425"/>
      <c r="D404" s="391"/>
      <c r="E404" s="425"/>
      <c r="F404" s="425"/>
      <c r="G404" s="425"/>
      <c r="H404" s="425"/>
      <c r="I404" s="425"/>
      <c r="J404" s="425"/>
      <c r="K404" s="425"/>
      <c r="L404" s="375"/>
      <c r="M404" s="375"/>
      <c r="N404" s="375"/>
      <c r="O404" s="375"/>
      <c r="P404" s="375"/>
      <c r="Q404" s="375"/>
      <c r="R404" s="375"/>
      <c r="S404" s="375"/>
      <c r="T404" s="375"/>
      <c r="U404" s="375"/>
      <c r="V404" s="375"/>
      <c r="W404" s="375"/>
      <c r="X404" s="375"/>
      <c r="Y404" s="375"/>
      <c r="Z404" s="375"/>
      <c r="AA404" s="375"/>
    </row>
    <row r="405" spans="1:27" ht="14.4">
      <c r="A405" s="425"/>
      <c r="B405" s="425"/>
      <c r="C405" s="425"/>
      <c r="D405" s="391"/>
      <c r="E405" s="425"/>
      <c r="F405" s="425"/>
      <c r="G405" s="425"/>
      <c r="H405" s="425"/>
      <c r="I405" s="425"/>
      <c r="J405" s="425"/>
      <c r="K405" s="425"/>
      <c r="L405" s="375"/>
      <c r="M405" s="375"/>
      <c r="N405" s="375"/>
      <c r="O405" s="375"/>
      <c r="P405" s="375"/>
      <c r="Q405" s="375"/>
      <c r="R405" s="375"/>
      <c r="S405" s="375"/>
      <c r="T405" s="375"/>
      <c r="U405" s="375"/>
      <c r="V405" s="375"/>
      <c r="W405" s="375"/>
      <c r="X405" s="375"/>
      <c r="Y405" s="375"/>
      <c r="Z405" s="375"/>
      <c r="AA405" s="375"/>
    </row>
    <row r="406" spans="1:27" ht="14.4">
      <c r="A406" s="425"/>
      <c r="B406" s="425"/>
      <c r="C406" s="425"/>
      <c r="D406" s="391"/>
      <c r="E406" s="425"/>
      <c r="F406" s="425"/>
      <c r="G406" s="425"/>
      <c r="H406" s="425"/>
      <c r="I406" s="425"/>
      <c r="J406" s="425"/>
      <c r="K406" s="425"/>
      <c r="L406" s="375"/>
      <c r="M406" s="375"/>
      <c r="N406" s="375"/>
      <c r="O406" s="375"/>
      <c r="P406" s="375"/>
      <c r="Q406" s="375"/>
      <c r="R406" s="375"/>
      <c r="S406" s="375"/>
      <c r="T406" s="375"/>
      <c r="U406" s="375"/>
      <c r="V406" s="375"/>
      <c r="W406" s="375"/>
      <c r="X406" s="375"/>
      <c r="Y406" s="375"/>
      <c r="Z406" s="375"/>
      <c r="AA406" s="375"/>
    </row>
    <row r="407" spans="1:27" ht="14.4">
      <c r="A407" s="425"/>
      <c r="B407" s="425"/>
      <c r="C407" s="425"/>
      <c r="D407" s="391"/>
      <c r="E407" s="425"/>
      <c r="F407" s="425"/>
      <c r="G407" s="425"/>
      <c r="H407" s="425"/>
      <c r="I407" s="425"/>
      <c r="J407" s="425"/>
      <c r="K407" s="425"/>
      <c r="L407" s="375"/>
      <c r="M407" s="375"/>
      <c r="N407" s="375"/>
      <c r="O407" s="375"/>
      <c r="P407" s="375"/>
      <c r="Q407" s="375"/>
      <c r="R407" s="375"/>
      <c r="S407" s="375"/>
      <c r="T407" s="375"/>
      <c r="U407" s="375"/>
      <c r="V407" s="375"/>
      <c r="W407" s="375"/>
      <c r="X407" s="375"/>
      <c r="Y407" s="375"/>
      <c r="Z407" s="375"/>
      <c r="AA407" s="375"/>
    </row>
    <row r="408" spans="1:27" ht="14.4">
      <c r="A408" s="425"/>
      <c r="B408" s="425"/>
      <c r="C408" s="425"/>
      <c r="D408" s="391"/>
      <c r="E408" s="425"/>
      <c r="F408" s="425"/>
      <c r="G408" s="425"/>
      <c r="H408" s="425"/>
      <c r="I408" s="425"/>
      <c r="J408" s="425"/>
      <c r="K408" s="425"/>
      <c r="L408" s="375"/>
      <c r="M408" s="375"/>
      <c r="N408" s="375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  <c r="AA408" s="375"/>
    </row>
    <row r="409" spans="1:27" ht="14.4">
      <c r="A409" s="425"/>
      <c r="B409" s="425"/>
      <c r="C409" s="425"/>
      <c r="D409" s="391"/>
      <c r="E409" s="425"/>
      <c r="F409" s="425"/>
      <c r="G409" s="425"/>
      <c r="H409" s="425"/>
      <c r="I409" s="425"/>
      <c r="J409" s="425"/>
      <c r="K409" s="425"/>
      <c r="L409" s="375"/>
      <c r="M409" s="375"/>
      <c r="N409" s="375"/>
      <c r="O409" s="375"/>
      <c r="P409" s="375"/>
      <c r="Q409" s="375"/>
      <c r="R409" s="375"/>
      <c r="S409" s="375"/>
      <c r="T409" s="375"/>
      <c r="U409" s="375"/>
      <c r="V409" s="375"/>
      <c r="W409" s="375"/>
      <c r="X409" s="375"/>
      <c r="Y409" s="375"/>
      <c r="Z409" s="375"/>
      <c r="AA409" s="375"/>
    </row>
    <row r="410" spans="1:27" ht="14.4">
      <c r="A410" s="425"/>
      <c r="B410" s="425"/>
      <c r="C410" s="425"/>
      <c r="D410" s="391"/>
      <c r="E410" s="425"/>
      <c r="F410" s="425"/>
      <c r="G410" s="425"/>
      <c r="H410" s="425"/>
      <c r="I410" s="425"/>
      <c r="J410" s="425"/>
      <c r="K410" s="425"/>
      <c r="L410" s="375"/>
      <c r="M410" s="375"/>
      <c r="N410" s="375"/>
      <c r="O410" s="375"/>
      <c r="P410" s="375"/>
      <c r="Q410" s="375"/>
      <c r="R410" s="375"/>
      <c r="S410" s="375"/>
      <c r="T410" s="375"/>
      <c r="U410" s="375"/>
      <c r="V410" s="375"/>
      <c r="W410" s="375"/>
      <c r="X410" s="375"/>
      <c r="Y410" s="375"/>
      <c r="Z410" s="375"/>
      <c r="AA410" s="375"/>
    </row>
    <row r="411" spans="1:27" ht="14.4">
      <c r="A411" s="425"/>
      <c r="B411" s="425"/>
      <c r="C411" s="425"/>
      <c r="D411" s="391"/>
      <c r="E411" s="425"/>
      <c r="F411" s="425"/>
      <c r="G411" s="425"/>
      <c r="H411" s="425"/>
      <c r="I411" s="425"/>
      <c r="J411" s="425"/>
      <c r="K411" s="425"/>
      <c r="L411" s="375"/>
      <c r="M411" s="375"/>
      <c r="N411" s="375"/>
      <c r="O411" s="375"/>
      <c r="P411" s="375"/>
      <c r="Q411" s="375"/>
      <c r="R411" s="375"/>
      <c r="S411" s="375"/>
      <c r="T411" s="375"/>
      <c r="U411" s="375"/>
      <c r="V411" s="375"/>
      <c r="W411" s="375"/>
      <c r="X411" s="375"/>
      <c r="Y411" s="375"/>
      <c r="Z411" s="375"/>
      <c r="AA411" s="375"/>
    </row>
    <row r="412" spans="1:27" ht="14.4">
      <c r="A412" s="425"/>
      <c r="B412" s="425"/>
      <c r="C412" s="425"/>
      <c r="D412" s="391"/>
      <c r="E412" s="425"/>
      <c r="F412" s="425"/>
      <c r="G412" s="425"/>
      <c r="H412" s="425"/>
      <c r="I412" s="425"/>
      <c r="J412" s="425"/>
      <c r="K412" s="425"/>
      <c r="L412" s="375"/>
      <c r="M412" s="375"/>
      <c r="N412" s="375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375"/>
      <c r="AA412" s="375"/>
    </row>
    <row r="413" spans="1:27" ht="14.4">
      <c r="A413" s="425"/>
      <c r="B413" s="425"/>
      <c r="C413" s="425"/>
      <c r="D413" s="391"/>
      <c r="E413" s="425"/>
      <c r="F413" s="425"/>
      <c r="G413" s="425"/>
      <c r="H413" s="425"/>
      <c r="I413" s="425"/>
      <c r="J413" s="425"/>
      <c r="K413" s="425"/>
      <c r="L413" s="375"/>
      <c r="M413" s="375"/>
      <c r="N413" s="375"/>
      <c r="O413" s="375"/>
      <c r="P413" s="375"/>
      <c r="Q413" s="375"/>
      <c r="R413" s="375"/>
      <c r="S413" s="375"/>
      <c r="T413" s="375"/>
      <c r="U413" s="375"/>
      <c r="V413" s="375"/>
      <c r="W413" s="375"/>
      <c r="X413" s="375"/>
      <c r="Y413" s="375"/>
      <c r="Z413" s="375"/>
      <c r="AA413" s="375"/>
    </row>
    <row r="414" spans="1:27" ht="14.4">
      <c r="A414" s="425"/>
      <c r="B414" s="425"/>
      <c r="C414" s="425"/>
      <c r="D414" s="391"/>
      <c r="E414" s="425"/>
      <c r="F414" s="425"/>
      <c r="G414" s="425"/>
      <c r="H414" s="425"/>
      <c r="I414" s="425"/>
      <c r="J414" s="425"/>
      <c r="K414" s="425"/>
      <c r="L414" s="375"/>
      <c r="M414" s="375"/>
      <c r="N414" s="375"/>
      <c r="O414" s="375"/>
      <c r="P414" s="375"/>
      <c r="Q414" s="375"/>
      <c r="R414" s="375"/>
      <c r="S414" s="375"/>
      <c r="T414" s="375"/>
      <c r="U414" s="375"/>
      <c r="V414" s="375"/>
      <c r="W414" s="375"/>
      <c r="X414" s="375"/>
      <c r="Y414" s="375"/>
      <c r="Z414" s="375"/>
      <c r="AA414" s="375"/>
    </row>
    <row r="415" spans="1:27" ht="14.4">
      <c r="A415" s="425"/>
      <c r="B415" s="425"/>
      <c r="C415" s="425"/>
      <c r="D415" s="391"/>
      <c r="E415" s="425"/>
      <c r="F415" s="425"/>
      <c r="G415" s="425"/>
      <c r="H415" s="425"/>
      <c r="I415" s="425"/>
      <c r="J415" s="425"/>
      <c r="K415" s="425"/>
      <c r="L415" s="375"/>
      <c r="M415" s="375"/>
      <c r="N415" s="375"/>
      <c r="O415" s="375"/>
      <c r="P415" s="375"/>
      <c r="Q415" s="375"/>
      <c r="R415" s="375"/>
      <c r="S415" s="375"/>
      <c r="T415" s="375"/>
      <c r="U415" s="375"/>
      <c r="V415" s="375"/>
      <c r="W415" s="375"/>
      <c r="X415" s="375"/>
      <c r="Y415" s="375"/>
      <c r="Z415" s="375"/>
      <c r="AA415" s="375"/>
    </row>
    <row r="416" spans="1:27" ht="14.4">
      <c r="A416" s="425"/>
      <c r="B416" s="425"/>
      <c r="C416" s="425"/>
      <c r="D416" s="391"/>
      <c r="E416" s="425"/>
      <c r="F416" s="425"/>
      <c r="G416" s="425"/>
      <c r="H416" s="425"/>
      <c r="I416" s="425"/>
      <c r="J416" s="425"/>
      <c r="K416" s="425"/>
      <c r="L416" s="375"/>
      <c r="M416" s="375"/>
      <c r="N416" s="375"/>
      <c r="O416" s="375"/>
      <c r="P416" s="375"/>
      <c r="Q416" s="375"/>
      <c r="R416" s="375"/>
      <c r="S416" s="375"/>
      <c r="T416" s="375"/>
      <c r="U416" s="375"/>
      <c r="V416" s="375"/>
      <c r="W416" s="375"/>
      <c r="X416" s="375"/>
      <c r="Y416" s="375"/>
      <c r="Z416" s="375"/>
      <c r="AA416" s="375"/>
    </row>
    <row r="417" spans="1:27" ht="14.4">
      <c r="A417" s="425"/>
      <c r="B417" s="425"/>
      <c r="C417" s="425"/>
      <c r="D417" s="391"/>
      <c r="E417" s="425"/>
      <c r="F417" s="425"/>
      <c r="G417" s="425"/>
      <c r="H417" s="425"/>
      <c r="I417" s="425"/>
      <c r="J417" s="425"/>
      <c r="K417" s="425"/>
      <c r="L417" s="375"/>
      <c r="M417" s="375"/>
      <c r="N417" s="375"/>
      <c r="O417" s="375"/>
      <c r="P417" s="375"/>
      <c r="Q417" s="375"/>
      <c r="R417" s="375"/>
      <c r="S417" s="375"/>
      <c r="T417" s="375"/>
      <c r="U417" s="375"/>
      <c r="V417" s="375"/>
      <c r="W417" s="375"/>
      <c r="X417" s="375"/>
      <c r="Y417" s="375"/>
      <c r="Z417" s="375"/>
      <c r="AA417" s="375"/>
    </row>
    <row r="418" spans="1:27" ht="14.4">
      <c r="A418" s="425"/>
      <c r="B418" s="425"/>
      <c r="C418" s="425"/>
      <c r="D418" s="391"/>
      <c r="E418" s="425"/>
      <c r="F418" s="425"/>
      <c r="G418" s="425"/>
      <c r="H418" s="425"/>
      <c r="I418" s="425"/>
      <c r="J418" s="425"/>
      <c r="K418" s="425"/>
      <c r="L418" s="375"/>
      <c r="M418" s="375"/>
      <c r="N418" s="375"/>
      <c r="O418" s="375"/>
      <c r="P418" s="375"/>
      <c r="Q418" s="375"/>
      <c r="R418" s="375"/>
      <c r="S418" s="375"/>
      <c r="T418" s="375"/>
      <c r="U418" s="375"/>
      <c r="V418" s="375"/>
      <c r="W418" s="375"/>
      <c r="X418" s="375"/>
      <c r="Y418" s="375"/>
      <c r="Z418" s="375"/>
      <c r="AA418" s="375"/>
    </row>
    <row r="419" spans="1:27" ht="14.4">
      <c r="A419" s="425"/>
      <c r="B419" s="425"/>
      <c r="C419" s="425"/>
      <c r="D419" s="391"/>
      <c r="E419" s="425"/>
      <c r="F419" s="425"/>
      <c r="G419" s="425"/>
      <c r="H419" s="425"/>
      <c r="I419" s="425"/>
      <c r="J419" s="425"/>
      <c r="K419" s="425"/>
      <c r="L419" s="375"/>
      <c r="M419" s="375"/>
      <c r="N419" s="375"/>
      <c r="O419" s="375"/>
      <c r="P419" s="375"/>
      <c r="Q419" s="375"/>
      <c r="R419" s="375"/>
      <c r="S419" s="375"/>
      <c r="T419" s="375"/>
      <c r="U419" s="375"/>
      <c r="V419" s="375"/>
      <c r="W419" s="375"/>
      <c r="X419" s="375"/>
      <c r="Y419" s="375"/>
      <c r="Z419" s="375"/>
      <c r="AA419" s="375"/>
    </row>
    <row r="420" spans="1:27" ht="14.4">
      <c r="A420" s="425"/>
      <c r="B420" s="425"/>
      <c r="C420" s="425"/>
      <c r="D420" s="391"/>
      <c r="E420" s="425"/>
      <c r="F420" s="425"/>
      <c r="G420" s="425"/>
      <c r="H420" s="425"/>
      <c r="I420" s="425"/>
      <c r="J420" s="425"/>
      <c r="K420" s="425"/>
      <c r="L420" s="375"/>
      <c r="M420" s="375"/>
      <c r="N420" s="375"/>
      <c r="O420" s="375"/>
      <c r="P420" s="375"/>
      <c r="Q420" s="375"/>
      <c r="R420" s="375"/>
      <c r="S420" s="375"/>
      <c r="T420" s="375"/>
      <c r="U420" s="375"/>
      <c r="V420" s="375"/>
      <c r="W420" s="375"/>
      <c r="X420" s="375"/>
      <c r="Y420" s="375"/>
      <c r="Z420" s="375"/>
      <c r="AA420" s="375"/>
    </row>
    <row r="421" spans="1:27" ht="14.4">
      <c r="A421" s="425"/>
      <c r="B421" s="425"/>
      <c r="C421" s="425"/>
      <c r="D421" s="391"/>
      <c r="E421" s="425"/>
      <c r="F421" s="425"/>
      <c r="G421" s="425"/>
      <c r="H421" s="425"/>
      <c r="I421" s="425"/>
      <c r="J421" s="425"/>
      <c r="K421" s="425"/>
      <c r="L421" s="375"/>
      <c r="M421" s="375"/>
      <c r="N421" s="375"/>
      <c r="O421" s="375"/>
      <c r="P421" s="375"/>
      <c r="Q421" s="375"/>
      <c r="R421" s="375"/>
      <c r="S421" s="375"/>
      <c r="T421" s="375"/>
      <c r="U421" s="375"/>
      <c r="V421" s="375"/>
      <c r="W421" s="375"/>
      <c r="X421" s="375"/>
      <c r="Y421" s="375"/>
      <c r="Z421" s="375"/>
      <c r="AA421" s="375"/>
    </row>
    <row r="422" spans="1:27" ht="14.4">
      <c r="A422" s="425"/>
      <c r="B422" s="425"/>
      <c r="C422" s="425"/>
      <c r="D422" s="391"/>
      <c r="E422" s="425"/>
      <c r="F422" s="425"/>
      <c r="G422" s="425"/>
      <c r="H422" s="425"/>
      <c r="I422" s="425"/>
      <c r="J422" s="425"/>
      <c r="K422" s="425"/>
      <c r="L422" s="375"/>
      <c r="M422" s="375"/>
      <c r="N422" s="375"/>
      <c r="O422" s="375"/>
      <c r="P422" s="375"/>
      <c r="Q422" s="375"/>
      <c r="R422" s="375"/>
      <c r="S422" s="375"/>
      <c r="T422" s="375"/>
      <c r="U422" s="375"/>
      <c r="V422" s="375"/>
      <c r="W422" s="375"/>
      <c r="X422" s="375"/>
      <c r="Y422" s="375"/>
      <c r="Z422" s="375"/>
      <c r="AA422" s="375"/>
    </row>
    <row r="423" spans="1:27" ht="14.4">
      <c r="A423" s="425"/>
      <c r="B423" s="425"/>
      <c r="C423" s="425"/>
      <c r="D423" s="391"/>
      <c r="E423" s="425"/>
      <c r="F423" s="425"/>
      <c r="G423" s="425"/>
      <c r="H423" s="425"/>
      <c r="I423" s="425"/>
      <c r="J423" s="425"/>
      <c r="K423" s="425"/>
      <c r="L423" s="375"/>
      <c r="M423" s="375"/>
      <c r="N423" s="375"/>
      <c r="O423" s="375"/>
      <c r="P423" s="375"/>
      <c r="Q423" s="375"/>
      <c r="R423" s="375"/>
      <c r="S423" s="375"/>
      <c r="T423" s="375"/>
      <c r="U423" s="375"/>
      <c r="V423" s="375"/>
      <c r="W423" s="375"/>
      <c r="X423" s="375"/>
      <c r="Y423" s="375"/>
      <c r="Z423" s="375"/>
      <c r="AA423" s="375"/>
    </row>
    <row r="424" spans="1:27" ht="14.4">
      <c r="A424" s="425"/>
      <c r="B424" s="425"/>
      <c r="C424" s="425"/>
      <c r="D424" s="391"/>
      <c r="E424" s="425"/>
      <c r="F424" s="425"/>
      <c r="G424" s="425"/>
      <c r="H424" s="425"/>
      <c r="I424" s="425"/>
      <c r="J424" s="425"/>
      <c r="K424" s="425"/>
      <c r="L424" s="375"/>
      <c r="M424" s="375"/>
      <c r="N424" s="375"/>
      <c r="O424" s="375"/>
      <c r="P424" s="375"/>
      <c r="Q424" s="375"/>
      <c r="R424" s="375"/>
      <c r="S424" s="375"/>
      <c r="T424" s="375"/>
      <c r="U424" s="375"/>
      <c r="V424" s="375"/>
      <c r="W424" s="375"/>
      <c r="X424" s="375"/>
      <c r="Y424" s="375"/>
      <c r="Z424" s="375"/>
      <c r="AA424" s="375"/>
    </row>
    <row r="425" spans="1:27" ht="14.4">
      <c r="A425" s="425"/>
      <c r="B425" s="425"/>
      <c r="C425" s="425"/>
      <c r="D425" s="391"/>
      <c r="E425" s="425"/>
      <c r="F425" s="425"/>
      <c r="G425" s="425"/>
      <c r="H425" s="425"/>
      <c r="I425" s="425"/>
      <c r="J425" s="425"/>
      <c r="K425" s="425"/>
      <c r="L425" s="375"/>
      <c r="M425" s="375"/>
      <c r="N425" s="375"/>
      <c r="O425" s="375"/>
      <c r="P425" s="375"/>
      <c r="Q425" s="375"/>
      <c r="R425" s="375"/>
      <c r="S425" s="375"/>
      <c r="T425" s="375"/>
      <c r="U425" s="375"/>
      <c r="V425" s="375"/>
      <c r="W425" s="375"/>
      <c r="X425" s="375"/>
      <c r="Y425" s="375"/>
      <c r="Z425" s="375"/>
      <c r="AA425" s="375"/>
    </row>
    <row r="426" spans="1:27" ht="14.4">
      <c r="A426" s="425"/>
      <c r="B426" s="425"/>
      <c r="C426" s="425"/>
      <c r="D426" s="391"/>
      <c r="E426" s="425"/>
      <c r="F426" s="425"/>
      <c r="G426" s="425"/>
      <c r="H426" s="425"/>
      <c r="I426" s="425"/>
      <c r="J426" s="425"/>
      <c r="K426" s="425"/>
      <c r="L426" s="375"/>
      <c r="M426" s="375"/>
      <c r="N426" s="375"/>
      <c r="O426" s="375"/>
      <c r="P426" s="375"/>
      <c r="Q426" s="375"/>
      <c r="R426" s="375"/>
      <c r="S426" s="375"/>
      <c r="T426" s="375"/>
      <c r="U426" s="375"/>
      <c r="V426" s="375"/>
      <c r="W426" s="375"/>
      <c r="X426" s="375"/>
      <c r="Y426" s="375"/>
      <c r="Z426" s="375"/>
      <c r="AA426" s="375"/>
    </row>
    <row r="427" spans="1:27" ht="14.4">
      <c r="A427" s="425"/>
      <c r="B427" s="425"/>
      <c r="C427" s="425"/>
      <c r="D427" s="391"/>
      <c r="E427" s="425"/>
      <c r="F427" s="425"/>
      <c r="G427" s="425"/>
      <c r="H427" s="425"/>
      <c r="I427" s="425"/>
      <c r="J427" s="425"/>
      <c r="K427" s="425"/>
      <c r="L427" s="375"/>
      <c r="M427" s="375"/>
      <c r="N427" s="375"/>
      <c r="O427" s="375"/>
      <c r="P427" s="375"/>
      <c r="Q427" s="375"/>
      <c r="R427" s="375"/>
      <c r="S427" s="375"/>
      <c r="T427" s="375"/>
      <c r="U427" s="375"/>
      <c r="V427" s="375"/>
      <c r="W427" s="375"/>
      <c r="X427" s="375"/>
      <c r="Y427" s="375"/>
      <c r="Z427" s="375"/>
      <c r="AA427" s="375"/>
    </row>
    <row r="428" spans="1:27" ht="14.4">
      <c r="A428" s="425"/>
      <c r="B428" s="425"/>
      <c r="C428" s="425"/>
      <c r="D428" s="391"/>
      <c r="E428" s="425"/>
      <c r="F428" s="425"/>
      <c r="G428" s="425"/>
      <c r="H428" s="425"/>
      <c r="I428" s="425"/>
      <c r="J428" s="425"/>
      <c r="K428" s="425"/>
      <c r="L428" s="375"/>
      <c r="M428" s="375"/>
      <c r="N428" s="375"/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  <c r="AA428" s="375"/>
    </row>
    <row r="429" spans="1:27" ht="14.4">
      <c r="A429" s="425"/>
      <c r="B429" s="425"/>
      <c r="C429" s="425"/>
      <c r="D429" s="391"/>
      <c r="E429" s="425"/>
      <c r="F429" s="425"/>
      <c r="G429" s="425"/>
      <c r="H429" s="425"/>
      <c r="I429" s="425"/>
      <c r="J429" s="425"/>
      <c r="K429" s="425"/>
      <c r="L429" s="375"/>
      <c r="M429" s="375"/>
      <c r="N429" s="375"/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  <c r="AA429" s="375"/>
    </row>
    <row r="430" spans="1:27" ht="14.4">
      <c r="A430" s="425"/>
      <c r="B430" s="425"/>
      <c r="C430" s="425"/>
      <c r="D430" s="391"/>
      <c r="E430" s="425"/>
      <c r="F430" s="425"/>
      <c r="G430" s="425"/>
      <c r="H430" s="425"/>
      <c r="I430" s="425"/>
      <c r="J430" s="425"/>
      <c r="K430" s="425"/>
      <c r="L430" s="375"/>
      <c r="M430" s="375"/>
      <c r="N430" s="375"/>
      <c r="O430" s="375"/>
      <c r="P430" s="375"/>
      <c r="Q430" s="375"/>
      <c r="R430" s="375"/>
      <c r="S430" s="375"/>
      <c r="T430" s="375"/>
      <c r="U430" s="375"/>
      <c r="V430" s="375"/>
      <c r="W430" s="375"/>
      <c r="X430" s="375"/>
      <c r="Y430" s="375"/>
      <c r="Z430" s="375"/>
      <c r="AA430" s="375"/>
    </row>
    <row r="431" spans="1:27" ht="14.4">
      <c r="A431" s="425"/>
      <c r="B431" s="425"/>
      <c r="C431" s="425"/>
      <c r="D431" s="391"/>
      <c r="E431" s="425"/>
      <c r="F431" s="425"/>
      <c r="G431" s="425"/>
      <c r="H431" s="425"/>
      <c r="I431" s="425"/>
      <c r="J431" s="425"/>
      <c r="K431" s="425"/>
      <c r="L431" s="375"/>
      <c r="M431" s="375"/>
      <c r="N431" s="375"/>
      <c r="O431" s="375"/>
      <c r="P431" s="375"/>
      <c r="Q431" s="375"/>
      <c r="R431" s="375"/>
      <c r="S431" s="375"/>
      <c r="T431" s="375"/>
      <c r="U431" s="375"/>
      <c r="V431" s="375"/>
      <c r="W431" s="375"/>
      <c r="X431" s="375"/>
      <c r="Y431" s="375"/>
      <c r="Z431" s="375"/>
      <c r="AA431" s="375"/>
    </row>
    <row r="432" spans="1:27" ht="14.4">
      <c r="A432" s="425"/>
      <c r="B432" s="425"/>
      <c r="C432" s="425"/>
      <c r="D432" s="391"/>
      <c r="E432" s="425"/>
      <c r="F432" s="425"/>
      <c r="G432" s="425"/>
      <c r="H432" s="425"/>
      <c r="I432" s="425"/>
      <c r="J432" s="425"/>
      <c r="K432" s="425"/>
      <c r="L432" s="375"/>
      <c r="M432" s="375"/>
      <c r="N432" s="375"/>
      <c r="O432" s="375"/>
      <c r="P432" s="375"/>
      <c r="Q432" s="375"/>
      <c r="R432" s="375"/>
      <c r="S432" s="375"/>
      <c r="T432" s="375"/>
      <c r="U432" s="375"/>
      <c r="V432" s="375"/>
      <c r="W432" s="375"/>
      <c r="X432" s="375"/>
      <c r="Y432" s="375"/>
      <c r="Z432" s="375"/>
      <c r="AA432" s="375"/>
    </row>
    <row r="433" spans="1:27" ht="14.4">
      <c r="A433" s="425"/>
      <c r="B433" s="425"/>
      <c r="C433" s="425"/>
      <c r="D433" s="391"/>
      <c r="E433" s="425"/>
      <c r="F433" s="425"/>
      <c r="G433" s="425"/>
      <c r="H433" s="425"/>
      <c r="I433" s="425"/>
      <c r="J433" s="425"/>
      <c r="K433" s="425"/>
      <c r="L433" s="375"/>
      <c r="M433" s="375"/>
      <c r="N433" s="375"/>
      <c r="O433" s="375"/>
      <c r="P433" s="375"/>
      <c r="Q433" s="375"/>
      <c r="R433" s="375"/>
      <c r="S433" s="375"/>
      <c r="T433" s="375"/>
      <c r="U433" s="375"/>
      <c r="V433" s="375"/>
      <c r="W433" s="375"/>
      <c r="X433" s="375"/>
      <c r="Y433" s="375"/>
      <c r="Z433" s="375"/>
      <c r="AA433" s="375"/>
    </row>
    <row r="434" spans="1:27" ht="14.4">
      <c r="A434" s="425"/>
      <c r="B434" s="425"/>
      <c r="C434" s="425"/>
      <c r="D434" s="391"/>
      <c r="E434" s="425"/>
      <c r="F434" s="425"/>
      <c r="G434" s="425"/>
      <c r="H434" s="425"/>
      <c r="I434" s="425"/>
      <c r="J434" s="425"/>
      <c r="K434" s="425"/>
      <c r="L434" s="375"/>
      <c r="M434" s="375"/>
      <c r="N434" s="375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  <c r="AA434" s="375"/>
    </row>
    <row r="435" spans="1:27" ht="14.4">
      <c r="A435" s="425"/>
      <c r="B435" s="425"/>
      <c r="C435" s="425"/>
      <c r="D435" s="391"/>
      <c r="E435" s="425"/>
      <c r="F435" s="425"/>
      <c r="G435" s="425"/>
      <c r="H435" s="425"/>
      <c r="I435" s="425"/>
      <c r="J435" s="425"/>
      <c r="K435" s="425"/>
      <c r="L435" s="375"/>
      <c r="M435" s="375"/>
      <c r="N435" s="375"/>
      <c r="O435" s="375"/>
      <c r="P435" s="375"/>
      <c r="Q435" s="375"/>
      <c r="R435" s="375"/>
      <c r="S435" s="375"/>
      <c r="T435" s="375"/>
      <c r="U435" s="375"/>
      <c r="V435" s="375"/>
      <c r="W435" s="375"/>
      <c r="X435" s="375"/>
      <c r="Y435" s="375"/>
      <c r="Z435" s="375"/>
      <c r="AA435" s="375"/>
    </row>
    <row r="436" spans="1:27" ht="14.4">
      <c r="A436" s="425"/>
      <c r="B436" s="425"/>
      <c r="C436" s="425"/>
      <c r="D436" s="391"/>
      <c r="E436" s="425"/>
      <c r="F436" s="425"/>
      <c r="G436" s="425"/>
      <c r="H436" s="425"/>
      <c r="I436" s="425"/>
      <c r="J436" s="425"/>
      <c r="K436" s="425"/>
      <c r="L436" s="375"/>
      <c r="M436" s="375"/>
      <c r="N436" s="375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375"/>
      <c r="Z436" s="375"/>
      <c r="AA436" s="375"/>
    </row>
    <row r="437" spans="1:27" ht="14.4">
      <c r="A437" s="425"/>
      <c r="B437" s="425"/>
      <c r="C437" s="425"/>
      <c r="D437" s="391"/>
      <c r="E437" s="425"/>
      <c r="F437" s="425"/>
      <c r="G437" s="425"/>
      <c r="H437" s="425"/>
      <c r="I437" s="425"/>
      <c r="J437" s="425"/>
      <c r="K437" s="425"/>
      <c r="L437" s="375"/>
      <c r="M437" s="375"/>
      <c r="N437" s="375"/>
      <c r="O437" s="375"/>
      <c r="P437" s="375"/>
      <c r="Q437" s="375"/>
      <c r="R437" s="375"/>
      <c r="S437" s="375"/>
      <c r="T437" s="375"/>
      <c r="U437" s="375"/>
      <c r="V437" s="375"/>
      <c r="W437" s="375"/>
      <c r="X437" s="375"/>
      <c r="Y437" s="375"/>
      <c r="Z437" s="375"/>
      <c r="AA437" s="375"/>
    </row>
    <row r="438" spans="1:27" ht="14.4">
      <c r="A438" s="425"/>
      <c r="B438" s="425"/>
      <c r="C438" s="425"/>
      <c r="D438" s="391"/>
      <c r="E438" s="425"/>
      <c r="F438" s="425"/>
      <c r="G438" s="425"/>
      <c r="H438" s="425"/>
      <c r="I438" s="425"/>
      <c r="J438" s="425"/>
      <c r="K438" s="425"/>
      <c r="L438" s="375"/>
      <c r="M438" s="375"/>
      <c r="N438" s="375"/>
      <c r="O438" s="375"/>
      <c r="P438" s="375"/>
      <c r="Q438" s="375"/>
      <c r="R438" s="375"/>
      <c r="S438" s="375"/>
      <c r="T438" s="375"/>
      <c r="U438" s="375"/>
      <c r="V438" s="375"/>
      <c r="W438" s="375"/>
      <c r="X438" s="375"/>
      <c r="Y438" s="375"/>
      <c r="Z438" s="375"/>
      <c r="AA438" s="375"/>
    </row>
    <row r="439" spans="1:27" ht="14.4">
      <c r="A439" s="425"/>
      <c r="B439" s="425"/>
      <c r="C439" s="425"/>
      <c r="D439" s="391"/>
      <c r="E439" s="425"/>
      <c r="F439" s="425"/>
      <c r="G439" s="425"/>
      <c r="H439" s="425"/>
      <c r="I439" s="425"/>
      <c r="J439" s="425"/>
      <c r="K439" s="425"/>
      <c r="L439" s="375"/>
      <c r="M439" s="375"/>
      <c r="N439" s="375"/>
      <c r="O439" s="375"/>
      <c r="P439" s="375"/>
      <c r="Q439" s="375"/>
      <c r="R439" s="375"/>
      <c r="S439" s="375"/>
      <c r="T439" s="375"/>
      <c r="U439" s="375"/>
      <c r="V439" s="375"/>
      <c r="W439" s="375"/>
      <c r="X439" s="375"/>
      <c r="Y439" s="375"/>
      <c r="Z439" s="375"/>
      <c r="AA439" s="375"/>
    </row>
    <row r="440" spans="1:27" ht="14.4">
      <c r="A440" s="425"/>
      <c r="B440" s="425"/>
      <c r="C440" s="425"/>
      <c r="D440" s="391"/>
      <c r="E440" s="425"/>
      <c r="F440" s="425"/>
      <c r="G440" s="425"/>
      <c r="H440" s="425"/>
      <c r="I440" s="425"/>
      <c r="J440" s="425"/>
      <c r="K440" s="425"/>
      <c r="L440" s="375"/>
      <c r="M440" s="375"/>
      <c r="N440" s="375"/>
      <c r="O440" s="375"/>
      <c r="P440" s="375"/>
      <c r="Q440" s="375"/>
      <c r="R440" s="375"/>
      <c r="S440" s="375"/>
      <c r="T440" s="375"/>
      <c r="U440" s="375"/>
      <c r="V440" s="375"/>
      <c r="W440" s="375"/>
      <c r="X440" s="375"/>
      <c r="Y440" s="375"/>
      <c r="Z440" s="375"/>
      <c r="AA440" s="375"/>
    </row>
    <row r="441" spans="1:27" ht="14.4">
      <c r="A441" s="425"/>
      <c r="B441" s="425"/>
      <c r="C441" s="425"/>
      <c r="D441" s="391"/>
      <c r="E441" s="425"/>
      <c r="F441" s="425"/>
      <c r="G441" s="425"/>
      <c r="H441" s="425"/>
      <c r="I441" s="425"/>
      <c r="J441" s="425"/>
      <c r="K441" s="425"/>
      <c r="L441" s="375"/>
      <c r="M441" s="375"/>
      <c r="N441" s="375"/>
      <c r="O441" s="375"/>
      <c r="P441" s="375"/>
      <c r="Q441" s="375"/>
      <c r="R441" s="375"/>
      <c r="S441" s="375"/>
      <c r="T441" s="375"/>
      <c r="U441" s="375"/>
      <c r="V441" s="375"/>
      <c r="W441" s="375"/>
      <c r="X441" s="375"/>
      <c r="Y441" s="375"/>
      <c r="Z441" s="375"/>
      <c r="AA441" s="375"/>
    </row>
    <row r="442" spans="1:27" ht="14.4">
      <c r="A442" s="425"/>
      <c r="B442" s="425"/>
      <c r="C442" s="425"/>
      <c r="D442" s="391"/>
      <c r="E442" s="425"/>
      <c r="F442" s="425"/>
      <c r="G442" s="425"/>
      <c r="H442" s="425"/>
      <c r="I442" s="425"/>
      <c r="J442" s="425"/>
      <c r="K442" s="425"/>
      <c r="L442" s="375"/>
      <c r="M442" s="375"/>
      <c r="N442" s="375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375"/>
      <c r="Z442" s="375"/>
      <c r="AA442" s="375"/>
    </row>
    <row r="443" spans="1:27" ht="14.4">
      <c r="A443" s="425"/>
      <c r="B443" s="425"/>
      <c r="C443" s="425"/>
      <c r="D443" s="391"/>
      <c r="E443" s="425"/>
      <c r="F443" s="425"/>
      <c r="G443" s="425"/>
      <c r="H443" s="425"/>
      <c r="I443" s="425"/>
      <c r="J443" s="425"/>
      <c r="K443" s="425"/>
      <c r="L443" s="375"/>
      <c r="M443" s="375"/>
      <c r="N443" s="375"/>
      <c r="O443" s="375"/>
      <c r="P443" s="375"/>
      <c r="Q443" s="375"/>
      <c r="R443" s="375"/>
      <c r="S443" s="375"/>
      <c r="T443" s="375"/>
      <c r="U443" s="375"/>
      <c r="V443" s="375"/>
      <c r="W443" s="375"/>
      <c r="X443" s="375"/>
      <c r="Y443" s="375"/>
      <c r="Z443" s="375"/>
      <c r="AA443" s="375"/>
    </row>
    <row r="444" spans="1:27" ht="14.4">
      <c r="A444" s="425"/>
      <c r="B444" s="425"/>
      <c r="C444" s="425"/>
      <c r="D444" s="391"/>
      <c r="E444" s="425"/>
      <c r="F444" s="425"/>
      <c r="G444" s="425"/>
      <c r="H444" s="425"/>
      <c r="I444" s="425"/>
      <c r="J444" s="425"/>
      <c r="K444" s="425"/>
      <c r="L444" s="375"/>
      <c r="M444" s="375"/>
      <c r="N444" s="375"/>
      <c r="O444" s="375"/>
      <c r="P444" s="375"/>
      <c r="Q444" s="375"/>
      <c r="R444" s="375"/>
      <c r="S444" s="375"/>
      <c r="T444" s="375"/>
      <c r="U444" s="375"/>
      <c r="V444" s="375"/>
      <c r="W444" s="375"/>
      <c r="X444" s="375"/>
      <c r="Y444" s="375"/>
      <c r="Z444" s="375"/>
      <c r="AA444" s="375"/>
    </row>
    <row r="445" spans="1:27" ht="14.4">
      <c r="A445" s="425"/>
      <c r="B445" s="425"/>
      <c r="C445" s="425"/>
      <c r="D445" s="391"/>
      <c r="E445" s="425"/>
      <c r="F445" s="425"/>
      <c r="G445" s="425"/>
      <c r="H445" s="425"/>
      <c r="I445" s="425"/>
      <c r="J445" s="425"/>
      <c r="K445" s="425"/>
      <c r="L445" s="375"/>
      <c r="M445" s="375"/>
      <c r="N445" s="375"/>
      <c r="O445" s="375"/>
      <c r="P445" s="375"/>
      <c r="Q445" s="375"/>
      <c r="R445" s="375"/>
      <c r="S445" s="375"/>
      <c r="T445" s="375"/>
      <c r="U445" s="375"/>
      <c r="V445" s="375"/>
      <c r="W445" s="375"/>
      <c r="X445" s="375"/>
      <c r="Y445" s="375"/>
      <c r="Z445" s="375"/>
      <c r="AA445" s="375"/>
    </row>
    <row r="446" spans="1:27" ht="14.4">
      <c r="A446" s="425"/>
      <c r="B446" s="425"/>
      <c r="C446" s="425"/>
      <c r="D446" s="391"/>
      <c r="E446" s="425"/>
      <c r="F446" s="425"/>
      <c r="G446" s="425"/>
      <c r="H446" s="425"/>
      <c r="I446" s="425"/>
      <c r="J446" s="425"/>
      <c r="K446" s="425"/>
      <c r="L446" s="375"/>
      <c r="M446" s="375"/>
      <c r="N446" s="375"/>
      <c r="O446" s="375"/>
      <c r="P446" s="375"/>
      <c r="Q446" s="375"/>
      <c r="R446" s="375"/>
      <c r="S446" s="375"/>
      <c r="T446" s="375"/>
      <c r="U446" s="375"/>
      <c r="V446" s="375"/>
      <c r="W446" s="375"/>
      <c r="X446" s="375"/>
      <c r="Y446" s="375"/>
      <c r="Z446" s="375"/>
      <c r="AA446" s="375"/>
    </row>
    <row r="447" spans="1:27" ht="14.4">
      <c r="A447" s="425"/>
      <c r="B447" s="425"/>
      <c r="C447" s="425"/>
      <c r="D447" s="391"/>
      <c r="E447" s="425"/>
      <c r="F447" s="425"/>
      <c r="G447" s="425"/>
      <c r="H447" s="425"/>
      <c r="I447" s="425"/>
      <c r="J447" s="425"/>
      <c r="K447" s="425"/>
      <c r="L447" s="375"/>
      <c r="M447" s="375"/>
      <c r="N447" s="375"/>
      <c r="O447" s="375"/>
      <c r="P447" s="375"/>
      <c r="Q447" s="375"/>
      <c r="R447" s="375"/>
      <c r="S447" s="375"/>
      <c r="T447" s="375"/>
      <c r="U447" s="375"/>
      <c r="V447" s="375"/>
      <c r="W447" s="375"/>
      <c r="X447" s="375"/>
      <c r="Y447" s="375"/>
      <c r="Z447" s="375"/>
      <c r="AA447" s="375"/>
    </row>
    <row r="448" spans="1:27" ht="14.4">
      <c r="A448" s="425"/>
      <c r="B448" s="425"/>
      <c r="C448" s="425"/>
      <c r="D448" s="391"/>
      <c r="E448" s="425"/>
      <c r="F448" s="425"/>
      <c r="G448" s="425"/>
      <c r="H448" s="425"/>
      <c r="I448" s="425"/>
      <c r="J448" s="425"/>
      <c r="K448" s="425"/>
      <c r="L448" s="375"/>
      <c r="M448" s="375"/>
      <c r="N448" s="375"/>
      <c r="O448" s="375"/>
      <c r="P448" s="375"/>
      <c r="Q448" s="375"/>
      <c r="R448" s="375"/>
      <c r="S448" s="375"/>
      <c r="T448" s="375"/>
      <c r="U448" s="375"/>
      <c r="V448" s="375"/>
      <c r="W448" s="375"/>
      <c r="X448" s="375"/>
      <c r="Y448" s="375"/>
      <c r="Z448" s="375"/>
      <c r="AA448" s="375"/>
    </row>
    <row r="449" spans="1:27" ht="14.4">
      <c r="A449" s="425"/>
      <c r="B449" s="425"/>
      <c r="C449" s="425"/>
      <c r="D449" s="391"/>
      <c r="E449" s="425"/>
      <c r="F449" s="425"/>
      <c r="G449" s="425"/>
      <c r="H449" s="425"/>
      <c r="I449" s="425"/>
      <c r="J449" s="425"/>
      <c r="K449" s="425"/>
      <c r="L449" s="375"/>
      <c r="M449" s="375"/>
      <c r="N449" s="375"/>
      <c r="O449" s="375"/>
      <c r="P449" s="375"/>
      <c r="Q449" s="375"/>
      <c r="R449" s="375"/>
      <c r="S449" s="375"/>
      <c r="T449" s="375"/>
      <c r="U449" s="375"/>
      <c r="V449" s="375"/>
      <c r="W449" s="375"/>
      <c r="X449" s="375"/>
      <c r="Y449" s="375"/>
      <c r="Z449" s="375"/>
      <c r="AA449" s="375"/>
    </row>
    <row r="450" spans="1:27" ht="14.4">
      <c r="A450" s="425"/>
      <c r="B450" s="425"/>
      <c r="C450" s="425"/>
      <c r="D450" s="391"/>
      <c r="E450" s="425"/>
      <c r="F450" s="425"/>
      <c r="G450" s="425"/>
      <c r="H450" s="425"/>
      <c r="I450" s="425"/>
      <c r="J450" s="425"/>
      <c r="K450" s="425"/>
      <c r="L450" s="375"/>
      <c r="M450" s="375"/>
      <c r="N450" s="375"/>
      <c r="O450" s="375"/>
      <c r="P450" s="375"/>
      <c r="Q450" s="375"/>
      <c r="R450" s="375"/>
      <c r="S450" s="375"/>
      <c r="T450" s="375"/>
      <c r="U450" s="375"/>
      <c r="V450" s="375"/>
      <c r="W450" s="375"/>
      <c r="X450" s="375"/>
      <c r="Y450" s="375"/>
      <c r="Z450" s="375"/>
      <c r="AA450" s="375"/>
    </row>
    <row r="451" spans="1:27" ht="14.4">
      <c r="A451" s="425"/>
      <c r="B451" s="425"/>
      <c r="C451" s="425"/>
      <c r="D451" s="391"/>
      <c r="E451" s="425"/>
      <c r="F451" s="425"/>
      <c r="G451" s="425"/>
      <c r="H451" s="425"/>
      <c r="I451" s="425"/>
      <c r="J451" s="425"/>
      <c r="K451" s="425"/>
      <c r="L451" s="375"/>
      <c r="M451" s="375"/>
      <c r="N451" s="375"/>
      <c r="O451" s="375"/>
      <c r="P451" s="375"/>
      <c r="Q451" s="375"/>
      <c r="R451" s="375"/>
      <c r="S451" s="375"/>
      <c r="T451" s="375"/>
      <c r="U451" s="375"/>
      <c r="V451" s="375"/>
      <c r="W451" s="375"/>
      <c r="X451" s="375"/>
      <c r="Y451" s="375"/>
      <c r="Z451" s="375"/>
      <c r="AA451" s="375"/>
    </row>
    <row r="452" spans="1:27" ht="14.4">
      <c r="A452" s="425"/>
      <c r="B452" s="425"/>
      <c r="C452" s="425"/>
      <c r="D452" s="391"/>
      <c r="E452" s="425"/>
      <c r="F452" s="425"/>
      <c r="G452" s="425"/>
      <c r="H452" s="425"/>
      <c r="I452" s="425"/>
      <c r="J452" s="425"/>
      <c r="K452" s="425"/>
      <c r="L452" s="375"/>
      <c r="M452" s="375"/>
      <c r="N452" s="375"/>
      <c r="O452" s="375"/>
      <c r="P452" s="375"/>
      <c r="Q452" s="375"/>
      <c r="R452" s="375"/>
      <c r="S452" s="375"/>
      <c r="T452" s="375"/>
      <c r="U452" s="375"/>
      <c r="V452" s="375"/>
      <c r="W452" s="375"/>
      <c r="X452" s="375"/>
      <c r="Y452" s="375"/>
      <c r="Z452" s="375"/>
      <c r="AA452" s="375"/>
    </row>
    <row r="453" spans="1:27" ht="14.4">
      <c r="A453" s="425"/>
      <c r="B453" s="425"/>
      <c r="C453" s="425"/>
      <c r="D453" s="391"/>
      <c r="E453" s="425"/>
      <c r="F453" s="425"/>
      <c r="G453" s="425"/>
      <c r="H453" s="425"/>
      <c r="I453" s="425"/>
      <c r="J453" s="425"/>
      <c r="K453" s="425"/>
      <c r="L453" s="375"/>
      <c r="M453" s="375"/>
      <c r="N453" s="375"/>
      <c r="O453" s="375"/>
      <c r="P453" s="375"/>
      <c r="Q453" s="375"/>
      <c r="R453" s="375"/>
      <c r="S453" s="375"/>
      <c r="T453" s="375"/>
      <c r="U453" s="375"/>
      <c r="V453" s="375"/>
      <c r="W453" s="375"/>
      <c r="X453" s="375"/>
      <c r="Y453" s="375"/>
      <c r="Z453" s="375"/>
      <c r="AA453" s="375"/>
    </row>
    <row r="454" spans="1:27" ht="14.4">
      <c r="A454" s="425"/>
      <c r="B454" s="425"/>
      <c r="C454" s="425"/>
      <c r="D454" s="391"/>
      <c r="E454" s="425"/>
      <c r="F454" s="425"/>
      <c r="G454" s="425"/>
      <c r="H454" s="425"/>
      <c r="I454" s="425"/>
      <c r="J454" s="425"/>
      <c r="K454" s="425"/>
      <c r="L454" s="375"/>
      <c r="M454" s="375"/>
      <c r="N454" s="375"/>
      <c r="O454" s="375"/>
      <c r="P454" s="375"/>
      <c r="Q454" s="375"/>
      <c r="R454" s="375"/>
      <c r="S454" s="375"/>
      <c r="T454" s="375"/>
      <c r="U454" s="375"/>
      <c r="V454" s="375"/>
      <c r="W454" s="375"/>
      <c r="X454" s="375"/>
      <c r="Y454" s="375"/>
      <c r="Z454" s="375"/>
      <c r="AA454" s="375"/>
    </row>
    <row r="455" spans="1:27" ht="14.4">
      <c r="A455" s="425"/>
      <c r="B455" s="425"/>
      <c r="C455" s="425"/>
      <c r="D455" s="391"/>
      <c r="E455" s="425"/>
      <c r="F455" s="425"/>
      <c r="G455" s="425"/>
      <c r="H455" s="425"/>
      <c r="I455" s="425"/>
      <c r="J455" s="425"/>
      <c r="K455" s="425"/>
      <c r="L455" s="375"/>
      <c r="M455" s="375"/>
      <c r="N455" s="375"/>
      <c r="O455" s="375"/>
      <c r="P455" s="375"/>
      <c r="Q455" s="375"/>
      <c r="R455" s="375"/>
      <c r="S455" s="375"/>
      <c r="T455" s="375"/>
      <c r="U455" s="375"/>
      <c r="V455" s="375"/>
      <c r="W455" s="375"/>
      <c r="X455" s="375"/>
      <c r="Y455" s="375"/>
      <c r="Z455" s="375"/>
      <c r="AA455" s="375"/>
    </row>
    <row r="456" spans="1:27" ht="14.4">
      <c r="A456" s="425"/>
      <c r="B456" s="425"/>
      <c r="C456" s="425"/>
      <c r="D456" s="391"/>
      <c r="E456" s="425"/>
      <c r="F456" s="425"/>
      <c r="G456" s="425"/>
      <c r="H456" s="425"/>
      <c r="I456" s="425"/>
      <c r="J456" s="425"/>
      <c r="K456" s="425"/>
      <c r="L456" s="375"/>
      <c r="M456" s="375"/>
      <c r="N456" s="375"/>
      <c r="O456" s="375"/>
      <c r="P456" s="375"/>
      <c r="Q456" s="375"/>
      <c r="R456" s="375"/>
      <c r="S456" s="375"/>
      <c r="T456" s="375"/>
      <c r="U456" s="375"/>
      <c r="V456" s="375"/>
      <c r="W456" s="375"/>
      <c r="X456" s="375"/>
      <c r="Y456" s="375"/>
      <c r="Z456" s="375"/>
      <c r="AA456" s="375"/>
    </row>
    <row r="457" spans="1:27" ht="14.4">
      <c r="A457" s="425"/>
      <c r="B457" s="425"/>
      <c r="C457" s="425"/>
      <c r="D457" s="391"/>
      <c r="E457" s="425"/>
      <c r="F457" s="425"/>
      <c r="G457" s="425"/>
      <c r="H457" s="425"/>
      <c r="I457" s="425"/>
      <c r="J457" s="425"/>
      <c r="K457" s="425"/>
      <c r="L457" s="375"/>
      <c r="M457" s="375"/>
      <c r="N457" s="375"/>
      <c r="O457" s="375"/>
      <c r="P457" s="375"/>
      <c r="Q457" s="375"/>
      <c r="R457" s="375"/>
      <c r="S457" s="375"/>
      <c r="T457" s="375"/>
      <c r="U457" s="375"/>
      <c r="V457" s="375"/>
      <c r="W457" s="375"/>
      <c r="X457" s="375"/>
      <c r="Y457" s="375"/>
      <c r="Z457" s="375"/>
      <c r="AA457" s="375"/>
    </row>
    <row r="458" spans="1:27" ht="14.4">
      <c r="A458" s="425"/>
      <c r="B458" s="425"/>
      <c r="C458" s="425"/>
      <c r="D458" s="391"/>
      <c r="E458" s="425"/>
      <c r="F458" s="425"/>
      <c r="G458" s="425"/>
      <c r="H458" s="425"/>
      <c r="I458" s="425"/>
      <c r="J458" s="425"/>
      <c r="K458" s="425"/>
      <c r="L458" s="375"/>
      <c r="M458" s="375"/>
      <c r="N458" s="375"/>
      <c r="O458" s="375"/>
      <c r="P458" s="375"/>
      <c r="Q458" s="375"/>
      <c r="R458" s="375"/>
      <c r="S458" s="375"/>
      <c r="T458" s="375"/>
      <c r="U458" s="375"/>
      <c r="V458" s="375"/>
      <c r="W458" s="375"/>
      <c r="X458" s="375"/>
      <c r="Y458" s="375"/>
      <c r="Z458" s="375"/>
      <c r="AA458" s="375"/>
    </row>
    <row r="459" spans="1:27" ht="14.4">
      <c r="A459" s="425"/>
      <c r="B459" s="425"/>
      <c r="C459" s="425"/>
      <c r="D459" s="391"/>
      <c r="E459" s="425"/>
      <c r="F459" s="425"/>
      <c r="G459" s="425"/>
      <c r="H459" s="425"/>
      <c r="I459" s="425"/>
      <c r="J459" s="425"/>
      <c r="K459" s="425"/>
      <c r="L459" s="375"/>
      <c r="M459" s="375"/>
      <c r="N459" s="375"/>
      <c r="O459" s="375"/>
      <c r="P459" s="375"/>
      <c r="Q459" s="375"/>
      <c r="R459" s="375"/>
      <c r="S459" s="375"/>
      <c r="T459" s="375"/>
      <c r="U459" s="375"/>
      <c r="V459" s="375"/>
      <c r="W459" s="375"/>
      <c r="X459" s="375"/>
      <c r="Y459" s="375"/>
      <c r="Z459" s="375"/>
      <c r="AA459" s="375"/>
    </row>
    <row r="460" spans="1:27" ht="14.4">
      <c r="A460" s="425"/>
      <c r="B460" s="425"/>
      <c r="C460" s="425"/>
      <c r="D460" s="391"/>
      <c r="E460" s="425"/>
      <c r="F460" s="425"/>
      <c r="G460" s="425"/>
      <c r="H460" s="425"/>
      <c r="I460" s="425"/>
      <c r="J460" s="425"/>
      <c r="K460" s="425"/>
      <c r="L460" s="375"/>
      <c r="M460" s="375"/>
      <c r="N460" s="375"/>
      <c r="O460" s="375"/>
      <c r="P460" s="375"/>
      <c r="Q460" s="375"/>
      <c r="R460" s="375"/>
      <c r="S460" s="375"/>
      <c r="T460" s="375"/>
      <c r="U460" s="375"/>
      <c r="V460" s="375"/>
      <c r="W460" s="375"/>
      <c r="X460" s="375"/>
      <c r="Y460" s="375"/>
      <c r="Z460" s="375"/>
      <c r="AA460" s="375"/>
    </row>
    <row r="461" spans="1:27" ht="14.4">
      <c r="A461" s="425"/>
      <c r="B461" s="425"/>
      <c r="C461" s="425"/>
      <c r="D461" s="391"/>
      <c r="E461" s="425"/>
      <c r="F461" s="425"/>
      <c r="G461" s="425"/>
      <c r="H461" s="425"/>
      <c r="I461" s="425"/>
      <c r="J461" s="425"/>
      <c r="K461" s="425"/>
      <c r="L461" s="375"/>
      <c r="M461" s="375"/>
      <c r="N461" s="375"/>
      <c r="O461" s="375"/>
      <c r="P461" s="375"/>
      <c r="Q461" s="375"/>
      <c r="R461" s="375"/>
      <c r="S461" s="375"/>
      <c r="T461" s="375"/>
      <c r="U461" s="375"/>
      <c r="V461" s="375"/>
      <c r="W461" s="375"/>
      <c r="X461" s="375"/>
      <c r="Y461" s="375"/>
      <c r="Z461" s="375"/>
      <c r="AA461" s="375"/>
    </row>
    <row r="462" spans="1:27" ht="14.4">
      <c r="A462" s="425"/>
      <c r="B462" s="425"/>
      <c r="C462" s="425"/>
      <c r="D462" s="391"/>
      <c r="E462" s="425"/>
      <c r="F462" s="425"/>
      <c r="G462" s="425"/>
      <c r="H462" s="425"/>
      <c r="I462" s="425"/>
      <c r="J462" s="425"/>
      <c r="K462" s="425"/>
      <c r="L462" s="375"/>
      <c r="M462" s="375"/>
      <c r="N462" s="375"/>
      <c r="O462" s="375"/>
      <c r="P462" s="375"/>
      <c r="Q462" s="375"/>
      <c r="R462" s="375"/>
      <c r="S462" s="375"/>
      <c r="T462" s="375"/>
      <c r="U462" s="375"/>
      <c r="V462" s="375"/>
      <c r="W462" s="375"/>
      <c r="X462" s="375"/>
      <c r="Y462" s="375"/>
      <c r="Z462" s="375"/>
      <c r="AA462" s="375"/>
    </row>
    <row r="463" spans="1:27" ht="14.4">
      <c r="A463" s="425"/>
      <c r="B463" s="425"/>
      <c r="C463" s="425"/>
      <c r="D463" s="391"/>
      <c r="E463" s="425"/>
      <c r="F463" s="425"/>
      <c r="G463" s="425"/>
      <c r="H463" s="425"/>
      <c r="I463" s="425"/>
      <c r="J463" s="425"/>
      <c r="K463" s="425"/>
      <c r="L463" s="375"/>
      <c r="M463" s="375"/>
      <c r="N463" s="375"/>
      <c r="O463" s="375"/>
      <c r="P463" s="375"/>
      <c r="Q463" s="375"/>
      <c r="R463" s="375"/>
      <c r="S463" s="375"/>
      <c r="T463" s="375"/>
      <c r="U463" s="375"/>
      <c r="V463" s="375"/>
      <c r="W463" s="375"/>
      <c r="X463" s="375"/>
      <c r="Y463" s="375"/>
      <c r="Z463" s="375"/>
      <c r="AA463" s="375"/>
    </row>
    <row r="464" spans="1:27" ht="14.4">
      <c r="A464" s="425"/>
      <c r="B464" s="425"/>
      <c r="C464" s="425"/>
      <c r="D464" s="391"/>
      <c r="E464" s="425"/>
      <c r="F464" s="425"/>
      <c r="G464" s="425"/>
      <c r="H464" s="425"/>
      <c r="I464" s="425"/>
      <c r="J464" s="425"/>
      <c r="K464" s="425"/>
      <c r="L464" s="375"/>
      <c r="M464" s="375"/>
      <c r="N464" s="375"/>
      <c r="O464" s="375"/>
      <c r="P464" s="375"/>
      <c r="Q464" s="375"/>
      <c r="R464" s="375"/>
      <c r="S464" s="375"/>
      <c r="T464" s="375"/>
      <c r="U464" s="375"/>
      <c r="V464" s="375"/>
      <c r="W464" s="375"/>
      <c r="X464" s="375"/>
      <c r="Y464" s="375"/>
      <c r="Z464" s="375"/>
      <c r="AA464" s="375"/>
    </row>
    <row r="465" spans="1:27" ht="14.4">
      <c r="A465" s="425"/>
      <c r="B465" s="425"/>
      <c r="C465" s="425"/>
      <c r="D465" s="391"/>
      <c r="E465" s="425"/>
      <c r="F465" s="425"/>
      <c r="G465" s="425"/>
      <c r="H465" s="425"/>
      <c r="I465" s="425"/>
      <c r="J465" s="425"/>
      <c r="K465" s="425"/>
      <c r="L465" s="375"/>
      <c r="M465" s="375"/>
      <c r="N465" s="375"/>
      <c r="O465" s="375"/>
      <c r="P465" s="375"/>
      <c r="Q465" s="375"/>
      <c r="R465" s="375"/>
      <c r="S465" s="375"/>
      <c r="T465" s="375"/>
      <c r="U465" s="375"/>
      <c r="V465" s="375"/>
      <c r="W465" s="375"/>
      <c r="X465" s="375"/>
      <c r="Y465" s="375"/>
      <c r="Z465" s="375"/>
      <c r="AA465" s="375"/>
    </row>
    <row r="466" spans="1:27" ht="14.4">
      <c r="A466" s="425"/>
      <c r="B466" s="425"/>
      <c r="C466" s="425"/>
      <c r="D466" s="391"/>
      <c r="E466" s="425"/>
      <c r="F466" s="425"/>
      <c r="G466" s="425"/>
      <c r="H466" s="425"/>
      <c r="I466" s="425"/>
      <c r="J466" s="425"/>
      <c r="K466" s="425"/>
      <c r="L466" s="375"/>
      <c r="M466" s="375"/>
      <c r="N466" s="375"/>
      <c r="O466" s="375"/>
      <c r="P466" s="375"/>
      <c r="Q466" s="375"/>
      <c r="R466" s="375"/>
      <c r="S466" s="375"/>
      <c r="T466" s="375"/>
      <c r="U466" s="375"/>
      <c r="V466" s="375"/>
      <c r="W466" s="375"/>
      <c r="X466" s="375"/>
      <c r="Y466" s="375"/>
      <c r="Z466" s="375"/>
      <c r="AA466" s="375"/>
    </row>
    <row r="467" spans="1:27" ht="14.4">
      <c r="A467" s="425"/>
      <c r="B467" s="425"/>
      <c r="C467" s="425"/>
      <c r="D467" s="391"/>
      <c r="E467" s="425"/>
      <c r="F467" s="425"/>
      <c r="G467" s="425"/>
      <c r="H467" s="425"/>
      <c r="I467" s="425"/>
      <c r="J467" s="425"/>
      <c r="K467" s="425"/>
      <c r="L467" s="375"/>
      <c r="M467" s="375"/>
      <c r="N467" s="375"/>
      <c r="O467" s="375"/>
      <c r="P467" s="375"/>
      <c r="Q467" s="375"/>
      <c r="R467" s="375"/>
      <c r="S467" s="375"/>
      <c r="T467" s="375"/>
      <c r="U467" s="375"/>
      <c r="V467" s="375"/>
      <c r="W467" s="375"/>
      <c r="X467" s="375"/>
      <c r="Y467" s="375"/>
      <c r="Z467" s="375"/>
      <c r="AA467" s="375"/>
    </row>
    <row r="468" spans="1:27" ht="14.4">
      <c r="A468" s="425"/>
      <c r="B468" s="425"/>
      <c r="C468" s="425"/>
      <c r="D468" s="391"/>
      <c r="E468" s="425"/>
      <c r="F468" s="425"/>
      <c r="G468" s="425"/>
      <c r="H468" s="425"/>
      <c r="I468" s="425"/>
      <c r="J468" s="425"/>
      <c r="K468" s="425"/>
      <c r="L468" s="375"/>
      <c r="M468" s="375"/>
      <c r="N468" s="375"/>
      <c r="O468" s="375"/>
      <c r="P468" s="375"/>
      <c r="Q468" s="375"/>
      <c r="R468" s="375"/>
      <c r="S468" s="375"/>
      <c r="T468" s="375"/>
      <c r="U468" s="375"/>
      <c r="V468" s="375"/>
      <c r="W468" s="375"/>
      <c r="X468" s="375"/>
      <c r="Y468" s="375"/>
      <c r="Z468" s="375"/>
      <c r="AA468" s="375"/>
    </row>
    <row r="469" spans="1:27" ht="14.4">
      <c r="A469" s="425"/>
      <c r="B469" s="425"/>
      <c r="C469" s="425"/>
      <c r="D469" s="391"/>
      <c r="E469" s="425"/>
      <c r="F469" s="425"/>
      <c r="G469" s="425"/>
      <c r="H469" s="425"/>
      <c r="I469" s="425"/>
      <c r="J469" s="425"/>
      <c r="K469" s="425"/>
      <c r="L469" s="375"/>
      <c r="M469" s="375"/>
      <c r="N469" s="375"/>
      <c r="O469" s="375"/>
      <c r="P469" s="375"/>
      <c r="Q469" s="375"/>
      <c r="R469" s="375"/>
      <c r="S469" s="375"/>
      <c r="T469" s="375"/>
      <c r="U469" s="375"/>
      <c r="V469" s="375"/>
      <c r="W469" s="375"/>
      <c r="X469" s="375"/>
      <c r="Y469" s="375"/>
      <c r="Z469" s="375"/>
      <c r="AA469" s="375"/>
    </row>
    <row r="470" spans="1:27" ht="14.4">
      <c r="A470" s="425"/>
      <c r="B470" s="425"/>
      <c r="C470" s="425"/>
      <c r="D470" s="391"/>
      <c r="E470" s="425"/>
      <c r="F470" s="425"/>
      <c r="G470" s="425"/>
      <c r="H470" s="425"/>
      <c r="I470" s="425"/>
      <c r="J470" s="425"/>
      <c r="K470" s="425"/>
      <c r="L470" s="375"/>
      <c r="M470" s="375"/>
      <c r="N470" s="375"/>
      <c r="O470" s="375"/>
      <c r="P470" s="375"/>
      <c r="Q470" s="375"/>
      <c r="R470" s="375"/>
      <c r="S470" s="375"/>
      <c r="T470" s="375"/>
      <c r="U470" s="375"/>
      <c r="V470" s="375"/>
      <c r="W470" s="375"/>
      <c r="X470" s="375"/>
      <c r="Y470" s="375"/>
      <c r="Z470" s="375"/>
      <c r="AA470" s="375"/>
    </row>
    <row r="471" spans="1:27" ht="14.4">
      <c r="A471" s="425"/>
      <c r="B471" s="425"/>
      <c r="C471" s="425"/>
      <c r="D471" s="391"/>
      <c r="E471" s="425"/>
      <c r="F471" s="425"/>
      <c r="G471" s="425"/>
      <c r="H471" s="425"/>
      <c r="I471" s="425"/>
      <c r="J471" s="425"/>
      <c r="K471" s="425"/>
      <c r="L471" s="375"/>
      <c r="M471" s="375"/>
      <c r="N471" s="375"/>
      <c r="O471" s="375"/>
      <c r="P471" s="375"/>
      <c r="Q471" s="375"/>
      <c r="R471" s="375"/>
      <c r="S471" s="375"/>
      <c r="T471" s="375"/>
      <c r="U471" s="375"/>
      <c r="V471" s="375"/>
      <c r="W471" s="375"/>
      <c r="X471" s="375"/>
      <c r="Y471" s="375"/>
      <c r="Z471" s="375"/>
      <c r="AA471" s="375"/>
    </row>
    <row r="472" spans="1:27" ht="14.4">
      <c r="A472" s="425"/>
      <c r="B472" s="425"/>
      <c r="C472" s="425"/>
      <c r="D472" s="391"/>
      <c r="E472" s="425"/>
      <c r="F472" s="425"/>
      <c r="G472" s="425"/>
      <c r="H472" s="425"/>
      <c r="I472" s="425"/>
      <c r="J472" s="425"/>
      <c r="K472" s="425"/>
      <c r="L472" s="375"/>
      <c r="M472" s="375"/>
      <c r="N472" s="375"/>
      <c r="O472" s="375"/>
      <c r="P472" s="375"/>
      <c r="Q472" s="375"/>
      <c r="R472" s="375"/>
      <c r="S472" s="375"/>
      <c r="T472" s="375"/>
      <c r="U472" s="375"/>
      <c r="V472" s="375"/>
      <c r="W472" s="375"/>
      <c r="X472" s="375"/>
      <c r="Y472" s="375"/>
      <c r="Z472" s="375"/>
      <c r="AA472" s="375"/>
    </row>
    <row r="473" spans="1:27" ht="14.4">
      <c r="A473" s="425"/>
      <c r="B473" s="425"/>
      <c r="C473" s="425"/>
      <c r="D473" s="391"/>
      <c r="E473" s="425"/>
      <c r="F473" s="425"/>
      <c r="G473" s="425"/>
      <c r="H473" s="425"/>
      <c r="I473" s="425"/>
      <c r="J473" s="425"/>
      <c r="K473" s="425"/>
      <c r="L473" s="375"/>
      <c r="M473" s="375"/>
      <c r="N473" s="375"/>
      <c r="O473" s="375"/>
      <c r="P473" s="375"/>
      <c r="Q473" s="375"/>
      <c r="R473" s="375"/>
      <c r="S473" s="375"/>
      <c r="T473" s="375"/>
      <c r="U473" s="375"/>
      <c r="V473" s="375"/>
      <c r="W473" s="375"/>
      <c r="X473" s="375"/>
      <c r="Y473" s="375"/>
      <c r="Z473" s="375"/>
      <c r="AA473" s="375"/>
    </row>
    <row r="474" spans="1:27" ht="14.4">
      <c r="A474" s="425"/>
      <c r="B474" s="425"/>
      <c r="C474" s="425"/>
      <c r="D474" s="391"/>
      <c r="E474" s="425"/>
      <c r="F474" s="425"/>
      <c r="G474" s="425"/>
      <c r="H474" s="425"/>
      <c r="I474" s="425"/>
      <c r="J474" s="425"/>
      <c r="K474" s="425"/>
      <c r="L474" s="375"/>
      <c r="M474" s="375"/>
      <c r="N474" s="375"/>
      <c r="O474" s="375"/>
      <c r="P474" s="375"/>
      <c r="Q474" s="375"/>
      <c r="R474" s="375"/>
      <c r="S474" s="375"/>
      <c r="T474" s="375"/>
      <c r="U474" s="375"/>
      <c r="V474" s="375"/>
      <c r="W474" s="375"/>
      <c r="X474" s="375"/>
      <c r="Y474" s="375"/>
      <c r="Z474" s="375"/>
      <c r="AA474" s="375"/>
    </row>
    <row r="475" spans="1:27" ht="14.4">
      <c r="A475" s="425"/>
      <c r="B475" s="425"/>
      <c r="C475" s="425"/>
      <c r="D475" s="391"/>
      <c r="E475" s="425"/>
      <c r="F475" s="425"/>
      <c r="G475" s="425"/>
      <c r="H475" s="425"/>
      <c r="I475" s="425"/>
      <c r="J475" s="425"/>
      <c r="K475" s="425"/>
      <c r="L475" s="375"/>
      <c r="M475" s="375"/>
      <c r="N475" s="375"/>
      <c r="O475" s="375"/>
      <c r="P475" s="375"/>
      <c r="Q475" s="375"/>
      <c r="R475" s="375"/>
      <c r="S475" s="375"/>
      <c r="T475" s="375"/>
      <c r="U475" s="375"/>
      <c r="V475" s="375"/>
      <c r="W475" s="375"/>
      <c r="X475" s="375"/>
      <c r="Y475" s="375"/>
      <c r="Z475" s="375"/>
      <c r="AA475" s="375"/>
    </row>
    <row r="476" spans="1:27" ht="14.4">
      <c r="A476" s="425"/>
      <c r="B476" s="425"/>
      <c r="C476" s="425"/>
      <c r="D476" s="391"/>
      <c r="E476" s="425"/>
      <c r="F476" s="425"/>
      <c r="G476" s="425"/>
      <c r="H476" s="425"/>
      <c r="I476" s="425"/>
      <c r="J476" s="425"/>
      <c r="K476" s="425"/>
      <c r="L476" s="375"/>
      <c r="M476" s="375"/>
      <c r="N476" s="375"/>
      <c r="O476" s="375"/>
      <c r="P476" s="375"/>
      <c r="Q476" s="375"/>
      <c r="R476" s="375"/>
      <c r="S476" s="375"/>
      <c r="T476" s="375"/>
      <c r="U476" s="375"/>
      <c r="V476" s="375"/>
      <c r="W476" s="375"/>
      <c r="X476" s="375"/>
      <c r="Y476" s="375"/>
      <c r="Z476" s="375"/>
      <c r="AA476" s="375"/>
    </row>
    <row r="477" spans="1:27" ht="14.4">
      <c r="A477" s="425"/>
      <c r="B477" s="425"/>
      <c r="C477" s="425"/>
      <c r="D477" s="391"/>
      <c r="E477" s="425"/>
      <c r="F477" s="425"/>
      <c r="G477" s="425"/>
      <c r="H477" s="425"/>
      <c r="I477" s="425"/>
      <c r="J477" s="425"/>
      <c r="K477" s="425"/>
      <c r="L477" s="375"/>
      <c r="M477" s="375"/>
      <c r="N477" s="375"/>
      <c r="O477" s="375"/>
      <c r="P477" s="375"/>
      <c r="Q477" s="375"/>
      <c r="R477" s="375"/>
      <c r="S477" s="375"/>
      <c r="T477" s="375"/>
      <c r="U477" s="375"/>
      <c r="V477" s="375"/>
      <c r="W477" s="375"/>
      <c r="X477" s="375"/>
      <c r="Y477" s="375"/>
      <c r="Z477" s="375"/>
      <c r="AA477" s="375"/>
    </row>
    <row r="478" spans="1:27" ht="14.4">
      <c r="A478" s="425"/>
      <c r="B478" s="425"/>
      <c r="C478" s="425"/>
      <c r="D478" s="391"/>
      <c r="E478" s="425"/>
      <c r="F478" s="425"/>
      <c r="G478" s="425"/>
      <c r="H478" s="425"/>
      <c r="I478" s="425"/>
      <c r="J478" s="425"/>
      <c r="K478" s="425"/>
      <c r="L478" s="375"/>
      <c r="M478" s="375"/>
      <c r="N478" s="375"/>
      <c r="O478" s="375"/>
      <c r="P478" s="375"/>
      <c r="Q478" s="375"/>
      <c r="R478" s="375"/>
      <c r="S478" s="375"/>
      <c r="T478" s="375"/>
      <c r="U478" s="375"/>
      <c r="V478" s="375"/>
      <c r="W478" s="375"/>
      <c r="X478" s="375"/>
      <c r="Y478" s="375"/>
      <c r="Z478" s="375"/>
      <c r="AA478" s="375"/>
    </row>
    <row r="479" spans="1:27" ht="14.4">
      <c r="A479" s="425"/>
      <c r="B479" s="425"/>
      <c r="C479" s="425"/>
      <c r="D479" s="391"/>
      <c r="E479" s="425"/>
      <c r="F479" s="425"/>
      <c r="G479" s="425"/>
      <c r="H479" s="425"/>
      <c r="I479" s="425"/>
      <c r="J479" s="425"/>
      <c r="K479" s="425"/>
      <c r="L479" s="375"/>
      <c r="M479" s="375"/>
      <c r="N479" s="375"/>
      <c r="O479" s="375"/>
      <c r="P479" s="375"/>
      <c r="Q479" s="375"/>
      <c r="R479" s="375"/>
      <c r="S479" s="375"/>
      <c r="T479" s="375"/>
      <c r="U479" s="375"/>
      <c r="V479" s="375"/>
      <c r="W479" s="375"/>
      <c r="X479" s="375"/>
      <c r="Y479" s="375"/>
      <c r="Z479" s="375"/>
      <c r="AA479" s="375"/>
    </row>
    <row r="480" spans="1:27" ht="14.4">
      <c r="A480" s="425"/>
      <c r="B480" s="425"/>
      <c r="C480" s="425"/>
      <c r="D480" s="391"/>
      <c r="E480" s="425"/>
      <c r="F480" s="425"/>
      <c r="G480" s="425"/>
      <c r="H480" s="425"/>
      <c r="I480" s="425"/>
      <c r="J480" s="425"/>
      <c r="K480" s="425"/>
      <c r="L480" s="375"/>
      <c r="M480" s="375"/>
      <c r="N480" s="375"/>
      <c r="O480" s="375"/>
      <c r="P480" s="375"/>
      <c r="Q480" s="375"/>
      <c r="R480" s="375"/>
      <c r="S480" s="375"/>
      <c r="T480" s="375"/>
      <c r="U480" s="375"/>
      <c r="V480" s="375"/>
      <c r="W480" s="375"/>
      <c r="X480" s="375"/>
      <c r="Y480" s="375"/>
      <c r="Z480" s="375"/>
      <c r="AA480" s="375"/>
    </row>
    <row r="481" spans="1:27" ht="14.4">
      <c r="A481" s="425"/>
      <c r="B481" s="425"/>
      <c r="C481" s="425"/>
      <c r="D481" s="391"/>
      <c r="E481" s="425"/>
      <c r="F481" s="425"/>
      <c r="G481" s="425"/>
      <c r="H481" s="425"/>
      <c r="I481" s="425"/>
      <c r="J481" s="425"/>
      <c r="K481" s="425"/>
      <c r="L481" s="375"/>
      <c r="M481" s="375"/>
      <c r="N481" s="375"/>
      <c r="O481" s="375"/>
      <c r="P481" s="375"/>
      <c r="Q481" s="375"/>
      <c r="R481" s="375"/>
      <c r="S481" s="375"/>
      <c r="T481" s="375"/>
      <c r="U481" s="375"/>
      <c r="V481" s="375"/>
      <c r="W481" s="375"/>
      <c r="X481" s="375"/>
      <c r="Y481" s="375"/>
      <c r="Z481" s="375"/>
      <c r="AA481" s="375"/>
    </row>
    <row r="482" spans="1:27" ht="14.4">
      <c r="A482" s="425"/>
      <c r="B482" s="425"/>
      <c r="C482" s="425"/>
      <c r="D482" s="391"/>
      <c r="E482" s="425"/>
      <c r="F482" s="425"/>
      <c r="G482" s="425"/>
      <c r="H482" s="425"/>
      <c r="I482" s="425"/>
      <c r="J482" s="425"/>
      <c r="K482" s="425"/>
      <c r="L482" s="375"/>
      <c r="M482" s="375"/>
      <c r="N482" s="375"/>
      <c r="O482" s="375"/>
      <c r="P482" s="375"/>
      <c r="Q482" s="375"/>
      <c r="R482" s="375"/>
      <c r="S482" s="375"/>
      <c r="T482" s="375"/>
      <c r="U482" s="375"/>
      <c r="V482" s="375"/>
      <c r="W482" s="375"/>
      <c r="X482" s="375"/>
      <c r="Y482" s="375"/>
      <c r="Z482" s="375"/>
      <c r="AA482" s="375"/>
    </row>
    <row r="483" spans="1:27" ht="14.4">
      <c r="A483" s="425"/>
      <c r="B483" s="425"/>
      <c r="C483" s="425"/>
      <c r="D483" s="391"/>
      <c r="E483" s="425"/>
      <c r="F483" s="425"/>
      <c r="G483" s="425"/>
      <c r="H483" s="425"/>
      <c r="I483" s="425"/>
      <c r="J483" s="425"/>
      <c r="K483" s="425"/>
      <c r="L483" s="375"/>
      <c r="M483" s="375"/>
      <c r="N483" s="375"/>
      <c r="O483" s="375"/>
      <c r="P483" s="375"/>
      <c r="Q483" s="375"/>
      <c r="R483" s="375"/>
      <c r="S483" s="375"/>
      <c r="T483" s="375"/>
      <c r="U483" s="375"/>
      <c r="V483" s="375"/>
      <c r="W483" s="375"/>
      <c r="X483" s="375"/>
      <c r="Y483" s="375"/>
      <c r="Z483" s="375"/>
      <c r="AA483" s="375"/>
    </row>
    <row r="484" spans="1:27" ht="14.4">
      <c r="A484" s="425"/>
      <c r="B484" s="425"/>
      <c r="C484" s="425"/>
      <c r="D484" s="391"/>
      <c r="E484" s="425"/>
      <c r="F484" s="425"/>
      <c r="G484" s="425"/>
      <c r="H484" s="425"/>
      <c r="I484" s="425"/>
      <c r="J484" s="425"/>
      <c r="K484" s="425"/>
      <c r="L484" s="375"/>
      <c r="M484" s="375"/>
      <c r="N484" s="375"/>
      <c r="O484" s="375"/>
      <c r="P484" s="375"/>
      <c r="Q484" s="375"/>
      <c r="R484" s="375"/>
      <c r="S484" s="375"/>
      <c r="T484" s="375"/>
      <c r="U484" s="375"/>
      <c r="V484" s="375"/>
      <c r="W484" s="375"/>
      <c r="X484" s="375"/>
      <c r="Y484" s="375"/>
      <c r="Z484" s="375"/>
      <c r="AA484" s="375"/>
    </row>
    <row r="485" spans="1:27" ht="14.4">
      <c r="A485" s="425"/>
      <c r="B485" s="425"/>
      <c r="C485" s="425"/>
      <c r="D485" s="391"/>
      <c r="E485" s="425"/>
      <c r="F485" s="425"/>
      <c r="G485" s="425"/>
      <c r="H485" s="425"/>
      <c r="I485" s="425"/>
      <c r="J485" s="425"/>
      <c r="K485" s="425"/>
      <c r="L485" s="375"/>
      <c r="M485" s="375"/>
      <c r="N485" s="375"/>
      <c r="O485" s="375"/>
      <c r="P485" s="375"/>
      <c r="Q485" s="375"/>
      <c r="R485" s="375"/>
      <c r="S485" s="375"/>
      <c r="T485" s="375"/>
      <c r="U485" s="375"/>
      <c r="V485" s="375"/>
      <c r="W485" s="375"/>
      <c r="X485" s="375"/>
      <c r="Y485" s="375"/>
      <c r="Z485" s="375"/>
      <c r="AA485" s="375"/>
    </row>
    <row r="486" spans="1:27" ht="14.4">
      <c r="A486" s="425"/>
      <c r="B486" s="425"/>
      <c r="C486" s="425"/>
      <c r="D486" s="391"/>
      <c r="E486" s="425"/>
      <c r="F486" s="425"/>
      <c r="G486" s="425"/>
      <c r="H486" s="425"/>
      <c r="I486" s="425"/>
      <c r="J486" s="425"/>
      <c r="K486" s="425"/>
      <c r="L486" s="375"/>
      <c r="M486" s="375"/>
      <c r="N486" s="375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  <c r="AA486" s="375"/>
    </row>
    <row r="487" spans="1:27" ht="14.4">
      <c r="A487" s="425"/>
      <c r="B487" s="425"/>
      <c r="C487" s="425"/>
      <c r="D487" s="391"/>
      <c r="E487" s="425"/>
      <c r="F487" s="425"/>
      <c r="G487" s="425"/>
      <c r="H487" s="425"/>
      <c r="I487" s="425"/>
      <c r="J487" s="425"/>
      <c r="K487" s="425"/>
      <c r="L487" s="375"/>
      <c r="M487" s="375"/>
      <c r="N487" s="375"/>
      <c r="O487" s="375"/>
      <c r="P487" s="375"/>
      <c r="Q487" s="375"/>
      <c r="R487" s="375"/>
      <c r="S487" s="375"/>
      <c r="T487" s="375"/>
      <c r="U487" s="375"/>
      <c r="V487" s="375"/>
      <c r="W487" s="375"/>
      <c r="X487" s="375"/>
      <c r="Y487" s="375"/>
      <c r="Z487" s="375"/>
      <c r="AA487" s="375"/>
    </row>
    <row r="488" spans="1:27" ht="14.4">
      <c r="A488" s="425"/>
      <c r="B488" s="425"/>
      <c r="C488" s="425"/>
      <c r="D488" s="391"/>
      <c r="E488" s="425"/>
      <c r="F488" s="425"/>
      <c r="G488" s="425"/>
      <c r="H488" s="425"/>
      <c r="I488" s="425"/>
      <c r="J488" s="425"/>
      <c r="K488" s="425"/>
      <c r="L488" s="375"/>
      <c r="M488" s="375"/>
      <c r="N488" s="375"/>
      <c r="O488" s="375"/>
      <c r="P488" s="375"/>
      <c r="Q488" s="375"/>
      <c r="R488" s="375"/>
      <c r="S488" s="375"/>
      <c r="T488" s="375"/>
      <c r="U488" s="375"/>
      <c r="V488" s="375"/>
      <c r="W488" s="375"/>
      <c r="X488" s="375"/>
      <c r="Y488" s="375"/>
      <c r="Z488" s="375"/>
      <c r="AA488" s="375"/>
    </row>
    <row r="489" spans="1:27" ht="14.4">
      <c r="A489" s="425"/>
      <c r="B489" s="425"/>
      <c r="C489" s="425"/>
      <c r="D489" s="391"/>
      <c r="E489" s="425"/>
      <c r="F489" s="425"/>
      <c r="G489" s="425"/>
      <c r="H489" s="425"/>
      <c r="I489" s="425"/>
      <c r="J489" s="425"/>
      <c r="K489" s="425"/>
      <c r="L489" s="375"/>
      <c r="M489" s="375"/>
      <c r="N489" s="375"/>
      <c r="O489" s="375"/>
      <c r="P489" s="375"/>
      <c r="Q489" s="375"/>
      <c r="R489" s="375"/>
      <c r="S489" s="375"/>
      <c r="T489" s="375"/>
      <c r="U489" s="375"/>
      <c r="V489" s="375"/>
      <c r="W489" s="375"/>
      <c r="X489" s="375"/>
      <c r="Y489" s="375"/>
      <c r="Z489" s="375"/>
      <c r="AA489" s="375"/>
    </row>
    <row r="490" spans="1:27" ht="14.4">
      <c r="A490" s="425"/>
      <c r="B490" s="425"/>
      <c r="C490" s="425"/>
      <c r="D490" s="391"/>
      <c r="E490" s="425"/>
      <c r="F490" s="425"/>
      <c r="G490" s="425"/>
      <c r="H490" s="425"/>
      <c r="I490" s="425"/>
      <c r="J490" s="425"/>
      <c r="K490" s="425"/>
      <c r="L490" s="375"/>
      <c r="M490" s="375"/>
      <c r="N490" s="375"/>
      <c r="O490" s="375"/>
      <c r="P490" s="375"/>
      <c r="Q490" s="375"/>
      <c r="R490" s="375"/>
      <c r="S490" s="375"/>
      <c r="T490" s="375"/>
      <c r="U490" s="375"/>
      <c r="V490" s="375"/>
      <c r="W490" s="375"/>
      <c r="X490" s="375"/>
      <c r="Y490" s="375"/>
      <c r="Z490" s="375"/>
      <c r="AA490" s="375"/>
    </row>
    <row r="491" spans="1:27" ht="14.4">
      <c r="A491" s="425"/>
      <c r="B491" s="425"/>
      <c r="C491" s="425"/>
      <c r="D491" s="391"/>
      <c r="E491" s="425"/>
      <c r="F491" s="425"/>
      <c r="G491" s="425"/>
      <c r="H491" s="425"/>
      <c r="I491" s="425"/>
      <c r="J491" s="425"/>
      <c r="K491" s="425"/>
      <c r="L491" s="375"/>
      <c r="M491" s="375"/>
      <c r="N491" s="375"/>
      <c r="O491" s="375"/>
      <c r="P491" s="375"/>
      <c r="Q491" s="375"/>
      <c r="R491" s="375"/>
      <c r="S491" s="375"/>
      <c r="T491" s="375"/>
      <c r="U491" s="375"/>
      <c r="V491" s="375"/>
      <c r="W491" s="375"/>
      <c r="X491" s="375"/>
      <c r="Y491" s="375"/>
      <c r="Z491" s="375"/>
      <c r="AA491" s="375"/>
    </row>
    <row r="492" spans="1:27" ht="14.4">
      <c r="A492" s="425"/>
      <c r="B492" s="425"/>
      <c r="C492" s="425"/>
      <c r="D492" s="391"/>
      <c r="E492" s="425"/>
      <c r="F492" s="425"/>
      <c r="G492" s="425"/>
      <c r="H492" s="425"/>
      <c r="I492" s="425"/>
      <c r="J492" s="425"/>
      <c r="K492" s="425"/>
      <c r="L492" s="375"/>
      <c r="M492" s="375"/>
      <c r="N492" s="375"/>
      <c r="O492" s="375"/>
      <c r="P492" s="375"/>
      <c r="Q492" s="375"/>
      <c r="R492" s="375"/>
      <c r="S492" s="375"/>
      <c r="T492" s="375"/>
      <c r="U492" s="375"/>
      <c r="V492" s="375"/>
      <c r="W492" s="375"/>
      <c r="X492" s="375"/>
      <c r="Y492" s="375"/>
      <c r="Z492" s="375"/>
      <c r="AA492" s="375"/>
    </row>
    <row r="493" spans="1:27" ht="14.4">
      <c r="A493" s="425"/>
      <c r="B493" s="425"/>
      <c r="C493" s="425"/>
      <c r="D493" s="391"/>
      <c r="E493" s="425"/>
      <c r="F493" s="425"/>
      <c r="G493" s="425"/>
      <c r="H493" s="425"/>
      <c r="I493" s="425"/>
      <c r="J493" s="425"/>
      <c r="K493" s="425"/>
      <c r="L493" s="375"/>
      <c r="M493" s="375"/>
      <c r="N493" s="375"/>
      <c r="O493" s="375"/>
      <c r="P493" s="375"/>
      <c r="Q493" s="375"/>
      <c r="R493" s="375"/>
      <c r="S493" s="375"/>
      <c r="T493" s="375"/>
      <c r="U493" s="375"/>
      <c r="V493" s="375"/>
      <c r="W493" s="375"/>
      <c r="X493" s="375"/>
      <c r="Y493" s="375"/>
      <c r="Z493" s="375"/>
      <c r="AA493" s="375"/>
    </row>
    <row r="494" spans="1:27" ht="14.4">
      <c r="A494" s="425"/>
      <c r="B494" s="425"/>
      <c r="C494" s="425"/>
      <c r="D494" s="391"/>
      <c r="E494" s="425"/>
      <c r="F494" s="425"/>
      <c r="G494" s="425"/>
      <c r="H494" s="425"/>
      <c r="I494" s="425"/>
      <c r="J494" s="425"/>
      <c r="K494" s="425"/>
      <c r="L494" s="375"/>
      <c r="M494" s="375"/>
      <c r="N494" s="375"/>
      <c r="O494" s="375"/>
      <c r="P494" s="375"/>
      <c r="Q494" s="375"/>
      <c r="R494" s="375"/>
      <c r="S494" s="375"/>
      <c r="T494" s="375"/>
      <c r="U494" s="375"/>
      <c r="V494" s="375"/>
      <c r="W494" s="375"/>
      <c r="X494" s="375"/>
      <c r="Y494" s="375"/>
      <c r="Z494" s="375"/>
      <c r="AA494" s="375"/>
    </row>
    <row r="495" spans="1:27" ht="14.4">
      <c r="A495" s="425"/>
      <c r="B495" s="425"/>
      <c r="C495" s="425"/>
      <c r="D495" s="391"/>
      <c r="E495" s="425"/>
      <c r="F495" s="425"/>
      <c r="G495" s="425"/>
      <c r="H495" s="425"/>
      <c r="I495" s="425"/>
      <c r="J495" s="425"/>
      <c r="K495" s="425"/>
      <c r="L495" s="375"/>
      <c r="M495" s="375"/>
      <c r="N495" s="375"/>
      <c r="O495" s="375"/>
      <c r="P495" s="375"/>
      <c r="Q495" s="375"/>
      <c r="R495" s="375"/>
      <c r="S495" s="375"/>
      <c r="T495" s="375"/>
      <c r="U495" s="375"/>
      <c r="V495" s="375"/>
      <c r="W495" s="375"/>
      <c r="X495" s="375"/>
      <c r="Y495" s="375"/>
      <c r="Z495" s="375"/>
      <c r="AA495" s="375"/>
    </row>
    <row r="496" spans="1:27" ht="14.4">
      <c r="A496" s="425"/>
      <c r="B496" s="425"/>
      <c r="C496" s="425"/>
      <c r="D496" s="391"/>
      <c r="E496" s="425"/>
      <c r="F496" s="425"/>
      <c r="G496" s="425"/>
      <c r="H496" s="425"/>
      <c r="I496" s="425"/>
      <c r="J496" s="425"/>
      <c r="K496" s="425"/>
      <c r="L496" s="375"/>
      <c r="M496" s="375"/>
      <c r="N496" s="375"/>
      <c r="O496" s="375"/>
      <c r="P496" s="375"/>
      <c r="Q496" s="375"/>
      <c r="R496" s="375"/>
      <c r="S496" s="375"/>
      <c r="T496" s="375"/>
      <c r="U496" s="375"/>
      <c r="V496" s="375"/>
      <c r="W496" s="375"/>
      <c r="X496" s="375"/>
      <c r="Y496" s="375"/>
      <c r="Z496" s="375"/>
      <c r="AA496" s="375"/>
    </row>
    <row r="497" spans="1:27" ht="14.4">
      <c r="A497" s="425"/>
      <c r="B497" s="425"/>
      <c r="C497" s="425"/>
      <c r="D497" s="391"/>
      <c r="E497" s="425"/>
      <c r="F497" s="425"/>
      <c r="G497" s="425"/>
      <c r="H497" s="425"/>
      <c r="I497" s="425"/>
      <c r="J497" s="425"/>
      <c r="K497" s="425"/>
      <c r="L497" s="375"/>
      <c r="M497" s="375"/>
      <c r="N497" s="375"/>
      <c r="O497" s="375"/>
      <c r="P497" s="375"/>
      <c r="Q497" s="375"/>
      <c r="R497" s="375"/>
      <c r="S497" s="375"/>
      <c r="T497" s="375"/>
      <c r="U497" s="375"/>
      <c r="V497" s="375"/>
      <c r="W497" s="375"/>
      <c r="X497" s="375"/>
      <c r="Y497" s="375"/>
      <c r="Z497" s="375"/>
      <c r="AA497" s="375"/>
    </row>
    <row r="498" spans="1:27" ht="14.4">
      <c r="A498" s="425"/>
      <c r="B498" s="425"/>
      <c r="C498" s="425"/>
      <c r="D498" s="391"/>
      <c r="E498" s="425"/>
      <c r="F498" s="425"/>
      <c r="G498" s="425"/>
      <c r="H498" s="425"/>
      <c r="I498" s="425"/>
      <c r="J498" s="425"/>
      <c r="K498" s="425"/>
      <c r="L498" s="375"/>
      <c r="M498" s="375"/>
      <c r="N498" s="375"/>
      <c r="O498" s="375"/>
      <c r="P498" s="375"/>
      <c r="Q498" s="375"/>
      <c r="R498" s="375"/>
      <c r="S498" s="375"/>
      <c r="T498" s="375"/>
      <c r="U498" s="375"/>
      <c r="V498" s="375"/>
      <c r="W498" s="375"/>
      <c r="X498" s="375"/>
      <c r="Y498" s="375"/>
      <c r="Z498" s="375"/>
      <c r="AA498" s="375"/>
    </row>
    <row r="499" spans="1:27" ht="14.4">
      <c r="A499" s="425"/>
      <c r="B499" s="425"/>
      <c r="C499" s="425"/>
      <c r="D499" s="391"/>
      <c r="E499" s="425"/>
      <c r="F499" s="425"/>
      <c r="G499" s="425"/>
      <c r="H499" s="425"/>
      <c r="I499" s="425"/>
      <c r="J499" s="425"/>
      <c r="K499" s="425"/>
      <c r="L499" s="375"/>
      <c r="M499" s="375"/>
      <c r="N499" s="375"/>
      <c r="O499" s="375"/>
      <c r="P499" s="375"/>
      <c r="Q499" s="375"/>
      <c r="R499" s="375"/>
      <c r="S499" s="375"/>
      <c r="T499" s="375"/>
      <c r="U499" s="375"/>
      <c r="V499" s="375"/>
      <c r="W499" s="375"/>
      <c r="X499" s="375"/>
      <c r="Y499" s="375"/>
      <c r="Z499" s="375"/>
      <c r="AA499" s="375"/>
    </row>
    <row r="500" spans="1:27" ht="14.4">
      <c r="A500" s="425"/>
      <c r="B500" s="425"/>
      <c r="C500" s="425"/>
      <c r="D500" s="391"/>
      <c r="E500" s="425"/>
      <c r="F500" s="425"/>
      <c r="G500" s="425"/>
      <c r="H500" s="425"/>
      <c r="I500" s="425"/>
      <c r="J500" s="425"/>
      <c r="K500" s="425"/>
      <c r="L500" s="375"/>
      <c r="M500" s="375"/>
      <c r="N500" s="375"/>
      <c r="O500" s="375"/>
      <c r="P500" s="375"/>
      <c r="Q500" s="375"/>
      <c r="R500" s="375"/>
      <c r="S500" s="375"/>
      <c r="T500" s="375"/>
      <c r="U500" s="375"/>
      <c r="V500" s="375"/>
      <c r="W500" s="375"/>
      <c r="X500" s="375"/>
      <c r="Y500" s="375"/>
      <c r="Z500" s="375"/>
      <c r="AA500" s="375"/>
    </row>
    <row r="501" spans="1:27" ht="14.4">
      <c r="A501" s="425"/>
      <c r="B501" s="425"/>
      <c r="C501" s="425"/>
      <c r="D501" s="391"/>
      <c r="E501" s="425"/>
      <c r="F501" s="425"/>
      <c r="G501" s="425"/>
      <c r="H501" s="425"/>
      <c r="I501" s="425"/>
      <c r="J501" s="425"/>
      <c r="K501" s="425"/>
      <c r="L501" s="375"/>
      <c r="M501" s="375"/>
      <c r="N501" s="375"/>
      <c r="O501" s="375"/>
      <c r="P501" s="375"/>
      <c r="Q501" s="375"/>
      <c r="R501" s="375"/>
      <c r="S501" s="375"/>
      <c r="T501" s="375"/>
      <c r="U501" s="375"/>
      <c r="V501" s="375"/>
      <c r="W501" s="375"/>
      <c r="X501" s="375"/>
      <c r="Y501" s="375"/>
      <c r="Z501" s="375"/>
      <c r="AA501" s="375"/>
    </row>
    <row r="502" spans="1:27" ht="14.4">
      <c r="A502" s="425"/>
      <c r="B502" s="425"/>
      <c r="C502" s="425"/>
      <c r="D502" s="391"/>
      <c r="E502" s="425"/>
      <c r="F502" s="425"/>
      <c r="G502" s="425"/>
      <c r="H502" s="425"/>
      <c r="I502" s="425"/>
      <c r="J502" s="425"/>
      <c r="K502" s="425"/>
      <c r="L502" s="375"/>
      <c r="M502" s="375"/>
      <c r="N502" s="375"/>
      <c r="O502" s="375"/>
      <c r="P502" s="375"/>
      <c r="Q502" s="375"/>
      <c r="R502" s="375"/>
      <c r="S502" s="375"/>
      <c r="T502" s="375"/>
      <c r="U502" s="375"/>
      <c r="V502" s="375"/>
      <c r="W502" s="375"/>
      <c r="X502" s="375"/>
      <c r="Y502" s="375"/>
      <c r="Z502" s="375"/>
      <c r="AA502" s="375"/>
    </row>
    <row r="503" spans="1:27" ht="14.4">
      <c r="A503" s="425"/>
      <c r="B503" s="425"/>
      <c r="C503" s="425"/>
      <c r="D503" s="391"/>
      <c r="E503" s="425"/>
      <c r="F503" s="425"/>
      <c r="G503" s="425"/>
      <c r="H503" s="425"/>
      <c r="I503" s="425"/>
      <c r="J503" s="425"/>
      <c r="K503" s="425"/>
      <c r="L503" s="375"/>
      <c r="M503" s="375"/>
      <c r="N503" s="375"/>
      <c r="O503" s="375"/>
      <c r="P503" s="375"/>
      <c r="Q503" s="375"/>
      <c r="R503" s="375"/>
      <c r="S503" s="375"/>
      <c r="T503" s="375"/>
      <c r="U503" s="375"/>
      <c r="V503" s="375"/>
      <c r="W503" s="375"/>
      <c r="X503" s="375"/>
      <c r="Y503" s="375"/>
      <c r="Z503" s="375"/>
      <c r="AA503" s="375"/>
    </row>
    <row r="504" spans="1:27" ht="14.4">
      <c r="A504" s="425"/>
      <c r="B504" s="425"/>
      <c r="C504" s="425"/>
      <c r="D504" s="391"/>
      <c r="E504" s="425"/>
      <c r="F504" s="425"/>
      <c r="G504" s="425"/>
      <c r="H504" s="425"/>
      <c r="I504" s="425"/>
      <c r="J504" s="425"/>
      <c r="K504" s="425"/>
      <c r="L504" s="375"/>
      <c r="M504" s="375"/>
      <c r="N504" s="375"/>
      <c r="O504" s="375"/>
      <c r="P504" s="375"/>
      <c r="Q504" s="375"/>
      <c r="R504" s="375"/>
      <c r="S504" s="375"/>
      <c r="T504" s="375"/>
      <c r="U504" s="375"/>
      <c r="V504" s="375"/>
      <c r="W504" s="375"/>
      <c r="X504" s="375"/>
      <c r="Y504" s="375"/>
      <c r="Z504" s="375"/>
      <c r="AA504" s="375"/>
    </row>
    <row r="505" spans="1:27" ht="14.4">
      <c r="A505" s="425"/>
      <c r="B505" s="425"/>
      <c r="C505" s="425"/>
      <c r="D505" s="391"/>
      <c r="E505" s="425"/>
      <c r="F505" s="425"/>
      <c r="G505" s="425"/>
      <c r="H505" s="425"/>
      <c r="I505" s="425"/>
      <c r="J505" s="425"/>
      <c r="K505" s="425"/>
      <c r="L505" s="375"/>
      <c r="M505" s="375"/>
      <c r="N505" s="375"/>
      <c r="O505" s="375"/>
      <c r="P505" s="375"/>
      <c r="Q505" s="375"/>
      <c r="R505" s="375"/>
      <c r="S505" s="375"/>
      <c r="T505" s="375"/>
      <c r="U505" s="375"/>
      <c r="V505" s="375"/>
      <c r="W505" s="375"/>
      <c r="X505" s="375"/>
      <c r="Y505" s="375"/>
      <c r="Z505" s="375"/>
      <c r="AA505" s="375"/>
    </row>
    <row r="506" spans="1:27" ht="14.4">
      <c r="A506" s="425"/>
      <c r="B506" s="425"/>
      <c r="C506" s="425"/>
      <c r="D506" s="391"/>
      <c r="E506" s="425"/>
      <c r="F506" s="425"/>
      <c r="G506" s="425"/>
      <c r="H506" s="425"/>
      <c r="I506" s="425"/>
      <c r="J506" s="425"/>
      <c r="K506" s="425"/>
      <c r="L506" s="375"/>
      <c r="M506" s="375"/>
      <c r="N506" s="375"/>
      <c r="O506" s="375"/>
      <c r="P506" s="375"/>
      <c r="Q506" s="375"/>
      <c r="R506" s="375"/>
      <c r="S506" s="375"/>
      <c r="T506" s="375"/>
      <c r="U506" s="375"/>
      <c r="V506" s="375"/>
      <c r="W506" s="375"/>
      <c r="X506" s="375"/>
      <c r="Y506" s="375"/>
      <c r="Z506" s="375"/>
      <c r="AA506" s="375"/>
    </row>
    <row r="507" spans="1:27" ht="14.4">
      <c r="A507" s="425"/>
      <c r="B507" s="425"/>
      <c r="C507" s="425"/>
      <c r="D507" s="391"/>
      <c r="E507" s="425"/>
      <c r="F507" s="425"/>
      <c r="G507" s="425"/>
      <c r="H507" s="425"/>
      <c r="I507" s="425"/>
      <c r="J507" s="425"/>
      <c r="K507" s="425"/>
      <c r="L507" s="375"/>
      <c r="M507" s="375"/>
      <c r="N507" s="375"/>
      <c r="O507" s="375"/>
      <c r="P507" s="375"/>
      <c r="Q507" s="375"/>
      <c r="R507" s="375"/>
      <c r="S507" s="375"/>
      <c r="T507" s="375"/>
      <c r="U507" s="375"/>
      <c r="V507" s="375"/>
      <c r="W507" s="375"/>
      <c r="X507" s="375"/>
      <c r="Y507" s="375"/>
      <c r="Z507" s="375"/>
      <c r="AA507" s="375"/>
    </row>
    <row r="508" spans="1:27" ht="14.4">
      <c r="A508" s="425"/>
      <c r="B508" s="425"/>
      <c r="C508" s="425"/>
      <c r="D508" s="391"/>
      <c r="E508" s="425"/>
      <c r="F508" s="425"/>
      <c r="G508" s="425"/>
      <c r="H508" s="425"/>
      <c r="I508" s="425"/>
      <c r="J508" s="425"/>
      <c r="K508" s="425"/>
      <c r="L508" s="375"/>
      <c r="M508" s="375"/>
      <c r="N508" s="375"/>
      <c r="O508" s="375"/>
      <c r="P508" s="375"/>
      <c r="Q508" s="375"/>
      <c r="R508" s="375"/>
      <c r="S508" s="375"/>
      <c r="T508" s="375"/>
      <c r="U508" s="375"/>
      <c r="V508" s="375"/>
      <c r="W508" s="375"/>
      <c r="X508" s="375"/>
      <c r="Y508" s="375"/>
      <c r="Z508" s="375"/>
      <c r="AA508" s="375"/>
    </row>
    <row r="509" spans="1:27" ht="14.4">
      <c r="A509" s="425"/>
      <c r="B509" s="425"/>
      <c r="C509" s="425"/>
      <c r="D509" s="391"/>
      <c r="E509" s="425"/>
      <c r="F509" s="425"/>
      <c r="G509" s="425"/>
      <c r="H509" s="425"/>
      <c r="I509" s="425"/>
      <c r="J509" s="425"/>
      <c r="K509" s="425"/>
      <c r="L509" s="375"/>
      <c r="M509" s="375"/>
      <c r="N509" s="375"/>
      <c r="O509" s="375"/>
      <c r="P509" s="375"/>
      <c r="Q509" s="375"/>
      <c r="R509" s="375"/>
      <c r="S509" s="375"/>
      <c r="T509" s="375"/>
      <c r="U509" s="375"/>
      <c r="V509" s="375"/>
      <c r="W509" s="375"/>
      <c r="X509" s="375"/>
      <c r="Y509" s="375"/>
      <c r="Z509" s="375"/>
      <c r="AA509" s="375"/>
    </row>
    <row r="510" spans="1:27" ht="14.4">
      <c r="A510" s="425"/>
      <c r="B510" s="425"/>
      <c r="C510" s="425"/>
      <c r="D510" s="391"/>
      <c r="E510" s="425"/>
      <c r="F510" s="425"/>
      <c r="G510" s="425"/>
      <c r="H510" s="425"/>
      <c r="I510" s="425"/>
      <c r="J510" s="425"/>
      <c r="K510" s="425"/>
      <c r="L510" s="375"/>
      <c r="M510" s="375"/>
      <c r="N510" s="375"/>
      <c r="O510" s="375"/>
      <c r="P510" s="375"/>
      <c r="Q510" s="375"/>
      <c r="R510" s="375"/>
      <c r="S510" s="375"/>
      <c r="T510" s="375"/>
      <c r="U510" s="375"/>
      <c r="V510" s="375"/>
      <c r="W510" s="375"/>
      <c r="X510" s="375"/>
      <c r="Y510" s="375"/>
      <c r="Z510" s="375"/>
      <c r="AA510" s="375"/>
    </row>
    <row r="511" spans="1:27" ht="14.4">
      <c r="A511" s="425"/>
      <c r="B511" s="425"/>
      <c r="C511" s="425"/>
      <c r="D511" s="391"/>
      <c r="E511" s="425"/>
      <c r="F511" s="425"/>
      <c r="G511" s="425"/>
      <c r="H511" s="425"/>
      <c r="I511" s="425"/>
      <c r="J511" s="425"/>
      <c r="K511" s="425"/>
      <c r="L511" s="375"/>
      <c r="M511" s="375"/>
      <c r="N511" s="375"/>
      <c r="O511" s="375"/>
      <c r="P511" s="375"/>
      <c r="Q511" s="375"/>
      <c r="R511" s="375"/>
      <c r="S511" s="375"/>
      <c r="T511" s="375"/>
      <c r="U511" s="375"/>
      <c r="V511" s="375"/>
      <c r="W511" s="375"/>
      <c r="X511" s="375"/>
      <c r="Y511" s="375"/>
      <c r="Z511" s="375"/>
      <c r="AA511" s="375"/>
    </row>
    <row r="512" spans="1:27" ht="14.4">
      <c r="A512" s="425"/>
      <c r="B512" s="425"/>
      <c r="C512" s="425"/>
      <c r="D512" s="391"/>
      <c r="E512" s="425"/>
      <c r="F512" s="425"/>
      <c r="G512" s="425"/>
      <c r="H512" s="425"/>
      <c r="I512" s="425"/>
      <c r="J512" s="425"/>
      <c r="K512" s="425"/>
      <c r="L512" s="375"/>
      <c r="M512" s="375"/>
      <c r="N512" s="375"/>
      <c r="O512" s="375"/>
      <c r="P512" s="375"/>
      <c r="Q512" s="375"/>
      <c r="R512" s="375"/>
      <c r="S512" s="375"/>
      <c r="T512" s="375"/>
      <c r="U512" s="375"/>
      <c r="V512" s="375"/>
      <c r="W512" s="375"/>
      <c r="X512" s="375"/>
      <c r="Y512" s="375"/>
      <c r="Z512" s="375"/>
      <c r="AA512" s="375"/>
    </row>
    <row r="513" spans="1:27" ht="14.4">
      <c r="A513" s="425"/>
      <c r="B513" s="425"/>
      <c r="C513" s="425"/>
      <c r="D513" s="391"/>
      <c r="E513" s="425"/>
      <c r="F513" s="425"/>
      <c r="G513" s="425"/>
      <c r="H513" s="425"/>
      <c r="I513" s="425"/>
      <c r="J513" s="425"/>
      <c r="K513" s="425"/>
      <c r="L513" s="375"/>
      <c r="M513" s="375"/>
      <c r="N513" s="375"/>
      <c r="O513" s="375"/>
      <c r="P513" s="375"/>
      <c r="Q513" s="375"/>
      <c r="R513" s="375"/>
      <c r="S513" s="375"/>
      <c r="T513" s="375"/>
      <c r="U513" s="375"/>
      <c r="V513" s="375"/>
      <c r="W513" s="375"/>
      <c r="X513" s="375"/>
      <c r="Y513" s="375"/>
      <c r="Z513" s="375"/>
      <c r="AA513" s="375"/>
    </row>
    <row r="514" spans="1:27" ht="14.4">
      <c r="A514" s="425"/>
      <c r="B514" s="425"/>
      <c r="C514" s="425"/>
      <c r="D514" s="391"/>
      <c r="E514" s="425"/>
      <c r="F514" s="425"/>
      <c r="G514" s="425"/>
      <c r="H514" s="425"/>
      <c r="I514" s="425"/>
      <c r="J514" s="425"/>
      <c r="K514" s="425"/>
      <c r="L514" s="375"/>
      <c r="M514" s="375"/>
      <c r="N514" s="375"/>
      <c r="O514" s="375"/>
      <c r="P514" s="375"/>
      <c r="Q514" s="375"/>
      <c r="R514" s="375"/>
      <c r="S514" s="375"/>
      <c r="T514" s="375"/>
      <c r="U514" s="375"/>
      <c r="V514" s="375"/>
      <c r="W514" s="375"/>
      <c r="X514" s="375"/>
      <c r="Y514" s="375"/>
      <c r="Z514" s="375"/>
      <c r="AA514" s="375"/>
    </row>
    <row r="515" spans="1:27" ht="14.4">
      <c r="A515" s="425"/>
      <c r="B515" s="425"/>
      <c r="C515" s="425"/>
      <c r="D515" s="391"/>
      <c r="E515" s="425"/>
      <c r="F515" s="425"/>
      <c r="G515" s="425"/>
      <c r="H515" s="425"/>
      <c r="I515" s="425"/>
      <c r="J515" s="425"/>
      <c r="K515" s="425"/>
      <c r="L515" s="375"/>
      <c r="M515" s="375"/>
      <c r="N515" s="375"/>
      <c r="O515" s="375"/>
      <c r="P515" s="375"/>
      <c r="Q515" s="375"/>
      <c r="R515" s="375"/>
      <c r="S515" s="375"/>
      <c r="T515" s="375"/>
      <c r="U515" s="375"/>
      <c r="V515" s="375"/>
      <c r="W515" s="375"/>
      <c r="X515" s="375"/>
      <c r="Y515" s="375"/>
      <c r="Z515" s="375"/>
      <c r="AA515" s="375"/>
    </row>
    <row r="516" spans="1:27" ht="14.4">
      <c r="A516" s="425"/>
      <c r="B516" s="425"/>
      <c r="C516" s="425"/>
      <c r="D516" s="391"/>
      <c r="E516" s="425"/>
      <c r="F516" s="425"/>
      <c r="G516" s="425"/>
      <c r="H516" s="425"/>
      <c r="I516" s="425"/>
      <c r="J516" s="425"/>
      <c r="K516" s="425"/>
      <c r="L516" s="375"/>
      <c r="M516" s="375"/>
      <c r="N516" s="375"/>
      <c r="O516" s="375"/>
      <c r="P516" s="375"/>
      <c r="Q516" s="375"/>
      <c r="R516" s="375"/>
      <c r="S516" s="375"/>
      <c r="T516" s="375"/>
      <c r="U516" s="375"/>
      <c r="V516" s="375"/>
      <c r="W516" s="375"/>
      <c r="X516" s="375"/>
      <c r="Y516" s="375"/>
      <c r="Z516" s="375"/>
      <c r="AA516" s="375"/>
    </row>
    <row r="517" spans="1:27" ht="14.4">
      <c r="A517" s="425"/>
      <c r="B517" s="425"/>
      <c r="C517" s="425"/>
      <c r="D517" s="391"/>
      <c r="E517" s="425"/>
      <c r="F517" s="425"/>
      <c r="G517" s="425"/>
      <c r="H517" s="425"/>
      <c r="I517" s="425"/>
      <c r="J517" s="425"/>
      <c r="K517" s="425"/>
      <c r="L517" s="375"/>
      <c r="M517" s="375"/>
      <c r="N517" s="375"/>
      <c r="O517" s="375"/>
      <c r="P517" s="375"/>
      <c r="Q517" s="375"/>
      <c r="R517" s="375"/>
      <c r="S517" s="375"/>
      <c r="T517" s="375"/>
      <c r="U517" s="375"/>
      <c r="V517" s="375"/>
      <c r="W517" s="375"/>
      <c r="X517" s="375"/>
      <c r="Y517" s="375"/>
      <c r="Z517" s="375"/>
      <c r="AA517" s="375"/>
    </row>
    <row r="518" spans="1:27" ht="14.4">
      <c r="A518" s="425"/>
      <c r="B518" s="425"/>
      <c r="C518" s="425"/>
      <c r="D518" s="391"/>
      <c r="E518" s="425"/>
      <c r="F518" s="425"/>
      <c r="G518" s="425"/>
      <c r="H518" s="425"/>
      <c r="I518" s="425"/>
      <c r="J518" s="425"/>
      <c r="K518" s="425"/>
      <c r="L518" s="375"/>
      <c r="M518" s="375"/>
      <c r="N518" s="375"/>
      <c r="O518" s="375"/>
      <c r="P518" s="375"/>
      <c r="Q518" s="375"/>
      <c r="R518" s="375"/>
      <c r="S518" s="375"/>
      <c r="T518" s="375"/>
      <c r="U518" s="375"/>
      <c r="V518" s="375"/>
      <c r="W518" s="375"/>
      <c r="X518" s="375"/>
      <c r="Y518" s="375"/>
      <c r="Z518" s="375"/>
      <c r="AA518" s="375"/>
    </row>
    <row r="519" spans="1:27" ht="14.4">
      <c r="A519" s="425"/>
      <c r="B519" s="425"/>
      <c r="C519" s="425"/>
      <c r="D519" s="391"/>
      <c r="E519" s="425"/>
      <c r="F519" s="425"/>
      <c r="G519" s="425"/>
      <c r="H519" s="425"/>
      <c r="I519" s="425"/>
      <c r="J519" s="425"/>
      <c r="K519" s="425"/>
      <c r="L519" s="375"/>
      <c r="M519" s="375"/>
      <c r="N519" s="375"/>
      <c r="O519" s="375"/>
      <c r="P519" s="375"/>
      <c r="Q519" s="375"/>
      <c r="R519" s="375"/>
      <c r="S519" s="375"/>
      <c r="T519" s="375"/>
      <c r="U519" s="375"/>
      <c r="V519" s="375"/>
      <c r="W519" s="375"/>
      <c r="X519" s="375"/>
      <c r="Y519" s="375"/>
      <c r="Z519" s="375"/>
      <c r="AA519" s="375"/>
    </row>
    <row r="520" spans="1:27" ht="14.4">
      <c r="A520" s="425"/>
      <c r="B520" s="425"/>
      <c r="C520" s="425"/>
      <c r="D520" s="391"/>
      <c r="E520" s="425"/>
      <c r="F520" s="425"/>
      <c r="G520" s="425"/>
      <c r="H520" s="425"/>
      <c r="I520" s="425"/>
      <c r="J520" s="425"/>
      <c r="K520" s="425"/>
      <c r="L520" s="375"/>
      <c r="M520" s="375"/>
      <c r="N520" s="375"/>
      <c r="O520" s="375"/>
      <c r="P520" s="375"/>
      <c r="Q520" s="375"/>
      <c r="R520" s="375"/>
      <c r="S520" s="375"/>
      <c r="T520" s="375"/>
      <c r="U520" s="375"/>
      <c r="V520" s="375"/>
      <c r="W520" s="375"/>
      <c r="X520" s="375"/>
      <c r="Y520" s="375"/>
      <c r="Z520" s="375"/>
      <c r="AA520" s="375"/>
    </row>
    <row r="521" spans="1:27" ht="14.4">
      <c r="A521" s="425"/>
      <c r="B521" s="425"/>
      <c r="C521" s="425"/>
      <c r="D521" s="391"/>
      <c r="E521" s="425"/>
      <c r="F521" s="425"/>
      <c r="G521" s="425"/>
      <c r="H521" s="425"/>
      <c r="I521" s="425"/>
      <c r="J521" s="425"/>
      <c r="K521" s="425"/>
      <c r="L521" s="375"/>
      <c r="M521" s="375"/>
      <c r="N521" s="375"/>
      <c r="O521" s="375"/>
      <c r="P521" s="375"/>
      <c r="Q521" s="375"/>
      <c r="R521" s="375"/>
      <c r="S521" s="375"/>
      <c r="T521" s="375"/>
      <c r="U521" s="375"/>
      <c r="V521" s="375"/>
      <c r="W521" s="375"/>
      <c r="X521" s="375"/>
      <c r="Y521" s="375"/>
      <c r="Z521" s="375"/>
      <c r="AA521" s="375"/>
    </row>
    <row r="522" spans="1:27" ht="14.4">
      <c r="A522" s="425"/>
      <c r="B522" s="425"/>
      <c r="C522" s="425"/>
      <c r="D522" s="391"/>
      <c r="E522" s="425"/>
      <c r="F522" s="425"/>
      <c r="G522" s="425"/>
      <c r="H522" s="425"/>
      <c r="I522" s="425"/>
      <c r="J522" s="425"/>
      <c r="K522" s="425"/>
      <c r="L522" s="375"/>
      <c r="M522" s="375"/>
      <c r="N522" s="375"/>
      <c r="O522" s="375"/>
      <c r="P522" s="375"/>
      <c r="Q522" s="375"/>
      <c r="R522" s="375"/>
      <c r="S522" s="375"/>
      <c r="T522" s="375"/>
      <c r="U522" s="375"/>
      <c r="V522" s="375"/>
      <c r="W522" s="375"/>
      <c r="X522" s="375"/>
      <c r="Y522" s="375"/>
      <c r="Z522" s="375"/>
      <c r="AA522" s="375"/>
    </row>
    <row r="523" spans="1:27" ht="14.4">
      <c r="A523" s="425"/>
      <c r="B523" s="425"/>
      <c r="C523" s="425"/>
      <c r="D523" s="391"/>
      <c r="E523" s="425"/>
      <c r="F523" s="425"/>
      <c r="G523" s="425"/>
      <c r="H523" s="425"/>
      <c r="I523" s="425"/>
      <c r="J523" s="425"/>
      <c r="K523" s="425"/>
      <c r="L523" s="375"/>
      <c r="M523" s="375"/>
      <c r="N523" s="375"/>
      <c r="O523" s="375"/>
      <c r="P523" s="375"/>
      <c r="Q523" s="375"/>
      <c r="R523" s="375"/>
      <c r="S523" s="375"/>
      <c r="T523" s="375"/>
      <c r="U523" s="375"/>
      <c r="V523" s="375"/>
      <c r="W523" s="375"/>
      <c r="X523" s="375"/>
      <c r="Y523" s="375"/>
      <c r="Z523" s="375"/>
      <c r="AA523" s="375"/>
    </row>
    <row r="524" spans="1:27" ht="14.4">
      <c r="A524" s="425"/>
      <c r="B524" s="425"/>
      <c r="C524" s="425"/>
      <c r="D524" s="391"/>
      <c r="E524" s="425"/>
      <c r="F524" s="425"/>
      <c r="G524" s="425"/>
      <c r="H524" s="425"/>
      <c r="I524" s="425"/>
      <c r="J524" s="425"/>
      <c r="K524" s="425"/>
      <c r="L524" s="375"/>
      <c r="M524" s="375"/>
      <c r="N524" s="375"/>
      <c r="O524" s="375"/>
      <c r="P524" s="375"/>
      <c r="Q524" s="375"/>
      <c r="R524" s="375"/>
      <c r="S524" s="375"/>
      <c r="T524" s="375"/>
      <c r="U524" s="375"/>
      <c r="V524" s="375"/>
      <c r="W524" s="375"/>
      <c r="X524" s="375"/>
      <c r="Y524" s="375"/>
      <c r="Z524" s="375"/>
      <c r="AA524" s="375"/>
    </row>
    <row r="525" spans="1:27" ht="14.4">
      <c r="A525" s="425"/>
      <c r="B525" s="425"/>
      <c r="C525" s="425"/>
      <c r="D525" s="391"/>
      <c r="E525" s="425"/>
      <c r="F525" s="425"/>
      <c r="G525" s="425"/>
      <c r="H525" s="425"/>
      <c r="I525" s="425"/>
      <c r="J525" s="425"/>
      <c r="K525" s="425"/>
      <c r="L525" s="375"/>
      <c r="M525" s="375"/>
      <c r="N525" s="375"/>
      <c r="O525" s="375"/>
      <c r="P525" s="375"/>
      <c r="Q525" s="375"/>
      <c r="R525" s="375"/>
      <c r="S525" s="375"/>
      <c r="T525" s="375"/>
      <c r="U525" s="375"/>
      <c r="V525" s="375"/>
      <c r="W525" s="375"/>
      <c r="X525" s="375"/>
      <c r="Y525" s="375"/>
      <c r="Z525" s="375"/>
      <c r="AA525" s="375"/>
    </row>
    <row r="526" spans="1:27" ht="14.4">
      <c r="A526" s="425"/>
      <c r="B526" s="425"/>
      <c r="C526" s="425"/>
      <c r="D526" s="391"/>
      <c r="E526" s="425"/>
      <c r="F526" s="425"/>
      <c r="G526" s="425"/>
      <c r="H526" s="425"/>
      <c r="I526" s="425"/>
      <c r="J526" s="425"/>
      <c r="K526" s="425"/>
      <c r="L526" s="375"/>
      <c r="M526" s="375"/>
      <c r="N526" s="375"/>
      <c r="O526" s="375"/>
      <c r="P526" s="375"/>
      <c r="Q526" s="375"/>
      <c r="R526" s="375"/>
      <c r="S526" s="375"/>
      <c r="T526" s="375"/>
      <c r="U526" s="375"/>
      <c r="V526" s="375"/>
      <c r="W526" s="375"/>
      <c r="X526" s="375"/>
      <c r="Y526" s="375"/>
      <c r="Z526" s="375"/>
      <c r="AA526" s="375"/>
    </row>
    <row r="527" spans="1:27" ht="14.4">
      <c r="A527" s="425"/>
      <c r="B527" s="425"/>
      <c r="C527" s="425"/>
      <c r="D527" s="391"/>
      <c r="E527" s="425"/>
      <c r="F527" s="425"/>
      <c r="G527" s="425"/>
      <c r="H527" s="425"/>
      <c r="I527" s="425"/>
      <c r="J527" s="425"/>
      <c r="K527" s="425"/>
      <c r="L527" s="375"/>
      <c r="M527" s="375"/>
      <c r="N527" s="375"/>
      <c r="O527" s="375"/>
      <c r="P527" s="375"/>
      <c r="Q527" s="375"/>
      <c r="R527" s="375"/>
      <c r="S527" s="375"/>
      <c r="T527" s="375"/>
      <c r="U527" s="375"/>
      <c r="V527" s="375"/>
      <c r="W527" s="375"/>
      <c r="X527" s="375"/>
      <c r="Y527" s="375"/>
      <c r="Z527" s="375"/>
      <c r="AA527" s="375"/>
    </row>
    <row r="528" spans="1:27" ht="14.4">
      <c r="A528" s="425"/>
      <c r="B528" s="425"/>
      <c r="C528" s="425"/>
      <c r="D528" s="391"/>
      <c r="E528" s="425"/>
      <c r="F528" s="425"/>
      <c r="G528" s="425"/>
      <c r="H528" s="425"/>
      <c r="I528" s="425"/>
      <c r="J528" s="425"/>
      <c r="K528" s="425"/>
      <c r="L528" s="375"/>
      <c r="M528" s="375"/>
      <c r="N528" s="375"/>
      <c r="O528" s="375"/>
      <c r="P528" s="375"/>
      <c r="Q528" s="375"/>
      <c r="R528" s="375"/>
      <c r="S528" s="375"/>
      <c r="T528" s="375"/>
      <c r="U528" s="375"/>
      <c r="V528" s="375"/>
      <c r="W528" s="375"/>
      <c r="X528" s="375"/>
      <c r="Y528" s="375"/>
      <c r="Z528" s="375"/>
      <c r="AA528" s="375"/>
    </row>
    <row r="529" spans="1:27" ht="14.4">
      <c r="A529" s="425"/>
      <c r="B529" s="425"/>
      <c r="C529" s="425"/>
      <c r="D529" s="391"/>
      <c r="E529" s="425"/>
      <c r="F529" s="425"/>
      <c r="G529" s="425"/>
      <c r="H529" s="425"/>
      <c r="I529" s="425"/>
      <c r="J529" s="425"/>
      <c r="K529" s="425"/>
      <c r="L529" s="375"/>
      <c r="M529" s="375"/>
      <c r="N529" s="375"/>
      <c r="O529" s="375"/>
      <c r="P529" s="375"/>
      <c r="Q529" s="375"/>
      <c r="R529" s="375"/>
      <c r="S529" s="375"/>
      <c r="T529" s="375"/>
      <c r="U529" s="375"/>
      <c r="V529" s="375"/>
      <c r="W529" s="375"/>
      <c r="X529" s="375"/>
      <c r="Y529" s="375"/>
      <c r="Z529" s="375"/>
      <c r="AA529" s="375"/>
    </row>
    <row r="530" spans="1:27" ht="14.4">
      <c r="A530" s="425"/>
      <c r="B530" s="425"/>
      <c r="C530" s="425"/>
      <c r="D530" s="391"/>
      <c r="E530" s="425"/>
      <c r="F530" s="425"/>
      <c r="G530" s="425"/>
      <c r="H530" s="425"/>
      <c r="I530" s="425"/>
      <c r="J530" s="425"/>
      <c r="K530" s="425"/>
      <c r="L530" s="375"/>
      <c r="M530" s="375"/>
      <c r="N530" s="375"/>
      <c r="O530" s="375"/>
      <c r="P530" s="375"/>
      <c r="Q530" s="375"/>
      <c r="R530" s="375"/>
      <c r="S530" s="375"/>
      <c r="T530" s="375"/>
      <c r="U530" s="375"/>
      <c r="V530" s="375"/>
      <c r="W530" s="375"/>
      <c r="X530" s="375"/>
      <c r="Y530" s="375"/>
      <c r="Z530" s="375"/>
      <c r="AA530" s="375"/>
    </row>
    <row r="531" spans="1:27" ht="14.4">
      <c r="A531" s="425"/>
      <c r="B531" s="425"/>
      <c r="C531" s="425"/>
      <c r="D531" s="391"/>
      <c r="E531" s="425"/>
      <c r="F531" s="425"/>
      <c r="G531" s="425"/>
      <c r="H531" s="425"/>
      <c r="I531" s="425"/>
      <c r="J531" s="425"/>
      <c r="K531" s="425"/>
      <c r="L531" s="375"/>
      <c r="M531" s="375"/>
      <c r="N531" s="375"/>
      <c r="O531" s="375"/>
      <c r="P531" s="375"/>
      <c r="Q531" s="375"/>
      <c r="R531" s="375"/>
      <c r="S531" s="375"/>
      <c r="T531" s="375"/>
      <c r="U531" s="375"/>
      <c r="V531" s="375"/>
      <c r="W531" s="375"/>
      <c r="X531" s="375"/>
      <c r="Y531" s="375"/>
      <c r="Z531" s="375"/>
      <c r="AA531" s="375"/>
    </row>
    <row r="532" spans="1:27" ht="14.4">
      <c r="A532" s="425"/>
      <c r="B532" s="425"/>
      <c r="C532" s="425"/>
      <c r="D532" s="391"/>
      <c r="E532" s="425"/>
      <c r="F532" s="425"/>
      <c r="G532" s="425"/>
      <c r="H532" s="425"/>
      <c r="I532" s="425"/>
      <c r="J532" s="425"/>
      <c r="K532" s="425"/>
      <c r="L532" s="375"/>
      <c r="M532" s="375"/>
      <c r="N532" s="375"/>
      <c r="O532" s="375"/>
      <c r="P532" s="375"/>
      <c r="Q532" s="375"/>
      <c r="R532" s="375"/>
      <c r="S532" s="375"/>
      <c r="T532" s="375"/>
      <c r="U532" s="375"/>
      <c r="V532" s="375"/>
      <c r="W532" s="375"/>
      <c r="X532" s="375"/>
      <c r="Y532" s="375"/>
      <c r="Z532" s="375"/>
      <c r="AA532" s="375"/>
    </row>
    <row r="533" spans="1:27" ht="14.4">
      <c r="A533" s="425"/>
      <c r="B533" s="425"/>
      <c r="C533" s="425"/>
      <c r="D533" s="391"/>
      <c r="E533" s="425"/>
      <c r="F533" s="425"/>
      <c r="G533" s="425"/>
      <c r="H533" s="425"/>
      <c r="I533" s="425"/>
      <c r="J533" s="425"/>
      <c r="K533" s="425"/>
      <c r="L533" s="375"/>
      <c r="M533" s="375"/>
      <c r="N533" s="375"/>
      <c r="O533" s="375"/>
      <c r="P533" s="375"/>
      <c r="Q533" s="375"/>
      <c r="R533" s="375"/>
      <c r="S533" s="375"/>
      <c r="T533" s="375"/>
      <c r="U533" s="375"/>
      <c r="V533" s="375"/>
      <c r="W533" s="375"/>
      <c r="X533" s="375"/>
      <c r="Y533" s="375"/>
      <c r="Z533" s="375"/>
      <c r="AA533" s="375"/>
    </row>
    <row r="534" spans="1:27" ht="14.4">
      <c r="A534" s="425"/>
      <c r="B534" s="425"/>
      <c r="C534" s="425"/>
      <c r="D534" s="391"/>
      <c r="E534" s="425"/>
      <c r="F534" s="425"/>
      <c r="G534" s="425"/>
      <c r="H534" s="425"/>
      <c r="I534" s="425"/>
      <c r="J534" s="425"/>
      <c r="K534" s="425"/>
      <c r="L534" s="375"/>
      <c r="M534" s="375"/>
      <c r="N534" s="375"/>
      <c r="O534" s="375"/>
      <c r="P534" s="375"/>
      <c r="Q534" s="375"/>
      <c r="R534" s="375"/>
      <c r="S534" s="375"/>
      <c r="T534" s="375"/>
      <c r="U534" s="375"/>
      <c r="V534" s="375"/>
      <c r="W534" s="375"/>
      <c r="X534" s="375"/>
      <c r="Y534" s="375"/>
      <c r="Z534" s="375"/>
      <c r="AA534" s="375"/>
    </row>
    <row r="535" spans="1:27" ht="14.4">
      <c r="A535" s="425"/>
      <c r="B535" s="425"/>
      <c r="C535" s="425"/>
      <c r="D535" s="391"/>
      <c r="E535" s="425"/>
      <c r="F535" s="425"/>
      <c r="G535" s="425"/>
      <c r="H535" s="425"/>
      <c r="I535" s="425"/>
      <c r="J535" s="425"/>
      <c r="K535" s="425"/>
      <c r="L535" s="375"/>
      <c r="M535" s="375"/>
      <c r="N535" s="375"/>
      <c r="O535" s="375"/>
      <c r="P535" s="375"/>
      <c r="Q535" s="375"/>
      <c r="R535" s="375"/>
      <c r="S535" s="375"/>
      <c r="T535" s="375"/>
      <c r="U535" s="375"/>
      <c r="V535" s="375"/>
      <c r="W535" s="375"/>
      <c r="X535" s="375"/>
      <c r="Y535" s="375"/>
      <c r="Z535" s="375"/>
      <c r="AA535" s="375"/>
    </row>
    <row r="536" spans="1:27" ht="14.4">
      <c r="A536" s="425"/>
      <c r="B536" s="425"/>
      <c r="C536" s="425"/>
      <c r="D536" s="391"/>
      <c r="E536" s="425"/>
      <c r="F536" s="425"/>
      <c r="G536" s="425"/>
      <c r="H536" s="425"/>
      <c r="I536" s="425"/>
      <c r="J536" s="425"/>
      <c r="K536" s="425"/>
      <c r="L536" s="375"/>
      <c r="M536" s="375"/>
      <c r="N536" s="375"/>
      <c r="O536" s="375"/>
      <c r="P536" s="375"/>
      <c r="Q536" s="375"/>
      <c r="R536" s="375"/>
      <c r="S536" s="375"/>
      <c r="T536" s="375"/>
      <c r="U536" s="375"/>
      <c r="V536" s="375"/>
      <c r="W536" s="375"/>
      <c r="X536" s="375"/>
      <c r="Y536" s="375"/>
      <c r="Z536" s="375"/>
      <c r="AA536" s="375"/>
    </row>
    <row r="537" spans="1:27" ht="14.4">
      <c r="A537" s="425"/>
      <c r="B537" s="425"/>
      <c r="C537" s="425"/>
      <c r="D537" s="391"/>
      <c r="E537" s="425"/>
      <c r="F537" s="425"/>
      <c r="G537" s="425"/>
      <c r="H537" s="425"/>
      <c r="I537" s="425"/>
      <c r="J537" s="425"/>
      <c r="K537" s="425"/>
      <c r="L537" s="375"/>
      <c r="M537" s="375"/>
      <c r="N537" s="375"/>
      <c r="O537" s="375"/>
      <c r="P537" s="375"/>
      <c r="Q537" s="375"/>
      <c r="R537" s="375"/>
      <c r="S537" s="375"/>
      <c r="T537" s="375"/>
      <c r="U537" s="375"/>
      <c r="V537" s="375"/>
      <c r="W537" s="375"/>
      <c r="X537" s="375"/>
      <c r="Y537" s="375"/>
      <c r="Z537" s="375"/>
      <c r="AA537" s="375"/>
    </row>
    <row r="538" spans="1:27" ht="14.4">
      <c r="A538" s="425"/>
      <c r="B538" s="425"/>
      <c r="C538" s="425"/>
      <c r="D538" s="391"/>
      <c r="E538" s="425"/>
      <c r="F538" s="425"/>
      <c r="G538" s="425"/>
      <c r="H538" s="425"/>
      <c r="I538" s="425"/>
      <c r="J538" s="425"/>
      <c r="K538" s="425"/>
      <c r="L538" s="375"/>
      <c r="M538" s="375"/>
      <c r="N538" s="375"/>
      <c r="O538" s="375"/>
      <c r="P538" s="375"/>
      <c r="Q538" s="375"/>
      <c r="R538" s="375"/>
      <c r="S538" s="375"/>
      <c r="T538" s="375"/>
      <c r="U538" s="375"/>
      <c r="V538" s="375"/>
      <c r="W538" s="375"/>
      <c r="X538" s="375"/>
      <c r="Y538" s="375"/>
      <c r="Z538" s="375"/>
      <c r="AA538" s="375"/>
    </row>
    <row r="539" spans="1:27" ht="14.4">
      <c r="A539" s="425"/>
      <c r="B539" s="425"/>
      <c r="C539" s="425"/>
      <c r="D539" s="391"/>
      <c r="E539" s="425"/>
      <c r="F539" s="425"/>
      <c r="G539" s="425"/>
      <c r="H539" s="425"/>
      <c r="I539" s="425"/>
      <c r="J539" s="425"/>
      <c r="K539" s="425"/>
      <c r="L539" s="375"/>
      <c r="M539" s="375"/>
      <c r="N539" s="375"/>
      <c r="O539" s="375"/>
      <c r="P539" s="375"/>
      <c r="Q539" s="375"/>
      <c r="R539" s="375"/>
      <c r="S539" s="375"/>
      <c r="T539" s="375"/>
      <c r="U539" s="375"/>
      <c r="V539" s="375"/>
      <c r="W539" s="375"/>
      <c r="X539" s="375"/>
      <c r="Y539" s="375"/>
      <c r="Z539" s="375"/>
      <c r="AA539" s="375"/>
    </row>
    <row r="540" spans="1:27" ht="14.4">
      <c r="A540" s="425"/>
      <c r="B540" s="425"/>
      <c r="C540" s="425"/>
      <c r="D540" s="391"/>
      <c r="E540" s="425"/>
      <c r="F540" s="425"/>
      <c r="G540" s="425"/>
      <c r="H540" s="425"/>
      <c r="I540" s="425"/>
      <c r="J540" s="425"/>
      <c r="K540" s="425"/>
      <c r="L540" s="375"/>
      <c r="M540" s="375"/>
      <c r="N540" s="375"/>
      <c r="O540" s="375"/>
      <c r="P540" s="375"/>
      <c r="Q540" s="375"/>
      <c r="R540" s="375"/>
      <c r="S540" s="375"/>
      <c r="T540" s="375"/>
      <c r="U540" s="375"/>
      <c r="V540" s="375"/>
      <c r="W540" s="375"/>
      <c r="X540" s="375"/>
      <c r="Y540" s="375"/>
      <c r="Z540" s="375"/>
      <c r="AA540" s="375"/>
    </row>
    <row r="541" spans="1:27" ht="14.4">
      <c r="A541" s="425"/>
      <c r="B541" s="425"/>
      <c r="C541" s="425"/>
      <c r="D541" s="391"/>
      <c r="E541" s="425"/>
      <c r="F541" s="425"/>
      <c r="G541" s="425"/>
      <c r="H541" s="425"/>
      <c r="I541" s="425"/>
      <c r="J541" s="425"/>
      <c r="K541" s="425"/>
      <c r="L541" s="375"/>
      <c r="M541" s="375"/>
      <c r="N541" s="375"/>
      <c r="O541" s="375"/>
      <c r="P541" s="375"/>
      <c r="Q541" s="375"/>
      <c r="R541" s="375"/>
      <c r="S541" s="375"/>
      <c r="T541" s="375"/>
      <c r="U541" s="375"/>
      <c r="V541" s="375"/>
      <c r="W541" s="375"/>
      <c r="X541" s="375"/>
      <c r="Y541" s="375"/>
      <c r="Z541" s="375"/>
      <c r="AA541" s="375"/>
    </row>
    <row r="542" spans="1:27" ht="14.4">
      <c r="A542" s="425"/>
      <c r="B542" s="425"/>
      <c r="C542" s="425"/>
      <c r="D542" s="391"/>
      <c r="E542" s="425"/>
      <c r="F542" s="425"/>
      <c r="G542" s="425"/>
      <c r="H542" s="425"/>
      <c r="I542" s="425"/>
      <c r="J542" s="425"/>
      <c r="K542" s="425"/>
      <c r="L542" s="375"/>
      <c r="M542" s="375"/>
      <c r="N542" s="375"/>
      <c r="O542" s="375"/>
      <c r="P542" s="375"/>
      <c r="Q542" s="375"/>
      <c r="R542" s="375"/>
      <c r="S542" s="375"/>
      <c r="T542" s="375"/>
      <c r="U542" s="375"/>
      <c r="V542" s="375"/>
      <c r="W542" s="375"/>
      <c r="X542" s="375"/>
      <c r="Y542" s="375"/>
      <c r="Z542" s="375"/>
      <c r="AA542" s="375"/>
    </row>
    <row r="543" spans="1:27" ht="14.4">
      <c r="A543" s="425"/>
      <c r="B543" s="425"/>
      <c r="C543" s="425"/>
      <c r="D543" s="391"/>
      <c r="E543" s="425"/>
      <c r="F543" s="425"/>
      <c r="G543" s="425"/>
      <c r="H543" s="425"/>
      <c r="I543" s="425"/>
      <c r="J543" s="425"/>
      <c r="K543" s="425"/>
      <c r="L543" s="375"/>
      <c r="M543" s="375"/>
      <c r="N543" s="375"/>
      <c r="O543" s="375"/>
      <c r="P543" s="375"/>
      <c r="Q543" s="375"/>
      <c r="R543" s="375"/>
      <c r="S543" s="375"/>
      <c r="T543" s="375"/>
      <c r="U543" s="375"/>
      <c r="V543" s="375"/>
      <c r="W543" s="375"/>
      <c r="X543" s="375"/>
      <c r="Y543" s="375"/>
      <c r="Z543" s="375"/>
      <c r="AA543" s="375"/>
    </row>
    <row r="544" spans="1:27" ht="14.4">
      <c r="A544" s="425"/>
      <c r="B544" s="425"/>
      <c r="C544" s="425"/>
      <c r="D544" s="391"/>
      <c r="E544" s="425"/>
      <c r="F544" s="425"/>
      <c r="G544" s="425"/>
      <c r="H544" s="425"/>
      <c r="I544" s="425"/>
      <c r="J544" s="425"/>
      <c r="K544" s="425"/>
      <c r="L544" s="375"/>
      <c r="M544" s="375"/>
      <c r="N544" s="375"/>
      <c r="O544" s="375"/>
      <c r="P544" s="375"/>
      <c r="Q544" s="375"/>
      <c r="R544" s="375"/>
      <c r="S544" s="375"/>
      <c r="T544" s="375"/>
      <c r="U544" s="375"/>
      <c r="V544" s="375"/>
      <c r="W544" s="375"/>
      <c r="X544" s="375"/>
      <c r="Y544" s="375"/>
      <c r="Z544" s="375"/>
      <c r="AA544" s="375"/>
    </row>
    <row r="545" spans="1:27" ht="14.4">
      <c r="A545" s="425"/>
      <c r="B545" s="425"/>
      <c r="C545" s="425"/>
      <c r="D545" s="391"/>
      <c r="E545" s="425"/>
      <c r="F545" s="425"/>
      <c r="G545" s="425"/>
      <c r="H545" s="425"/>
      <c r="I545" s="425"/>
      <c r="J545" s="425"/>
      <c r="K545" s="425"/>
      <c r="L545" s="375"/>
      <c r="M545" s="375"/>
      <c r="N545" s="375"/>
      <c r="O545" s="375"/>
      <c r="P545" s="375"/>
      <c r="Q545" s="375"/>
      <c r="R545" s="375"/>
      <c r="S545" s="375"/>
      <c r="T545" s="375"/>
      <c r="U545" s="375"/>
      <c r="V545" s="375"/>
      <c r="W545" s="375"/>
      <c r="X545" s="375"/>
      <c r="Y545" s="375"/>
      <c r="Z545" s="375"/>
      <c r="AA545" s="375"/>
    </row>
    <row r="546" spans="1:27" ht="14.4">
      <c r="A546" s="425"/>
      <c r="B546" s="425"/>
      <c r="C546" s="425"/>
      <c r="D546" s="391"/>
      <c r="E546" s="425"/>
      <c r="F546" s="425"/>
      <c r="G546" s="425"/>
      <c r="H546" s="425"/>
      <c r="I546" s="425"/>
      <c r="J546" s="425"/>
      <c r="K546" s="425"/>
      <c r="L546" s="375"/>
      <c r="M546" s="375"/>
      <c r="N546" s="375"/>
      <c r="O546" s="375"/>
      <c r="P546" s="375"/>
      <c r="Q546" s="375"/>
      <c r="R546" s="375"/>
      <c r="S546" s="375"/>
      <c r="T546" s="375"/>
      <c r="U546" s="375"/>
      <c r="V546" s="375"/>
      <c r="W546" s="375"/>
      <c r="X546" s="375"/>
      <c r="Y546" s="375"/>
      <c r="Z546" s="375"/>
      <c r="AA546" s="375"/>
    </row>
    <row r="547" spans="1:27" ht="14.4">
      <c r="A547" s="425"/>
      <c r="B547" s="425"/>
      <c r="C547" s="425"/>
      <c r="D547" s="391"/>
      <c r="E547" s="425"/>
      <c r="F547" s="425"/>
      <c r="G547" s="425"/>
      <c r="H547" s="425"/>
      <c r="I547" s="425"/>
      <c r="J547" s="425"/>
      <c r="K547" s="425"/>
      <c r="L547" s="375"/>
      <c r="M547" s="375"/>
      <c r="N547" s="375"/>
      <c r="O547" s="375"/>
      <c r="P547" s="375"/>
      <c r="Q547" s="375"/>
      <c r="R547" s="375"/>
      <c r="S547" s="375"/>
      <c r="T547" s="375"/>
      <c r="U547" s="375"/>
      <c r="V547" s="375"/>
      <c r="W547" s="375"/>
      <c r="X547" s="375"/>
      <c r="Y547" s="375"/>
      <c r="Z547" s="375"/>
      <c r="AA547" s="375"/>
    </row>
    <row r="548" spans="1:27" ht="14.4">
      <c r="A548" s="425"/>
      <c r="B548" s="425"/>
      <c r="C548" s="425"/>
      <c r="D548" s="391"/>
      <c r="E548" s="425"/>
      <c r="F548" s="425"/>
      <c r="G548" s="425"/>
      <c r="H548" s="425"/>
      <c r="I548" s="425"/>
      <c r="J548" s="425"/>
      <c r="K548" s="425"/>
      <c r="L548" s="375"/>
      <c r="M548" s="375"/>
      <c r="N548" s="375"/>
      <c r="O548" s="375"/>
      <c r="P548" s="375"/>
      <c r="Q548" s="375"/>
      <c r="R548" s="375"/>
      <c r="S548" s="375"/>
      <c r="T548" s="375"/>
      <c r="U548" s="375"/>
      <c r="V548" s="375"/>
      <c r="W548" s="375"/>
      <c r="X548" s="375"/>
      <c r="Y548" s="375"/>
      <c r="Z548" s="375"/>
      <c r="AA548" s="375"/>
    </row>
    <row r="549" spans="1:27" ht="14.4">
      <c r="A549" s="425"/>
      <c r="B549" s="425"/>
      <c r="C549" s="425"/>
      <c r="D549" s="391"/>
      <c r="E549" s="425"/>
      <c r="F549" s="425"/>
      <c r="G549" s="425"/>
      <c r="H549" s="425"/>
      <c r="I549" s="425"/>
      <c r="J549" s="425"/>
      <c r="K549" s="425"/>
      <c r="L549" s="375"/>
      <c r="M549" s="375"/>
      <c r="N549" s="375"/>
      <c r="O549" s="375"/>
      <c r="P549" s="375"/>
      <c r="Q549" s="375"/>
      <c r="R549" s="375"/>
      <c r="S549" s="375"/>
      <c r="T549" s="375"/>
      <c r="U549" s="375"/>
      <c r="V549" s="375"/>
      <c r="W549" s="375"/>
      <c r="X549" s="375"/>
      <c r="Y549" s="375"/>
      <c r="Z549" s="375"/>
      <c r="AA549" s="375"/>
    </row>
    <row r="550" spans="1:27" ht="14.4">
      <c r="A550" s="425"/>
      <c r="B550" s="425"/>
      <c r="C550" s="425"/>
      <c r="D550" s="391"/>
      <c r="E550" s="425"/>
      <c r="F550" s="425"/>
      <c r="G550" s="425"/>
      <c r="H550" s="425"/>
      <c r="I550" s="425"/>
      <c r="J550" s="425"/>
      <c r="K550" s="425"/>
      <c r="L550" s="375"/>
      <c r="M550" s="375"/>
      <c r="N550" s="375"/>
      <c r="O550" s="375"/>
      <c r="P550" s="375"/>
      <c r="Q550" s="375"/>
      <c r="R550" s="375"/>
      <c r="S550" s="375"/>
      <c r="T550" s="375"/>
      <c r="U550" s="375"/>
      <c r="V550" s="375"/>
      <c r="W550" s="375"/>
      <c r="X550" s="375"/>
      <c r="Y550" s="375"/>
      <c r="Z550" s="375"/>
      <c r="AA550" s="375"/>
    </row>
    <row r="551" spans="1:27" ht="14.4">
      <c r="A551" s="425"/>
      <c r="B551" s="425"/>
      <c r="C551" s="425"/>
      <c r="D551" s="391"/>
      <c r="E551" s="425"/>
      <c r="F551" s="425"/>
      <c r="G551" s="425"/>
      <c r="H551" s="425"/>
      <c r="I551" s="425"/>
      <c r="J551" s="425"/>
      <c r="K551" s="425"/>
      <c r="L551" s="375"/>
      <c r="M551" s="375"/>
      <c r="N551" s="375"/>
      <c r="O551" s="375"/>
      <c r="P551" s="375"/>
      <c r="Q551" s="375"/>
      <c r="R551" s="375"/>
      <c r="S551" s="375"/>
      <c r="T551" s="375"/>
      <c r="U551" s="375"/>
      <c r="V551" s="375"/>
      <c r="W551" s="375"/>
      <c r="X551" s="375"/>
      <c r="Y551" s="375"/>
      <c r="Z551" s="375"/>
      <c r="AA551" s="375"/>
    </row>
    <row r="552" spans="1:27" ht="14.4">
      <c r="A552" s="425"/>
      <c r="B552" s="425"/>
      <c r="C552" s="425"/>
      <c r="D552" s="391"/>
      <c r="E552" s="425"/>
      <c r="F552" s="425"/>
      <c r="G552" s="425"/>
      <c r="H552" s="425"/>
      <c r="I552" s="425"/>
      <c r="J552" s="425"/>
      <c r="K552" s="425"/>
      <c r="L552" s="375"/>
      <c r="M552" s="375"/>
      <c r="N552" s="375"/>
      <c r="O552" s="375"/>
      <c r="P552" s="375"/>
      <c r="Q552" s="375"/>
      <c r="R552" s="375"/>
      <c r="S552" s="375"/>
      <c r="T552" s="375"/>
      <c r="U552" s="375"/>
      <c r="V552" s="375"/>
      <c r="W552" s="375"/>
      <c r="X552" s="375"/>
      <c r="Y552" s="375"/>
      <c r="Z552" s="375"/>
      <c r="AA552" s="375"/>
    </row>
    <row r="553" spans="1:27" ht="14.4">
      <c r="A553" s="425"/>
      <c r="B553" s="425"/>
      <c r="C553" s="425"/>
      <c r="D553" s="391"/>
      <c r="E553" s="425"/>
      <c r="F553" s="425"/>
      <c r="G553" s="425"/>
      <c r="H553" s="425"/>
      <c r="I553" s="425"/>
      <c r="J553" s="425"/>
      <c r="K553" s="425"/>
      <c r="L553" s="375"/>
      <c r="M553" s="375"/>
      <c r="N553" s="375"/>
      <c r="O553" s="375"/>
      <c r="P553" s="375"/>
      <c r="Q553" s="375"/>
      <c r="R553" s="375"/>
      <c r="S553" s="375"/>
      <c r="T553" s="375"/>
      <c r="U553" s="375"/>
      <c r="V553" s="375"/>
      <c r="W553" s="375"/>
      <c r="X553" s="375"/>
      <c r="Y553" s="375"/>
      <c r="Z553" s="375"/>
      <c r="AA553" s="375"/>
    </row>
    <row r="554" spans="1:27" ht="14.4">
      <c r="A554" s="425"/>
      <c r="B554" s="425"/>
      <c r="C554" s="425"/>
      <c r="D554" s="391"/>
      <c r="E554" s="425"/>
      <c r="F554" s="425"/>
      <c r="G554" s="425"/>
      <c r="H554" s="425"/>
      <c r="I554" s="425"/>
      <c r="J554" s="425"/>
      <c r="K554" s="425"/>
      <c r="L554" s="375"/>
      <c r="M554" s="375"/>
      <c r="N554" s="375"/>
      <c r="O554" s="375"/>
      <c r="P554" s="375"/>
      <c r="Q554" s="375"/>
      <c r="R554" s="375"/>
      <c r="S554" s="375"/>
      <c r="T554" s="375"/>
      <c r="U554" s="375"/>
      <c r="V554" s="375"/>
      <c r="W554" s="375"/>
      <c r="X554" s="375"/>
      <c r="Y554" s="375"/>
      <c r="Z554" s="375"/>
      <c r="AA554" s="375"/>
    </row>
    <row r="555" spans="1:27" ht="14.4">
      <c r="A555" s="425"/>
      <c r="B555" s="425"/>
      <c r="C555" s="425"/>
      <c r="D555" s="391"/>
      <c r="E555" s="425"/>
      <c r="F555" s="425"/>
      <c r="G555" s="425"/>
      <c r="H555" s="425"/>
      <c r="I555" s="425"/>
      <c r="J555" s="425"/>
      <c r="K555" s="425"/>
      <c r="L555" s="375"/>
      <c r="M555" s="375"/>
      <c r="N555" s="375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375"/>
      <c r="Z555" s="375"/>
      <c r="AA555" s="375"/>
    </row>
    <row r="556" spans="1:27" ht="14.4">
      <c r="A556" s="425"/>
      <c r="B556" s="425"/>
      <c r="C556" s="425"/>
      <c r="D556" s="391"/>
      <c r="E556" s="425"/>
      <c r="F556" s="425"/>
      <c r="G556" s="425"/>
      <c r="H556" s="425"/>
      <c r="I556" s="425"/>
      <c r="J556" s="425"/>
      <c r="K556" s="425"/>
      <c r="L556" s="375"/>
      <c r="M556" s="375"/>
      <c r="N556" s="375"/>
      <c r="O556" s="375"/>
      <c r="P556" s="375"/>
      <c r="Q556" s="375"/>
      <c r="R556" s="375"/>
      <c r="S556" s="375"/>
      <c r="T556" s="375"/>
      <c r="U556" s="375"/>
      <c r="V556" s="375"/>
      <c r="W556" s="375"/>
      <c r="X556" s="375"/>
      <c r="Y556" s="375"/>
      <c r="Z556" s="375"/>
      <c r="AA556" s="375"/>
    </row>
    <row r="557" spans="1:27" ht="14.4">
      <c r="A557" s="425"/>
      <c r="B557" s="425"/>
      <c r="C557" s="425"/>
      <c r="D557" s="391"/>
      <c r="E557" s="425"/>
      <c r="F557" s="425"/>
      <c r="G557" s="425"/>
      <c r="H557" s="425"/>
      <c r="I557" s="425"/>
      <c r="J557" s="425"/>
      <c r="K557" s="425"/>
      <c r="L557" s="375"/>
      <c r="M557" s="375"/>
      <c r="N557" s="375"/>
      <c r="O557" s="375"/>
      <c r="P557" s="375"/>
      <c r="Q557" s="375"/>
      <c r="R557" s="375"/>
      <c r="S557" s="375"/>
      <c r="T557" s="375"/>
      <c r="U557" s="375"/>
      <c r="V557" s="375"/>
      <c r="W557" s="375"/>
      <c r="X557" s="375"/>
      <c r="Y557" s="375"/>
      <c r="Z557" s="375"/>
      <c r="AA557" s="375"/>
    </row>
    <row r="558" spans="1:27" ht="14.4">
      <c r="A558" s="425"/>
      <c r="B558" s="425"/>
      <c r="C558" s="425"/>
      <c r="D558" s="391"/>
      <c r="E558" s="425"/>
      <c r="F558" s="425"/>
      <c r="G558" s="425"/>
      <c r="H558" s="425"/>
      <c r="I558" s="425"/>
      <c r="J558" s="425"/>
      <c r="K558" s="425"/>
      <c r="L558" s="375"/>
      <c r="M558" s="375"/>
      <c r="N558" s="375"/>
      <c r="O558" s="375"/>
      <c r="P558" s="375"/>
      <c r="Q558" s="375"/>
      <c r="R558" s="375"/>
      <c r="S558" s="375"/>
      <c r="T558" s="375"/>
      <c r="U558" s="375"/>
      <c r="V558" s="375"/>
      <c r="W558" s="375"/>
      <c r="X558" s="375"/>
      <c r="Y558" s="375"/>
      <c r="Z558" s="375"/>
      <c r="AA558" s="375"/>
    </row>
    <row r="559" spans="1:27" ht="14.4">
      <c r="A559" s="425"/>
      <c r="B559" s="425"/>
      <c r="C559" s="425"/>
      <c r="D559" s="391"/>
      <c r="E559" s="425"/>
      <c r="F559" s="425"/>
      <c r="G559" s="425"/>
      <c r="H559" s="425"/>
      <c r="I559" s="425"/>
      <c r="J559" s="425"/>
      <c r="K559" s="425"/>
      <c r="L559" s="375"/>
      <c r="M559" s="375"/>
      <c r="N559" s="375"/>
      <c r="O559" s="375"/>
      <c r="P559" s="375"/>
      <c r="Q559" s="375"/>
      <c r="R559" s="375"/>
      <c r="S559" s="375"/>
      <c r="T559" s="375"/>
      <c r="U559" s="375"/>
      <c r="V559" s="375"/>
      <c r="W559" s="375"/>
      <c r="X559" s="375"/>
      <c r="Y559" s="375"/>
      <c r="Z559" s="375"/>
      <c r="AA559" s="375"/>
    </row>
    <row r="560" spans="1:27" ht="14.4">
      <c r="A560" s="425"/>
      <c r="B560" s="425"/>
      <c r="C560" s="425"/>
      <c r="D560" s="391"/>
      <c r="E560" s="425"/>
      <c r="F560" s="425"/>
      <c r="G560" s="425"/>
      <c r="H560" s="425"/>
      <c r="I560" s="425"/>
      <c r="J560" s="425"/>
      <c r="K560" s="425"/>
      <c r="L560" s="375"/>
      <c r="M560" s="375"/>
      <c r="N560" s="375"/>
      <c r="O560" s="375"/>
      <c r="P560" s="375"/>
      <c r="Q560" s="375"/>
      <c r="R560" s="375"/>
      <c r="S560" s="375"/>
      <c r="T560" s="375"/>
      <c r="U560" s="375"/>
      <c r="V560" s="375"/>
      <c r="W560" s="375"/>
      <c r="X560" s="375"/>
      <c r="Y560" s="375"/>
      <c r="Z560" s="375"/>
      <c r="AA560" s="375"/>
    </row>
    <row r="561" spans="1:27" ht="14.4">
      <c r="A561" s="425"/>
      <c r="B561" s="425"/>
      <c r="C561" s="425"/>
      <c r="D561" s="391"/>
      <c r="E561" s="425"/>
      <c r="F561" s="425"/>
      <c r="G561" s="425"/>
      <c r="H561" s="425"/>
      <c r="I561" s="425"/>
      <c r="J561" s="425"/>
      <c r="K561" s="425"/>
      <c r="L561" s="375"/>
      <c r="M561" s="375"/>
      <c r="N561" s="375"/>
      <c r="O561" s="375"/>
      <c r="P561" s="375"/>
      <c r="Q561" s="375"/>
      <c r="R561" s="375"/>
      <c r="S561" s="375"/>
      <c r="T561" s="375"/>
      <c r="U561" s="375"/>
      <c r="V561" s="375"/>
      <c r="W561" s="375"/>
      <c r="X561" s="375"/>
      <c r="Y561" s="375"/>
      <c r="Z561" s="375"/>
      <c r="AA561" s="375"/>
    </row>
    <row r="562" spans="1:27" ht="14.4">
      <c r="A562" s="425"/>
      <c r="B562" s="425"/>
      <c r="C562" s="425"/>
      <c r="D562" s="391"/>
      <c r="E562" s="425"/>
      <c r="F562" s="425"/>
      <c r="G562" s="425"/>
      <c r="H562" s="425"/>
      <c r="I562" s="425"/>
      <c r="J562" s="425"/>
      <c r="K562" s="425"/>
      <c r="L562" s="375"/>
      <c r="M562" s="375"/>
      <c r="N562" s="375"/>
      <c r="O562" s="375"/>
      <c r="P562" s="375"/>
      <c r="Q562" s="375"/>
      <c r="R562" s="375"/>
      <c r="S562" s="375"/>
      <c r="T562" s="375"/>
      <c r="U562" s="375"/>
      <c r="V562" s="375"/>
      <c r="W562" s="375"/>
      <c r="X562" s="375"/>
      <c r="Y562" s="375"/>
      <c r="Z562" s="375"/>
      <c r="AA562" s="375"/>
    </row>
    <row r="563" spans="1:27" ht="14.4">
      <c r="A563" s="425"/>
      <c r="B563" s="425"/>
      <c r="C563" s="425"/>
      <c r="D563" s="391"/>
      <c r="E563" s="425"/>
      <c r="F563" s="425"/>
      <c r="G563" s="425"/>
      <c r="H563" s="425"/>
      <c r="I563" s="425"/>
      <c r="J563" s="425"/>
      <c r="K563" s="425"/>
      <c r="L563" s="375"/>
      <c r="M563" s="375"/>
      <c r="N563" s="375"/>
      <c r="O563" s="375"/>
      <c r="P563" s="375"/>
      <c r="Q563" s="375"/>
      <c r="R563" s="375"/>
      <c r="S563" s="375"/>
      <c r="T563" s="375"/>
      <c r="U563" s="375"/>
      <c r="V563" s="375"/>
      <c r="W563" s="375"/>
      <c r="X563" s="375"/>
      <c r="Y563" s="375"/>
      <c r="Z563" s="375"/>
      <c r="AA563" s="375"/>
    </row>
    <row r="564" spans="1:27" ht="14.4">
      <c r="A564" s="425"/>
      <c r="B564" s="425"/>
      <c r="C564" s="425"/>
      <c r="D564" s="391"/>
      <c r="E564" s="425"/>
      <c r="F564" s="425"/>
      <c r="G564" s="425"/>
      <c r="H564" s="425"/>
      <c r="I564" s="425"/>
      <c r="J564" s="425"/>
      <c r="K564" s="425"/>
      <c r="L564" s="375"/>
      <c r="M564" s="375"/>
      <c r="N564" s="375"/>
      <c r="O564" s="375"/>
      <c r="P564" s="375"/>
      <c r="Q564" s="375"/>
      <c r="R564" s="375"/>
      <c r="S564" s="375"/>
      <c r="T564" s="375"/>
      <c r="U564" s="375"/>
      <c r="V564" s="375"/>
      <c r="W564" s="375"/>
      <c r="X564" s="375"/>
      <c r="Y564" s="375"/>
      <c r="Z564" s="375"/>
      <c r="AA564" s="375"/>
    </row>
    <row r="565" spans="1:27" ht="14.4">
      <c r="A565" s="425"/>
      <c r="B565" s="425"/>
      <c r="C565" s="425"/>
      <c r="D565" s="391"/>
      <c r="E565" s="425"/>
      <c r="F565" s="425"/>
      <c r="G565" s="425"/>
      <c r="H565" s="425"/>
      <c r="I565" s="425"/>
      <c r="J565" s="425"/>
      <c r="K565" s="425"/>
      <c r="L565" s="375"/>
      <c r="M565" s="375"/>
      <c r="N565" s="375"/>
      <c r="O565" s="375"/>
      <c r="P565" s="375"/>
      <c r="Q565" s="375"/>
      <c r="R565" s="375"/>
      <c r="S565" s="375"/>
      <c r="T565" s="375"/>
      <c r="U565" s="375"/>
      <c r="V565" s="375"/>
      <c r="W565" s="375"/>
      <c r="X565" s="375"/>
      <c r="Y565" s="375"/>
      <c r="Z565" s="375"/>
      <c r="AA565" s="375"/>
    </row>
    <row r="566" spans="1:27" ht="14.4">
      <c r="A566" s="425"/>
      <c r="B566" s="425"/>
      <c r="C566" s="425"/>
      <c r="D566" s="391"/>
      <c r="E566" s="425"/>
      <c r="F566" s="425"/>
      <c r="G566" s="425"/>
      <c r="H566" s="425"/>
      <c r="I566" s="425"/>
      <c r="J566" s="425"/>
      <c r="K566" s="425"/>
      <c r="L566" s="375"/>
      <c r="M566" s="375"/>
      <c r="N566" s="375"/>
      <c r="O566" s="375"/>
      <c r="P566" s="375"/>
      <c r="Q566" s="375"/>
      <c r="R566" s="375"/>
      <c r="S566" s="375"/>
      <c r="T566" s="375"/>
      <c r="U566" s="375"/>
      <c r="V566" s="375"/>
      <c r="W566" s="375"/>
      <c r="X566" s="375"/>
      <c r="Y566" s="375"/>
      <c r="Z566" s="375"/>
      <c r="AA566" s="375"/>
    </row>
    <row r="567" spans="1:27" ht="14.4">
      <c r="A567" s="425"/>
      <c r="B567" s="425"/>
      <c r="C567" s="425"/>
      <c r="D567" s="391"/>
      <c r="E567" s="425"/>
      <c r="F567" s="425"/>
      <c r="G567" s="425"/>
      <c r="H567" s="425"/>
      <c r="I567" s="425"/>
      <c r="J567" s="425"/>
      <c r="K567" s="425"/>
      <c r="L567" s="375"/>
      <c r="M567" s="375"/>
      <c r="N567" s="375"/>
      <c r="O567" s="375"/>
      <c r="P567" s="375"/>
      <c r="Q567" s="375"/>
      <c r="R567" s="375"/>
      <c r="S567" s="375"/>
      <c r="T567" s="375"/>
      <c r="U567" s="375"/>
      <c r="V567" s="375"/>
      <c r="W567" s="375"/>
      <c r="X567" s="375"/>
      <c r="Y567" s="375"/>
      <c r="Z567" s="375"/>
      <c r="AA567" s="375"/>
    </row>
    <row r="568" spans="1:27" ht="14.4">
      <c r="A568" s="425"/>
      <c r="B568" s="425"/>
      <c r="C568" s="425"/>
      <c r="D568" s="391"/>
      <c r="E568" s="425"/>
      <c r="F568" s="425"/>
      <c r="G568" s="425"/>
      <c r="H568" s="425"/>
      <c r="I568" s="425"/>
      <c r="J568" s="425"/>
      <c r="K568" s="425"/>
      <c r="L568" s="375"/>
      <c r="M568" s="375"/>
      <c r="N568" s="375"/>
      <c r="O568" s="375"/>
      <c r="P568" s="375"/>
      <c r="Q568" s="375"/>
      <c r="R568" s="375"/>
      <c r="S568" s="375"/>
      <c r="T568" s="375"/>
      <c r="U568" s="375"/>
      <c r="V568" s="375"/>
      <c r="W568" s="375"/>
      <c r="X568" s="375"/>
      <c r="Y568" s="375"/>
      <c r="Z568" s="375"/>
      <c r="AA568" s="375"/>
    </row>
    <row r="569" spans="1:27" ht="14.4">
      <c r="A569" s="425"/>
      <c r="B569" s="425"/>
      <c r="C569" s="425"/>
      <c r="D569" s="391"/>
      <c r="E569" s="425"/>
      <c r="F569" s="425"/>
      <c r="G569" s="425"/>
      <c r="H569" s="425"/>
      <c r="I569" s="425"/>
      <c r="J569" s="425"/>
      <c r="K569" s="425"/>
      <c r="L569" s="375"/>
      <c r="M569" s="375"/>
      <c r="N569" s="375"/>
      <c r="O569" s="375"/>
      <c r="P569" s="375"/>
      <c r="Q569" s="375"/>
      <c r="R569" s="375"/>
      <c r="S569" s="375"/>
      <c r="T569" s="375"/>
      <c r="U569" s="375"/>
      <c r="V569" s="375"/>
      <c r="W569" s="375"/>
      <c r="X569" s="375"/>
      <c r="Y569" s="375"/>
      <c r="Z569" s="375"/>
      <c r="AA569" s="375"/>
    </row>
    <row r="570" spans="1:27" ht="14.4">
      <c r="A570" s="425"/>
      <c r="B570" s="425"/>
      <c r="C570" s="425"/>
      <c r="D570" s="391"/>
      <c r="E570" s="425"/>
      <c r="F570" s="425"/>
      <c r="G570" s="425"/>
      <c r="H570" s="425"/>
      <c r="I570" s="425"/>
      <c r="J570" s="425"/>
      <c r="K570" s="425"/>
      <c r="L570" s="375"/>
      <c r="M570" s="375"/>
      <c r="N570" s="375"/>
      <c r="O570" s="375"/>
      <c r="P570" s="375"/>
      <c r="Q570" s="375"/>
      <c r="R570" s="375"/>
      <c r="S570" s="375"/>
      <c r="T570" s="375"/>
      <c r="U570" s="375"/>
      <c r="V570" s="375"/>
      <c r="W570" s="375"/>
      <c r="X570" s="375"/>
      <c r="Y570" s="375"/>
      <c r="Z570" s="375"/>
      <c r="AA570" s="375"/>
    </row>
    <row r="571" spans="1:27" ht="14.4">
      <c r="A571" s="425"/>
      <c r="B571" s="425"/>
      <c r="C571" s="425"/>
      <c r="D571" s="391"/>
      <c r="E571" s="425"/>
      <c r="F571" s="425"/>
      <c r="G571" s="425"/>
      <c r="H571" s="425"/>
      <c r="I571" s="425"/>
      <c r="J571" s="425"/>
      <c r="K571" s="425"/>
      <c r="L571" s="375"/>
      <c r="M571" s="375"/>
      <c r="N571" s="375"/>
      <c r="O571" s="375"/>
      <c r="P571" s="375"/>
      <c r="Q571" s="375"/>
      <c r="R571" s="375"/>
      <c r="S571" s="375"/>
      <c r="T571" s="375"/>
      <c r="U571" s="375"/>
      <c r="V571" s="375"/>
      <c r="W571" s="375"/>
      <c r="X571" s="375"/>
      <c r="Y571" s="375"/>
      <c r="Z571" s="375"/>
      <c r="AA571" s="375"/>
    </row>
    <row r="572" spans="1:27" ht="14.4">
      <c r="A572" s="425"/>
      <c r="B572" s="425"/>
      <c r="C572" s="425"/>
      <c r="D572" s="391"/>
      <c r="E572" s="425"/>
      <c r="F572" s="425"/>
      <c r="G572" s="425"/>
      <c r="H572" s="425"/>
      <c r="I572" s="425"/>
      <c r="J572" s="425"/>
      <c r="K572" s="425"/>
      <c r="L572" s="375"/>
      <c r="M572" s="375"/>
      <c r="N572" s="375"/>
      <c r="O572" s="375"/>
      <c r="P572" s="375"/>
      <c r="Q572" s="375"/>
      <c r="R572" s="375"/>
      <c r="S572" s="375"/>
      <c r="T572" s="375"/>
      <c r="U572" s="375"/>
      <c r="V572" s="375"/>
      <c r="W572" s="375"/>
      <c r="X572" s="375"/>
      <c r="Y572" s="375"/>
      <c r="Z572" s="375"/>
      <c r="AA572" s="375"/>
    </row>
    <row r="573" spans="1:27" ht="14.4">
      <c r="A573" s="425"/>
      <c r="B573" s="425"/>
      <c r="C573" s="425"/>
      <c r="D573" s="391"/>
      <c r="E573" s="425"/>
      <c r="F573" s="425"/>
      <c r="G573" s="425"/>
      <c r="H573" s="425"/>
      <c r="I573" s="425"/>
      <c r="J573" s="425"/>
      <c r="K573" s="425"/>
      <c r="L573" s="375"/>
      <c r="M573" s="375"/>
      <c r="N573" s="375"/>
      <c r="O573" s="375"/>
      <c r="P573" s="375"/>
      <c r="Q573" s="375"/>
      <c r="R573" s="375"/>
      <c r="S573" s="375"/>
      <c r="T573" s="375"/>
      <c r="U573" s="375"/>
      <c r="V573" s="375"/>
      <c r="W573" s="375"/>
      <c r="X573" s="375"/>
      <c r="Y573" s="375"/>
      <c r="Z573" s="375"/>
      <c r="AA573" s="375"/>
    </row>
    <row r="574" spans="1:27" ht="14.4">
      <c r="A574" s="425"/>
      <c r="B574" s="425"/>
      <c r="C574" s="425"/>
      <c r="D574" s="391"/>
      <c r="E574" s="425"/>
      <c r="F574" s="425"/>
      <c r="G574" s="425"/>
      <c r="H574" s="425"/>
      <c r="I574" s="425"/>
      <c r="J574" s="425"/>
      <c r="K574" s="425"/>
      <c r="L574" s="375"/>
      <c r="M574" s="375"/>
      <c r="N574" s="375"/>
      <c r="O574" s="375"/>
      <c r="P574" s="375"/>
      <c r="Q574" s="375"/>
      <c r="R574" s="375"/>
      <c r="S574" s="375"/>
      <c r="T574" s="375"/>
      <c r="U574" s="375"/>
      <c r="V574" s="375"/>
      <c r="W574" s="375"/>
      <c r="X574" s="375"/>
      <c r="Y574" s="375"/>
      <c r="Z574" s="375"/>
      <c r="AA574" s="375"/>
    </row>
    <row r="575" spans="1:27" ht="14.4">
      <c r="A575" s="425"/>
      <c r="B575" s="425"/>
      <c r="C575" s="425"/>
      <c r="D575" s="391"/>
      <c r="E575" s="425"/>
      <c r="F575" s="425"/>
      <c r="G575" s="425"/>
      <c r="H575" s="425"/>
      <c r="I575" s="425"/>
      <c r="J575" s="425"/>
      <c r="K575" s="425"/>
      <c r="L575" s="375"/>
      <c r="M575" s="375"/>
      <c r="N575" s="375"/>
      <c r="O575" s="375"/>
      <c r="P575" s="375"/>
      <c r="Q575" s="375"/>
      <c r="R575" s="375"/>
      <c r="S575" s="375"/>
      <c r="T575" s="375"/>
      <c r="U575" s="375"/>
      <c r="V575" s="375"/>
      <c r="W575" s="375"/>
      <c r="X575" s="375"/>
      <c r="Y575" s="375"/>
      <c r="Z575" s="375"/>
      <c r="AA575" s="375"/>
    </row>
    <row r="576" spans="1:27" ht="14.4">
      <c r="A576" s="425"/>
      <c r="B576" s="425"/>
      <c r="C576" s="425"/>
      <c r="D576" s="391"/>
      <c r="E576" s="425"/>
      <c r="F576" s="425"/>
      <c r="G576" s="425"/>
      <c r="H576" s="425"/>
      <c r="I576" s="425"/>
      <c r="J576" s="425"/>
      <c r="K576" s="425"/>
      <c r="L576" s="375"/>
      <c r="M576" s="375"/>
      <c r="N576" s="375"/>
      <c r="O576" s="375"/>
      <c r="P576" s="375"/>
      <c r="Q576" s="375"/>
      <c r="R576" s="375"/>
      <c r="S576" s="375"/>
      <c r="T576" s="375"/>
      <c r="U576" s="375"/>
      <c r="V576" s="375"/>
      <c r="W576" s="375"/>
      <c r="X576" s="375"/>
      <c r="Y576" s="375"/>
      <c r="Z576" s="375"/>
      <c r="AA576" s="375"/>
    </row>
    <row r="577" spans="1:27" ht="14.4">
      <c r="A577" s="425"/>
      <c r="B577" s="425"/>
      <c r="C577" s="425"/>
      <c r="D577" s="391"/>
      <c r="E577" s="425"/>
      <c r="F577" s="425"/>
      <c r="G577" s="425"/>
      <c r="H577" s="425"/>
      <c r="I577" s="425"/>
      <c r="J577" s="425"/>
      <c r="K577" s="425"/>
      <c r="L577" s="375"/>
      <c r="M577" s="375"/>
      <c r="N577" s="375"/>
      <c r="O577" s="375"/>
      <c r="P577" s="375"/>
      <c r="Q577" s="375"/>
      <c r="R577" s="375"/>
      <c r="S577" s="375"/>
      <c r="T577" s="375"/>
      <c r="U577" s="375"/>
      <c r="V577" s="375"/>
      <c r="W577" s="375"/>
      <c r="X577" s="375"/>
      <c r="Y577" s="375"/>
      <c r="Z577" s="375"/>
      <c r="AA577" s="375"/>
    </row>
    <row r="578" spans="1:27" ht="14.4">
      <c r="A578" s="425"/>
      <c r="B578" s="425"/>
      <c r="C578" s="425"/>
      <c r="D578" s="391"/>
      <c r="E578" s="425"/>
      <c r="F578" s="425"/>
      <c r="G578" s="425"/>
      <c r="H578" s="425"/>
      <c r="I578" s="425"/>
      <c r="J578" s="425"/>
      <c r="K578" s="425"/>
      <c r="L578" s="375"/>
      <c r="M578" s="375"/>
      <c r="N578" s="375"/>
      <c r="O578" s="375"/>
      <c r="P578" s="375"/>
      <c r="Q578" s="375"/>
      <c r="R578" s="375"/>
      <c r="S578" s="375"/>
      <c r="T578" s="375"/>
      <c r="U578" s="375"/>
      <c r="V578" s="375"/>
      <c r="W578" s="375"/>
      <c r="X578" s="375"/>
      <c r="Y578" s="375"/>
      <c r="Z578" s="375"/>
      <c r="AA578" s="375"/>
    </row>
    <row r="579" spans="1:27" ht="14.4">
      <c r="A579" s="425"/>
      <c r="B579" s="425"/>
      <c r="C579" s="425"/>
      <c r="D579" s="391"/>
      <c r="E579" s="425"/>
      <c r="F579" s="425"/>
      <c r="G579" s="425"/>
      <c r="H579" s="425"/>
      <c r="I579" s="425"/>
      <c r="J579" s="425"/>
      <c r="K579" s="425"/>
      <c r="L579" s="375"/>
      <c r="M579" s="375"/>
      <c r="N579" s="375"/>
      <c r="O579" s="375"/>
      <c r="P579" s="375"/>
      <c r="Q579" s="375"/>
      <c r="R579" s="375"/>
      <c r="S579" s="375"/>
      <c r="T579" s="375"/>
      <c r="U579" s="375"/>
      <c r="V579" s="375"/>
      <c r="W579" s="375"/>
      <c r="X579" s="375"/>
      <c r="Y579" s="375"/>
      <c r="Z579" s="375"/>
      <c r="AA579" s="375"/>
    </row>
    <row r="580" spans="1:27" ht="14.4">
      <c r="A580" s="425"/>
      <c r="B580" s="425"/>
      <c r="C580" s="425"/>
      <c r="D580" s="391"/>
      <c r="E580" s="425"/>
      <c r="F580" s="425"/>
      <c r="G580" s="425"/>
      <c r="H580" s="425"/>
      <c r="I580" s="425"/>
      <c r="J580" s="425"/>
      <c r="K580" s="425"/>
      <c r="L580" s="375"/>
      <c r="M580" s="375"/>
      <c r="N580" s="375"/>
      <c r="O580" s="375"/>
      <c r="P580" s="375"/>
      <c r="Q580" s="375"/>
      <c r="R580" s="375"/>
      <c r="S580" s="375"/>
      <c r="T580" s="375"/>
      <c r="U580" s="375"/>
      <c r="V580" s="375"/>
      <c r="W580" s="375"/>
      <c r="X580" s="375"/>
      <c r="Y580" s="375"/>
      <c r="Z580" s="375"/>
      <c r="AA580" s="375"/>
    </row>
    <row r="581" spans="1:27" ht="14.4">
      <c r="A581" s="425"/>
      <c r="B581" s="425"/>
      <c r="C581" s="425"/>
      <c r="D581" s="391"/>
      <c r="E581" s="425"/>
      <c r="F581" s="425"/>
      <c r="G581" s="425"/>
      <c r="H581" s="425"/>
      <c r="I581" s="425"/>
      <c r="J581" s="425"/>
      <c r="K581" s="425"/>
      <c r="L581" s="375"/>
      <c r="M581" s="375"/>
      <c r="N581" s="375"/>
      <c r="O581" s="375"/>
      <c r="P581" s="375"/>
      <c r="Q581" s="375"/>
      <c r="R581" s="375"/>
      <c r="S581" s="375"/>
      <c r="T581" s="375"/>
      <c r="U581" s="375"/>
      <c r="V581" s="375"/>
      <c r="W581" s="375"/>
      <c r="X581" s="375"/>
      <c r="Y581" s="375"/>
      <c r="Z581" s="375"/>
      <c r="AA581" s="375"/>
    </row>
    <row r="582" spans="1:27" ht="14.4">
      <c r="A582" s="425"/>
      <c r="B582" s="425"/>
      <c r="C582" s="425"/>
      <c r="D582" s="391"/>
      <c r="E582" s="425"/>
      <c r="F582" s="425"/>
      <c r="G582" s="425"/>
      <c r="H582" s="425"/>
      <c r="I582" s="425"/>
      <c r="J582" s="425"/>
      <c r="K582" s="425"/>
      <c r="L582" s="375"/>
      <c r="M582" s="375"/>
      <c r="N582" s="375"/>
      <c r="O582" s="375"/>
      <c r="P582" s="375"/>
      <c r="Q582" s="375"/>
      <c r="R582" s="375"/>
      <c r="S582" s="375"/>
      <c r="T582" s="375"/>
      <c r="U582" s="375"/>
      <c r="V582" s="375"/>
      <c r="W582" s="375"/>
      <c r="X582" s="375"/>
      <c r="Y582" s="375"/>
      <c r="Z582" s="375"/>
      <c r="AA582" s="375"/>
    </row>
    <row r="583" spans="1:27" ht="14.4">
      <c r="A583" s="425"/>
      <c r="B583" s="425"/>
      <c r="C583" s="425"/>
      <c r="D583" s="391"/>
      <c r="E583" s="425"/>
      <c r="F583" s="425"/>
      <c r="G583" s="425"/>
      <c r="H583" s="425"/>
      <c r="I583" s="425"/>
      <c r="J583" s="425"/>
      <c r="K583" s="425"/>
      <c r="L583" s="375"/>
      <c r="M583" s="375"/>
      <c r="N583" s="375"/>
      <c r="O583" s="375"/>
      <c r="P583" s="375"/>
      <c r="Q583" s="375"/>
      <c r="R583" s="375"/>
      <c r="S583" s="375"/>
      <c r="T583" s="375"/>
      <c r="U583" s="375"/>
      <c r="V583" s="375"/>
      <c r="W583" s="375"/>
      <c r="X583" s="375"/>
      <c r="Y583" s="375"/>
      <c r="Z583" s="375"/>
      <c r="AA583" s="375"/>
    </row>
    <row r="584" spans="1:27" ht="14.4">
      <c r="A584" s="425"/>
      <c r="B584" s="425"/>
      <c r="C584" s="425"/>
      <c r="D584" s="391"/>
      <c r="E584" s="425"/>
      <c r="F584" s="425"/>
      <c r="G584" s="425"/>
      <c r="H584" s="425"/>
      <c r="I584" s="425"/>
      <c r="J584" s="425"/>
      <c r="K584" s="425"/>
      <c r="L584" s="375"/>
      <c r="M584" s="375"/>
      <c r="N584" s="375"/>
      <c r="O584" s="375"/>
      <c r="P584" s="375"/>
      <c r="Q584" s="375"/>
      <c r="R584" s="375"/>
      <c r="S584" s="375"/>
      <c r="T584" s="375"/>
      <c r="U584" s="375"/>
      <c r="V584" s="375"/>
      <c r="W584" s="375"/>
      <c r="X584" s="375"/>
      <c r="Y584" s="375"/>
      <c r="Z584" s="375"/>
      <c r="AA584" s="375"/>
    </row>
    <row r="585" spans="1:27" ht="14.4">
      <c r="A585" s="425"/>
      <c r="B585" s="425"/>
      <c r="C585" s="425"/>
      <c r="D585" s="391"/>
      <c r="E585" s="425"/>
      <c r="F585" s="425"/>
      <c r="G585" s="425"/>
      <c r="H585" s="425"/>
      <c r="I585" s="425"/>
      <c r="J585" s="425"/>
      <c r="K585" s="425"/>
      <c r="L585" s="375"/>
      <c r="M585" s="375"/>
      <c r="N585" s="375"/>
      <c r="O585" s="375"/>
      <c r="P585" s="375"/>
      <c r="Q585" s="375"/>
      <c r="R585" s="375"/>
      <c r="S585" s="375"/>
      <c r="T585" s="375"/>
      <c r="U585" s="375"/>
      <c r="V585" s="375"/>
      <c r="W585" s="375"/>
      <c r="X585" s="375"/>
      <c r="Y585" s="375"/>
      <c r="Z585" s="375"/>
      <c r="AA585" s="375"/>
    </row>
    <row r="586" spans="1:27" ht="14.4">
      <c r="A586" s="425"/>
      <c r="B586" s="425"/>
      <c r="C586" s="425"/>
      <c r="D586" s="391"/>
      <c r="E586" s="425"/>
      <c r="F586" s="425"/>
      <c r="G586" s="425"/>
      <c r="H586" s="425"/>
      <c r="I586" s="425"/>
      <c r="J586" s="425"/>
      <c r="K586" s="425"/>
      <c r="L586" s="375"/>
      <c r="M586" s="375"/>
      <c r="N586" s="375"/>
      <c r="O586" s="375"/>
      <c r="P586" s="375"/>
      <c r="Q586" s="375"/>
      <c r="R586" s="375"/>
      <c r="S586" s="375"/>
      <c r="T586" s="375"/>
      <c r="U586" s="375"/>
      <c r="V586" s="375"/>
      <c r="W586" s="375"/>
      <c r="X586" s="375"/>
      <c r="Y586" s="375"/>
      <c r="Z586" s="375"/>
      <c r="AA586" s="375"/>
    </row>
    <row r="587" spans="1:27" ht="14.4">
      <c r="A587" s="425"/>
      <c r="B587" s="425"/>
      <c r="C587" s="425"/>
      <c r="D587" s="391"/>
      <c r="E587" s="425"/>
      <c r="F587" s="425"/>
      <c r="G587" s="425"/>
      <c r="H587" s="425"/>
      <c r="I587" s="425"/>
      <c r="J587" s="425"/>
      <c r="K587" s="425"/>
      <c r="L587" s="375"/>
      <c r="M587" s="375"/>
      <c r="N587" s="375"/>
      <c r="O587" s="375"/>
      <c r="P587" s="375"/>
      <c r="Q587" s="375"/>
      <c r="R587" s="375"/>
      <c r="S587" s="375"/>
      <c r="T587" s="375"/>
      <c r="U587" s="375"/>
      <c r="V587" s="375"/>
      <c r="W587" s="375"/>
      <c r="X587" s="375"/>
      <c r="Y587" s="375"/>
      <c r="Z587" s="375"/>
      <c r="AA587" s="375"/>
    </row>
    <row r="588" spans="1:27" ht="14.4">
      <c r="A588" s="425"/>
      <c r="B588" s="425"/>
      <c r="C588" s="425"/>
      <c r="D588" s="391"/>
      <c r="E588" s="425"/>
      <c r="F588" s="425"/>
      <c r="G588" s="425"/>
      <c r="H588" s="425"/>
      <c r="I588" s="425"/>
      <c r="J588" s="425"/>
      <c r="K588" s="425"/>
      <c r="L588" s="375"/>
      <c r="M588" s="375"/>
      <c r="N588" s="375"/>
      <c r="O588" s="375"/>
      <c r="P588" s="375"/>
      <c r="Q588" s="375"/>
      <c r="R588" s="375"/>
      <c r="S588" s="375"/>
      <c r="T588" s="375"/>
      <c r="U588" s="375"/>
      <c r="V588" s="375"/>
      <c r="W588" s="375"/>
      <c r="X588" s="375"/>
      <c r="Y588" s="375"/>
      <c r="Z588" s="375"/>
      <c r="AA588" s="375"/>
    </row>
    <row r="589" spans="1:27" ht="14.4">
      <c r="A589" s="425"/>
      <c r="B589" s="425"/>
      <c r="C589" s="425"/>
      <c r="D589" s="391"/>
      <c r="E589" s="425"/>
      <c r="F589" s="425"/>
      <c r="G589" s="425"/>
      <c r="H589" s="425"/>
      <c r="I589" s="425"/>
      <c r="J589" s="425"/>
      <c r="K589" s="425"/>
      <c r="L589" s="375"/>
      <c r="M589" s="375"/>
      <c r="N589" s="375"/>
      <c r="O589" s="375"/>
      <c r="P589" s="375"/>
      <c r="Q589" s="375"/>
      <c r="R589" s="375"/>
      <c r="S589" s="375"/>
      <c r="T589" s="375"/>
      <c r="U589" s="375"/>
      <c r="V589" s="375"/>
      <c r="W589" s="375"/>
      <c r="X589" s="375"/>
      <c r="Y589" s="375"/>
      <c r="Z589" s="375"/>
      <c r="AA589" s="375"/>
    </row>
    <row r="590" spans="1:27" ht="14.4">
      <c r="A590" s="425"/>
      <c r="B590" s="425"/>
      <c r="C590" s="425"/>
      <c r="D590" s="391"/>
      <c r="E590" s="425"/>
      <c r="F590" s="425"/>
      <c r="G590" s="425"/>
      <c r="H590" s="425"/>
      <c r="I590" s="425"/>
      <c r="J590" s="425"/>
      <c r="K590" s="425"/>
      <c r="L590" s="375"/>
      <c r="M590" s="375"/>
      <c r="N590" s="375"/>
      <c r="O590" s="375"/>
      <c r="P590" s="375"/>
      <c r="Q590" s="375"/>
      <c r="R590" s="375"/>
      <c r="S590" s="375"/>
      <c r="T590" s="375"/>
      <c r="U590" s="375"/>
      <c r="V590" s="375"/>
      <c r="W590" s="375"/>
      <c r="X590" s="375"/>
      <c r="Y590" s="375"/>
      <c r="Z590" s="375"/>
      <c r="AA590" s="375"/>
    </row>
    <row r="591" spans="1:27" ht="14.4">
      <c r="A591" s="425"/>
      <c r="B591" s="425"/>
      <c r="C591" s="425"/>
      <c r="D591" s="391"/>
      <c r="E591" s="425"/>
      <c r="F591" s="425"/>
      <c r="G591" s="425"/>
      <c r="H591" s="425"/>
      <c r="I591" s="425"/>
      <c r="J591" s="425"/>
      <c r="K591" s="425"/>
      <c r="L591" s="375"/>
      <c r="M591" s="375"/>
      <c r="N591" s="375"/>
      <c r="O591" s="375"/>
      <c r="P591" s="375"/>
      <c r="Q591" s="375"/>
      <c r="R591" s="375"/>
      <c r="S591" s="375"/>
      <c r="T591" s="375"/>
      <c r="U591" s="375"/>
      <c r="V591" s="375"/>
      <c r="W591" s="375"/>
      <c r="X591" s="375"/>
      <c r="Y591" s="375"/>
      <c r="Z591" s="375"/>
      <c r="AA591" s="375"/>
    </row>
    <row r="592" spans="1:27" ht="14.4">
      <c r="A592" s="425"/>
      <c r="B592" s="425"/>
      <c r="C592" s="425"/>
      <c r="D592" s="391"/>
      <c r="E592" s="425"/>
      <c r="F592" s="425"/>
      <c r="G592" s="425"/>
      <c r="H592" s="425"/>
      <c r="I592" s="425"/>
      <c r="J592" s="425"/>
      <c r="K592" s="425"/>
      <c r="L592" s="375"/>
      <c r="M592" s="375"/>
      <c r="N592" s="375"/>
      <c r="O592" s="375"/>
      <c r="P592" s="375"/>
      <c r="Q592" s="375"/>
      <c r="R592" s="375"/>
      <c r="S592" s="375"/>
      <c r="T592" s="375"/>
      <c r="U592" s="375"/>
      <c r="V592" s="375"/>
      <c r="W592" s="375"/>
      <c r="X592" s="375"/>
      <c r="Y592" s="375"/>
      <c r="Z592" s="375"/>
      <c r="AA592" s="375"/>
    </row>
    <row r="593" spans="1:27" ht="14.4">
      <c r="A593" s="425"/>
      <c r="B593" s="425"/>
      <c r="C593" s="425"/>
      <c r="D593" s="391"/>
      <c r="E593" s="425"/>
      <c r="F593" s="425"/>
      <c r="G593" s="425"/>
      <c r="H593" s="425"/>
      <c r="I593" s="425"/>
      <c r="J593" s="425"/>
      <c r="K593" s="425"/>
      <c r="L593" s="375"/>
      <c r="M593" s="375"/>
      <c r="N593" s="375"/>
      <c r="O593" s="375"/>
      <c r="P593" s="375"/>
      <c r="Q593" s="375"/>
      <c r="R593" s="375"/>
      <c r="S593" s="375"/>
      <c r="T593" s="375"/>
      <c r="U593" s="375"/>
      <c r="V593" s="375"/>
      <c r="W593" s="375"/>
      <c r="X593" s="375"/>
      <c r="Y593" s="375"/>
      <c r="Z593" s="375"/>
      <c r="AA593" s="375"/>
    </row>
    <row r="594" spans="1:27" ht="14.4">
      <c r="A594" s="425"/>
      <c r="B594" s="425"/>
      <c r="C594" s="425"/>
      <c r="D594" s="391"/>
      <c r="E594" s="425"/>
      <c r="F594" s="425"/>
      <c r="G594" s="425"/>
      <c r="H594" s="425"/>
      <c r="I594" s="425"/>
      <c r="J594" s="425"/>
      <c r="K594" s="425"/>
      <c r="L594" s="375"/>
      <c r="M594" s="375"/>
      <c r="N594" s="375"/>
      <c r="O594" s="375"/>
      <c r="P594" s="375"/>
      <c r="Q594" s="375"/>
      <c r="R594" s="375"/>
      <c r="S594" s="375"/>
      <c r="T594" s="375"/>
      <c r="U594" s="375"/>
      <c r="V594" s="375"/>
      <c r="W594" s="375"/>
      <c r="X594" s="375"/>
      <c r="Y594" s="375"/>
      <c r="Z594" s="375"/>
      <c r="AA594" s="375"/>
    </row>
    <row r="595" spans="1:27" ht="14.4">
      <c r="A595" s="425"/>
      <c r="B595" s="425"/>
      <c r="C595" s="425"/>
      <c r="D595" s="391"/>
      <c r="E595" s="425"/>
      <c r="F595" s="425"/>
      <c r="G595" s="425"/>
      <c r="H595" s="425"/>
      <c r="I595" s="425"/>
      <c r="J595" s="425"/>
      <c r="K595" s="425"/>
      <c r="L595" s="375"/>
      <c r="M595" s="375"/>
      <c r="N595" s="375"/>
      <c r="O595" s="375"/>
      <c r="P595" s="375"/>
      <c r="Q595" s="375"/>
      <c r="R595" s="375"/>
      <c r="S595" s="375"/>
      <c r="T595" s="375"/>
      <c r="U595" s="375"/>
      <c r="V595" s="375"/>
      <c r="W595" s="375"/>
      <c r="X595" s="375"/>
      <c r="Y595" s="375"/>
      <c r="Z595" s="375"/>
      <c r="AA595" s="375"/>
    </row>
    <row r="596" spans="1:27" ht="14.4">
      <c r="A596" s="425"/>
      <c r="B596" s="425"/>
      <c r="C596" s="425"/>
      <c r="D596" s="391"/>
      <c r="E596" s="425"/>
      <c r="F596" s="425"/>
      <c r="G596" s="425"/>
      <c r="H596" s="425"/>
      <c r="I596" s="425"/>
      <c r="J596" s="425"/>
      <c r="K596" s="425"/>
      <c r="L596" s="375"/>
      <c r="M596" s="375"/>
      <c r="N596" s="375"/>
      <c r="O596" s="375"/>
      <c r="P596" s="375"/>
      <c r="Q596" s="375"/>
      <c r="R596" s="375"/>
      <c r="S596" s="375"/>
      <c r="T596" s="375"/>
      <c r="U596" s="375"/>
      <c r="V596" s="375"/>
      <c r="W596" s="375"/>
      <c r="X596" s="375"/>
      <c r="Y596" s="375"/>
      <c r="Z596" s="375"/>
      <c r="AA596" s="375"/>
    </row>
    <row r="597" spans="1:27" ht="14.4">
      <c r="A597" s="425"/>
      <c r="B597" s="425"/>
      <c r="C597" s="425"/>
      <c r="D597" s="391"/>
      <c r="E597" s="425"/>
      <c r="F597" s="425"/>
      <c r="G597" s="425"/>
      <c r="H597" s="425"/>
      <c r="I597" s="425"/>
      <c r="J597" s="425"/>
      <c r="K597" s="425"/>
      <c r="L597" s="375"/>
      <c r="M597" s="375"/>
      <c r="N597" s="375"/>
      <c r="O597" s="375"/>
      <c r="P597" s="375"/>
      <c r="Q597" s="375"/>
      <c r="R597" s="375"/>
      <c r="S597" s="375"/>
      <c r="T597" s="375"/>
      <c r="U597" s="375"/>
      <c r="V597" s="375"/>
      <c r="W597" s="375"/>
      <c r="X597" s="375"/>
      <c r="Y597" s="375"/>
      <c r="Z597" s="375"/>
      <c r="AA597" s="375"/>
    </row>
    <row r="598" spans="1:27" ht="14.4">
      <c r="A598" s="425"/>
      <c r="B598" s="425"/>
      <c r="C598" s="425"/>
      <c r="D598" s="391"/>
      <c r="E598" s="425"/>
      <c r="F598" s="425"/>
      <c r="G598" s="425"/>
      <c r="H598" s="425"/>
      <c r="I598" s="425"/>
      <c r="J598" s="425"/>
      <c r="K598" s="425"/>
      <c r="L598" s="375"/>
      <c r="M598" s="375"/>
      <c r="N598" s="375"/>
      <c r="O598" s="375"/>
      <c r="P598" s="375"/>
      <c r="Q598" s="375"/>
      <c r="R598" s="375"/>
      <c r="S598" s="375"/>
      <c r="T598" s="375"/>
      <c r="U598" s="375"/>
      <c r="V598" s="375"/>
      <c r="W598" s="375"/>
      <c r="X598" s="375"/>
      <c r="Y598" s="375"/>
      <c r="Z598" s="375"/>
      <c r="AA598" s="375"/>
    </row>
    <row r="599" spans="1:27" ht="14.4">
      <c r="A599" s="425"/>
      <c r="B599" s="425"/>
      <c r="C599" s="425"/>
      <c r="D599" s="391"/>
      <c r="E599" s="425"/>
      <c r="F599" s="425"/>
      <c r="G599" s="425"/>
      <c r="H599" s="425"/>
      <c r="I599" s="425"/>
      <c r="J599" s="425"/>
      <c r="K599" s="425"/>
      <c r="L599" s="375"/>
      <c r="M599" s="375"/>
      <c r="N599" s="375"/>
      <c r="O599" s="375"/>
      <c r="P599" s="375"/>
      <c r="Q599" s="375"/>
      <c r="R599" s="375"/>
      <c r="S599" s="375"/>
      <c r="T599" s="375"/>
      <c r="U599" s="375"/>
      <c r="V599" s="375"/>
      <c r="W599" s="375"/>
      <c r="X599" s="375"/>
      <c r="Y599" s="375"/>
      <c r="Z599" s="375"/>
      <c r="AA599" s="375"/>
    </row>
    <row r="600" spans="1:27" ht="14.4">
      <c r="A600" s="425"/>
      <c r="B600" s="425"/>
      <c r="C600" s="425"/>
      <c r="D600" s="391"/>
      <c r="E600" s="425"/>
      <c r="F600" s="425"/>
      <c r="G600" s="425"/>
      <c r="H600" s="425"/>
      <c r="I600" s="425"/>
      <c r="J600" s="425"/>
      <c r="K600" s="425"/>
      <c r="L600" s="375"/>
      <c r="M600" s="375"/>
      <c r="N600" s="375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  <c r="AA600" s="375"/>
    </row>
    <row r="601" spans="1:27" ht="14.4">
      <c r="A601" s="425"/>
      <c r="B601" s="425"/>
      <c r="C601" s="425"/>
      <c r="D601" s="391"/>
      <c r="E601" s="425"/>
      <c r="F601" s="425"/>
      <c r="G601" s="425"/>
      <c r="H601" s="425"/>
      <c r="I601" s="425"/>
      <c r="J601" s="425"/>
      <c r="K601" s="425"/>
      <c r="L601" s="375"/>
      <c r="M601" s="375"/>
      <c r="N601" s="375"/>
      <c r="O601" s="375"/>
      <c r="P601" s="375"/>
      <c r="Q601" s="375"/>
      <c r="R601" s="375"/>
      <c r="S601" s="375"/>
      <c r="T601" s="375"/>
      <c r="U601" s="375"/>
      <c r="V601" s="375"/>
      <c r="W601" s="375"/>
      <c r="X601" s="375"/>
      <c r="Y601" s="375"/>
      <c r="Z601" s="375"/>
      <c r="AA601" s="375"/>
    </row>
    <row r="602" spans="1:27" ht="14.4">
      <c r="A602" s="425"/>
      <c r="B602" s="425"/>
      <c r="C602" s="425"/>
      <c r="D602" s="391"/>
      <c r="E602" s="425"/>
      <c r="F602" s="425"/>
      <c r="G602" s="425"/>
      <c r="H602" s="425"/>
      <c r="I602" s="425"/>
      <c r="J602" s="425"/>
      <c r="K602" s="425"/>
      <c r="L602" s="375"/>
      <c r="M602" s="375"/>
      <c r="N602" s="375"/>
      <c r="O602" s="375"/>
      <c r="P602" s="375"/>
      <c r="Q602" s="375"/>
      <c r="R602" s="375"/>
      <c r="S602" s="375"/>
      <c r="T602" s="375"/>
      <c r="U602" s="375"/>
      <c r="V602" s="375"/>
      <c r="W602" s="375"/>
      <c r="X602" s="375"/>
      <c r="Y602" s="375"/>
      <c r="Z602" s="375"/>
      <c r="AA602" s="375"/>
    </row>
    <row r="603" spans="1:27" ht="14.4">
      <c r="A603" s="425"/>
      <c r="B603" s="425"/>
      <c r="C603" s="425"/>
      <c r="D603" s="391"/>
      <c r="E603" s="425"/>
      <c r="F603" s="425"/>
      <c r="G603" s="425"/>
      <c r="H603" s="425"/>
      <c r="I603" s="425"/>
      <c r="J603" s="425"/>
      <c r="K603" s="425"/>
      <c r="L603" s="375"/>
      <c r="M603" s="375"/>
      <c r="N603" s="375"/>
      <c r="O603" s="375"/>
      <c r="P603" s="375"/>
      <c r="Q603" s="375"/>
      <c r="R603" s="375"/>
      <c r="S603" s="375"/>
      <c r="T603" s="375"/>
      <c r="U603" s="375"/>
      <c r="V603" s="375"/>
      <c r="W603" s="375"/>
      <c r="X603" s="375"/>
      <c r="Y603" s="375"/>
      <c r="Z603" s="375"/>
      <c r="AA603" s="375"/>
    </row>
    <row r="604" spans="1:27" ht="14.4">
      <c r="A604" s="425"/>
      <c r="B604" s="425"/>
      <c r="C604" s="425"/>
      <c r="D604" s="391"/>
      <c r="E604" s="425"/>
      <c r="F604" s="425"/>
      <c r="G604" s="425"/>
      <c r="H604" s="425"/>
      <c r="I604" s="425"/>
      <c r="J604" s="425"/>
      <c r="K604" s="425"/>
      <c r="L604" s="375"/>
      <c r="M604" s="375"/>
      <c r="N604" s="375"/>
      <c r="O604" s="375"/>
      <c r="P604" s="375"/>
      <c r="Q604" s="375"/>
      <c r="R604" s="375"/>
      <c r="S604" s="375"/>
      <c r="T604" s="375"/>
      <c r="U604" s="375"/>
      <c r="V604" s="375"/>
      <c r="W604" s="375"/>
      <c r="X604" s="375"/>
      <c r="Y604" s="375"/>
      <c r="Z604" s="375"/>
      <c r="AA604" s="375"/>
    </row>
    <row r="605" spans="1:27" ht="14.4">
      <c r="A605" s="425"/>
      <c r="B605" s="425"/>
      <c r="C605" s="425"/>
      <c r="D605" s="391"/>
      <c r="E605" s="425"/>
      <c r="F605" s="425"/>
      <c r="G605" s="425"/>
      <c r="H605" s="425"/>
      <c r="I605" s="425"/>
      <c r="J605" s="425"/>
      <c r="K605" s="425"/>
      <c r="L605" s="375"/>
      <c r="M605" s="375"/>
      <c r="N605" s="375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375"/>
      <c r="Z605" s="375"/>
      <c r="AA605" s="375"/>
    </row>
    <row r="606" spans="1:27" ht="14.4">
      <c r="A606" s="425"/>
      <c r="B606" s="425"/>
      <c r="C606" s="425"/>
      <c r="D606" s="391"/>
      <c r="E606" s="425"/>
      <c r="F606" s="425"/>
      <c r="G606" s="425"/>
      <c r="H606" s="425"/>
      <c r="I606" s="425"/>
      <c r="J606" s="425"/>
      <c r="K606" s="425"/>
      <c r="L606" s="375"/>
      <c r="M606" s="375"/>
      <c r="N606" s="375"/>
      <c r="O606" s="375"/>
      <c r="P606" s="375"/>
      <c r="Q606" s="375"/>
      <c r="R606" s="375"/>
      <c r="S606" s="375"/>
      <c r="T606" s="375"/>
      <c r="U606" s="375"/>
      <c r="V606" s="375"/>
      <c r="W606" s="375"/>
      <c r="X606" s="375"/>
      <c r="Y606" s="375"/>
      <c r="Z606" s="375"/>
      <c r="AA606" s="375"/>
    </row>
    <row r="607" spans="1:27" ht="14.4">
      <c r="A607" s="425"/>
      <c r="B607" s="425"/>
      <c r="C607" s="425"/>
      <c r="D607" s="391"/>
      <c r="E607" s="425"/>
      <c r="F607" s="425"/>
      <c r="G607" s="425"/>
      <c r="H607" s="425"/>
      <c r="I607" s="425"/>
      <c r="J607" s="425"/>
      <c r="K607" s="425"/>
      <c r="L607" s="375"/>
      <c r="M607" s="375"/>
      <c r="N607" s="375"/>
      <c r="O607" s="375"/>
      <c r="P607" s="375"/>
      <c r="Q607" s="375"/>
      <c r="R607" s="375"/>
      <c r="S607" s="375"/>
      <c r="T607" s="375"/>
      <c r="U607" s="375"/>
      <c r="V607" s="375"/>
      <c r="W607" s="375"/>
      <c r="X607" s="375"/>
      <c r="Y607" s="375"/>
      <c r="Z607" s="375"/>
      <c r="AA607" s="375"/>
    </row>
    <row r="608" spans="1:27" ht="14.4">
      <c r="A608" s="425"/>
      <c r="B608" s="425"/>
      <c r="C608" s="425"/>
      <c r="D608" s="391"/>
      <c r="E608" s="425"/>
      <c r="F608" s="425"/>
      <c r="G608" s="425"/>
      <c r="H608" s="425"/>
      <c r="I608" s="425"/>
      <c r="J608" s="425"/>
      <c r="K608" s="425"/>
      <c r="L608" s="375"/>
      <c r="M608" s="375"/>
      <c r="N608" s="375"/>
      <c r="O608" s="375"/>
      <c r="P608" s="375"/>
      <c r="Q608" s="375"/>
      <c r="R608" s="375"/>
      <c r="S608" s="375"/>
      <c r="T608" s="375"/>
      <c r="U608" s="375"/>
      <c r="V608" s="375"/>
      <c r="W608" s="375"/>
      <c r="X608" s="375"/>
      <c r="Y608" s="375"/>
      <c r="Z608" s="375"/>
      <c r="AA608" s="375"/>
    </row>
    <row r="609" spans="1:27" ht="14.4">
      <c r="A609" s="425"/>
      <c r="B609" s="425"/>
      <c r="C609" s="425"/>
      <c r="D609" s="391"/>
      <c r="E609" s="425"/>
      <c r="F609" s="425"/>
      <c r="G609" s="425"/>
      <c r="H609" s="425"/>
      <c r="I609" s="425"/>
      <c r="J609" s="425"/>
      <c r="K609" s="425"/>
      <c r="L609" s="375"/>
      <c r="M609" s="375"/>
      <c r="N609" s="375"/>
      <c r="O609" s="375"/>
      <c r="P609" s="375"/>
      <c r="Q609" s="375"/>
      <c r="R609" s="375"/>
      <c r="S609" s="375"/>
      <c r="T609" s="375"/>
      <c r="U609" s="375"/>
      <c r="V609" s="375"/>
      <c r="W609" s="375"/>
      <c r="X609" s="375"/>
      <c r="Y609" s="375"/>
      <c r="Z609" s="375"/>
      <c r="AA609" s="375"/>
    </row>
    <row r="610" spans="1:27" ht="14.4">
      <c r="A610" s="425"/>
      <c r="B610" s="425"/>
      <c r="C610" s="425"/>
      <c r="D610" s="391"/>
      <c r="E610" s="425"/>
      <c r="F610" s="425"/>
      <c r="G610" s="425"/>
      <c r="H610" s="425"/>
      <c r="I610" s="425"/>
      <c r="J610" s="425"/>
      <c r="K610" s="425"/>
      <c r="L610" s="375"/>
      <c r="M610" s="375"/>
      <c r="N610" s="375"/>
      <c r="O610" s="375"/>
      <c r="P610" s="375"/>
      <c r="Q610" s="375"/>
      <c r="R610" s="375"/>
      <c r="S610" s="375"/>
      <c r="T610" s="375"/>
      <c r="U610" s="375"/>
      <c r="V610" s="375"/>
      <c r="W610" s="375"/>
      <c r="X610" s="375"/>
      <c r="Y610" s="375"/>
      <c r="Z610" s="375"/>
      <c r="AA610" s="375"/>
    </row>
    <row r="611" spans="1:27" ht="14.4">
      <c r="A611" s="425"/>
      <c r="B611" s="425"/>
      <c r="C611" s="425"/>
      <c r="D611" s="391"/>
      <c r="E611" s="425"/>
      <c r="F611" s="425"/>
      <c r="G611" s="425"/>
      <c r="H611" s="425"/>
      <c r="I611" s="425"/>
      <c r="J611" s="425"/>
      <c r="K611" s="425"/>
      <c r="L611" s="375"/>
      <c r="M611" s="375"/>
      <c r="N611" s="375"/>
      <c r="O611" s="375"/>
      <c r="P611" s="375"/>
      <c r="Q611" s="375"/>
      <c r="R611" s="375"/>
      <c r="S611" s="375"/>
      <c r="T611" s="375"/>
      <c r="U611" s="375"/>
      <c r="V611" s="375"/>
      <c r="W611" s="375"/>
      <c r="X611" s="375"/>
      <c r="Y611" s="375"/>
      <c r="Z611" s="375"/>
      <c r="AA611" s="375"/>
    </row>
    <row r="612" spans="1:27" ht="14.4">
      <c r="A612" s="425"/>
      <c r="B612" s="425"/>
      <c r="C612" s="425"/>
      <c r="D612" s="391"/>
      <c r="E612" s="425"/>
      <c r="F612" s="425"/>
      <c r="G612" s="425"/>
      <c r="H612" s="425"/>
      <c r="I612" s="425"/>
      <c r="J612" s="425"/>
      <c r="K612" s="425"/>
      <c r="L612" s="375"/>
      <c r="M612" s="375"/>
      <c r="N612" s="375"/>
      <c r="O612" s="375"/>
      <c r="P612" s="375"/>
      <c r="Q612" s="375"/>
      <c r="R612" s="375"/>
      <c r="S612" s="375"/>
      <c r="T612" s="375"/>
      <c r="U612" s="375"/>
      <c r="V612" s="375"/>
      <c r="W612" s="375"/>
      <c r="X612" s="375"/>
      <c r="Y612" s="375"/>
      <c r="Z612" s="375"/>
      <c r="AA612" s="375"/>
    </row>
    <row r="613" spans="1:27" ht="14.4">
      <c r="A613" s="425"/>
      <c r="B613" s="425"/>
      <c r="C613" s="425"/>
      <c r="D613" s="391"/>
      <c r="E613" s="425"/>
      <c r="F613" s="425"/>
      <c r="G613" s="425"/>
      <c r="H613" s="425"/>
      <c r="I613" s="425"/>
      <c r="J613" s="425"/>
      <c r="K613" s="425"/>
      <c r="L613" s="375"/>
      <c r="M613" s="375"/>
      <c r="N613" s="375"/>
      <c r="O613" s="375"/>
      <c r="P613" s="375"/>
      <c r="Q613" s="375"/>
      <c r="R613" s="375"/>
      <c r="S613" s="375"/>
      <c r="T613" s="375"/>
      <c r="U613" s="375"/>
      <c r="V613" s="375"/>
      <c r="W613" s="375"/>
      <c r="X613" s="375"/>
      <c r="Y613" s="375"/>
      <c r="Z613" s="375"/>
      <c r="AA613" s="375"/>
    </row>
    <row r="614" spans="1:27" ht="14.4">
      <c r="A614" s="425"/>
      <c r="B614" s="425"/>
      <c r="C614" s="425"/>
      <c r="D614" s="391"/>
      <c r="E614" s="425"/>
      <c r="F614" s="425"/>
      <c r="G614" s="425"/>
      <c r="H614" s="425"/>
      <c r="I614" s="425"/>
      <c r="J614" s="425"/>
      <c r="K614" s="425"/>
      <c r="L614" s="375"/>
      <c r="M614" s="375"/>
      <c r="N614" s="375"/>
      <c r="O614" s="375"/>
      <c r="P614" s="375"/>
      <c r="Q614" s="375"/>
      <c r="R614" s="375"/>
      <c r="S614" s="375"/>
      <c r="T614" s="375"/>
      <c r="U614" s="375"/>
      <c r="V614" s="375"/>
      <c r="W614" s="375"/>
      <c r="X614" s="375"/>
      <c r="Y614" s="375"/>
      <c r="Z614" s="375"/>
      <c r="AA614" s="375"/>
    </row>
    <row r="615" spans="1:27" ht="14.4">
      <c r="A615" s="425"/>
      <c r="B615" s="425"/>
      <c r="C615" s="425"/>
      <c r="D615" s="391"/>
      <c r="E615" s="425"/>
      <c r="F615" s="425"/>
      <c r="G615" s="425"/>
      <c r="H615" s="425"/>
      <c r="I615" s="425"/>
      <c r="J615" s="425"/>
      <c r="K615" s="425"/>
      <c r="L615" s="375"/>
      <c r="M615" s="375"/>
      <c r="N615" s="375"/>
      <c r="O615" s="375"/>
      <c r="P615" s="375"/>
      <c r="Q615" s="375"/>
      <c r="R615" s="375"/>
      <c r="S615" s="375"/>
      <c r="T615" s="375"/>
      <c r="U615" s="375"/>
      <c r="V615" s="375"/>
      <c r="W615" s="375"/>
      <c r="X615" s="375"/>
      <c r="Y615" s="375"/>
      <c r="Z615" s="375"/>
      <c r="AA615" s="375"/>
    </row>
    <row r="616" spans="1:27" ht="14.4">
      <c r="A616" s="425"/>
      <c r="B616" s="425"/>
      <c r="C616" s="425"/>
      <c r="D616" s="391"/>
      <c r="E616" s="425"/>
      <c r="F616" s="425"/>
      <c r="G616" s="425"/>
      <c r="H616" s="425"/>
      <c r="I616" s="425"/>
      <c r="J616" s="425"/>
      <c r="K616" s="425"/>
      <c r="L616" s="375"/>
      <c r="M616" s="375"/>
      <c r="N616" s="375"/>
      <c r="O616" s="375"/>
      <c r="P616" s="375"/>
      <c r="Q616" s="375"/>
      <c r="R616" s="375"/>
      <c r="S616" s="375"/>
      <c r="T616" s="375"/>
      <c r="U616" s="375"/>
      <c r="V616" s="375"/>
      <c r="W616" s="375"/>
      <c r="X616" s="375"/>
      <c r="Y616" s="375"/>
      <c r="Z616" s="375"/>
      <c r="AA616" s="375"/>
    </row>
    <row r="617" spans="1:27" ht="14.4">
      <c r="A617" s="425"/>
      <c r="B617" s="425"/>
      <c r="C617" s="425"/>
      <c r="D617" s="391"/>
      <c r="E617" s="425"/>
      <c r="F617" s="425"/>
      <c r="G617" s="425"/>
      <c r="H617" s="425"/>
      <c r="I617" s="425"/>
      <c r="J617" s="425"/>
      <c r="K617" s="425"/>
      <c r="L617" s="375"/>
      <c r="M617" s="375"/>
      <c r="N617" s="375"/>
      <c r="O617" s="375"/>
      <c r="P617" s="375"/>
      <c r="Q617" s="375"/>
      <c r="R617" s="375"/>
      <c r="S617" s="375"/>
      <c r="T617" s="375"/>
      <c r="U617" s="375"/>
      <c r="V617" s="375"/>
      <c r="W617" s="375"/>
      <c r="X617" s="375"/>
      <c r="Y617" s="375"/>
      <c r="Z617" s="375"/>
      <c r="AA617" s="375"/>
    </row>
    <row r="618" spans="1:27" ht="14.4">
      <c r="A618" s="425"/>
      <c r="B618" s="425"/>
      <c r="C618" s="425"/>
      <c r="D618" s="391"/>
      <c r="E618" s="425"/>
      <c r="F618" s="425"/>
      <c r="G618" s="425"/>
      <c r="H618" s="425"/>
      <c r="I618" s="425"/>
      <c r="J618" s="425"/>
      <c r="K618" s="425"/>
      <c r="L618" s="375"/>
      <c r="M618" s="375"/>
      <c r="N618" s="375"/>
      <c r="O618" s="375"/>
      <c r="P618" s="375"/>
      <c r="Q618" s="375"/>
      <c r="R618" s="375"/>
      <c r="S618" s="375"/>
      <c r="T618" s="375"/>
      <c r="U618" s="375"/>
      <c r="V618" s="375"/>
      <c r="W618" s="375"/>
      <c r="X618" s="375"/>
      <c r="Y618" s="375"/>
      <c r="Z618" s="375"/>
      <c r="AA618" s="375"/>
    </row>
    <row r="619" spans="1:27" ht="14.4">
      <c r="A619" s="425"/>
      <c r="B619" s="425"/>
      <c r="C619" s="425"/>
      <c r="D619" s="391"/>
      <c r="E619" s="425"/>
      <c r="F619" s="425"/>
      <c r="G619" s="425"/>
      <c r="H619" s="425"/>
      <c r="I619" s="425"/>
      <c r="J619" s="425"/>
      <c r="K619" s="425"/>
      <c r="L619" s="375"/>
      <c r="M619" s="375"/>
      <c r="N619" s="375"/>
      <c r="O619" s="375"/>
      <c r="P619" s="375"/>
      <c r="Q619" s="375"/>
      <c r="R619" s="375"/>
      <c r="S619" s="375"/>
      <c r="T619" s="375"/>
      <c r="U619" s="375"/>
      <c r="V619" s="375"/>
      <c r="W619" s="375"/>
      <c r="X619" s="375"/>
      <c r="Y619" s="375"/>
      <c r="Z619" s="375"/>
      <c r="AA619" s="375"/>
    </row>
    <row r="620" spans="1:27" ht="14.4">
      <c r="A620" s="425"/>
      <c r="B620" s="425"/>
      <c r="C620" s="425"/>
      <c r="D620" s="391"/>
      <c r="E620" s="425"/>
      <c r="F620" s="425"/>
      <c r="G620" s="425"/>
      <c r="H620" s="425"/>
      <c r="I620" s="425"/>
      <c r="J620" s="425"/>
      <c r="K620" s="425"/>
      <c r="L620" s="375"/>
      <c r="M620" s="375"/>
      <c r="N620" s="375"/>
      <c r="O620" s="375"/>
      <c r="P620" s="375"/>
      <c r="Q620" s="375"/>
      <c r="R620" s="375"/>
      <c r="S620" s="375"/>
      <c r="T620" s="375"/>
      <c r="U620" s="375"/>
      <c r="V620" s="375"/>
      <c r="W620" s="375"/>
      <c r="X620" s="375"/>
      <c r="Y620" s="375"/>
      <c r="Z620" s="375"/>
      <c r="AA620" s="375"/>
    </row>
    <row r="621" spans="1:27" ht="14.4">
      <c r="A621" s="425"/>
      <c r="B621" s="425"/>
      <c r="C621" s="425"/>
      <c r="D621" s="391"/>
      <c r="E621" s="425"/>
      <c r="F621" s="425"/>
      <c r="G621" s="425"/>
      <c r="H621" s="425"/>
      <c r="I621" s="425"/>
      <c r="J621" s="425"/>
      <c r="K621" s="425"/>
      <c r="L621" s="375"/>
      <c r="M621" s="375"/>
      <c r="N621" s="375"/>
      <c r="O621" s="375"/>
      <c r="P621" s="375"/>
      <c r="Q621" s="375"/>
      <c r="R621" s="375"/>
      <c r="S621" s="375"/>
      <c r="T621" s="375"/>
      <c r="U621" s="375"/>
      <c r="V621" s="375"/>
      <c r="W621" s="375"/>
      <c r="X621" s="375"/>
      <c r="Y621" s="375"/>
      <c r="Z621" s="375"/>
      <c r="AA621" s="375"/>
    </row>
    <row r="622" spans="1:27" ht="14.4">
      <c r="A622" s="425"/>
      <c r="B622" s="425"/>
      <c r="C622" s="425"/>
      <c r="D622" s="391"/>
      <c r="E622" s="425"/>
      <c r="F622" s="425"/>
      <c r="G622" s="425"/>
      <c r="H622" s="425"/>
      <c r="I622" s="425"/>
      <c r="J622" s="425"/>
      <c r="K622" s="425"/>
      <c r="L622" s="375"/>
      <c r="M622" s="375"/>
      <c r="N622" s="375"/>
      <c r="O622" s="375"/>
      <c r="P622" s="375"/>
      <c r="Q622" s="375"/>
      <c r="R622" s="375"/>
      <c r="S622" s="375"/>
      <c r="T622" s="375"/>
      <c r="U622" s="375"/>
      <c r="V622" s="375"/>
      <c r="W622" s="375"/>
      <c r="X622" s="375"/>
      <c r="Y622" s="375"/>
      <c r="Z622" s="375"/>
      <c r="AA622" s="375"/>
    </row>
    <row r="623" spans="1:27" ht="14.4">
      <c r="A623" s="425"/>
      <c r="B623" s="425"/>
      <c r="C623" s="425"/>
      <c r="D623" s="391"/>
      <c r="E623" s="425"/>
      <c r="F623" s="425"/>
      <c r="G623" s="425"/>
      <c r="H623" s="425"/>
      <c r="I623" s="425"/>
      <c r="J623" s="425"/>
      <c r="K623" s="425"/>
      <c r="L623" s="375"/>
      <c r="M623" s="375"/>
      <c r="N623" s="375"/>
      <c r="O623" s="375"/>
      <c r="P623" s="375"/>
      <c r="Q623" s="375"/>
      <c r="R623" s="375"/>
      <c r="S623" s="375"/>
      <c r="T623" s="375"/>
      <c r="U623" s="375"/>
      <c r="V623" s="375"/>
      <c r="W623" s="375"/>
      <c r="X623" s="375"/>
      <c r="Y623" s="375"/>
      <c r="Z623" s="375"/>
      <c r="AA623" s="375"/>
    </row>
    <row r="624" spans="1:27" ht="14.4">
      <c r="A624" s="425"/>
      <c r="B624" s="425"/>
      <c r="C624" s="425"/>
      <c r="D624" s="391"/>
      <c r="E624" s="425"/>
      <c r="F624" s="425"/>
      <c r="G624" s="425"/>
      <c r="H624" s="425"/>
      <c r="I624" s="425"/>
      <c r="J624" s="425"/>
      <c r="K624" s="425"/>
      <c r="L624" s="375"/>
      <c r="M624" s="375"/>
      <c r="N624" s="375"/>
      <c r="O624" s="375"/>
      <c r="P624" s="375"/>
      <c r="Q624" s="375"/>
      <c r="R624" s="375"/>
      <c r="S624" s="375"/>
      <c r="T624" s="375"/>
      <c r="U624" s="375"/>
      <c r="V624" s="375"/>
      <c r="W624" s="375"/>
      <c r="X624" s="375"/>
      <c r="Y624" s="375"/>
      <c r="Z624" s="375"/>
      <c r="AA624" s="375"/>
    </row>
    <row r="625" spans="1:27" ht="14.4">
      <c r="A625" s="425"/>
      <c r="B625" s="425"/>
      <c r="C625" s="425"/>
      <c r="D625" s="391"/>
      <c r="E625" s="425"/>
      <c r="F625" s="425"/>
      <c r="G625" s="425"/>
      <c r="H625" s="425"/>
      <c r="I625" s="425"/>
      <c r="J625" s="425"/>
      <c r="K625" s="425"/>
      <c r="L625" s="375"/>
      <c r="M625" s="375"/>
      <c r="N625" s="375"/>
      <c r="O625" s="375"/>
      <c r="P625" s="375"/>
      <c r="Q625" s="375"/>
      <c r="R625" s="375"/>
      <c r="S625" s="375"/>
      <c r="T625" s="375"/>
      <c r="U625" s="375"/>
      <c r="V625" s="375"/>
      <c r="W625" s="375"/>
      <c r="X625" s="375"/>
      <c r="Y625" s="375"/>
      <c r="Z625" s="375"/>
      <c r="AA625" s="375"/>
    </row>
    <row r="626" spans="1:27" ht="14.4">
      <c r="A626" s="425"/>
      <c r="B626" s="425"/>
      <c r="C626" s="425"/>
      <c r="D626" s="391"/>
      <c r="E626" s="425"/>
      <c r="F626" s="425"/>
      <c r="G626" s="425"/>
      <c r="H626" s="425"/>
      <c r="I626" s="425"/>
      <c r="J626" s="425"/>
      <c r="K626" s="425"/>
      <c r="L626" s="375"/>
      <c r="M626" s="375"/>
      <c r="N626" s="375"/>
      <c r="O626" s="375"/>
      <c r="P626" s="375"/>
      <c r="Q626" s="375"/>
      <c r="R626" s="375"/>
      <c r="S626" s="375"/>
      <c r="T626" s="375"/>
      <c r="U626" s="375"/>
      <c r="V626" s="375"/>
      <c r="W626" s="375"/>
      <c r="X626" s="375"/>
      <c r="Y626" s="375"/>
      <c r="Z626" s="375"/>
      <c r="AA626" s="375"/>
    </row>
    <row r="627" spans="1:27" ht="14.4">
      <c r="A627" s="425"/>
      <c r="B627" s="425"/>
      <c r="C627" s="425"/>
      <c r="D627" s="391"/>
      <c r="E627" s="425"/>
      <c r="F627" s="425"/>
      <c r="G627" s="425"/>
      <c r="H627" s="425"/>
      <c r="I627" s="425"/>
      <c r="J627" s="425"/>
      <c r="K627" s="425"/>
      <c r="L627" s="375"/>
      <c r="M627" s="375"/>
      <c r="N627" s="375"/>
      <c r="O627" s="375"/>
      <c r="P627" s="375"/>
      <c r="Q627" s="375"/>
      <c r="R627" s="375"/>
      <c r="S627" s="375"/>
      <c r="T627" s="375"/>
      <c r="U627" s="375"/>
      <c r="V627" s="375"/>
      <c r="W627" s="375"/>
      <c r="X627" s="375"/>
      <c r="Y627" s="375"/>
      <c r="Z627" s="375"/>
      <c r="AA627" s="375"/>
    </row>
    <row r="628" spans="1:27" ht="14.4">
      <c r="A628" s="425"/>
      <c r="B628" s="425"/>
      <c r="C628" s="425"/>
      <c r="D628" s="391"/>
      <c r="E628" s="425"/>
      <c r="F628" s="425"/>
      <c r="G628" s="425"/>
      <c r="H628" s="425"/>
      <c r="I628" s="425"/>
      <c r="J628" s="425"/>
      <c r="K628" s="425"/>
      <c r="L628" s="375"/>
      <c r="M628" s="375"/>
      <c r="N628" s="375"/>
      <c r="O628" s="375"/>
      <c r="P628" s="375"/>
      <c r="Q628" s="375"/>
      <c r="R628" s="375"/>
      <c r="S628" s="375"/>
      <c r="T628" s="375"/>
      <c r="U628" s="375"/>
      <c r="V628" s="375"/>
      <c r="W628" s="375"/>
      <c r="X628" s="375"/>
      <c r="Y628" s="375"/>
      <c r="Z628" s="375"/>
      <c r="AA628" s="375"/>
    </row>
    <row r="629" spans="1:27" ht="14.4">
      <c r="A629" s="425"/>
      <c r="B629" s="425"/>
      <c r="C629" s="425"/>
      <c r="D629" s="391"/>
      <c r="E629" s="425"/>
      <c r="F629" s="425"/>
      <c r="G629" s="425"/>
      <c r="H629" s="425"/>
      <c r="I629" s="425"/>
      <c r="J629" s="425"/>
      <c r="K629" s="425"/>
      <c r="L629" s="375"/>
      <c r="M629" s="375"/>
      <c r="N629" s="375"/>
      <c r="O629" s="375"/>
      <c r="P629" s="375"/>
      <c r="Q629" s="375"/>
      <c r="R629" s="375"/>
      <c r="S629" s="375"/>
      <c r="T629" s="375"/>
      <c r="U629" s="375"/>
      <c r="V629" s="375"/>
      <c r="W629" s="375"/>
      <c r="X629" s="375"/>
      <c r="Y629" s="375"/>
      <c r="Z629" s="375"/>
      <c r="AA629" s="375"/>
    </row>
    <row r="630" spans="1:27" ht="14.4">
      <c r="A630" s="425"/>
      <c r="B630" s="425"/>
      <c r="C630" s="425"/>
      <c r="D630" s="391"/>
      <c r="E630" s="425"/>
      <c r="F630" s="425"/>
      <c r="G630" s="425"/>
      <c r="H630" s="425"/>
      <c r="I630" s="425"/>
      <c r="J630" s="425"/>
      <c r="K630" s="425"/>
      <c r="L630" s="375"/>
      <c r="M630" s="375"/>
      <c r="N630" s="375"/>
      <c r="O630" s="375"/>
      <c r="P630" s="375"/>
      <c r="Q630" s="375"/>
      <c r="R630" s="375"/>
      <c r="S630" s="375"/>
      <c r="T630" s="375"/>
      <c r="U630" s="375"/>
      <c r="V630" s="375"/>
      <c r="W630" s="375"/>
      <c r="X630" s="375"/>
      <c r="Y630" s="375"/>
      <c r="Z630" s="375"/>
      <c r="AA630" s="375"/>
    </row>
    <row r="631" spans="1:27" ht="14.4">
      <c r="A631" s="425"/>
      <c r="B631" s="425"/>
      <c r="C631" s="425"/>
      <c r="D631" s="391"/>
      <c r="E631" s="425"/>
      <c r="F631" s="425"/>
      <c r="G631" s="425"/>
      <c r="H631" s="425"/>
      <c r="I631" s="425"/>
      <c r="J631" s="425"/>
      <c r="K631" s="425"/>
      <c r="L631" s="375"/>
      <c r="M631" s="375"/>
      <c r="N631" s="375"/>
      <c r="O631" s="375"/>
      <c r="P631" s="375"/>
      <c r="Q631" s="375"/>
      <c r="R631" s="375"/>
      <c r="S631" s="375"/>
      <c r="T631" s="375"/>
      <c r="U631" s="375"/>
      <c r="V631" s="375"/>
      <c r="W631" s="375"/>
      <c r="X631" s="375"/>
      <c r="Y631" s="375"/>
      <c r="Z631" s="375"/>
      <c r="AA631" s="375"/>
    </row>
    <row r="632" spans="1:27" ht="14.4">
      <c r="A632" s="425"/>
      <c r="B632" s="425"/>
      <c r="C632" s="425"/>
      <c r="D632" s="391"/>
      <c r="E632" s="425"/>
      <c r="F632" s="425"/>
      <c r="G632" s="425"/>
      <c r="H632" s="425"/>
      <c r="I632" s="425"/>
      <c r="J632" s="425"/>
      <c r="K632" s="425"/>
      <c r="L632" s="375"/>
      <c r="M632" s="375"/>
      <c r="N632" s="375"/>
      <c r="O632" s="375"/>
      <c r="P632" s="375"/>
      <c r="Q632" s="375"/>
      <c r="R632" s="375"/>
      <c r="S632" s="375"/>
      <c r="T632" s="375"/>
      <c r="U632" s="375"/>
      <c r="V632" s="375"/>
      <c r="W632" s="375"/>
      <c r="X632" s="375"/>
      <c r="Y632" s="375"/>
      <c r="Z632" s="375"/>
      <c r="AA632" s="375"/>
    </row>
    <row r="633" spans="1:27" ht="14.4">
      <c r="A633" s="425"/>
      <c r="B633" s="425"/>
      <c r="C633" s="425"/>
      <c r="D633" s="391"/>
      <c r="E633" s="425"/>
      <c r="F633" s="425"/>
      <c r="G633" s="425"/>
      <c r="H633" s="425"/>
      <c r="I633" s="425"/>
      <c r="J633" s="425"/>
      <c r="K633" s="425"/>
      <c r="L633" s="375"/>
      <c r="M633" s="375"/>
      <c r="N633" s="375"/>
      <c r="O633" s="375"/>
      <c r="P633" s="375"/>
      <c r="Q633" s="375"/>
      <c r="R633" s="375"/>
      <c r="S633" s="375"/>
      <c r="T633" s="375"/>
      <c r="U633" s="375"/>
      <c r="V633" s="375"/>
      <c r="W633" s="375"/>
      <c r="X633" s="375"/>
      <c r="Y633" s="375"/>
      <c r="Z633" s="375"/>
      <c r="AA633" s="375"/>
    </row>
    <row r="634" spans="1:27" ht="14.4">
      <c r="A634" s="425"/>
      <c r="B634" s="425"/>
      <c r="C634" s="425"/>
      <c r="D634" s="391"/>
      <c r="E634" s="425"/>
      <c r="F634" s="425"/>
      <c r="G634" s="425"/>
      <c r="H634" s="425"/>
      <c r="I634" s="425"/>
      <c r="J634" s="425"/>
      <c r="K634" s="425"/>
      <c r="L634" s="375"/>
      <c r="M634" s="375"/>
      <c r="N634" s="375"/>
      <c r="O634" s="375"/>
      <c r="P634" s="375"/>
      <c r="Q634" s="375"/>
      <c r="R634" s="375"/>
      <c r="S634" s="375"/>
      <c r="T634" s="375"/>
      <c r="U634" s="375"/>
      <c r="V634" s="375"/>
      <c r="W634" s="375"/>
      <c r="X634" s="375"/>
      <c r="Y634" s="375"/>
      <c r="Z634" s="375"/>
      <c r="AA634" s="375"/>
    </row>
    <row r="635" spans="1:27" ht="14.4">
      <c r="A635" s="425"/>
      <c r="B635" s="425"/>
      <c r="C635" s="425"/>
      <c r="D635" s="391"/>
      <c r="E635" s="425"/>
      <c r="F635" s="425"/>
      <c r="G635" s="425"/>
      <c r="H635" s="425"/>
      <c r="I635" s="425"/>
      <c r="J635" s="425"/>
      <c r="K635" s="425"/>
      <c r="L635" s="375"/>
      <c r="M635" s="375"/>
      <c r="N635" s="375"/>
      <c r="O635" s="375"/>
      <c r="P635" s="375"/>
      <c r="Q635" s="375"/>
      <c r="R635" s="375"/>
      <c r="S635" s="375"/>
      <c r="T635" s="375"/>
      <c r="U635" s="375"/>
      <c r="V635" s="375"/>
      <c r="W635" s="375"/>
      <c r="X635" s="375"/>
      <c r="Y635" s="375"/>
      <c r="Z635" s="375"/>
      <c r="AA635" s="375"/>
    </row>
    <row r="636" spans="1:27" ht="14.4">
      <c r="A636" s="425"/>
      <c r="B636" s="425"/>
      <c r="C636" s="425"/>
      <c r="D636" s="391"/>
      <c r="E636" s="425"/>
      <c r="F636" s="425"/>
      <c r="G636" s="425"/>
      <c r="H636" s="425"/>
      <c r="I636" s="425"/>
      <c r="J636" s="425"/>
      <c r="K636" s="425"/>
      <c r="L636" s="375"/>
      <c r="M636" s="375"/>
      <c r="N636" s="375"/>
      <c r="O636" s="375"/>
      <c r="P636" s="375"/>
      <c r="Q636" s="375"/>
      <c r="R636" s="375"/>
      <c r="S636" s="375"/>
      <c r="T636" s="375"/>
      <c r="U636" s="375"/>
      <c r="V636" s="375"/>
      <c r="W636" s="375"/>
      <c r="X636" s="375"/>
      <c r="Y636" s="375"/>
      <c r="Z636" s="375"/>
      <c r="AA636" s="375"/>
    </row>
    <row r="637" spans="1:27" ht="14.4">
      <c r="A637" s="425"/>
      <c r="B637" s="425"/>
      <c r="C637" s="425"/>
      <c r="D637" s="391"/>
      <c r="E637" s="425"/>
      <c r="F637" s="425"/>
      <c r="G637" s="425"/>
      <c r="H637" s="425"/>
      <c r="I637" s="425"/>
      <c r="J637" s="425"/>
      <c r="K637" s="425"/>
      <c r="L637" s="375"/>
      <c r="M637" s="375"/>
      <c r="N637" s="375"/>
      <c r="O637" s="375"/>
      <c r="P637" s="375"/>
      <c r="Q637" s="375"/>
      <c r="R637" s="375"/>
      <c r="S637" s="375"/>
      <c r="T637" s="375"/>
      <c r="U637" s="375"/>
      <c r="V637" s="375"/>
      <c r="W637" s="375"/>
      <c r="X637" s="375"/>
      <c r="Y637" s="375"/>
      <c r="Z637" s="375"/>
      <c r="AA637" s="375"/>
    </row>
    <row r="638" spans="1:27" ht="14.4">
      <c r="A638" s="425"/>
      <c r="B638" s="425"/>
      <c r="C638" s="425"/>
      <c r="D638" s="391"/>
      <c r="E638" s="425"/>
      <c r="F638" s="425"/>
      <c r="G638" s="425"/>
      <c r="H638" s="425"/>
      <c r="I638" s="425"/>
      <c r="J638" s="425"/>
      <c r="K638" s="425"/>
      <c r="L638" s="375"/>
      <c r="M638" s="375"/>
      <c r="N638" s="375"/>
      <c r="O638" s="375"/>
      <c r="P638" s="375"/>
      <c r="Q638" s="375"/>
      <c r="R638" s="375"/>
      <c r="S638" s="375"/>
      <c r="T638" s="375"/>
      <c r="U638" s="375"/>
      <c r="V638" s="375"/>
      <c r="W638" s="375"/>
      <c r="X638" s="375"/>
      <c r="Y638" s="375"/>
      <c r="Z638" s="375"/>
      <c r="AA638" s="375"/>
    </row>
    <row r="639" spans="1:27" ht="14.4">
      <c r="A639" s="425"/>
      <c r="B639" s="425"/>
      <c r="C639" s="425"/>
      <c r="D639" s="391"/>
      <c r="E639" s="425"/>
      <c r="F639" s="425"/>
      <c r="G639" s="425"/>
      <c r="H639" s="425"/>
      <c r="I639" s="425"/>
      <c r="J639" s="425"/>
      <c r="K639" s="425"/>
      <c r="L639" s="375"/>
      <c r="M639" s="375"/>
      <c r="N639" s="375"/>
      <c r="O639" s="375"/>
      <c r="P639" s="375"/>
      <c r="Q639" s="375"/>
      <c r="R639" s="375"/>
      <c r="S639" s="375"/>
      <c r="T639" s="375"/>
      <c r="U639" s="375"/>
      <c r="V639" s="375"/>
      <c r="W639" s="375"/>
      <c r="X639" s="375"/>
      <c r="Y639" s="375"/>
      <c r="Z639" s="375"/>
      <c r="AA639" s="375"/>
    </row>
    <row r="640" spans="1:27" ht="14.4">
      <c r="A640" s="425"/>
      <c r="B640" s="425"/>
      <c r="C640" s="425"/>
      <c r="D640" s="391"/>
      <c r="E640" s="425"/>
      <c r="F640" s="425"/>
      <c r="G640" s="425"/>
      <c r="H640" s="425"/>
      <c r="I640" s="425"/>
      <c r="J640" s="425"/>
      <c r="K640" s="425"/>
      <c r="L640" s="375"/>
      <c r="M640" s="375"/>
      <c r="N640" s="375"/>
      <c r="O640" s="375"/>
      <c r="P640" s="375"/>
      <c r="Q640" s="375"/>
      <c r="R640" s="375"/>
      <c r="S640" s="375"/>
      <c r="T640" s="375"/>
      <c r="U640" s="375"/>
      <c r="V640" s="375"/>
      <c r="W640" s="375"/>
      <c r="X640" s="375"/>
      <c r="Y640" s="375"/>
      <c r="Z640" s="375"/>
      <c r="AA640" s="375"/>
    </row>
    <row r="641" spans="1:27" ht="14.4">
      <c r="A641" s="425"/>
      <c r="B641" s="425"/>
      <c r="C641" s="425"/>
      <c r="D641" s="391"/>
      <c r="E641" s="425"/>
      <c r="F641" s="425"/>
      <c r="G641" s="425"/>
      <c r="H641" s="425"/>
      <c r="I641" s="425"/>
      <c r="J641" s="425"/>
      <c r="K641" s="425"/>
      <c r="L641" s="375"/>
      <c r="M641" s="375"/>
      <c r="N641" s="375"/>
      <c r="O641" s="375"/>
      <c r="P641" s="375"/>
      <c r="Q641" s="375"/>
      <c r="R641" s="375"/>
      <c r="S641" s="375"/>
      <c r="T641" s="375"/>
      <c r="U641" s="375"/>
      <c r="V641" s="375"/>
      <c r="W641" s="375"/>
      <c r="X641" s="375"/>
      <c r="Y641" s="375"/>
      <c r="Z641" s="375"/>
      <c r="AA641" s="375"/>
    </row>
    <row r="642" spans="1:27" ht="14.4">
      <c r="A642" s="425"/>
      <c r="B642" s="425"/>
      <c r="C642" s="425"/>
      <c r="D642" s="391"/>
      <c r="E642" s="425"/>
      <c r="F642" s="425"/>
      <c r="G642" s="425"/>
      <c r="H642" s="425"/>
      <c r="I642" s="425"/>
      <c r="J642" s="425"/>
      <c r="K642" s="425"/>
      <c r="L642" s="375"/>
      <c r="M642" s="375"/>
      <c r="N642" s="375"/>
      <c r="O642" s="375"/>
      <c r="P642" s="375"/>
      <c r="Q642" s="375"/>
      <c r="R642" s="375"/>
      <c r="S642" s="375"/>
      <c r="T642" s="375"/>
      <c r="U642" s="375"/>
      <c r="V642" s="375"/>
      <c r="W642" s="375"/>
      <c r="X642" s="375"/>
      <c r="Y642" s="375"/>
      <c r="Z642" s="375"/>
      <c r="AA642" s="375"/>
    </row>
    <row r="643" spans="1:27" ht="14.4">
      <c r="A643" s="425"/>
      <c r="B643" s="425"/>
      <c r="C643" s="425"/>
      <c r="D643" s="391"/>
      <c r="E643" s="425"/>
      <c r="F643" s="425"/>
      <c r="G643" s="425"/>
      <c r="H643" s="425"/>
      <c r="I643" s="425"/>
      <c r="J643" s="425"/>
      <c r="K643" s="425"/>
      <c r="L643" s="375"/>
      <c r="M643" s="375"/>
      <c r="N643" s="375"/>
      <c r="O643" s="375"/>
      <c r="P643" s="375"/>
      <c r="Q643" s="375"/>
      <c r="R643" s="375"/>
      <c r="S643" s="375"/>
      <c r="T643" s="375"/>
      <c r="U643" s="375"/>
      <c r="V643" s="375"/>
      <c r="W643" s="375"/>
      <c r="X643" s="375"/>
      <c r="Y643" s="375"/>
      <c r="Z643" s="375"/>
      <c r="AA643" s="375"/>
    </row>
    <row r="644" spans="1:27" ht="14.4">
      <c r="A644" s="425"/>
      <c r="B644" s="425"/>
      <c r="C644" s="425"/>
      <c r="D644" s="391"/>
      <c r="E644" s="425"/>
      <c r="F644" s="425"/>
      <c r="G644" s="425"/>
      <c r="H644" s="425"/>
      <c r="I644" s="425"/>
      <c r="J644" s="425"/>
      <c r="K644" s="425"/>
      <c r="L644" s="375"/>
      <c r="M644" s="375"/>
      <c r="N644" s="375"/>
      <c r="O644" s="375"/>
      <c r="P644" s="375"/>
      <c r="Q644" s="375"/>
      <c r="R644" s="375"/>
      <c r="S644" s="375"/>
      <c r="T644" s="375"/>
      <c r="U644" s="375"/>
      <c r="V644" s="375"/>
      <c r="W644" s="375"/>
      <c r="X644" s="375"/>
      <c r="Y644" s="375"/>
      <c r="Z644" s="375"/>
      <c r="AA644" s="375"/>
    </row>
    <row r="645" spans="1:27" ht="14.4">
      <c r="A645" s="425"/>
      <c r="B645" s="425"/>
      <c r="C645" s="425"/>
      <c r="D645" s="391"/>
      <c r="E645" s="425"/>
      <c r="F645" s="425"/>
      <c r="G645" s="425"/>
      <c r="H645" s="425"/>
      <c r="I645" s="425"/>
      <c r="J645" s="425"/>
      <c r="K645" s="425"/>
      <c r="L645" s="375"/>
      <c r="M645" s="375"/>
      <c r="N645" s="375"/>
      <c r="O645" s="375"/>
      <c r="P645" s="375"/>
      <c r="Q645" s="375"/>
      <c r="R645" s="375"/>
      <c r="S645" s="375"/>
      <c r="T645" s="375"/>
      <c r="U645" s="375"/>
      <c r="V645" s="375"/>
      <c r="W645" s="375"/>
      <c r="X645" s="375"/>
      <c r="Y645" s="375"/>
      <c r="Z645" s="375"/>
      <c r="AA645" s="375"/>
    </row>
    <row r="646" spans="1:27" ht="14.4">
      <c r="A646" s="425"/>
      <c r="B646" s="425"/>
      <c r="C646" s="425"/>
      <c r="D646" s="391"/>
      <c r="E646" s="425"/>
      <c r="F646" s="425"/>
      <c r="G646" s="425"/>
      <c r="H646" s="425"/>
      <c r="I646" s="425"/>
      <c r="J646" s="425"/>
      <c r="K646" s="425"/>
      <c r="L646" s="375"/>
      <c r="M646" s="375"/>
      <c r="N646" s="375"/>
      <c r="O646" s="375"/>
      <c r="P646" s="375"/>
      <c r="Q646" s="375"/>
      <c r="R646" s="375"/>
      <c r="S646" s="375"/>
      <c r="T646" s="375"/>
      <c r="U646" s="375"/>
      <c r="V646" s="375"/>
      <c r="W646" s="375"/>
      <c r="X646" s="375"/>
      <c r="Y646" s="375"/>
      <c r="Z646" s="375"/>
      <c r="AA646" s="375"/>
    </row>
    <row r="647" spans="1:27" ht="14.4">
      <c r="A647" s="425"/>
      <c r="B647" s="425"/>
      <c r="C647" s="425"/>
      <c r="D647" s="391"/>
      <c r="E647" s="425"/>
      <c r="F647" s="425"/>
      <c r="G647" s="425"/>
      <c r="H647" s="425"/>
      <c r="I647" s="425"/>
      <c r="J647" s="425"/>
      <c r="K647" s="425"/>
      <c r="L647" s="375"/>
      <c r="M647" s="375"/>
      <c r="N647" s="375"/>
      <c r="O647" s="375"/>
      <c r="P647" s="375"/>
      <c r="Q647" s="375"/>
      <c r="R647" s="375"/>
      <c r="S647" s="375"/>
      <c r="T647" s="375"/>
      <c r="U647" s="375"/>
      <c r="V647" s="375"/>
      <c r="W647" s="375"/>
      <c r="X647" s="375"/>
      <c r="Y647" s="375"/>
      <c r="Z647" s="375"/>
      <c r="AA647" s="375"/>
    </row>
    <row r="648" spans="1:27" ht="14.4">
      <c r="A648" s="425"/>
      <c r="B648" s="425"/>
      <c r="C648" s="425"/>
      <c r="D648" s="391"/>
      <c r="E648" s="425"/>
      <c r="F648" s="425"/>
      <c r="G648" s="425"/>
      <c r="H648" s="425"/>
      <c r="I648" s="425"/>
      <c r="J648" s="425"/>
      <c r="K648" s="425"/>
      <c r="L648" s="375"/>
      <c r="M648" s="375"/>
      <c r="N648" s="375"/>
      <c r="O648" s="375"/>
      <c r="P648" s="375"/>
      <c r="Q648" s="375"/>
      <c r="R648" s="375"/>
      <c r="S648" s="375"/>
      <c r="T648" s="375"/>
      <c r="U648" s="375"/>
      <c r="V648" s="375"/>
      <c r="W648" s="375"/>
      <c r="X648" s="375"/>
      <c r="Y648" s="375"/>
      <c r="Z648" s="375"/>
      <c r="AA648" s="375"/>
    </row>
    <row r="649" spans="1:27" ht="14.4">
      <c r="A649" s="425"/>
      <c r="B649" s="425"/>
      <c r="C649" s="425"/>
      <c r="D649" s="391"/>
      <c r="E649" s="425"/>
      <c r="F649" s="425"/>
      <c r="G649" s="425"/>
      <c r="H649" s="425"/>
      <c r="I649" s="425"/>
      <c r="J649" s="425"/>
      <c r="K649" s="425"/>
      <c r="L649" s="375"/>
      <c r="M649" s="375"/>
      <c r="N649" s="375"/>
      <c r="O649" s="375"/>
      <c r="P649" s="375"/>
      <c r="Q649" s="375"/>
      <c r="R649" s="375"/>
      <c r="S649" s="375"/>
      <c r="T649" s="375"/>
      <c r="U649" s="375"/>
      <c r="V649" s="375"/>
      <c r="W649" s="375"/>
      <c r="X649" s="375"/>
      <c r="Y649" s="375"/>
      <c r="Z649" s="375"/>
      <c r="AA649" s="375"/>
    </row>
    <row r="650" spans="1:27" ht="14.4">
      <c r="A650" s="425"/>
      <c r="B650" s="425"/>
      <c r="C650" s="425"/>
      <c r="D650" s="391"/>
      <c r="E650" s="425"/>
      <c r="F650" s="425"/>
      <c r="G650" s="425"/>
      <c r="H650" s="425"/>
      <c r="I650" s="425"/>
      <c r="J650" s="425"/>
      <c r="K650" s="425"/>
      <c r="L650" s="375"/>
      <c r="M650" s="375"/>
      <c r="N650" s="375"/>
      <c r="O650" s="375"/>
      <c r="P650" s="375"/>
      <c r="Q650" s="375"/>
      <c r="R650" s="375"/>
      <c r="S650" s="375"/>
      <c r="T650" s="375"/>
      <c r="U650" s="375"/>
      <c r="V650" s="375"/>
      <c r="W650" s="375"/>
      <c r="X650" s="375"/>
      <c r="Y650" s="375"/>
      <c r="Z650" s="375"/>
      <c r="AA650" s="375"/>
    </row>
    <row r="651" spans="1:27" ht="14.4">
      <c r="A651" s="425"/>
      <c r="B651" s="425"/>
      <c r="C651" s="425"/>
      <c r="D651" s="391"/>
      <c r="E651" s="425"/>
      <c r="F651" s="425"/>
      <c r="G651" s="425"/>
      <c r="H651" s="425"/>
      <c r="I651" s="425"/>
      <c r="J651" s="425"/>
      <c r="K651" s="425"/>
      <c r="L651" s="375"/>
      <c r="M651" s="375"/>
      <c r="N651" s="375"/>
      <c r="O651" s="375"/>
      <c r="P651" s="375"/>
      <c r="Q651" s="375"/>
      <c r="R651" s="375"/>
      <c r="S651" s="375"/>
      <c r="T651" s="375"/>
      <c r="U651" s="375"/>
      <c r="V651" s="375"/>
      <c r="W651" s="375"/>
      <c r="X651" s="375"/>
      <c r="Y651" s="375"/>
      <c r="Z651" s="375"/>
      <c r="AA651" s="375"/>
    </row>
    <row r="652" spans="1:27" ht="14.4">
      <c r="A652" s="425"/>
      <c r="B652" s="425"/>
      <c r="C652" s="425"/>
      <c r="D652" s="391"/>
      <c r="E652" s="425"/>
      <c r="F652" s="425"/>
      <c r="G652" s="425"/>
      <c r="H652" s="425"/>
      <c r="I652" s="425"/>
      <c r="J652" s="425"/>
      <c r="K652" s="425"/>
      <c r="L652" s="375"/>
      <c r="M652" s="375"/>
      <c r="N652" s="375"/>
      <c r="O652" s="375"/>
      <c r="P652" s="375"/>
      <c r="Q652" s="375"/>
      <c r="R652" s="375"/>
      <c r="S652" s="375"/>
      <c r="T652" s="375"/>
      <c r="U652" s="375"/>
      <c r="V652" s="375"/>
      <c r="W652" s="375"/>
      <c r="X652" s="375"/>
      <c r="Y652" s="375"/>
      <c r="Z652" s="375"/>
      <c r="AA652" s="375"/>
    </row>
    <row r="653" spans="1:27" ht="14.4">
      <c r="A653" s="425"/>
      <c r="B653" s="425"/>
      <c r="C653" s="425"/>
      <c r="D653" s="391"/>
      <c r="E653" s="425"/>
      <c r="F653" s="425"/>
      <c r="G653" s="425"/>
      <c r="H653" s="425"/>
      <c r="I653" s="425"/>
      <c r="J653" s="425"/>
      <c r="K653" s="425"/>
      <c r="L653" s="375"/>
      <c r="M653" s="375"/>
      <c r="N653" s="375"/>
      <c r="O653" s="375"/>
      <c r="P653" s="375"/>
      <c r="Q653" s="375"/>
      <c r="R653" s="375"/>
      <c r="S653" s="375"/>
      <c r="T653" s="375"/>
      <c r="U653" s="375"/>
      <c r="V653" s="375"/>
      <c r="W653" s="375"/>
      <c r="X653" s="375"/>
      <c r="Y653" s="375"/>
      <c r="Z653" s="375"/>
      <c r="AA653" s="375"/>
    </row>
    <row r="654" spans="1:27" ht="14.4">
      <c r="A654" s="425"/>
      <c r="B654" s="425"/>
      <c r="C654" s="425"/>
      <c r="D654" s="391"/>
      <c r="E654" s="425"/>
      <c r="F654" s="425"/>
      <c r="G654" s="425"/>
      <c r="H654" s="425"/>
      <c r="I654" s="425"/>
      <c r="J654" s="425"/>
      <c r="K654" s="425"/>
      <c r="L654" s="375"/>
      <c r="M654" s="375"/>
      <c r="N654" s="375"/>
      <c r="O654" s="375"/>
      <c r="P654" s="375"/>
      <c r="Q654" s="375"/>
      <c r="R654" s="375"/>
      <c r="S654" s="375"/>
      <c r="T654" s="375"/>
      <c r="U654" s="375"/>
      <c r="V654" s="375"/>
      <c r="W654" s="375"/>
      <c r="X654" s="375"/>
      <c r="Y654" s="375"/>
      <c r="Z654" s="375"/>
      <c r="AA654" s="375"/>
    </row>
    <row r="655" spans="1:27" ht="14.4">
      <c r="A655" s="425"/>
      <c r="B655" s="425"/>
      <c r="C655" s="425"/>
      <c r="D655" s="391"/>
      <c r="E655" s="425"/>
      <c r="F655" s="425"/>
      <c r="G655" s="425"/>
      <c r="H655" s="425"/>
      <c r="I655" s="425"/>
      <c r="J655" s="425"/>
      <c r="K655" s="425"/>
      <c r="L655" s="375"/>
      <c r="M655" s="375"/>
      <c r="N655" s="375"/>
      <c r="O655" s="375"/>
      <c r="P655" s="375"/>
      <c r="Q655" s="375"/>
      <c r="R655" s="375"/>
      <c r="S655" s="375"/>
      <c r="T655" s="375"/>
      <c r="U655" s="375"/>
      <c r="V655" s="375"/>
      <c r="W655" s="375"/>
      <c r="X655" s="375"/>
      <c r="Y655" s="375"/>
      <c r="Z655" s="375"/>
      <c r="AA655" s="375"/>
    </row>
    <row r="656" spans="1:27" ht="14.4">
      <c r="A656" s="425"/>
      <c r="B656" s="425"/>
      <c r="C656" s="425"/>
      <c r="D656" s="391"/>
      <c r="E656" s="425"/>
      <c r="F656" s="425"/>
      <c r="G656" s="425"/>
      <c r="H656" s="425"/>
      <c r="I656" s="425"/>
      <c r="J656" s="425"/>
      <c r="K656" s="425"/>
      <c r="L656" s="375"/>
      <c r="M656" s="375"/>
      <c r="N656" s="375"/>
      <c r="O656" s="375"/>
      <c r="P656" s="375"/>
      <c r="Q656" s="375"/>
      <c r="R656" s="375"/>
      <c r="S656" s="375"/>
      <c r="T656" s="375"/>
      <c r="U656" s="375"/>
      <c r="V656" s="375"/>
      <c r="W656" s="375"/>
      <c r="X656" s="375"/>
      <c r="Y656" s="375"/>
      <c r="Z656" s="375"/>
      <c r="AA656" s="375"/>
    </row>
    <row r="657" spans="1:27" ht="14.4">
      <c r="A657" s="425"/>
      <c r="B657" s="425"/>
      <c r="C657" s="425"/>
      <c r="D657" s="391"/>
      <c r="E657" s="425"/>
      <c r="F657" s="425"/>
      <c r="G657" s="425"/>
      <c r="H657" s="425"/>
      <c r="I657" s="425"/>
      <c r="J657" s="425"/>
      <c r="K657" s="425"/>
      <c r="L657" s="375"/>
      <c r="M657" s="375"/>
      <c r="N657" s="375"/>
      <c r="O657" s="375"/>
      <c r="P657" s="375"/>
      <c r="Q657" s="375"/>
      <c r="R657" s="375"/>
      <c r="S657" s="375"/>
      <c r="T657" s="375"/>
      <c r="U657" s="375"/>
      <c r="V657" s="375"/>
      <c r="W657" s="375"/>
      <c r="X657" s="375"/>
      <c r="Y657" s="375"/>
      <c r="Z657" s="375"/>
      <c r="AA657" s="375"/>
    </row>
    <row r="658" spans="1:27" ht="14.4">
      <c r="A658" s="425"/>
      <c r="B658" s="425"/>
      <c r="C658" s="425"/>
      <c r="D658" s="391"/>
      <c r="E658" s="425"/>
      <c r="F658" s="425"/>
      <c r="G658" s="425"/>
      <c r="H658" s="425"/>
      <c r="I658" s="425"/>
      <c r="J658" s="425"/>
      <c r="K658" s="425"/>
      <c r="L658" s="375"/>
      <c r="M658" s="375"/>
      <c r="N658" s="375"/>
      <c r="O658" s="375"/>
      <c r="P658" s="375"/>
      <c r="Q658" s="375"/>
      <c r="R658" s="375"/>
      <c r="S658" s="375"/>
      <c r="T658" s="375"/>
      <c r="U658" s="375"/>
      <c r="V658" s="375"/>
      <c r="W658" s="375"/>
      <c r="X658" s="375"/>
      <c r="Y658" s="375"/>
      <c r="Z658" s="375"/>
      <c r="AA658" s="375"/>
    </row>
    <row r="659" spans="1:27" ht="14.4">
      <c r="A659" s="425"/>
      <c r="B659" s="425"/>
      <c r="C659" s="425"/>
      <c r="D659" s="391"/>
      <c r="E659" s="425"/>
      <c r="F659" s="425"/>
      <c r="G659" s="425"/>
      <c r="H659" s="425"/>
      <c r="I659" s="425"/>
      <c r="J659" s="425"/>
      <c r="K659" s="425"/>
      <c r="L659" s="375"/>
      <c r="M659" s="375"/>
      <c r="N659" s="375"/>
      <c r="O659" s="375"/>
      <c r="P659" s="375"/>
      <c r="Q659" s="375"/>
      <c r="R659" s="375"/>
      <c r="S659" s="375"/>
      <c r="T659" s="375"/>
      <c r="U659" s="375"/>
      <c r="V659" s="375"/>
      <c r="W659" s="375"/>
      <c r="X659" s="375"/>
      <c r="Y659" s="375"/>
      <c r="Z659" s="375"/>
      <c r="AA659" s="375"/>
    </row>
    <row r="660" spans="1:27" ht="14.4">
      <c r="A660" s="425"/>
      <c r="B660" s="425"/>
      <c r="C660" s="425"/>
      <c r="D660" s="391"/>
      <c r="E660" s="425"/>
      <c r="F660" s="425"/>
      <c r="G660" s="425"/>
      <c r="H660" s="425"/>
      <c r="I660" s="425"/>
      <c r="J660" s="425"/>
      <c r="K660" s="425"/>
      <c r="L660" s="375"/>
      <c r="M660" s="375"/>
      <c r="N660" s="375"/>
      <c r="O660" s="375"/>
      <c r="P660" s="375"/>
      <c r="Q660" s="375"/>
      <c r="R660" s="375"/>
      <c r="S660" s="375"/>
      <c r="T660" s="375"/>
      <c r="U660" s="375"/>
      <c r="V660" s="375"/>
      <c r="W660" s="375"/>
      <c r="X660" s="375"/>
      <c r="Y660" s="375"/>
      <c r="Z660" s="375"/>
      <c r="AA660" s="375"/>
    </row>
    <row r="661" spans="1:27" ht="14.4">
      <c r="A661" s="425"/>
      <c r="B661" s="425"/>
      <c r="C661" s="425"/>
      <c r="D661" s="391"/>
      <c r="E661" s="425"/>
      <c r="F661" s="425"/>
      <c r="G661" s="425"/>
      <c r="H661" s="425"/>
      <c r="I661" s="425"/>
      <c r="J661" s="425"/>
      <c r="K661" s="425"/>
      <c r="L661" s="375"/>
      <c r="M661" s="375"/>
      <c r="N661" s="375"/>
      <c r="O661" s="375"/>
      <c r="P661" s="375"/>
      <c r="Q661" s="375"/>
      <c r="R661" s="375"/>
      <c r="S661" s="375"/>
      <c r="T661" s="375"/>
      <c r="U661" s="375"/>
      <c r="V661" s="375"/>
      <c r="W661" s="375"/>
      <c r="X661" s="375"/>
      <c r="Y661" s="375"/>
      <c r="Z661" s="375"/>
      <c r="AA661" s="375"/>
    </row>
    <row r="662" spans="1:27" ht="14.4">
      <c r="A662" s="425"/>
      <c r="B662" s="425"/>
      <c r="C662" s="425"/>
      <c r="D662" s="391"/>
      <c r="E662" s="425"/>
      <c r="F662" s="425"/>
      <c r="G662" s="425"/>
      <c r="H662" s="425"/>
      <c r="I662" s="425"/>
      <c r="J662" s="425"/>
      <c r="K662" s="425"/>
      <c r="L662" s="375"/>
      <c r="M662" s="375"/>
      <c r="N662" s="375"/>
      <c r="O662" s="375"/>
      <c r="P662" s="375"/>
      <c r="Q662" s="375"/>
      <c r="R662" s="375"/>
      <c r="S662" s="375"/>
      <c r="T662" s="375"/>
      <c r="U662" s="375"/>
      <c r="V662" s="375"/>
      <c r="W662" s="375"/>
      <c r="X662" s="375"/>
      <c r="Y662" s="375"/>
      <c r="Z662" s="375"/>
      <c r="AA662" s="375"/>
    </row>
    <row r="663" spans="1:27" ht="14.4">
      <c r="A663" s="425"/>
      <c r="B663" s="425"/>
      <c r="C663" s="425"/>
      <c r="D663" s="391"/>
      <c r="E663" s="425"/>
      <c r="F663" s="425"/>
      <c r="G663" s="425"/>
      <c r="H663" s="425"/>
      <c r="I663" s="425"/>
      <c r="J663" s="425"/>
      <c r="K663" s="425"/>
      <c r="L663" s="375"/>
      <c r="M663" s="375"/>
      <c r="N663" s="375"/>
      <c r="O663" s="375"/>
      <c r="P663" s="375"/>
      <c r="Q663" s="375"/>
      <c r="R663" s="375"/>
      <c r="S663" s="375"/>
      <c r="T663" s="375"/>
      <c r="U663" s="375"/>
      <c r="V663" s="375"/>
      <c r="W663" s="375"/>
      <c r="X663" s="375"/>
      <c r="Y663" s="375"/>
      <c r="Z663" s="375"/>
      <c r="AA663" s="375"/>
    </row>
    <row r="664" spans="1:27" ht="14.4">
      <c r="A664" s="425"/>
      <c r="B664" s="425"/>
      <c r="C664" s="425"/>
      <c r="D664" s="391"/>
      <c r="E664" s="425"/>
      <c r="F664" s="425"/>
      <c r="G664" s="425"/>
      <c r="H664" s="425"/>
      <c r="I664" s="425"/>
      <c r="J664" s="425"/>
      <c r="K664" s="425"/>
      <c r="L664" s="375"/>
      <c r="M664" s="375"/>
      <c r="N664" s="375"/>
      <c r="O664" s="375"/>
      <c r="P664" s="375"/>
      <c r="Q664" s="375"/>
      <c r="R664" s="375"/>
      <c r="S664" s="375"/>
      <c r="T664" s="375"/>
      <c r="U664" s="375"/>
      <c r="V664" s="375"/>
      <c r="W664" s="375"/>
      <c r="X664" s="375"/>
      <c r="Y664" s="375"/>
      <c r="Z664" s="375"/>
      <c r="AA664" s="375"/>
    </row>
    <row r="665" spans="1:27" ht="14.4">
      <c r="A665" s="425"/>
      <c r="B665" s="425"/>
      <c r="C665" s="425"/>
      <c r="D665" s="391"/>
      <c r="E665" s="425"/>
      <c r="F665" s="425"/>
      <c r="G665" s="425"/>
      <c r="H665" s="425"/>
      <c r="I665" s="425"/>
      <c r="J665" s="425"/>
      <c r="K665" s="425"/>
      <c r="L665" s="375"/>
      <c r="M665" s="375"/>
      <c r="N665" s="375"/>
      <c r="O665" s="375"/>
      <c r="P665" s="375"/>
      <c r="Q665" s="375"/>
      <c r="R665" s="375"/>
      <c r="S665" s="375"/>
      <c r="T665" s="375"/>
      <c r="U665" s="375"/>
      <c r="V665" s="375"/>
      <c r="W665" s="375"/>
      <c r="X665" s="375"/>
      <c r="Y665" s="375"/>
      <c r="Z665" s="375"/>
      <c r="AA665" s="375"/>
    </row>
    <row r="666" spans="1:27" ht="14.4">
      <c r="A666" s="425"/>
      <c r="B666" s="425"/>
      <c r="C666" s="425"/>
      <c r="D666" s="391"/>
      <c r="E666" s="425"/>
      <c r="F666" s="425"/>
      <c r="G666" s="425"/>
      <c r="H666" s="425"/>
      <c r="I666" s="425"/>
      <c r="J666" s="425"/>
      <c r="K666" s="425"/>
      <c r="L666" s="375"/>
      <c r="M666" s="375"/>
      <c r="N666" s="375"/>
      <c r="O666" s="375"/>
      <c r="P666" s="375"/>
      <c r="Q666" s="375"/>
      <c r="R666" s="375"/>
      <c r="S666" s="375"/>
      <c r="T666" s="375"/>
      <c r="U666" s="375"/>
      <c r="V666" s="375"/>
      <c r="W666" s="375"/>
      <c r="X666" s="375"/>
      <c r="Y666" s="375"/>
      <c r="Z666" s="375"/>
      <c r="AA666" s="375"/>
    </row>
    <row r="667" spans="1:27" ht="14.4">
      <c r="A667" s="425"/>
      <c r="B667" s="425"/>
      <c r="C667" s="425"/>
      <c r="D667" s="391"/>
      <c r="E667" s="425"/>
      <c r="F667" s="425"/>
      <c r="G667" s="425"/>
      <c r="H667" s="425"/>
      <c r="I667" s="425"/>
      <c r="J667" s="425"/>
      <c r="K667" s="425"/>
      <c r="L667" s="375"/>
      <c r="M667" s="375"/>
      <c r="N667" s="375"/>
      <c r="O667" s="375"/>
      <c r="P667" s="375"/>
      <c r="Q667" s="375"/>
      <c r="R667" s="375"/>
      <c r="S667" s="375"/>
      <c r="T667" s="375"/>
      <c r="U667" s="375"/>
      <c r="V667" s="375"/>
      <c r="W667" s="375"/>
      <c r="X667" s="375"/>
      <c r="Y667" s="375"/>
      <c r="Z667" s="375"/>
      <c r="AA667" s="375"/>
    </row>
    <row r="668" spans="1:27" ht="14.4">
      <c r="A668" s="425"/>
      <c r="B668" s="425"/>
      <c r="C668" s="425"/>
      <c r="D668" s="391"/>
      <c r="E668" s="425"/>
      <c r="F668" s="425"/>
      <c r="G668" s="425"/>
      <c r="H668" s="425"/>
      <c r="I668" s="425"/>
      <c r="J668" s="425"/>
      <c r="K668" s="425"/>
      <c r="L668" s="375"/>
      <c r="M668" s="375"/>
      <c r="N668" s="375"/>
      <c r="O668" s="375"/>
      <c r="P668" s="375"/>
      <c r="Q668" s="375"/>
      <c r="R668" s="375"/>
      <c r="S668" s="375"/>
      <c r="T668" s="375"/>
      <c r="U668" s="375"/>
      <c r="V668" s="375"/>
      <c r="W668" s="375"/>
      <c r="X668" s="375"/>
      <c r="Y668" s="375"/>
      <c r="Z668" s="375"/>
      <c r="AA668" s="375"/>
    </row>
    <row r="669" spans="1:27" ht="14.4">
      <c r="A669" s="425"/>
      <c r="B669" s="425"/>
      <c r="C669" s="425"/>
      <c r="D669" s="391"/>
      <c r="E669" s="425"/>
      <c r="F669" s="425"/>
      <c r="G669" s="425"/>
      <c r="H669" s="425"/>
      <c r="I669" s="425"/>
      <c r="J669" s="425"/>
      <c r="K669" s="425"/>
      <c r="L669" s="375"/>
      <c r="M669" s="375"/>
      <c r="N669" s="375"/>
      <c r="O669" s="375"/>
      <c r="P669" s="375"/>
      <c r="Q669" s="375"/>
      <c r="R669" s="375"/>
      <c r="S669" s="375"/>
      <c r="T669" s="375"/>
      <c r="U669" s="375"/>
      <c r="V669" s="375"/>
      <c r="W669" s="375"/>
      <c r="X669" s="375"/>
      <c r="Y669" s="375"/>
      <c r="Z669" s="375"/>
      <c r="AA669" s="375"/>
    </row>
    <row r="670" spans="1:27" ht="14.4">
      <c r="A670" s="425"/>
      <c r="B670" s="425"/>
      <c r="C670" s="425"/>
      <c r="D670" s="391"/>
      <c r="E670" s="425"/>
      <c r="F670" s="425"/>
      <c r="G670" s="425"/>
      <c r="H670" s="425"/>
      <c r="I670" s="425"/>
      <c r="J670" s="425"/>
      <c r="K670" s="425"/>
      <c r="L670" s="375"/>
      <c r="M670" s="375"/>
      <c r="N670" s="375"/>
      <c r="O670" s="375"/>
      <c r="P670" s="375"/>
      <c r="Q670" s="375"/>
      <c r="R670" s="375"/>
      <c r="S670" s="375"/>
      <c r="T670" s="375"/>
      <c r="U670" s="375"/>
      <c r="V670" s="375"/>
      <c r="W670" s="375"/>
      <c r="X670" s="375"/>
      <c r="Y670" s="375"/>
      <c r="Z670" s="375"/>
      <c r="AA670" s="375"/>
    </row>
    <row r="671" spans="1:27" ht="14.4">
      <c r="A671" s="425"/>
      <c r="B671" s="425"/>
      <c r="C671" s="425"/>
      <c r="D671" s="391"/>
      <c r="E671" s="425"/>
      <c r="F671" s="425"/>
      <c r="G671" s="425"/>
      <c r="H671" s="425"/>
      <c r="I671" s="425"/>
      <c r="J671" s="425"/>
      <c r="K671" s="425"/>
      <c r="L671" s="375"/>
      <c r="M671" s="375"/>
      <c r="N671" s="375"/>
      <c r="O671" s="375"/>
      <c r="P671" s="375"/>
      <c r="Q671" s="375"/>
      <c r="R671" s="375"/>
      <c r="S671" s="375"/>
      <c r="T671" s="375"/>
      <c r="U671" s="375"/>
      <c r="V671" s="375"/>
      <c r="W671" s="375"/>
      <c r="X671" s="375"/>
      <c r="Y671" s="375"/>
      <c r="Z671" s="375"/>
      <c r="AA671" s="375"/>
    </row>
    <row r="672" spans="1:27" ht="14.4">
      <c r="A672" s="425"/>
      <c r="B672" s="425"/>
      <c r="C672" s="425"/>
      <c r="D672" s="391"/>
      <c r="E672" s="425"/>
      <c r="F672" s="425"/>
      <c r="G672" s="425"/>
      <c r="H672" s="425"/>
      <c r="I672" s="425"/>
      <c r="J672" s="425"/>
      <c r="K672" s="425"/>
      <c r="L672" s="375"/>
      <c r="M672" s="375"/>
      <c r="N672" s="375"/>
      <c r="O672" s="375"/>
      <c r="P672" s="375"/>
      <c r="Q672" s="375"/>
      <c r="R672" s="375"/>
      <c r="S672" s="375"/>
      <c r="T672" s="375"/>
      <c r="U672" s="375"/>
      <c r="V672" s="375"/>
      <c r="W672" s="375"/>
      <c r="X672" s="375"/>
      <c r="Y672" s="375"/>
      <c r="Z672" s="375"/>
      <c r="AA672" s="375"/>
    </row>
    <row r="673" spans="1:27" ht="14.4">
      <c r="A673" s="425"/>
      <c r="B673" s="425"/>
      <c r="C673" s="425"/>
      <c r="D673" s="391"/>
      <c r="E673" s="425"/>
      <c r="F673" s="425"/>
      <c r="G673" s="425"/>
      <c r="H673" s="425"/>
      <c r="I673" s="425"/>
      <c r="J673" s="425"/>
      <c r="K673" s="425"/>
      <c r="L673" s="375"/>
      <c r="M673" s="375"/>
      <c r="N673" s="375"/>
      <c r="O673" s="375"/>
      <c r="P673" s="375"/>
      <c r="Q673" s="375"/>
      <c r="R673" s="375"/>
      <c r="S673" s="375"/>
      <c r="T673" s="375"/>
      <c r="U673" s="375"/>
      <c r="V673" s="375"/>
      <c r="W673" s="375"/>
      <c r="X673" s="375"/>
      <c r="Y673" s="375"/>
      <c r="Z673" s="375"/>
      <c r="AA673" s="375"/>
    </row>
    <row r="674" spans="1:27" ht="14.4">
      <c r="A674" s="425"/>
      <c r="B674" s="425"/>
      <c r="C674" s="425"/>
      <c r="D674" s="391"/>
      <c r="E674" s="425"/>
      <c r="F674" s="425"/>
      <c r="G674" s="425"/>
      <c r="H674" s="425"/>
      <c r="I674" s="425"/>
      <c r="J674" s="425"/>
      <c r="K674" s="425"/>
      <c r="L674" s="375"/>
      <c r="M674" s="375"/>
      <c r="N674" s="375"/>
      <c r="O674" s="375"/>
      <c r="P674" s="375"/>
      <c r="Q674" s="375"/>
      <c r="R674" s="375"/>
      <c r="S674" s="375"/>
      <c r="T674" s="375"/>
      <c r="U674" s="375"/>
      <c r="V674" s="375"/>
      <c r="W674" s="375"/>
      <c r="X674" s="375"/>
      <c r="Y674" s="375"/>
      <c r="Z674" s="375"/>
      <c r="AA674" s="375"/>
    </row>
    <row r="675" spans="1:27" ht="14.4">
      <c r="A675" s="425"/>
      <c r="B675" s="425"/>
      <c r="C675" s="425"/>
      <c r="D675" s="391"/>
      <c r="E675" s="425"/>
      <c r="F675" s="425"/>
      <c r="G675" s="425"/>
      <c r="H675" s="425"/>
      <c r="I675" s="425"/>
      <c r="J675" s="425"/>
      <c r="K675" s="425"/>
      <c r="L675" s="375"/>
      <c r="M675" s="375"/>
      <c r="N675" s="375"/>
      <c r="O675" s="375"/>
      <c r="P675" s="375"/>
      <c r="Q675" s="375"/>
      <c r="R675" s="375"/>
      <c r="S675" s="375"/>
      <c r="T675" s="375"/>
      <c r="U675" s="375"/>
      <c r="V675" s="375"/>
      <c r="W675" s="375"/>
      <c r="X675" s="375"/>
      <c r="Y675" s="375"/>
      <c r="Z675" s="375"/>
      <c r="AA675" s="375"/>
    </row>
    <row r="676" spans="1:27" ht="14.4">
      <c r="A676" s="425"/>
      <c r="B676" s="425"/>
      <c r="C676" s="425"/>
      <c r="D676" s="391"/>
      <c r="E676" s="425"/>
      <c r="F676" s="425"/>
      <c r="G676" s="425"/>
      <c r="H676" s="425"/>
      <c r="I676" s="425"/>
      <c r="J676" s="425"/>
      <c r="K676" s="425"/>
      <c r="L676" s="375"/>
      <c r="M676" s="375"/>
      <c r="N676" s="375"/>
      <c r="O676" s="375"/>
      <c r="P676" s="375"/>
      <c r="Q676" s="375"/>
      <c r="R676" s="375"/>
      <c r="S676" s="375"/>
      <c r="T676" s="375"/>
      <c r="U676" s="375"/>
      <c r="V676" s="375"/>
      <c r="W676" s="375"/>
      <c r="X676" s="375"/>
      <c r="Y676" s="375"/>
      <c r="Z676" s="375"/>
      <c r="AA676" s="375"/>
    </row>
    <row r="677" spans="1:27" ht="14.4">
      <c r="A677" s="425"/>
      <c r="B677" s="425"/>
      <c r="C677" s="425"/>
      <c r="D677" s="391"/>
      <c r="E677" s="425"/>
      <c r="F677" s="425"/>
      <c r="G677" s="425"/>
      <c r="H677" s="425"/>
      <c r="I677" s="425"/>
      <c r="J677" s="425"/>
      <c r="K677" s="425"/>
      <c r="L677" s="375"/>
      <c r="M677" s="375"/>
      <c r="N677" s="375"/>
      <c r="O677" s="375"/>
      <c r="P677" s="375"/>
      <c r="Q677" s="375"/>
      <c r="R677" s="375"/>
      <c r="S677" s="375"/>
      <c r="T677" s="375"/>
      <c r="U677" s="375"/>
      <c r="V677" s="375"/>
      <c r="W677" s="375"/>
      <c r="X677" s="375"/>
      <c r="Y677" s="375"/>
      <c r="Z677" s="375"/>
      <c r="AA677" s="375"/>
    </row>
    <row r="678" spans="1:27" ht="14.4">
      <c r="A678" s="425"/>
      <c r="B678" s="425"/>
      <c r="C678" s="425"/>
      <c r="D678" s="391"/>
      <c r="E678" s="425"/>
      <c r="F678" s="425"/>
      <c r="G678" s="425"/>
      <c r="H678" s="425"/>
      <c r="I678" s="425"/>
      <c r="J678" s="425"/>
      <c r="K678" s="425"/>
      <c r="L678" s="375"/>
      <c r="M678" s="375"/>
      <c r="N678" s="375"/>
      <c r="O678" s="375"/>
      <c r="P678" s="375"/>
      <c r="Q678" s="375"/>
      <c r="R678" s="375"/>
      <c r="S678" s="375"/>
      <c r="T678" s="375"/>
      <c r="U678" s="375"/>
      <c r="V678" s="375"/>
      <c r="W678" s="375"/>
      <c r="X678" s="375"/>
      <c r="Y678" s="375"/>
      <c r="Z678" s="375"/>
      <c r="AA678" s="375"/>
    </row>
    <row r="679" spans="1:27" ht="14.4">
      <c r="A679" s="425"/>
      <c r="B679" s="425"/>
      <c r="C679" s="425"/>
      <c r="D679" s="391"/>
      <c r="E679" s="425"/>
      <c r="F679" s="425"/>
      <c r="G679" s="425"/>
      <c r="H679" s="425"/>
      <c r="I679" s="425"/>
      <c r="J679" s="425"/>
      <c r="K679" s="425"/>
      <c r="L679" s="375"/>
      <c r="M679" s="375"/>
      <c r="N679" s="375"/>
      <c r="O679" s="375"/>
      <c r="P679" s="375"/>
      <c r="Q679" s="375"/>
      <c r="R679" s="375"/>
      <c r="S679" s="375"/>
      <c r="T679" s="375"/>
      <c r="U679" s="375"/>
      <c r="V679" s="375"/>
      <c r="W679" s="375"/>
      <c r="X679" s="375"/>
      <c r="Y679" s="375"/>
      <c r="Z679" s="375"/>
      <c r="AA679" s="375"/>
    </row>
    <row r="680" spans="1:27" ht="14.4">
      <c r="A680" s="425"/>
      <c r="B680" s="425"/>
      <c r="C680" s="425"/>
      <c r="D680" s="391"/>
      <c r="E680" s="425"/>
      <c r="F680" s="425"/>
      <c r="G680" s="425"/>
      <c r="H680" s="425"/>
      <c r="I680" s="425"/>
      <c r="J680" s="425"/>
      <c r="K680" s="425"/>
      <c r="L680" s="375"/>
      <c r="M680" s="375"/>
      <c r="N680" s="375"/>
      <c r="O680" s="375"/>
      <c r="P680" s="375"/>
      <c r="Q680" s="375"/>
      <c r="R680" s="375"/>
      <c r="S680" s="375"/>
      <c r="T680" s="375"/>
      <c r="U680" s="375"/>
      <c r="V680" s="375"/>
      <c r="W680" s="375"/>
      <c r="X680" s="375"/>
      <c r="Y680" s="375"/>
      <c r="Z680" s="375"/>
      <c r="AA680" s="375"/>
    </row>
    <row r="681" spans="1:27" ht="14.4">
      <c r="A681" s="425"/>
      <c r="B681" s="425"/>
      <c r="C681" s="425"/>
      <c r="D681" s="391"/>
      <c r="E681" s="425"/>
      <c r="F681" s="425"/>
      <c r="G681" s="425"/>
      <c r="H681" s="425"/>
      <c r="I681" s="425"/>
      <c r="J681" s="425"/>
      <c r="K681" s="425"/>
      <c r="L681" s="375"/>
      <c r="M681" s="375"/>
      <c r="N681" s="375"/>
      <c r="O681" s="375"/>
      <c r="P681" s="375"/>
      <c r="Q681" s="375"/>
      <c r="R681" s="375"/>
      <c r="S681" s="375"/>
      <c r="T681" s="375"/>
      <c r="U681" s="375"/>
      <c r="V681" s="375"/>
      <c r="W681" s="375"/>
      <c r="X681" s="375"/>
      <c r="Y681" s="375"/>
      <c r="Z681" s="375"/>
      <c r="AA681" s="375"/>
    </row>
    <row r="682" spans="1:27" ht="14.4">
      <c r="A682" s="425"/>
      <c r="B682" s="425"/>
      <c r="C682" s="425"/>
      <c r="D682" s="391"/>
      <c r="E682" s="425"/>
      <c r="F682" s="425"/>
      <c r="G682" s="425"/>
      <c r="H682" s="425"/>
      <c r="I682" s="425"/>
      <c r="J682" s="425"/>
      <c r="K682" s="425"/>
      <c r="L682" s="375"/>
      <c r="M682" s="375"/>
      <c r="N682" s="375"/>
      <c r="O682" s="375"/>
      <c r="P682" s="375"/>
      <c r="Q682" s="375"/>
      <c r="R682" s="375"/>
      <c r="S682" s="375"/>
      <c r="T682" s="375"/>
      <c r="U682" s="375"/>
      <c r="V682" s="375"/>
      <c r="W682" s="375"/>
      <c r="X682" s="375"/>
      <c r="Y682" s="375"/>
      <c r="Z682" s="375"/>
      <c r="AA682" s="375"/>
    </row>
    <row r="683" spans="1:27" ht="14.4">
      <c r="A683" s="425"/>
      <c r="B683" s="425"/>
      <c r="C683" s="425"/>
      <c r="D683" s="391"/>
      <c r="E683" s="425"/>
      <c r="F683" s="425"/>
      <c r="G683" s="425"/>
      <c r="H683" s="425"/>
      <c r="I683" s="425"/>
      <c r="J683" s="425"/>
      <c r="K683" s="425"/>
      <c r="L683" s="375"/>
      <c r="M683" s="375"/>
      <c r="N683" s="375"/>
      <c r="O683" s="375"/>
      <c r="P683" s="375"/>
      <c r="Q683" s="375"/>
      <c r="R683" s="375"/>
      <c r="S683" s="375"/>
      <c r="T683" s="375"/>
      <c r="U683" s="375"/>
      <c r="V683" s="375"/>
      <c r="W683" s="375"/>
      <c r="X683" s="375"/>
      <c r="Y683" s="375"/>
      <c r="Z683" s="375"/>
      <c r="AA683" s="375"/>
    </row>
    <row r="684" spans="1:27" ht="14.4">
      <c r="A684" s="425"/>
      <c r="B684" s="425"/>
      <c r="C684" s="425"/>
      <c r="D684" s="391"/>
      <c r="E684" s="425"/>
      <c r="F684" s="425"/>
      <c r="G684" s="425"/>
      <c r="H684" s="425"/>
      <c r="I684" s="425"/>
      <c r="J684" s="425"/>
      <c r="K684" s="425"/>
      <c r="L684" s="375"/>
      <c r="M684" s="375"/>
      <c r="N684" s="375"/>
      <c r="O684" s="375"/>
      <c r="P684" s="375"/>
      <c r="Q684" s="375"/>
      <c r="R684" s="375"/>
      <c r="S684" s="375"/>
      <c r="T684" s="375"/>
      <c r="U684" s="375"/>
      <c r="V684" s="375"/>
      <c r="W684" s="375"/>
      <c r="X684" s="375"/>
      <c r="Y684" s="375"/>
      <c r="Z684" s="375"/>
      <c r="AA684" s="375"/>
    </row>
    <row r="685" spans="1:27" ht="14.4">
      <c r="A685" s="425"/>
      <c r="B685" s="425"/>
      <c r="C685" s="425"/>
      <c r="D685" s="391"/>
      <c r="E685" s="425"/>
      <c r="F685" s="425"/>
      <c r="G685" s="425"/>
      <c r="H685" s="425"/>
      <c r="I685" s="425"/>
      <c r="J685" s="425"/>
      <c r="K685" s="425"/>
      <c r="L685" s="375"/>
      <c r="M685" s="375"/>
      <c r="N685" s="375"/>
      <c r="O685" s="375"/>
      <c r="P685" s="375"/>
      <c r="Q685" s="375"/>
      <c r="R685" s="375"/>
      <c r="S685" s="375"/>
      <c r="T685" s="375"/>
      <c r="U685" s="375"/>
      <c r="V685" s="375"/>
      <c r="W685" s="375"/>
      <c r="X685" s="375"/>
      <c r="Y685" s="375"/>
      <c r="Z685" s="375"/>
      <c r="AA685" s="375"/>
    </row>
    <row r="686" spans="1:27" ht="14.4">
      <c r="A686" s="425"/>
      <c r="B686" s="425"/>
      <c r="C686" s="425"/>
      <c r="D686" s="391"/>
      <c r="E686" s="425"/>
      <c r="F686" s="425"/>
      <c r="G686" s="425"/>
      <c r="H686" s="425"/>
      <c r="I686" s="425"/>
      <c r="J686" s="425"/>
      <c r="K686" s="425"/>
      <c r="L686" s="375"/>
      <c r="M686" s="375"/>
      <c r="N686" s="375"/>
      <c r="O686" s="375"/>
      <c r="P686" s="375"/>
      <c r="Q686" s="375"/>
      <c r="R686" s="375"/>
      <c r="S686" s="375"/>
      <c r="T686" s="375"/>
      <c r="U686" s="375"/>
      <c r="V686" s="375"/>
      <c r="W686" s="375"/>
      <c r="X686" s="375"/>
      <c r="Y686" s="375"/>
      <c r="Z686" s="375"/>
      <c r="AA686" s="375"/>
    </row>
    <row r="687" spans="1:27" ht="14.4">
      <c r="A687" s="425"/>
      <c r="B687" s="425"/>
      <c r="C687" s="425"/>
      <c r="D687" s="391"/>
      <c r="E687" s="425"/>
      <c r="F687" s="425"/>
      <c r="G687" s="425"/>
      <c r="H687" s="425"/>
      <c r="I687" s="425"/>
      <c r="J687" s="425"/>
      <c r="K687" s="425"/>
      <c r="L687" s="375"/>
      <c r="M687" s="375"/>
      <c r="N687" s="375"/>
      <c r="O687" s="375"/>
      <c r="P687" s="375"/>
      <c r="Q687" s="375"/>
      <c r="R687" s="375"/>
      <c r="S687" s="375"/>
      <c r="T687" s="375"/>
      <c r="U687" s="375"/>
      <c r="V687" s="375"/>
      <c r="W687" s="375"/>
      <c r="X687" s="375"/>
      <c r="Y687" s="375"/>
      <c r="Z687" s="375"/>
      <c r="AA687" s="375"/>
    </row>
    <row r="688" spans="1:27" ht="14.4">
      <c r="A688" s="425"/>
      <c r="B688" s="425"/>
      <c r="C688" s="425"/>
      <c r="D688" s="391"/>
      <c r="E688" s="425"/>
      <c r="F688" s="425"/>
      <c r="G688" s="425"/>
      <c r="H688" s="425"/>
      <c r="I688" s="425"/>
      <c r="J688" s="425"/>
      <c r="K688" s="425"/>
      <c r="L688" s="375"/>
      <c r="M688" s="375"/>
      <c r="N688" s="375"/>
      <c r="O688" s="375"/>
      <c r="P688" s="375"/>
      <c r="Q688" s="375"/>
      <c r="R688" s="375"/>
      <c r="S688" s="375"/>
      <c r="T688" s="375"/>
      <c r="U688" s="375"/>
      <c r="V688" s="375"/>
      <c r="W688" s="375"/>
      <c r="X688" s="375"/>
      <c r="Y688" s="375"/>
      <c r="Z688" s="375"/>
      <c r="AA688" s="375"/>
    </row>
    <row r="689" spans="1:27" ht="14.4">
      <c r="A689" s="425"/>
      <c r="B689" s="425"/>
      <c r="C689" s="425"/>
      <c r="D689" s="391"/>
      <c r="E689" s="425"/>
      <c r="F689" s="425"/>
      <c r="G689" s="425"/>
      <c r="H689" s="425"/>
      <c r="I689" s="425"/>
      <c r="J689" s="425"/>
      <c r="K689" s="425"/>
      <c r="L689" s="375"/>
      <c r="M689" s="375"/>
      <c r="N689" s="375"/>
      <c r="O689" s="375"/>
      <c r="P689" s="375"/>
      <c r="Q689" s="375"/>
      <c r="R689" s="375"/>
      <c r="S689" s="375"/>
      <c r="T689" s="375"/>
      <c r="U689" s="375"/>
      <c r="V689" s="375"/>
      <c r="W689" s="375"/>
      <c r="X689" s="375"/>
      <c r="Y689" s="375"/>
      <c r="Z689" s="375"/>
      <c r="AA689" s="375"/>
    </row>
    <row r="690" spans="1:27" ht="14.4">
      <c r="A690" s="425"/>
      <c r="B690" s="425"/>
      <c r="C690" s="425"/>
      <c r="D690" s="391"/>
      <c r="E690" s="425"/>
      <c r="F690" s="425"/>
      <c r="G690" s="425"/>
      <c r="H690" s="425"/>
      <c r="I690" s="425"/>
      <c r="J690" s="425"/>
      <c r="K690" s="425"/>
      <c r="L690" s="375"/>
      <c r="M690" s="375"/>
      <c r="N690" s="375"/>
      <c r="O690" s="375"/>
      <c r="P690" s="375"/>
      <c r="Q690" s="375"/>
      <c r="R690" s="375"/>
      <c r="S690" s="375"/>
      <c r="T690" s="375"/>
      <c r="U690" s="375"/>
      <c r="V690" s="375"/>
      <c r="W690" s="375"/>
      <c r="X690" s="375"/>
      <c r="Y690" s="375"/>
      <c r="Z690" s="375"/>
      <c r="AA690" s="375"/>
    </row>
    <row r="691" spans="1:27" ht="14.4">
      <c r="A691" s="425"/>
      <c r="B691" s="425"/>
      <c r="C691" s="425"/>
      <c r="D691" s="391"/>
      <c r="E691" s="425"/>
      <c r="F691" s="425"/>
      <c r="G691" s="425"/>
      <c r="H691" s="425"/>
      <c r="I691" s="425"/>
      <c r="J691" s="425"/>
      <c r="K691" s="425"/>
      <c r="L691" s="375"/>
      <c r="M691" s="375"/>
      <c r="N691" s="375"/>
      <c r="O691" s="375"/>
      <c r="P691" s="375"/>
      <c r="Q691" s="375"/>
      <c r="R691" s="375"/>
      <c r="S691" s="375"/>
      <c r="T691" s="375"/>
      <c r="U691" s="375"/>
      <c r="V691" s="375"/>
      <c r="W691" s="375"/>
      <c r="X691" s="375"/>
      <c r="Y691" s="375"/>
      <c r="Z691" s="375"/>
      <c r="AA691" s="375"/>
    </row>
    <row r="692" spans="1:27" ht="14.4">
      <c r="A692" s="425"/>
      <c r="B692" s="425"/>
      <c r="C692" s="425"/>
      <c r="D692" s="391"/>
      <c r="E692" s="425"/>
      <c r="F692" s="425"/>
      <c r="G692" s="425"/>
      <c r="H692" s="425"/>
      <c r="I692" s="425"/>
      <c r="J692" s="425"/>
      <c r="K692" s="425"/>
      <c r="L692" s="375"/>
      <c r="M692" s="375"/>
      <c r="N692" s="375"/>
      <c r="O692" s="375"/>
      <c r="P692" s="375"/>
      <c r="Q692" s="375"/>
      <c r="R692" s="375"/>
      <c r="S692" s="375"/>
      <c r="T692" s="375"/>
      <c r="U692" s="375"/>
      <c r="V692" s="375"/>
      <c r="W692" s="375"/>
      <c r="X692" s="375"/>
      <c r="Y692" s="375"/>
      <c r="Z692" s="375"/>
      <c r="AA692" s="375"/>
    </row>
    <row r="693" spans="1:27" ht="14.4">
      <c r="A693" s="425"/>
      <c r="B693" s="425"/>
      <c r="C693" s="425"/>
      <c r="D693" s="391"/>
      <c r="E693" s="425"/>
      <c r="F693" s="425"/>
      <c r="G693" s="425"/>
      <c r="H693" s="425"/>
      <c r="I693" s="425"/>
      <c r="J693" s="425"/>
      <c r="K693" s="425"/>
      <c r="L693" s="375"/>
      <c r="M693" s="375"/>
      <c r="N693" s="375"/>
      <c r="O693" s="375"/>
      <c r="P693" s="375"/>
      <c r="Q693" s="375"/>
      <c r="R693" s="375"/>
      <c r="S693" s="375"/>
      <c r="T693" s="375"/>
      <c r="U693" s="375"/>
      <c r="V693" s="375"/>
      <c r="W693" s="375"/>
      <c r="X693" s="375"/>
      <c r="Y693" s="375"/>
      <c r="Z693" s="375"/>
      <c r="AA693" s="375"/>
    </row>
    <row r="694" spans="1:27" ht="14.4">
      <c r="A694" s="425"/>
      <c r="B694" s="425"/>
      <c r="C694" s="425"/>
      <c r="D694" s="391"/>
      <c r="E694" s="425"/>
      <c r="F694" s="425"/>
      <c r="G694" s="425"/>
      <c r="H694" s="425"/>
      <c r="I694" s="425"/>
      <c r="J694" s="425"/>
      <c r="K694" s="425"/>
      <c r="L694" s="375"/>
      <c r="M694" s="375"/>
      <c r="N694" s="375"/>
      <c r="O694" s="375"/>
      <c r="P694" s="375"/>
      <c r="Q694" s="375"/>
      <c r="R694" s="375"/>
      <c r="S694" s="375"/>
      <c r="T694" s="375"/>
      <c r="U694" s="375"/>
      <c r="V694" s="375"/>
      <c r="W694" s="375"/>
      <c r="X694" s="375"/>
      <c r="Y694" s="375"/>
      <c r="Z694" s="375"/>
      <c r="AA694" s="375"/>
    </row>
    <row r="695" spans="1:27" ht="14.4">
      <c r="A695" s="425"/>
      <c r="B695" s="425"/>
      <c r="C695" s="425"/>
      <c r="D695" s="391"/>
      <c r="E695" s="425"/>
      <c r="F695" s="425"/>
      <c r="G695" s="425"/>
      <c r="H695" s="425"/>
      <c r="I695" s="425"/>
      <c r="J695" s="425"/>
      <c r="K695" s="425"/>
      <c r="L695" s="375"/>
      <c r="M695" s="375"/>
      <c r="N695" s="375"/>
      <c r="O695" s="375"/>
      <c r="P695" s="375"/>
      <c r="Q695" s="375"/>
      <c r="R695" s="375"/>
      <c r="S695" s="375"/>
      <c r="T695" s="375"/>
      <c r="U695" s="375"/>
      <c r="V695" s="375"/>
      <c r="W695" s="375"/>
      <c r="X695" s="375"/>
      <c r="Y695" s="375"/>
      <c r="Z695" s="375"/>
      <c r="AA695" s="375"/>
    </row>
    <row r="696" spans="1:27" ht="14.4">
      <c r="A696" s="425"/>
      <c r="B696" s="425"/>
      <c r="C696" s="425"/>
      <c r="D696" s="391"/>
      <c r="E696" s="425"/>
      <c r="F696" s="425"/>
      <c r="G696" s="425"/>
      <c r="H696" s="425"/>
      <c r="I696" s="425"/>
      <c r="J696" s="425"/>
      <c r="K696" s="425"/>
      <c r="L696" s="375"/>
      <c r="M696" s="375"/>
      <c r="N696" s="375"/>
      <c r="O696" s="375"/>
      <c r="P696" s="375"/>
      <c r="Q696" s="375"/>
      <c r="R696" s="375"/>
      <c r="S696" s="375"/>
      <c r="T696" s="375"/>
      <c r="U696" s="375"/>
      <c r="V696" s="375"/>
      <c r="W696" s="375"/>
      <c r="X696" s="375"/>
      <c r="Y696" s="375"/>
      <c r="Z696" s="375"/>
      <c r="AA696" s="375"/>
    </row>
    <row r="697" spans="1:27" ht="14.4">
      <c r="A697" s="425"/>
      <c r="B697" s="425"/>
      <c r="C697" s="425"/>
      <c r="D697" s="391"/>
      <c r="E697" s="425"/>
      <c r="F697" s="425"/>
      <c r="G697" s="425"/>
      <c r="H697" s="425"/>
      <c r="I697" s="425"/>
      <c r="J697" s="425"/>
      <c r="K697" s="425"/>
      <c r="L697" s="375"/>
      <c r="M697" s="375"/>
      <c r="N697" s="375"/>
      <c r="O697" s="375"/>
      <c r="P697" s="375"/>
      <c r="Q697" s="375"/>
      <c r="R697" s="375"/>
      <c r="S697" s="375"/>
      <c r="T697" s="375"/>
      <c r="U697" s="375"/>
      <c r="V697" s="375"/>
      <c r="W697" s="375"/>
      <c r="X697" s="375"/>
      <c r="Y697" s="375"/>
      <c r="Z697" s="375"/>
      <c r="AA697" s="375"/>
    </row>
    <row r="698" spans="1:27" ht="14.4">
      <c r="A698" s="425"/>
      <c r="B698" s="425"/>
      <c r="C698" s="425"/>
      <c r="D698" s="391"/>
      <c r="E698" s="425"/>
      <c r="F698" s="425"/>
      <c r="G698" s="425"/>
      <c r="H698" s="425"/>
      <c r="I698" s="425"/>
      <c r="J698" s="425"/>
      <c r="K698" s="425"/>
      <c r="L698" s="375"/>
      <c r="M698" s="375"/>
      <c r="N698" s="375"/>
      <c r="O698" s="375"/>
      <c r="P698" s="375"/>
      <c r="Q698" s="375"/>
      <c r="R698" s="375"/>
      <c r="S698" s="375"/>
      <c r="T698" s="375"/>
      <c r="U698" s="375"/>
      <c r="V698" s="375"/>
      <c r="W698" s="375"/>
      <c r="X698" s="375"/>
      <c r="Y698" s="375"/>
      <c r="Z698" s="375"/>
      <c r="AA698" s="375"/>
    </row>
    <row r="699" spans="1:27" ht="14.4">
      <c r="A699" s="425"/>
      <c r="B699" s="425"/>
      <c r="C699" s="425"/>
      <c r="D699" s="391"/>
      <c r="E699" s="425"/>
      <c r="F699" s="425"/>
      <c r="G699" s="425"/>
      <c r="H699" s="425"/>
      <c r="I699" s="425"/>
      <c r="J699" s="425"/>
      <c r="K699" s="425"/>
      <c r="L699" s="375"/>
      <c r="M699" s="375"/>
      <c r="N699" s="375"/>
      <c r="O699" s="375"/>
      <c r="P699" s="375"/>
      <c r="Q699" s="375"/>
      <c r="R699" s="375"/>
      <c r="S699" s="375"/>
      <c r="T699" s="375"/>
      <c r="U699" s="375"/>
      <c r="V699" s="375"/>
      <c r="W699" s="375"/>
      <c r="X699" s="375"/>
      <c r="Y699" s="375"/>
      <c r="Z699" s="375"/>
      <c r="AA699" s="375"/>
    </row>
    <row r="700" spans="1:27" ht="14.4">
      <c r="A700" s="425"/>
      <c r="B700" s="425"/>
      <c r="C700" s="425"/>
      <c r="D700" s="391"/>
      <c r="E700" s="425"/>
      <c r="F700" s="425"/>
      <c r="G700" s="425"/>
      <c r="H700" s="425"/>
      <c r="I700" s="425"/>
      <c r="J700" s="425"/>
      <c r="K700" s="425"/>
      <c r="L700" s="375"/>
      <c r="M700" s="375"/>
      <c r="N700" s="375"/>
      <c r="O700" s="375"/>
      <c r="P700" s="375"/>
      <c r="Q700" s="375"/>
      <c r="R700" s="375"/>
      <c r="S700" s="375"/>
      <c r="T700" s="375"/>
      <c r="U700" s="375"/>
      <c r="V700" s="375"/>
      <c r="W700" s="375"/>
      <c r="X700" s="375"/>
      <c r="Y700" s="375"/>
      <c r="Z700" s="375"/>
      <c r="AA700" s="375"/>
    </row>
    <row r="701" spans="1:27" ht="14.4">
      <c r="A701" s="425"/>
      <c r="B701" s="425"/>
      <c r="C701" s="425"/>
      <c r="D701" s="391"/>
      <c r="E701" s="425"/>
      <c r="F701" s="425"/>
      <c r="G701" s="425"/>
      <c r="H701" s="425"/>
      <c r="I701" s="425"/>
      <c r="J701" s="425"/>
      <c r="K701" s="425"/>
      <c r="L701" s="375"/>
      <c r="M701" s="375"/>
      <c r="N701" s="375"/>
      <c r="O701" s="375"/>
      <c r="P701" s="375"/>
      <c r="Q701" s="375"/>
      <c r="R701" s="375"/>
      <c r="S701" s="375"/>
      <c r="T701" s="375"/>
      <c r="U701" s="375"/>
      <c r="V701" s="375"/>
      <c r="W701" s="375"/>
      <c r="X701" s="375"/>
      <c r="Y701" s="375"/>
      <c r="Z701" s="375"/>
      <c r="AA701" s="375"/>
    </row>
    <row r="702" spans="1:27" ht="14.4">
      <c r="A702" s="425"/>
      <c r="B702" s="425"/>
      <c r="C702" s="425"/>
      <c r="D702" s="391"/>
      <c r="E702" s="425"/>
      <c r="F702" s="425"/>
      <c r="G702" s="425"/>
      <c r="H702" s="425"/>
      <c r="I702" s="425"/>
      <c r="J702" s="425"/>
      <c r="K702" s="425"/>
      <c r="L702" s="375"/>
      <c r="M702" s="375"/>
      <c r="N702" s="375"/>
      <c r="O702" s="375"/>
      <c r="P702" s="375"/>
      <c r="Q702" s="375"/>
      <c r="R702" s="375"/>
      <c r="S702" s="375"/>
      <c r="T702" s="375"/>
      <c r="U702" s="375"/>
      <c r="V702" s="375"/>
      <c r="W702" s="375"/>
      <c r="X702" s="375"/>
      <c r="Y702" s="375"/>
      <c r="Z702" s="375"/>
      <c r="AA702" s="375"/>
    </row>
    <row r="703" spans="1:27" ht="14.4">
      <c r="A703" s="425"/>
      <c r="B703" s="425"/>
      <c r="C703" s="425"/>
      <c r="D703" s="391"/>
      <c r="E703" s="425"/>
      <c r="F703" s="425"/>
      <c r="G703" s="425"/>
      <c r="H703" s="425"/>
      <c r="I703" s="425"/>
      <c r="J703" s="425"/>
      <c r="K703" s="425"/>
      <c r="L703" s="375"/>
      <c r="M703" s="375"/>
      <c r="N703" s="375"/>
      <c r="O703" s="375"/>
      <c r="P703" s="375"/>
      <c r="Q703" s="375"/>
      <c r="R703" s="375"/>
      <c r="S703" s="375"/>
      <c r="T703" s="375"/>
      <c r="U703" s="375"/>
      <c r="V703" s="375"/>
      <c r="W703" s="375"/>
      <c r="X703" s="375"/>
      <c r="Y703" s="375"/>
      <c r="Z703" s="375"/>
      <c r="AA703" s="375"/>
    </row>
    <row r="704" spans="1:27" ht="14.4">
      <c r="A704" s="425"/>
      <c r="B704" s="425"/>
      <c r="C704" s="425"/>
      <c r="D704" s="391"/>
      <c r="E704" s="425"/>
      <c r="F704" s="425"/>
      <c r="G704" s="425"/>
      <c r="H704" s="425"/>
      <c r="I704" s="425"/>
      <c r="J704" s="425"/>
      <c r="K704" s="425"/>
      <c r="L704" s="375"/>
      <c r="M704" s="375"/>
      <c r="N704" s="375"/>
      <c r="O704" s="375"/>
      <c r="P704" s="375"/>
      <c r="Q704" s="375"/>
      <c r="R704" s="375"/>
      <c r="S704" s="375"/>
      <c r="T704" s="375"/>
      <c r="U704" s="375"/>
      <c r="V704" s="375"/>
      <c r="W704" s="375"/>
      <c r="X704" s="375"/>
      <c r="Y704" s="375"/>
      <c r="Z704" s="375"/>
      <c r="AA704" s="375"/>
    </row>
    <row r="705" spans="1:27" ht="14.4">
      <c r="A705" s="425"/>
      <c r="B705" s="425"/>
      <c r="C705" s="425"/>
      <c r="D705" s="391"/>
      <c r="E705" s="425"/>
      <c r="F705" s="425"/>
      <c r="G705" s="425"/>
      <c r="H705" s="425"/>
      <c r="I705" s="425"/>
      <c r="J705" s="425"/>
      <c r="K705" s="425"/>
      <c r="L705" s="375"/>
      <c r="M705" s="375"/>
      <c r="N705" s="375"/>
      <c r="O705" s="375"/>
      <c r="P705" s="375"/>
      <c r="Q705" s="375"/>
      <c r="R705" s="375"/>
      <c r="S705" s="375"/>
      <c r="T705" s="375"/>
      <c r="U705" s="375"/>
      <c r="V705" s="375"/>
      <c r="W705" s="375"/>
      <c r="X705" s="375"/>
      <c r="Y705" s="375"/>
      <c r="Z705" s="375"/>
      <c r="AA705" s="375"/>
    </row>
    <row r="706" spans="1:27" ht="14.4">
      <c r="A706" s="425"/>
      <c r="B706" s="425"/>
      <c r="C706" s="425"/>
      <c r="D706" s="391"/>
      <c r="E706" s="425"/>
      <c r="F706" s="425"/>
      <c r="G706" s="425"/>
      <c r="H706" s="425"/>
      <c r="I706" s="425"/>
      <c r="J706" s="425"/>
      <c r="K706" s="425"/>
      <c r="L706" s="375"/>
      <c r="M706" s="375"/>
      <c r="N706" s="375"/>
      <c r="O706" s="375"/>
      <c r="P706" s="375"/>
      <c r="Q706" s="375"/>
      <c r="R706" s="375"/>
      <c r="S706" s="375"/>
      <c r="T706" s="375"/>
      <c r="U706" s="375"/>
      <c r="V706" s="375"/>
      <c r="W706" s="375"/>
      <c r="X706" s="375"/>
      <c r="Y706" s="375"/>
      <c r="Z706" s="375"/>
      <c r="AA706" s="375"/>
    </row>
    <row r="707" spans="1:27" ht="14.4">
      <c r="A707" s="425"/>
      <c r="B707" s="425"/>
      <c r="C707" s="425"/>
      <c r="D707" s="391"/>
      <c r="E707" s="425"/>
      <c r="F707" s="425"/>
      <c r="G707" s="425"/>
      <c r="H707" s="425"/>
      <c r="I707" s="425"/>
      <c r="J707" s="425"/>
      <c r="K707" s="425"/>
      <c r="L707" s="375"/>
      <c r="M707" s="375"/>
      <c r="N707" s="375"/>
      <c r="O707" s="375"/>
      <c r="P707" s="375"/>
      <c r="Q707" s="375"/>
      <c r="R707" s="375"/>
      <c r="S707" s="375"/>
      <c r="T707" s="375"/>
      <c r="U707" s="375"/>
      <c r="V707" s="375"/>
      <c r="W707" s="375"/>
      <c r="X707" s="375"/>
      <c r="Y707" s="375"/>
      <c r="Z707" s="375"/>
      <c r="AA707" s="375"/>
    </row>
    <row r="708" spans="1:27" ht="14.4">
      <c r="A708" s="425"/>
      <c r="B708" s="425"/>
      <c r="C708" s="425"/>
      <c r="D708" s="391"/>
      <c r="E708" s="425"/>
      <c r="F708" s="425"/>
      <c r="G708" s="425"/>
      <c r="H708" s="425"/>
      <c r="I708" s="425"/>
      <c r="J708" s="425"/>
      <c r="K708" s="425"/>
      <c r="L708" s="375"/>
      <c r="M708" s="375"/>
      <c r="N708" s="375"/>
      <c r="O708" s="375"/>
      <c r="P708" s="375"/>
      <c r="Q708" s="375"/>
      <c r="R708" s="375"/>
      <c r="S708" s="375"/>
      <c r="T708" s="375"/>
      <c r="U708" s="375"/>
      <c r="V708" s="375"/>
      <c r="W708" s="375"/>
      <c r="X708" s="375"/>
      <c r="Y708" s="375"/>
      <c r="Z708" s="375"/>
      <c r="AA708" s="375"/>
    </row>
    <row r="709" spans="1:27" ht="14.4">
      <c r="A709" s="425"/>
      <c r="B709" s="425"/>
      <c r="C709" s="425"/>
      <c r="D709" s="391"/>
      <c r="E709" s="425"/>
      <c r="F709" s="425"/>
      <c r="G709" s="425"/>
      <c r="H709" s="425"/>
      <c r="I709" s="425"/>
      <c r="J709" s="425"/>
      <c r="K709" s="425"/>
      <c r="L709" s="375"/>
      <c r="M709" s="375"/>
      <c r="N709" s="375"/>
      <c r="O709" s="375"/>
      <c r="P709" s="375"/>
      <c r="Q709" s="375"/>
      <c r="R709" s="375"/>
      <c r="S709" s="375"/>
      <c r="T709" s="375"/>
      <c r="U709" s="375"/>
      <c r="V709" s="375"/>
      <c r="W709" s="375"/>
      <c r="X709" s="375"/>
      <c r="Y709" s="375"/>
      <c r="Z709" s="375"/>
      <c r="AA709" s="375"/>
    </row>
    <row r="710" spans="1:27" ht="14.4">
      <c r="A710" s="425"/>
      <c r="B710" s="425"/>
      <c r="C710" s="425"/>
      <c r="D710" s="391"/>
      <c r="E710" s="425"/>
      <c r="F710" s="425"/>
      <c r="G710" s="425"/>
      <c r="H710" s="425"/>
      <c r="I710" s="425"/>
      <c r="J710" s="425"/>
      <c r="K710" s="425"/>
      <c r="L710" s="375"/>
      <c r="M710" s="375"/>
      <c r="N710" s="375"/>
      <c r="O710" s="375"/>
      <c r="P710" s="375"/>
      <c r="Q710" s="375"/>
      <c r="R710" s="375"/>
      <c r="S710" s="375"/>
      <c r="T710" s="375"/>
      <c r="U710" s="375"/>
      <c r="V710" s="375"/>
      <c r="W710" s="375"/>
      <c r="X710" s="375"/>
      <c r="Y710" s="375"/>
      <c r="Z710" s="375"/>
      <c r="AA710" s="375"/>
    </row>
    <row r="711" spans="1:27" ht="14.4">
      <c r="A711" s="425"/>
      <c r="B711" s="425"/>
      <c r="C711" s="425"/>
      <c r="D711" s="391"/>
      <c r="E711" s="425"/>
      <c r="F711" s="425"/>
      <c r="G711" s="425"/>
      <c r="H711" s="425"/>
      <c r="I711" s="425"/>
      <c r="J711" s="425"/>
      <c r="K711" s="425"/>
      <c r="L711" s="375"/>
      <c r="M711" s="375"/>
      <c r="N711" s="375"/>
      <c r="O711" s="375"/>
      <c r="P711" s="375"/>
      <c r="Q711" s="375"/>
      <c r="R711" s="375"/>
      <c r="S711" s="375"/>
      <c r="T711" s="375"/>
      <c r="U711" s="375"/>
      <c r="V711" s="375"/>
      <c r="W711" s="375"/>
      <c r="X711" s="375"/>
      <c r="Y711" s="375"/>
      <c r="Z711" s="375"/>
      <c r="AA711" s="375"/>
    </row>
    <row r="712" spans="1:27" ht="14.4">
      <c r="A712" s="425"/>
      <c r="B712" s="425"/>
      <c r="C712" s="425"/>
      <c r="D712" s="391"/>
      <c r="E712" s="425"/>
      <c r="F712" s="425"/>
      <c r="G712" s="425"/>
      <c r="H712" s="425"/>
      <c r="I712" s="425"/>
      <c r="J712" s="425"/>
      <c r="K712" s="425"/>
      <c r="L712" s="375"/>
      <c r="M712" s="375"/>
      <c r="N712" s="375"/>
      <c r="O712" s="375"/>
      <c r="P712" s="375"/>
      <c r="Q712" s="375"/>
      <c r="R712" s="375"/>
      <c r="S712" s="375"/>
      <c r="T712" s="375"/>
      <c r="U712" s="375"/>
      <c r="V712" s="375"/>
      <c r="W712" s="375"/>
      <c r="X712" s="375"/>
      <c r="Y712" s="375"/>
      <c r="Z712" s="375"/>
      <c r="AA712" s="375"/>
    </row>
    <row r="713" spans="1:27" ht="14.4">
      <c r="A713" s="425"/>
      <c r="B713" s="425"/>
      <c r="C713" s="425"/>
      <c r="D713" s="391"/>
      <c r="E713" s="425"/>
      <c r="F713" s="425"/>
      <c r="G713" s="425"/>
      <c r="H713" s="425"/>
      <c r="I713" s="425"/>
      <c r="J713" s="425"/>
      <c r="K713" s="425"/>
      <c r="L713" s="375"/>
      <c r="M713" s="375"/>
      <c r="N713" s="375"/>
      <c r="O713" s="375"/>
      <c r="P713" s="375"/>
      <c r="Q713" s="375"/>
      <c r="R713" s="375"/>
      <c r="S713" s="375"/>
      <c r="T713" s="375"/>
      <c r="U713" s="375"/>
      <c r="V713" s="375"/>
      <c r="W713" s="375"/>
      <c r="X713" s="375"/>
      <c r="Y713" s="375"/>
      <c r="Z713" s="375"/>
      <c r="AA713" s="375"/>
    </row>
    <row r="714" spans="1:27" ht="14.4">
      <c r="A714" s="425"/>
      <c r="B714" s="425"/>
      <c r="C714" s="425"/>
      <c r="D714" s="391"/>
      <c r="E714" s="425"/>
      <c r="F714" s="425"/>
      <c r="G714" s="425"/>
      <c r="H714" s="425"/>
      <c r="I714" s="425"/>
      <c r="J714" s="425"/>
      <c r="K714" s="425"/>
      <c r="L714" s="375"/>
      <c r="M714" s="375"/>
      <c r="N714" s="375"/>
      <c r="O714" s="375"/>
      <c r="P714" s="375"/>
      <c r="Q714" s="375"/>
      <c r="R714" s="375"/>
      <c r="S714" s="375"/>
      <c r="T714" s="375"/>
      <c r="U714" s="375"/>
      <c r="V714" s="375"/>
      <c r="W714" s="375"/>
      <c r="X714" s="375"/>
      <c r="Y714" s="375"/>
      <c r="Z714" s="375"/>
      <c r="AA714" s="375"/>
    </row>
    <row r="715" spans="1:27" ht="14.4">
      <c r="A715" s="425"/>
      <c r="B715" s="425"/>
      <c r="C715" s="425"/>
      <c r="D715" s="391"/>
      <c r="E715" s="425"/>
      <c r="F715" s="425"/>
      <c r="G715" s="425"/>
      <c r="H715" s="425"/>
      <c r="I715" s="425"/>
      <c r="J715" s="425"/>
      <c r="K715" s="425"/>
      <c r="L715" s="375"/>
      <c r="M715" s="375"/>
      <c r="N715" s="375"/>
      <c r="O715" s="375"/>
      <c r="P715" s="375"/>
      <c r="Q715" s="375"/>
      <c r="R715" s="375"/>
      <c r="S715" s="375"/>
      <c r="T715" s="375"/>
      <c r="U715" s="375"/>
      <c r="V715" s="375"/>
      <c r="W715" s="375"/>
      <c r="X715" s="375"/>
      <c r="Y715" s="375"/>
      <c r="Z715" s="375"/>
      <c r="AA715" s="375"/>
    </row>
    <row r="716" spans="1:27" ht="14.4">
      <c r="A716" s="425"/>
      <c r="B716" s="425"/>
      <c r="C716" s="425"/>
      <c r="D716" s="391"/>
      <c r="E716" s="425"/>
      <c r="F716" s="425"/>
      <c r="G716" s="425"/>
      <c r="H716" s="425"/>
      <c r="I716" s="425"/>
      <c r="J716" s="425"/>
      <c r="K716" s="425"/>
      <c r="L716" s="375"/>
      <c r="M716" s="375"/>
      <c r="N716" s="375"/>
      <c r="O716" s="375"/>
      <c r="P716" s="375"/>
      <c r="Q716" s="375"/>
      <c r="R716" s="375"/>
      <c r="S716" s="375"/>
      <c r="T716" s="375"/>
      <c r="U716" s="375"/>
      <c r="V716" s="375"/>
      <c r="W716" s="375"/>
      <c r="X716" s="375"/>
      <c r="Y716" s="375"/>
      <c r="Z716" s="375"/>
      <c r="AA716" s="375"/>
    </row>
    <row r="717" spans="1:27" ht="14.4">
      <c r="A717" s="425"/>
      <c r="B717" s="425"/>
      <c r="C717" s="425"/>
      <c r="D717" s="391"/>
      <c r="E717" s="425"/>
      <c r="F717" s="425"/>
      <c r="G717" s="425"/>
      <c r="H717" s="425"/>
      <c r="I717" s="425"/>
      <c r="J717" s="425"/>
      <c r="K717" s="425"/>
      <c r="L717" s="375"/>
      <c r="M717" s="375"/>
      <c r="N717" s="375"/>
      <c r="O717" s="375"/>
      <c r="P717" s="375"/>
      <c r="Q717" s="375"/>
      <c r="R717" s="375"/>
      <c r="S717" s="375"/>
      <c r="T717" s="375"/>
      <c r="U717" s="375"/>
      <c r="V717" s="375"/>
      <c r="W717" s="375"/>
      <c r="X717" s="375"/>
      <c r="Y717" s="375"/>
      <c r="Z717" s="375"/>
      <c r="AA717" s="375"/>
    </row>
    <row r="718" spans="1:27" ht="14.4">
      <c r="A718" s="425"/>
      <c r="B718" s="425"/>
      <c r="C718" s="425"/>
      <c r="D718" s="391"/>
      <c r="E718" s="425"/>
      <c r="F718" s="425"/>
      <c r="G718" s="425"/>
      <c r="H718" s="425"/>
      <c r="I718" s="425"/>
      <c r="J718" s="425"/>
      <c r="K718" s="425"/>
      <c r="L718" s="375"/>
      <c r="M718" s="375"/>
      <c r="N718" s="375"/>
      <c r="O718" s="375"/>
      <c r="P718" s="375"/>
      <c r="Q718" s="375"/>
      <c r="R718" s="375"/>
      <c r="S718" s="375"/>
      <c r="T718" s="375"/>
      <c r="U718" s="375"/>
      <c r="V718" s="375"/>
      <c r="W718" s="375"/>
      <c r="X718" s="375"/>
      <c r="Y718" s="375"/>
      <c r="Z718" s="375"/>
      <c r="AA718" s="375"/>
    </row>
    <row r="719" spans="1:27" ht="14.4">
      <c r="A719" s="425"/>
      <c r="B719" s="425"/>
      <c r="C719" s="425"/>
      <c r="D719" s="391"/>
      <c r="E719" s="425"/>
      <c r="F719" s="425"/>
      <c r="G719" s="425"/>
      <c r="H719" s="425"/>
      <c r="I719" s="425"/>
      <c r="J719" s="425"/>
      <c r="K719" s="425"/>
      <c r="L719" s="375"/>
      <c r="M719" s="375"/>
      <c r="N719" s="375"/>
      <c r="O719" s="375"/>
      <c r="P719" s="375"/>
      <c r="Q719" s="375"/>
      <c r="R719" s="375"/>
      <c r="S719" s="375"/>
      <c r="T719" s="375"/>
      <c r="U719" s="375"/>
      <c r="V719" s="375"/>
      <c r="W719" s="375"/>
      <c r="X719" s="375"/>
      <c r="Y719" s="375"/>
      <c r="Z719" s="375"/>
      <c r="AA719" s="375"/>
    </row>
    <row r="720" spans="1:27" ht="14.4">
      <c r="A720" s="425"/>
      <c r="B720" s="425"/>
      <c r="C720" s="425"/>
      <c r="D720" s="391"/>
      <c r="E720" s="425"/>
      <c r="F720" s="425"/>
      <c r="G720" s="425"/>
      <c r="H720" s="425"/>
      <c r="I720" s="425"/>
      <c r="J720" s="425"/>
      <c r="K720" s="425"/>
      <c r="L720" s="375"/>
      <c r="M720" s="375"/>
      <c r="N720" s="375"/>
      <c r="O720" s="375"/>
      <c r="P720" s="375"/>
      <c r="Q720" s="375"/>
      <c r="R720" s="375"/>
      <c r="S720" s="375"/>
      <c r="T720" s="375"/>
      <c r="U720" s="375"/>
      <c r="V720" s="375"/>
      <c r="W720" s="375"/>
      <c r="X720" s="375"/>
      <c r="Y720" s="375"/>
      <c r="Z720" s="375"/>
      <c r="AA720" s="375"/>
    </row>
    <row r="721" spans="1:27" ht="14.4">
      <c r="A721" s="425"/>
      <c r="B721" s="425"/>
      <c r="C721" s="425"/>
      <c r="D721" s="391"/>
      <c r="E721" s="425"/>
      <c r="F721" s="425"/>
      <c r="G721" s="425"/>
      <c r="H721" s="425"/>
      <c r="I721" s="425"/>
      <c r="J721" s="425"/>
      <c r="K721" s="425"/>
      <c r="L721" s="375"/>
      <c r="M721" s="375"/>
      <c r="N721" s="375"/>
      <c r="O721" s="375"/>
      <c r="P721" s="375"/>
      <c r="Q721" s="375"/>
      <c r="R721" s="375"/>
      <c r="S721" s="375"/>
      <c r="T721" s="375"/>
      <c r="U721" s="375"/>
      <c r="V721" s="375"/>
      <c r="W721" s="375"/>
      <c r="X721" s="375"/>
      <c r="Y721" s="375"/>
      <c r="Z721" s="375"/>
      <c r="AA721" s="375"/>
    </row>
    <row r="722" spans="1:27" ht="14.4">
      <c r="A722" s="425"/>
      <c r="B722" s="425"/>
      <c r="C722" s="425"/>
      <c r="D722" s="391"/>
      <c r="E722" s="425"/>
      <c r="F722" s="425"/>
      <c r="G722" s="425"/>
      <c r="H722" s="425"/>
      <c r="I722" s="425"/>
      <c r="J722" s="425"/>
      <c r="K722" s="425"/>
      <c r="L722" s="375"/>
      <c r="M722" s="375"/>
      <c r="N722" s="375"/>
      <c r="O722" s="375"/>
      <c r="P722" s="375"/>
      <c r="Q722" s="375"/>
      <c r="R722" s="375"/>
      <c r="S722" s="375"/>
      <c r="T722" s="375"/>
      <c r="U722" s="375"/>
      <c r="V722" s="375"/>
      <c r="W722" s="375"/>
      <c r="X722" s="375"/>
      <c r="Y722" s="375"/>
      <c r="Z722" s="375"/>
      <c r="AA722" s="375"/>
    </row>
    <row r="723" spans="1:27" ht="14.4">
      <c r="A723" s="425"/>
      <c r="B723" s="425"/>
      <c r="C723" s="425"/>
      <c r="D723" s="391"/>
      <c r="E723" s="425"/>
      <c r="F723" s="425"/>
      <c r="G723" s="425"/>
      <c r="H723" s="425"/>
      <c r="I723" s="425"/>
      <c r="J723" s="425"/>
      <c r="K723" s="425"/>
      <c r="L723" s="375"/>
      <c r="M723" s="375"/>
      <c r="N723" s="375"/>
      <c r="O723" s="375"/>
      <c r="P723" s="375"/>
      <c r="Q723" s="375"/>
      <c r="R723" s="375"/>
      <c r="S723" s="375"/>
      <c r="T723" s="375"/>
      <c r="U723" s="375"/>
      <c r="V723" s="375"/>
      <c r="W723" s="375"/>
      <c r="X723" s="375"/>
      <c r="Y723" s="375"/>
      <c r="Z723" s="375"/>
      <c r="AA723" s="375"/>
    </row>
    <row r="724" spans="1:27" ht="14.4">
      <c r="A724" s="425"/>
      <c r="B724" s="425"/>
      <c r="C724" s="425"/>
      <c r="D724" s="391"/>
      <c r="E724" s="425"/>
      <c r="F724" s="425"/>
      <c r="G724" s="425"/>
      <c r="H724" s="425"/>
      <c r="I724" s="425"/>
      <c r="J724" s="425"/>
      <c r="K724" s="425"/>
      <c r="L724" s="375"/>
      <c r="M724" s="375"/>
      <c r="N724" s="375"/>
      <c r="O724" s="375"/>
      <c r="P724" s="375"/>
      <c r="Q724" s="375"/>
      <c r="R724" s="375"/>
      <c r="S724" s="375"/>
      <c r="T724" s="375"/>
      <c r="U724" s="375"/>
      <c r="V724" s="375"/>
      <c r="W724" s="375"/>
      <c r="X724" s="375"/>
      <c r="Y724" s="375"/>
      <c r="Z724" s="375"/>
      <c r="AA724" s="375"/>
    </row>
    <row r="725" spans="1:27" ht="14.4">
      <c r="A725" s="425"/>
      <c r="B725" s="425"/>
      <c r="C725" s="425"/>
      <c r="D725" s="391"/>
      <c r="E725" s="425"/>
      <c r="F725" s="425"/>
      <c r="G725" s="425"/>
      <c r="H725" s="425"/>
      <c r="I725" s="425"/>
      <c r="J725" s="425"/>
      <c r="K725" s="425"/>
      <c r="L725" s="375"/>
      <c r="M725" s="375"/>
      <c r="N725" s="375"/>
      <c r="O725" s="375"/>
      <c r="P725" s="375"/>
      <c r="Q725" s="375"/>
      <c r="R725" s="375"/>
      <c r="S725" s="375"/>
      <c r="T725" s="375"/>
      <c r="U725" s="375"/>
      <c r="V725" s="375"/>
      <c r="W725" s="375"/>
      <c r="X725" s="375"/>
      <c r="Y725" s="375"/>
      <c r="Z725" s="375"/>
      <c r="AA725" s="375"/>
    </row>
    <row r="726" spans="1:27" ht="14.4">
      <c r="A726" s="425"/>
      <c r="B726" s="425"/>
      <c r="C726" s="425"/>
      <c r="D726" s="391"/>
      <c r="E726" s="425"/>
      <c r="F726" s="425"/>
      <c r="G726" s="425"/>
      <c r="H726" s="425"/>
      <c r="I726" s="425"/>
      <c r="J726" s="425"/>
      <c r="K726" s="425"/>
      <c r="L726" s="375"/>
      <c r="M726" s="375"/>
      <c r="N726" s="375"/>
      <c r="O726" s="375"/>
      <c r="P726" s="375"/>
      <c r="Q726" s="375"/>
      <c r="R726" s="375"/>
      <c r="S726" s="375"/>
      <c r="T726" s="375"/>
      <c r="U726" s="375"/>
      <c r="V726" s="375"/>
      <c r="W726" s="375"/>
      <c r="X726" s="375"/>
      <c r="Y726" s="375"/>
      <c r="Z726" s="375"/>
      <c r="AA726" s="375"/>
    </row>
    <row r="727" spans="1:27" ht="14.4">
      <c r="A727" s="425"/>
      <c r="B727" s="425"/>
      <c r="C727" s="425"/>
      <c r="D727" s="391"/>
      <c r="E727" s="425"/>
      <c r="F727" s="425"/>
      <c r="G727" s="425"/>
      <c r="H727" s="425"/>
      <c r="I727" s="425"/>
      <c r="J727" s="425"/>
      <c r="K727" s="425"/>
      <c r="L727" s="375"/>
      <c r="M727" s="375"/>
      <c r="N727" s="375"/>
      <c r="O727" s="375"/>
      <c r="P727" s="375"/>
      <c r="Q727" s="375"/>
      <c r="R727" s="375"/>
      <c r="S727" s="375"/>
      <c r="T727" s="375"/>
      <c r="U727" s="375"/>
      <c r="V727" s="375"/>
      <c r="W727" s="375"/>
      <c r="X727" s="375"/>
      <c r="Y727" s="375"/>
      <c r="Z727" s="375"/>
      <c r="AA727" s="375"/>
    </row>
    <row r="728" spans="1:27" ht="14.4">
      <c r="A728" s="425"/>
      <c r="B728" s="425"/>
      <c r="C728" s="425"/>
      <c r="D728" s="391"/>
      <c r="E728" s="425"/>
      <c r="F728" s="425"/>
      <c r="G728" s="425"/>
      <c r="H728" s="425"/>
      <c r="I728" s="425"/>
      <c r="J728" s="425"/>
      <c r="K728" s="425"/>
      <c r="L728" s="375"/>
      <c r="M728" s="375"/>
      <c r="N728" s="375"/>
      <c r="O728" s="375"/>
      <c r="P728" s="375"/>
      <c r="Q728" s="375"/>
      <c r="R728" s="375"/>
      <c r="S728" s="375"/>
      <c r="T728" s="375"/>
      <c r="U728" s="375"/>
      <c r="V728" s="375"/>
      <c r="W728" s="375"/>
      <c r="X728" s="375"/>
      <c r="Y728" s="375"/>
      <c r="Z728" s="375"/>
      <c r="AA728" s="375"/>
    </row>
    <row r="729" spans="1:27" ht="14.4">
      <c r="A729" s="425"/>
      <c r="B729" s="425"/>
      <c r="C729" s="425"/>
      <c r="D729" s="391"/>
      <c r="E729" s="425"/>
      <c r="F729" s="425"/>
      <c r="G729" s="425"/>
      <c r="H729" s="425"/>
      <c r="I729" s="425"/>
      <c r="J729" s="425"/>
      <c r="K729" s="425"/>
      <c r="L729" s="375"/>
      <c r="M729" s="375"/>
      <c r="N729" s="375"/>
      <c r="O729" s="375"/>
      <c r="P729" s="375"/>
      <c r="Q729" s="375"/>
      <c r="R729" s="375"/>
      <c r="S729" s="375"/>
      <c r="T729" s="375"/>
      <c r="U729" s="375"/>
      <c r="V729" s="375"/>
      <c r="W729" s="375"/>
      <c r="X729" s="375"/>
      <c r="Y729" s="375"/>
      <c r="Z729" s="375"/>
      <c r="AA729" s="375"/>
    </row>
    <row r="730" spans="1:27" ht="14.4">
      <c r="A730" s="425"/>
      <c r="B730" s="425"/>
      <c r="C730" s="425"/>
      <c r="D730" s="391"/>
      <c r="E730" s="425"/>
      <c r="F730" s="425"/>
      <c r="G730" s="425"/>
      <c r="H730" s="425"/>
      <c r="I730" s="425"/>
      <c r="J730" s="425"/>
      <c r="K730" s="425"/>
      <c r="L730" s="375"/>
      <c r="M730" s="375"/>
      <c r="N730" s="375"/>
      <c r="O730" s="375"/>
      <c r="P730" s="375"/>
      <c r="Q730" s="375"/>
      <c r="R730" s="375"/>
      <c r="S730" s="375"/>
      <c r="T730" s="375"/>
      <c r="U730" s="375"/>
      <c r="V730" s="375"/>
      <c r="W730" s="375"/>
      <c r="X730" s="375"/>
      <c r="Y730" s="375"/>
      <c r="Z730" s="375"/>
      <c r="AA730" s="375"/>
    </row>
    <row r="731" spans="1:27" ht="14.4">
      <c r="A731" s="425"/>
      <c r="B731" s="425"/>
      <c r="C731" s="425"/>
      <c r="D731" s="391"/>
      <c r="E731" s="425"/>
      <c r="F731" s="425"/>
      <c r="G731" s="425"/>
      <c r="H731" s="425"/>
      <c r="I731" s="425"/>
      <c r="J731" s="425"/>
      <c r="K731" s="425"/>
      <c r="L731" s="375"/>
      <c r="M731" s="375"/>
      <c r="N731" s="375"/>
      <c r="O731" s="375"/>
      <c r="P731" s="375"/>
      <c r="Q731" s="375"/>
      <c r="R731" s="375"/>
      <c r="S731" s="375"/>
      <c r="T731" s="375"/>
      <c r="U731" s="375"/>
      <c r="V731" s="375"/>
      <c r="W731" s="375"/>
      <c r="X731" s="375"/>
      <c r="Y731" s="375"/>
      <c r="Z731" s="375"/>
      <c r="AA731" s="375"/>
    </row>
    <row r="732" spans="1:27" ht="14.4">
      <c r="A732" s="425"/>
      <c r="B732" s="425"/>
      <c r="C732" s="425"/>
      <c r="D732" s="391"/>
      <c r="E732" s="425"/>
      <c r="F732" s="425"/>
      <c r="G732" s="425"/>
      <c r="H732" s="425"/>
      <c r="I732" s="425"/>
      <c r="J732" s="425"/>
      <c r="K732" s="425"/>
      <c r="L732" s="375"/>
      <c r="M732" s="375"/>
      <c r="N732" s="375"/>
      <c r="O732" s="375"/>
      <c r="P732" s="375"/>
      <c r="Q732" s="375"/>
      <c r="R732" s="375"/>
      <c r="S732" s="375"/>
      <c r="T732" s="375"/>
      <c r="U732" s="375"/>
      <c r="V732" s="375"/>
      <c r="W732" s="375"/>
      <c r="X732" s="375"/>
      <c r="Y732" s="375"/>
      <c r="Z732" s="375"/>
      <c r="AA732" s="375"/>
    </row>
    <row r="733" spans="1:27" ht="14.4">
      <c r="A733" s="425"/>
      <c r="B733" s="425"/>
      <c r="C733" s="425"/>
      <c r="D733" s="391"/>
      <c r="E733" s="425"/>
      <c r="F733" s="425"/>
      <c r="G733" s="425"/>
      <c r="H733" s="425"/>
      <c r="I733" s="425"/>
      <c r="J733" s="425"/>
      <c r="K733" s="425"/>
      <c r="L733" s="375"/>
      <c r="M733" s="375"/>
      <c r="N733" s="375"/>
      <c r="O733" s="375"/>
      <c r="P733" s="375"/>
      <c r="Q733" s="375"/>
      <c r="R733" s="375"/>
      <c r="S733" s="375"/>
      <c r="T733" s="375"/>
      <c r="U733" s="375"/>
      <c r="V733" s="375"/>
      <c r="W733" s="375"/>
      <c r="X733" s="375"/>
      <c r="Y733" s="375"/>
      <c r="Z733" s="375"/>
      <c r="AA733" s="375"/>
    </row>
    <row r="734" spans="1:27" ht="14.4">
      <c r="A734" s="425"/>
      <c r="B734" s="425"/>
      <c r="C734" s="425"/>
      <c r="D734" s="391"/>
      <c r="E734" s="425"/>
      <c r="F734" s="425"/>
      <c r="G734" s="425"/>
      <c r="H734" s="425"/>
      <c r="I734" s="425"/>
      <c r="J734" s="425"/>
      <c r="K734" s="425"/>
      <c r="L734" s="375"/>
      <c r="M734" s="375"/>
      <c r="N734" s="375"/>
      <c r="O734" s="375"/>
      <c r="P734" s="375"/>
      <c r="Q734" s="375"/>
      <c r="R734" s="375"/>
      <c r="S734" s="375"/>
      <c r="T734" s="375"/>
      <c r="U734" s="375"/>
      <c r="V734" s="375"/>
      <c r="W734" s="375"/>
      <c r="X734" s="375"/>
      <c r="Y734" s="375"/>
      <c r="Z734" s="375"/>
      <c r="AA734" s="375"/>
    </row>
    <row r="735" spans="1:27" ht="14.4">
      <c r="A735" s="425"/>
      <c r="B735" s="425"/>
      <c r="C735" s="425"/>
      <c r="D735" s="391"/>
      <c r="E735" s="425"/>
      <c r="F735" s="425"/>
      <c r="G735" s="425"/>
      <c r="H735" s="425"/>
      <c r="I735" s="425"/>
      <c r="J735" s="425"/>
      <c r="K735" s="425"/>
      <c r="L735" s="375"/>
      <c r="M735" s="375"/>
      <c r="N735" s="375"/>
      <c r="O735" s="375"/>
      <c r="P735" s="375"/>
      <c r="Q735" s="375"/>
      <c r="R735" s="375"/>
      <c r="S735" s="375"/>
      <c r="T735" s="375"/>
      <c r="U735" s="375"/>
      <c r="V735" s="375"/>
      <c r="W735" s="375"/>
      <c r="X735" s="375"/>
      <c r="Y735" s="375"/>
      <c r="Z735" s="375"/>
      <c r="AA735" s="375"/>
    </row>
    <row r="736" spans="1:27" ht="14.4">
      <c r="A736" s="425"/>
      <c r="B736" s="425"/>
      <c r="C736" s="425"/>
      <c r="D736" s="391"/>
      <c r="E736" s="425"/>
      <c r="F736" s="425"/>
      <c r="G736" s="425"/>
      <c r="H736" s="425"/>
      <c r="I736" s="425"/>
      <c r="J736" s="425"/>
      <c r="K736" s="425"/>
      <c r="L736" s="375"/>
      <c r="M736" s="375"/>
      <c r="N736" s="375"/>
      <c r="O736" s="375"/>
      <c r="P736" s="375"/>
      <c r="Q736" s="375"/>
      <c r="R736" s="375"/>
      <c r="S736" s="375"/>
      <c r="T736" s="375"/>
      <c r="U736" s="375"/>
      <c r="V736" s="375"/>
      <c r="W736" s="375"/>
      <c r="X736" s="375"/>
      <c r="Y736" s="375"/>
      <c r="Z736" s="375"/>
      <c r="AA736" s="375"/>
    </row>
    <row r="737" spans="1:27" ht="14.4">
      <c r="A737" s="425"/>
      <c r="B737" s="425"/>
      <c r="C737" s="425"/>
      <c r="D737" s="391"/>
      <c r="E737" s="425"/>
      <c r="F737" s="425"/>
      <c r="G737" s="425"/>
      <c r="H737" s="425"/>
      <c r="I737" s="425"/>
      <c r="J737" s="425"/>
      <c r="K737" s="425"/>
      <c r="L737" s="375"/>
      <c r="M737" s="375"/>
      <c r="N737" s="375"/>
      <c r="O737" s="375"/>
      <c r="P737" s="375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  <c r="AA737" s="375"/>
    </row>
    <row r="738" spans="1:27" ht="14.4">
      <c r="A738" s="425"/>
      <c r="B738" s="425"/>
      <c r="C738" s="425"/>
      <c r="D738" s="391"/>
      <c r="E738" s="425"/>
      <c r="F738" s="425"/>
      <c r="G738" s="425"/>
      <c r="H738" s="425"/>
      <c r="I738" s="425"/>
      <c r="J738" s="425"/>
      <c r="K738" s="425"/>
      <c r="L738" s="375"/>
      <c r="M738" s="375"/>
      <c r="N738" s="375"/>
      <c r="O738" s="375"/>
      <c r="P738" s="375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  <c r="AA738" s="375"/>
    </row>
    <row r="739" spans="1:27" ht="14.4">
      <c r="A739" s="425"/>
      <c r="B739" s="425"/>
      <c r="C739" s="425"/>
      <c r="D739" s="391"/>
      <c r="E739" s="425"/>
      <c r="F739" s="425"/>
      <c r="G739" s="425"/>
      <c r="H739" s="425"/>
      <c r="I739" s="425"/>
      <c r="J739" s="425"/>
      <c r="K739" s="425"/>
      <c r="L739" s="375"/>
      <c r="M739" s="375"/>
      <c r="N739" s="375"/>
      <c r="O739" s="375"/>
      <c r="P739" s="375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  <c r="AA739" s="375"/>
    </row>
    <row r="740" spans="1:27" ht="14.4">
      <c r="A740" s="425"/>
      <c r="B740" s="425"/>
      <c r="C740" s="425"/>
      <c r="D740" s="391"/>
      <c r="E740" s="425"/>
      <c r="F740" s="425"/>
      <c r="G740" s="425"/>
      <c r="H740" s="425"/>
      <c r="I740" s="425"/>
      <c r="J740" s="425"/>
      <c r="K740" s="425"/>
      <c r="L740" s="375"/>
      <c r="M740" s="375"/>
      <c r="N740" s="375"/>
      <c r="O740" s="375"/>
      <c r="P740" s="375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  <c r="AA740" s="375"/>
    </row>
    <row r="741" spans="1:27" ht="14.4">
      <c r="A741" s="425"/>
      <c r="B741" s="425"/>
      <c r="C741" s="425"/>
      <c r="D741" s="391"/>
      <c r="E741" s="425"/>
      <c r="F741" s="425"/>
      <c r="G741" s="425"/>
      <c r="H741" s="425"/>
      <c r="I741" s="425"/>
      <c r="J741" s="425"/>
      <c r="K741" s="425"/>
      <c r="L741" s="375"/>
      <c r="M741" s="375"/>
      <c r="N741" s="375"/>
      <c r="O741" s="375"/>
      <c r="P741" s="375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  <c r="AA741" s="375"/>
    </row>
    <row r="742" spans="1:27" ht="14.4">
      <c r="A742" s="425"/>
      <c r="B742" s="425"/>
      <c r="C742" s="425"/>
      <c r="D742" s="391"/>
      <c r="E742" s="425"/>
      <c r="F742" s="425"/>
      <c r="G742" s="425"/>
      <c r="H742" s="425"/>
      <c r="I742" s="425"/>
      <c r="J742" s="425"/>
      <c r="K742" s="425"/>
      <c r="L742" s="375"/>
      <c r="M742" s="375"/>
      <c r="N742" s="375"/>
      <c r="O742" s="375"/>
      <c r="P742" s="375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  <c r="AA742" s="375"/>
    </row>
    <row r="743" spans="1:27" ht="14.4">
      <c r="A743" s="425"/>
      <c r="B743" s="425"/>
      <c r="C743" s="425"/>
      <c r="D743" s="391"/>
      <c r="E743" s="425"/>
      <c r="F743" s="425"/>
      <c r="G743" s="425"/>
      <c r="H743" s="425"/>
      <c r="I743" s="425"/>
      <c r="J743" s="425"/>
      <c r="K743" s="425"/>
      <c r="L743" s="375"/>
      <c r="M743" s="375"/>
      <c r="N743" s="375"/>
      <c r="O743" s="375"/>
      <c r="P743" s="375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  <c r="AA743" s="375"/>
    </row>
    <row r="744" spans="1:27" ht="14.4">
      <c r="A744" s="425"/>
      <c r="B744" s="425"/>
      <c r="C744" s="425"/>
      <c r="D744" s="391"/>
      <c r="E744" s="425"/>
      <c r="F744" s="425"/>
      <c r="G744" s="425"/>
      <c r="H744" s="425"/>
      <c r="I744" s="425"/>
      <c r="J744" s="425"/>
      <c r="K744" s="425"/>
      <c r="L744" s="375"/>
      <c r="M744" s="375"/>
      <c r="N744" s="375"/>
      <c r="O744" s="375"/>
      <c r="P744" s="375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  <c r="AA744" s="375"/>
    </row>
    <row r="745" spans="1:27" ht="14.4">
      <c r="A745" s="425"/>
      <c r="B745" s="425"/>
      <c r="C745" s="425"/>
      <c r="D745" s="391"/>
      <c r="E745" s="425"/>
      <c r="F745" s="425"/>
      <c r="G745" s="425"/>
      <c r="H745" s="425"/>
      <c r="I745" s="425"/>
      <c r="J745" s="425"/>
      <c r="K745" s="425"/>
      <c r="L745" s="375"/>
      <c r="M745" s="375"/>
      <c r="N745" s="375"/>
      <c r="O745" s="375"/>
      <c r="P745" s="375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  <c r="AA745" s="375"/>
    </row>
    <row r="746" spans="1:27" ht="14.4">
      <c r="A746" s="425"/>
      <c r="B746" s="425"/>
      <c r="C746" s="425"/>
      <c r="D746" s="391"/>
      <c r="E746" s="425"/>
      <c r="F746" s="425"/>
      <c r="G746" s="425"/>
      <c r="H746" s="425"/>
      <c r="I746" s="425"/>
      <c r="J746" s="425"/>
      <c r="K746" s="425"/>
      <c r="L746" s="375"/>
      <c r="M746" s="375"/>
      <c r="N746" s="375"/>
      <c r="O746" s="375"/>
      <c r="P746" s="375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  <c r="AA746" s="375"/>
    </row>
    <row r="747" spans="1:27" ht="14.4">
      <c r="A747" s="425"/>
      <c r="B747" s="425"/>
      <c r="C747" s="425"/>
      <c r="D747" s="391"/>
      <c r="E747" s="425"/>
      <c r="F747" s="425"/>
      <c r="G747" s="425"/>
      <c r="H747" s="425"/>
      <c r="I747" s="425"/>
      <c r="J747" s="425"/>
      <c r="K747" s="425"/>
      <c r="L747" s="375"/>
      <c r="M747" s="375"/>
      <c r="N747" s="375"/>
      <c r="O747" s="375"/>
      <c r="P747" s="375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  <c r="AA747" s="375"/>
    </row>
    <row r="748" spans="1:27" ht="14.4">
      <c r="A748" s="425"/>
      <c r="B748" s="425"/>
      <c r="C748" s="425"/>
      <c r="D748" s="391"/>
      <c r="E748" s="425"/>
      <c r="F748" s="425"/>
      <c r="G748" s="425"/>
      <c r="H748" s="425"/>
      <c r="I748" s="425"/>
      <c r="J748" s="425"/>
      <c r="K748" s="425"/>
      <c r="L748" s="375"/>
      <c r="M748" s="375"/>
      <c r="N748" s="375"/>
      <c r="O748" s="375"/>
      <c r="P748" s="375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  <c r="AA748" s="375"/>
    </row>
    <row r="749" spans="1:27" ht="14.4">
      <c r="A749" s="425"/>
      <c r="B749" s="425"/>
      <c r="C749" s="425"/>
      <c r="D749" s="391"/>
      <c r="E749" s="425"/>
      <c r="F749" s="425"/>
      <c r="G749" s="425"/>
      <c r="H749" s="425"/>
      <c r="I749" s="425"/>
      <c r="J749" s="425"/>
      <c r="K749" s="425"/>
      <c r="L749" s="375"/>
      <c r="M749" s="375"/>
      <c r="N749" s="375"/>
      <c r="O749" s="375"/>
      <c r="P749" s="375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  <c r="AA749" s="375"/>
    </row>
    <row r="750" spans="1:27" ht="14.4">
      <c r="A750" s="425"/>
      <c r="B750" s="425"/>
      <c r="C750" s="425"/>
      <c r="D750" s="391"/>
      <c r="E750" s="425"/>
      <c r="F750" s="425"/>
      <c r="G750" s="425"/>
      <c r="H750" s="425"/>
      <c r="I750" s="425"/>
      <c r="J750" s="425"/>
      <c r="K750" s="425"/>
      <c r="L750" s="375"/>
      <c r="M750" s="375"/>
      <c r="N750" s="375"/>
      <c r="O750" s="375"/>
      <c r="P750" s="375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  <c r="AA750" s="375"/>
    </row>
    <row r="751" spans="1:27" ht="14.4">
      <c r="A751" s="425"/>
      <c r="B751" s="425"/>
      <c r="C751" s="425"/>
      <c r="D751" s="391"/>
      <c r="E751" s="425"/>
      <c r="F751" s="425"/>
      <c r="G751" s="425"/>
      <c r="H751" s="425"/>
      <c r="I751" s="425"/>
      <c r="J751" s="425"/>
      <c r="K751" s="425"/>
      <c r="L751" s="375"/>
      <c r="M751" s="375"/>
      <c r="N751" s="375"/>
      <c r="O751" s="375"/>
      <c r="P751" s="375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  <c r="AA751" s="375"/>
    </row>
    <row r="752" spans="1:27" ht="14.4">
      <c r="A752" s="425"/>
      <c r="B752" s="425"/>
      <c r="C752" s="425"/>
      <c r="D752" s="391"/>
      <c r="E752" s="425"/>
      <c r="F752" s="425"/>
      <c r="G752" s="425"/>
      <c r="H752" s="425"/>
      <c r="I752" s="425"/>
      <c r="J752" s="425"/>
      <c r="K752" s="425"/>
      <c r="L752" s="375"/>
      <c r="M752" s="375"/>
      <c r="N752" s="375"/>
      <c r="O752" s="375"/>
      <c r="P752" s="375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  <c r="AA752" s="375"/>
    </row>
    <row r="753" spans="1:27" ht="14.4">
      <c r="A753" s="425"/>
      <c r="B753" s="425"/>
      <c r="C753" s="425"/>
      <c r="D753" s="391"/>
      <c r="E753" s="425"/>
      <c r="F753" s="425"/>
      <c r="G753" s="425"/>
      <c r="H753" s="425"/>
      <c r="I753" s="425"/>
      <c r="J753" s="425"/>
      <c r="K753" s="425"/>
      <c r="L753" s="375"/>
      <c r="M753" s="375"/>
      <c r="N753" s="375"/>
      <c r="O753" s="375"/>
      <c r="P753" s="375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  <c r="AA753" s="375"/>
    </row>
    <row r="754" spans="1:27" ht="14.4">
      <c r="A754" s="425"/>
      <c r="B754" s="425"/>
      <c r="C754" s="425"/>
      <c r="D754" s="391"/>
      <c r="E754" s="425"/>
      <c r="F754" s="425"/>
      <c r="G754" s="425"/>
      <c r="H754" s="425"/>
      <c r="I754" s="425"/>
      <c r="J754" s="425"/>
      <c r="K754" s="425"/>
      <c r="L754" s="375"/>
      <c r="M754" s="375"/>
      <c r="N754" s="375"/>
      <c r="O754" s="375"/>
      <c r="P754" s="375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  <c r="AA754" s="375"/>
    </row>
    <row r="755" spans="1:27" ht="14.4">
      <c r="A755" s="425"/>
      <c r="B755" s="425"/>
      <c r="C755" s="425"/>
      <c r="D755" s="391"/>
      <c r="E755" s="425"/>
      <c r="F755" s="425"/>
      <c r="G755" s="425"/>
      <c r="H755" s="425"/>
      <c r="I755" s="425"/>
      <c r="J755" s="425"/>
      <c r="K755" s="425"/>
      <c r="L755" s="375"/>
      <c r="M755" s="375"/>
      <c r="N755" s="375"/>
      <c r="O755" s="375"/>
      <c r="P755" s="375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  <c r="AA755" s="375"/>
    </row>
    <row r="756" spans="1:27" ht="14.4">
      <c r="A756" s="425"/>
      <c r="B756" s="425"/>
      <c r="C756" s="425"/>
      <c r="D756" s="391"/>
      <c r="E756" s="425"/>
      <c r="F756" s="425"/>
      <c r="G756" s="425"/>
      <c r="H756" s="425"/>
      <c r="I756" s="425"/>
      <c r="J756" s="425"/>
      <c r="K756" s="425"/>
      <c r="L756" s="375"/>
      <c r="M756" s="375"/>
      <c r="N756" s="375"/>
      <c r="O756" s="375"/>
      <c r="P756" s="375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  <c r="AA756" s="375"/>
    </row>
    <row r="757" spans="1:27" ht="14.4">
      <c r="A757" s="425"/>
      <c r="B757" s="425"/>
      <c r="C757" s="425"/>
      <c r="D757" s="391"/>
      <c r="E757" s="425"/>
      <c r="F757" s="425"/>
      <c r="G757" s="425"/>
      <c r="H757" s="425"/>
      <c r="I757" s="425"/>
      <c r="J757" s="425"/>
      <c r="K757" s="425"/>
      <c r="L757" s="375"/>
      <c r="M757" s="375"/>
      <c r="N757" s="375"/>
      <c r="O757" s="375"/>
      <c r="P757" s="375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  <c r="AA757" s="375"/>
    </row>
    <row r="758" spans="1:27" ht="14.4">
      <c r="A758" s="425"/>
      <c r="B758" s="425"/>
      <c r="C758" s="425"/>
      <c r="D758" s="391"/>
      <c r="E758" s="425"/>
      <c r="F758" s="425"/>
      <c r="G758" s="425"/>
      <c r="H758" s="425"/>
      <c r="I758" s="425"/>
      <c r="J758" s="425"/>
      <c r="K758" s="425"/>
      <c r="L758" s="375"/>
      <c r="M758" s="375"/>
      <c r="N758" s="375"/>
      <c r="O758" s="375"/>
      <c r="P758" s="375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  <c r="AA758" s="375"/>
    </row>
    <row r="759" spans="1:27" ht="14.4">
      <c r="A759" s="425"/>
      <c r="B759" s="425"/>
      <c r="C759" s="425"/>
      <c r="D759" s="391"/>
      <c r="E759" s="425"/>
      <c r="F759" s="425"/>
      <c r="G759" s="425"/>
      <c r="H759" s="425"/>
      <c r="I759" s="425"/>
      <c r="J759" s="425"/>
      <c r="K759" s="425"/>
      <c r="L759" s="375"/>
      <c r="M759" s="375"/>
      <c r="N759" s="375"/>
      <c r="O759" s="375"/>
      <c r="P759" s="375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  <c r="AA759" s="375"/>
    </row>
    <row r="760" spans="1:27" ht="14.4">
      <c r="A760" s="425"/>
      <c r="B760" s="425"/>
      <c r="C760" s="425"/>
      <c r="D760" s="391"/>
      <c r="E760" s="425"/>
      <c r="F760" s="425"/>
      <c r="G760" s="425"/>
      <c r="H760" s="425"/>
      <c r="I760" s="425"/>
      <c r="J760" s="425"/>
      <c r="K760" s="425"/>
      <c r="L760" s="375"/>
      <c r="M760" s="375"/>
      <c r="N760" s="375"/>
      <c r="O760" s="375"/>
      <c r="P760" s="375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  <c r="AA760" s="375"/>
    </row>
    <row r="761" spans="1:27" ht="14.4">
      <c r="A761" s="425"/>
      <c r="B761" s="425"/>
      <c r="C761" s="425"/>
      <c r="D761" s="391"/>
      <c r="E761" s="425"/>
      <c r="F761" s="425"/>
      <c r="G761" s="425"/>
      <c r="H761" s="425"/>
      <c r="I761" s="425"/>
      <c r="J761" s="425"/>
      <c r="K761" s="425"/>
      <c r="L761" s="375"/>
      <c r="M761" s="375"/>
      <c r="N761" s="375"/>
      <c r="O761" s="375"/>
      <c r="P761" s="375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  <c r="AA761" s="375"/>
    </row>
    <row r="762" spans="1:27" ht="14.4">
      <c r="A762" s="425"/>
      <c r="B762" s="425"/>
      <c r="C762" s="425"/>
      <c r="D762" s="391"/>
      <c r="E762" s="425"/>
      <c r="F762" s="425"/>
      <c r="G762" s="425"/>
      <c r="H762" s="425"/>
      <c r="I762" s="425"/>
      <c r="J762" s="425"/>
      <c r="K762" s="425"/>
      <c r="L762" s="375"/>
      <c r="M762" s="375"/>
      <c r="N762" s="375"/>
      <c r="O762" s="375"/>
      <c r="P762" s="375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  <c r="AA762" s="375"/>
    </row>
    <row r="763" spans="1:27" ht="14.4">
      <c r="A763" s="425"/>
      <c r="B763" s="425"/>
      <c r="C763" s="425"/>
      <c r="D763" s="391"/>
      <c r="E763" s="425"/>
      <c r="F763" s="425"/>
      <c r="G763" s="425"/>
      <c r="H763" s="425"/>
      <c r="I763" s="425"/>
      <c r="J763" s="425"/>
      <c r="K763" s="425"/>
      <c r="L763" s="375"/>
      <c r="M763" s="375"/>
      <c r="N763" s="375"/>
      <c r="O763" s="375"/>
      <c r="P763" s="375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  <c r="AA763" s="375"/>
    </row>
    <row r="764" spans="1:27" ht="14.4">
      <c r="A764" s="425"/>
      <c r="B764" s="425"/>
      <c r="C764" s="425"/>
      <c r="D764" s="391"/>
      <c r="E764" s="425"/>
      <c r="F764" s="425"/>
      <c r="G764" s="425"/>
      <c r="H764" s="425"/>
      <c r="I764" s="425"/>
      <c r="J764" s="425"/>
      <c r="K764" s="425"/>
      <c r="L764" s="375"/>
      <c r="M764" s="375"/>
      <c r="N764" s="375"/>
      <c r="O764" s="375"/>
      <c r="P764" s="375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  <c r="AA764" s="375"/>
    </row>
    <row r="765" spans="1:27" ht="14.4">
      <c r="A765" s="425"/>
      <c r="B765" s="425"/>
      <c r="C765" s="425"/>
      <c r="D765" s="391"/>
      <c r="E765" s="425"/>
      <c r="F765" s="425"/>
      <c r="G765" s="425"/>
      <c r="H765" s="425"/>
      <c r="I765" s="425"/>
      <c r="J765" s="425"/>
      <c r="K765" s="425"/>
      <c r="L765" s="375"/>
      <c r="M765" s="375"/>
      <c r="N765" s="375"/>
      <c r="O765" s="375"/>
      <c r="P765" s="375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  <c r="AA765" s="375"/>
    </row>
    <row r="766" spans="1:27" ht="14.4">
      <c r="A766" s="425"/>
      <c r="B766" s="425"/>
      <c r="C766" s="425"/>
      <c r="D766" s="391"/>
      <c r="E766" s="425"/>
      <c r="F766" s="425"/>
      <c r="G766" s="425"/>
      <c r="H766" s="425"/>
      <c r="I766" s="425"/>
      <c r="J766" s="425"/>
      <c r="K766" s="425"/>
      <c r="L766" s="375"/>
      <c r="M766" s="375"/>
      <c r="N766" s="375"/>
      <c r="O766" s="375"/>
      <c r="P766" s="375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  <c r="AA766" s="375"/>
    </row>
    <row r="767" spans="1:27" ht="14.4">
      <c r="A767" s="425"/>
      <c r="B767" s="425"/>
      <c r="C767" s="425"/>
      <c r="D767" s="391"/>
      <c r="E767" s="425"/>
      <c r="F767" s="425"/>
      <c r="G767" s="425"/>
      <c r="H767" s="425"/>
      <c r="I767" s="425"/>
      <c r="J767" s="425"/>
      <c r="K767" s="425"/>
      <c r="L767" s="375"/>
      <c r="M767" s="375"/>
      <c r="N767" s="375"/>
      <c r="O767" s="375"/>
      <c r="P767" s="375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  <c r="AA767" s="375"/>
    </row>
    <row r="768" spans="1:27" ht="14.4">
      <c r="A768" s="425"/>
      <c r="B768" s="425"/>
      <c r="C768" s="425"/>
      <c r="D768" s="391"/>
      <c r="E768" s="425"/>
      <c r="F768" s="425"/>
      <c r="G768" s="425"/>
      <c r="H768" s="425"/>
      <c r="I768" s="425"/>
      <c r="J768" s="425"/>
      <c r="K768" s="425"/>
      <c r="L768" s="375"/>
      <c r="M768" s="375"/>
      <c r="N768" s="375"/>
      <c r="O768" s="375"/>
      <c r="P768" s="375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  <c r="AA768" s="375"/>
    </row>
    <row r="769" spans="1:27" ht="14.4">
      <c r="A769" s="425"/>
      <c r="B769" s="425"/>
      <c r="C769" s="425"/>
      <c r="D769" s="391"/>
      <c r="E769" s="425"/>
      <c r="F769" s="425"/>
      <c r="G769" s="425"/>
      <c r="H769" s="425"/>
      <c r="I769" s="425"/>
      <c r="J769" s="425"/>
      <c r="K769" s="425"/>
      <c r="L769" s="375"/>
      <c r="M769" s="375"/>
      <c r="N769" s="375"/>
      <c r="O769" s="375"/>
      <c r="P769" s="375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  <c r="AA769" s="375"/>
    </row>
    <row r="770" spans="1:27" ht="14.4">
      <c r="A770" s="425"/>
      <c r="B770" s="425"/>
      <c r="C770" s="425"/>
      <c r="D770" s="391"/>
      <c r="E770" s="425"/>
      <c r="F770" s="425"/>
      <c r="G770" s="425"/>
      <c r="H770" s="425"/>
      <c r="I770" s="425"/>
      <c r="J770" s="425"/>
      <c r="K770" s="425"/>
      <c r="L770" s="375"/>
      <c r="M770" s="375"/>
      <c r="N770" s="375"/>
      <c r="O770" s="375"/>
      <c r="P770" s="375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  <c r="AA770" s="375"/>
    </row>
    <row r="771" spans="1:27" ht="14.4">
      <c r="A771" s="425"/>
      <c r="B771" s="425"/>
      <c r="C771" s="425"/>
      <c r="D771" s="391"/>
      <c r="E771" s="425"/>
      <c r="F771" s="425"/>
      <c r="G771" s="425"/>
      <c r="H771" s="425"/>
      <c r="I771" s="425"/>
      <c r="J771" s="425"/>
      <c r="K771" s="425"/>
      <c r="L771" s="375"/>
      <c r="M771" s="375"/>
      <c r="N771" s="375"/>
      <c r="O771" s="375"/>
      <c r="P771" s="375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  <c r="AA771" s="375"/>
    </row>
    <row r="772" spans="1:27" ht="14.4">
      <c r="A772" s="425"/>
      <c r="B772" s="425"/>
      <c r="C772" s="425"/>
      <c r="D772" s="391"/>
      <c r="E772" s="425"/>
      <c r="F772" s="425"/>
      <c r="G772" s="425"/>
      <c r="H772" s="425"/>
      <c r="I772" s="425"/>
      <c r="J772" s="425"/>
      <c r="K772" s="425"/>
      <c r="L772" s="375"/>
      <c r="M772" s="375"/>
      <c r="N772" s="375"/>
      <c r="O772" s="375"/>
      <c r="P772" s="375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  <c r="AA772" s="375"/>
    </row>
    <row r="773" spans="1:27" ht="14.4">
      <c r="A773" s="425"/>
      <c r="B773" s="425"/>
      <c r="C773" s="425"/>
      <c r="D773" s="391"/>
      <c r="E773" s="425"/>
      <c r="F773" s="425"/>
      <c r="G773" s="425"/>
      <c r="H773" s="425"/>
      <c r="I773" s="425"/>
      <c r="J773" s="425"/>
      <c r="K773" s="425"/>
      <c r="L773" s="375"/>
      <c r="M773" s="375"/>
      <c r="N773" s="375"/>
      <c r="O773" s="375"/>
      <c r="P773" s="375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  <c r="AA773" s="375"/>
    </row>
    <row r="774" spans="1:27" ht="14.4">
      <c r="A774" s="425"/>
      <c r="B774" s="425"/>
      <c r="C774" s="425"/>
      <c r="D774" s="391"/>
      <c r="E774" s="425"/>
      <c r="F774" s="425"/>
      <c r="G774" s="425"/>
      <c r="H774" s="425"/>
      <c r="I774" s="425"/>
      <c r="J774" s="425"/>
      <c r="K774" s="425"/>
      <c r="L774" s="375"/>
      <c r="M774" s="375"/>
      <c r="N774" s="375"/>
      <c r="O774" s="375"/>
      <c r="P774" s="375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  <c r="AA774" s="375"/>
    </row>
    <row r="775" spans="1:27" ht="14.4">
      <c r="A775" s="425"/>
      <c r="B775" s="425"/>
      <c r="C775" s="425"/>
      <c r="D775" s="391"/>
      <c r="E775" s="425"/>
      <c r="F775" s="425"/>
      <c r="G775" s="425"/>
      <c r="H775" s="425"/>
      <c r="I775" s="425"/>
      <c r="J775" s="425"/>
      <c r="K775" s="425"/>
      <c r="L775" s="375"/>
      <c r="M775" s="375"/>
      <c r="N775" s="375"/>
      <c r="O775" s="375"/>
      <c r="P775" s="375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  <c r="AA775" s="375"/>
    </row>
    <row r="776" spans="1:27" ht="14.4">
      <c r="A776" s="425"/>
      <c r="B776" s="425"/>
      <c r="C776" s="425"/>
      <c r="D776" s="391"/>
      <c r="E776" s="425"/>
      <c r="F776" s="425"/>
      <c r="G776" s="425"/>
      <c r="H776" s="425"/>
      <c r="I776" s="425"/>
      <c r="J776" s="425"/>
      <c r="K776" s="425"/>
      <c r="L776" s="375"/>
      <c r="M776" s="375"/>
      <c r="N776" s="375"/>
      <c r="O776" s="375"/>
      <c r="P776" s="375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  <c r="AA776" s="375"/>
    </row>
    <row r="777" spans="1:27" ht="14.4">
      <c r="A777" s="425"/>
      <c r="B777" s="425"/>
      <c r="C777" s="425"/>
      <c r="D777" s="391"/>
      <c r="E777" s="425"/>
      <c r="F777" s="425"/>
      <c r="G777" s="425"/>
      <c r="H777" s="425"/>
      <c r="I777" s="425"/>
      <c r="J777" s="425"/>
      <c r="K777" s="425"/>
      <c r="L777" s="375"/>
      <c r="M777" s="375"/>
      <c r="N777" s="375"/>
      <c r="O777" s="375"/>
      <c r="P777" s="375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  <c r="AA777" s="375"/>
    </row>
    <row r="778" spans="1:27" ht="14.4">
      <c r="A778" s="425"/>
      <c r="B778" s="425"/>
      <c r="C778" s="425"/>
      <c r="D778" s="391"/>
      <c r="E778" s="425"/>
      <c r="F778" s="425"/>
      <c r="G778" s="425"/>
      <c r="H778" s="425"/>
      <c r="I778" s="425"/>
      <c r="J778" s="425"/>
      <c r="K778" s="425"/>
      <c r="L778" s="375"/>
      <c r="M778" s="375"/>
      <c r="N778" s="375"/>
      <c r="O778" s="375"/>
      <c r="P778" s="375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  <c r="AA778" s="375"/>
    </row>
    <row r="779" spans="1:27" ht="14.4">
      <c r="A779" s="425"/>
      <c r="B779" s="425"/>
      <c r="C779" s="425"/>
      <c r="D779" s="391"/>
      <c r="E779" s="425"/>
      <c r="F779" s="425"/>
      <c r="G779" s="425"/>
      <c r="H779" s="425"/>
      <c r="I779" s="425"/>
      <c r="J779" s="425"/>
      <c r="K779" s="425"/>
      <c r="L779" s="375"/>
      <c r="M779" s="375"/>
      <c r="N779" s="375"/>
      <c r="O779" s="375"/>
      <c r="P779" s="375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  <c r="AA779" s="375"/>
    </row>
    <row r="780" spans="1:27" ht="14.4">
      <c r="A780" s="425"/>
      <c r="B780" s="425"/>
      <c r="C780" s="425"/>
      <c r="D780" s="391"/>
      <c r="E780" s="425"/>
      <c r="F780" s="425"/>
      <c r="G780" s="425"/>
      <c r="H780" s="425"/>
      <c r="I780" s="425"/>
      <c r="J780" s="425"/>
      <c r="K780" s="425"/>
      <c r="L780" s="375"/>
      <c r="M780" s="375"/>
      <c r="N780" s="375"/>
      <c r="O780" s="375"/>
      <c r="P780" s="375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  <c r="AA780" s="375"/>
    </row>
    <row r="781" spans="1:27" ht="14.4">
      <c r="A781" s="425"/>
      <c r="B781" s="425"/>
      <c r="C781" s="425"/>
      <c r="D781" s="391"/>
      <c r="E781" s="425"/>
      <c r="F781" s="425"/>
      <c r="G781" s="425"/>
      <c r="H781" s="425"/>
      <c r="I781" s="425"/>
      <c r="J781" s="425"/>
      <c r="K781" s="425"/>
      <c r="L781" s="375"/>
      <c r="M781" s="375"/>
      <c r="N781" s="375"/>
      <c r="O781" s="375"/>
      <c r="P781" s="375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  <c r="AA781" s="375"/>
    </row>
    <row r="782" spans="1:27" ht="14.4">
      <c r="A782" s="425"/>
      <c r="B782" s="425"/>
      <c r="C782" s="425"/>
      <c r="D782" s="391"/>
      <c r="E782" s="425"/>
      <c r="F782" s="425"/>
      <c r="G782" s="425"/>
      <c r="H782" s="425"/>
      <c r="I782" s="425"/>
      <c r="J782" s="425"/>
      <c r="K782" s="425"/>
      <c r="L782" s="375"/>
      <c r="M782" s="375"/>
      <c r="N782" s="375"/>
      <c r="O782" s="375"/>
      <c r="P782" s="375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  <c r="AA782" s="375"/>
    </row>
    <row r="783" spans="1:27" ht="14.4">
      <c r="A783" s="425"/>
      <c r="B783" s="425"/>
      <c r="C783" s="425"/>
      <c r="D783" s="391"/>
      <c r="E783" s="425"/>
      <c r="F783" s="425"/>
      <c r="G783" s="425"/>
      <c r="H783" s="425"/>
      <c r="I783" s="425"/>
      <c r="J783" s="425"/>
      <c r="K783" s="425"/>
      <c r="L783" s="375"/>
      <c r="M783" s="375"/>
      <c r="N783" s="375"/>
      <c r="O783" s="375"/>
      <c r="P783" s="375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  <c r="AA783" s="375"/>
    </row>
    <row r="784" spans="1:27" ht="14.4">
      <c r="A784" s="425"/>
      <c r="B784" s="425"/>
      <c r="C784" s="425"/>
      <c r="D784" s="391"/>
      <c r="E784" s="425"/>
      <c r="F784" s="425"/>
      <c r="G784" s="425"/>
      <c r="H784" s="425"/>
      <c r="I784" s="425"/>
      <c r="J784" s="425"/>
      <c r="K784" s="425"/>
      <c r="L784" s="375"/>
      <c r="M784" s="375"/>
      <c r="N784" s="375"/>
      <c r="O784" s="375"/>
      <c r="P784" s="375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  <c r="AA784" s="375"/>
    </row>
    <row r="785" spans="1:27" ht="14.4">
      <c r="A785" s="425"/>
      <c r="B785" s="425"/>
      <c r="C785" s="425"/>
      <c r="D785" s="391"/>
      <c r="E785" s="425"/>
      <c r="F785" s="425"/>
      <c r="G785" s="425"/>
      <c r="H785" s="425"/>
      <c r="I785" s="425"/>
      <c r="J785" s="425"/>
      <c r="K785" s="425"/>
      <c r="L785" s="375"/>
      <c r="M785" s="375"/>
      <c r="N785" s="375"/>
      <c r="O785" s="375"/>
      <c r="P785" s="375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  <c r="AA785" s="375"/>
    </row>
    <row r="786" spans="1:27" ht="14.4">
      <c r="A786" s="425"/>
      <c r="B786" s="425"/>
      <c r="C786" s="425"/>
      <c r="D786" s="391"/>
      <c r="E786" s="425"/>
      <c r="F786" s="425"/>
      <c r="G786" s="425"/>
      <c r="H786" s="425"/>
      <c r="I786" s="425"/>
      <c r="J786" s="425"/>
      <c r="K786" s="425"/>
      <c r="L786" s="375"/>
      <c r="M786" s="375"/>
      <c r="N786" s="375"/>
      <c r="O786" s="375"/>
      <c r="P786" s="375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  <c r="AA786" s="375"/>
    </row>
    <row r="787" spans="1:27" ht="14.4">
      <c r="A787" s="425"/>
      <c r="B787" s="425"/>
      <c r="C787" s="425"/>
      <c r="D787" s="391"/>
      <c r="E787" s="425"/>
      <c r="F787" s="425"/>
      <c r="G787" s="425"/>
      <c r="H787" s="425"/>
      <c r="I787" s="425"/>
      <c r="J787" s="425"/>
      <c r="K787" s="425"/>
      <c r="L787" s="375"/>
      <c r="M787" s="375"/>
      <c r="N787" s="375"/>
      <c r="O787" s="375"/>
      <c r="P787" s="375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  <c r="AA787" s="375"/>
    </row>
    <row r="788" spans="1:27" ht="14.4">
      <c r="A788" s="425"/>
      <c r="B788" s="425"/>
      <c r="C788" s="425"/>
      <c r="D788" s="391"/>
      <c r="E788" s="425"/>
      <c r="F788" s="425"/>
      <c r="G788" s="425"/>
      <c r="H788" s="425"/>
      <c r="I788" s="425"/>
      <c r="J788" s="425"/>
      <c r="K788" s="425"/>
      <c r="L788" s="375"/>
      <c r="M788" s="375"/>
      <c r="N788" s="375"/>
      <c r="O788" s="375"/>
      <c r="P788" s="375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  <c r="AA788" s="375"/>
    </row>
    <row r="789" spans="1:27" ht="14.4">
      <c r="A789" s="425"/>
      <c r="B789" s="425"/>
      <c r="C789" s="425"/>
      <c r="D789" s="391"/>
      <c r="E789" s="425"/>
      <c r="F789" s="425"/>
      <c r="G789" s="425"/>
      <c r="H789" s="425"/>
      <c r="I789" s="425"/>
      <c r="J789" s="425"/>
      <c r="K789" s="425"/>
      <c r="L789" s="375"/>
      <c r="M789" s="375"/>
      <c r="N789" s="375"/>
      <c r="O789" s="375"/>
      <c r="P789" s="375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  <c r="AA789" s="375"/>
    </row>
    <row r="790" spans="1:27" ht="14.4">
      <c r="A790" s="425"/>
      <c r="B790" s="425"/>
      <c r="C790" s="425"/>
      <c r="D790" s="391"/>
      <c r="E790" s="425"/>
      <c r="F790" s="425"/>
      <c r="G790" s="425"/>
      <c r="H790" s="425"/>
      <c r="I790" s="425"/>
      <c r="J790" s="425"/>
      <c r="K790" s="425"/>
      <c r="L790" s="375"/>
      <c r="M790" s="375"/>
      <c r="N790" s="375"/>
      <c r="O790" s="375"/>
      <c r="P790" s="375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  <c r="AA790" s="375"/>
    </row>
    <row r="791" spans="1:27" ht="14.4">
      <c r="A791" s="425"/>
      <c r="B791" s="425"/>
      <c r="C791" s="425"/>
      <c r="D791" s="391"/>
      <c r="E791" s="425"/>
      <c r="F791" s="425"/>
      <c r="G791" s="425"/>
      <c r="H791" s="425"/>
      <c r="I791" s="425"/>
      <c r="J791" s="425"/>
      <c r="K791" s="425"/>
      <c r="L791" s="375"/>
      <c r="M791" s="375"/>
      <c r="N791" s="375"/>
      <c r="O791" s="375"/>
      <c r="P791" s="375"/>
      <c r="Q791" s="375"/>
      <c r="R791" s="375"/>
      <c r="S791" s="375"/>
      <c r="T791" s="375"/>
      <c r="U791" s="375"/>
      <c r="V791" s="375"/>
      <c r="W791" s="375"/>
      <c r="X791" s="375"/>
      <c r="Y791" s="375"/>
      <c r="Z791" s="375"/>
      <c r="AA791" s="375"/>
    </row>
    <row r="792" spans="1:27" ht="14.4">
      <c r="A792" s="425"/>
      <c r="B792" s="425"/>
      <c r="C792" s="425"/>
      <c r="D792" s="391"/>
      <c r="E792" s="425"/>
      <c r="F792" s="425"/>
      <c r="G792" s="425"/>
      <c r="H792" s="425"/>
      <c r="I792" s="425"/>
      <c r="J792" s="425"/>
      <c r="K792" s="425"/>
      <c r="L792" s="375"/>
      <c r="M792" s="375"/>
      <c r="N792" s="375"/>
      <c r="O792" s="375"/>
      <c r="P792" s="375"/>
      <c r="Q792" s="375"/>
      <c r="R792" s="375"/>
      <c r="S792" s="375"/>
      <c r="T792" s="375"/>
      <c r="U792" s="375"/>
      <c r="V792" s="375"/>
      <c r="W792" s="375"/>
      <c r="X792" s="375"/>
      <c r="Y792" s="375"/>
      <c r="Z792" s="375"/>
      <c r="AA792" s="375"/>
    </row>
    <row r="793" spans="1:27" ht="14.4">
      <c r="A793" s="425"/>
      <c r="B793" s="425"/>
      <c r="C793" s="425"/>
      <c r="D793" s="391"/>
      <c r="E793" s="425"/>
      <c r="F793" s="425"/>
      <c r="G793" s="425"/>
      <c r="H793" s="425"/>
      <c r="I793" s="425"/>
      <c r="J793" s="425"/>
      <c r="K793" s="425"/>
      <c r="L793" s="375"/>
      <c r="M793" s="375"/>
      <c r="N793" s="375"/>
      <c r="O793" s="375"/>
      <c r="P793" s="375"/>
      <c r="Q793" s="375"/>
      <c r="R793" s="375"/>
      <c r="S793" s="375"/>
      <c r="T793" s="375"/>
      <c r="U793" s="375"/>
      <c r="V793" s="375"/>
      <c r="W793" s="375"/>
      <c r="X793" s="375"/>
      <c r="Y793" s="375"/>
      <c r="Z793" s="375"/>
      <c r="AA793" s="375"/>
    </row>
    <row r="794" spans="1:27" ht="14.4">
      <c r="A794" s="425"/>
      <c r="B794" s="425"/>
      <c r="C794" s="425"/>
      <c r="D794" s="391"/>
      <c r="E794" s="425"/>
      <c r="F794" s="425"/>
      <c r="G794" s="425"/>
      <c r="H794" s="425"/>
      <c r="I794" s="425"/>
      <c r="J794" s="425"/>
      <c r="K794" s="425"/>
      <c r="L794" s="375"/>
      <c r="M794" s="375"/>
      <c r="N794" s="375"/>
      <c r="O794" s="375"/>
      <c r="P794" s="375"/>
      <c r="Q794" s="375"/>
      <c r="R794" s="375"/>
      <c r="S794" s="375"/>
      <c r="T794" s="375"/>
      <c r="U794" s="375"/>
      <c r="V794" s="375"/>
      <c r="W794" s="375"/>
      <c r="X794" s="375"/>
      <c r="Y794" s="375"/>
      <c r="Z794" s="375"/>
      <c r="AA794" s="375"/>
    </row>
    <row r="795" spans="1:27" ht="14.4">
      <c r="A795" s="425"/>
      <c r="B795" s="425"/>
      <c r="C795" s="425"/>
      <c r="D795" s="391"/>
      <c r="E795" s="425"/>
      <c r="F795" s="425"/>
      <c r="G795" s="425"/>
      <c r="H795" s="425"/>
      <c r="I795" s="425"/>
      <c r="J795" s="425"/>
      <c r="K795" s="425"/>
      <c r="L795" s="375"/>
      <c r="M795" s="375"/>
      <c r="N795" s="375"/>
      <c r="O795" s="375"/>
      <c r="P795" s="375"/>
      <c r="Q795" s="375"/>
      <c r="R795" s="375"/>
      <c r="S795" s="375"/>
      <c r="T795" s="375"/>
      <c r="U795" s="375"/>
      <c r="V795" s="375"/>
      <c r="W795" s="375"/>
      <c r="X795" s="375"/>
      <c r="Y795" s="375"/>
      <c r="Z795" s="375"/>
      <c r="AA795" s="375"/>
    </row>
    <row r="796" spans="1:27" ht="14.4">
      <c r="A796" s="425"/>
      <c r="B796" s="425"/>
      <c r="C796" s="425"/>
      <c r="D796" s="391"/>
      <c r="E796" s="425"/>
      <c r="F796" s="425"/>
      <c r="G796" s="425"/>
      <c r="H796" s="425"/>
      <c r="I796" s="425"/>
      <c r="J796" s="425"/>
      <c r="K796" s="425"/>
      <c r="L796" s="375"/>
      <c r="M796" s="375"/>
      <c r="N796" s="375"/>
      <c r="O796" s="375"/>
      <c r="P796" s="375"/>
      <c r="Q796" s="375"/>
      <c r="R796" s="375"/>
      <c r="S796" s="375"/>
      <c r="T796" s="375"/>
      <c r="U796" s="375"/>
      <c r="V796" s="375"/>
      <c r="W796" s="375"/>
      <c r="X796" s="375"/>
      <c r="Y796" s="375"/>
      <c r="Z796" s="375"/>
      <c r="AA796" s="375"/>
    </row>
    <row r="797" spans="1:27" ht="14.4">
      <c r="A797" s="425"/>
      <c r="B797" s="425"/>
      <c r="C797" s="425"/>
      <c r="D797" s="391"/>
      <c r="E797" s="425"/>
      <c r="F797" s="425"/>
      <c r="G797" s="425"/>
      <c r="H797" s="425"/>
      <c r="I797" s="425"/>
      <c r="J797" s="425"/>
      <c r="K797" s="425"/>
      <c r="L797" s="375"/>
      <c r="M797" s="375"/>
      <c r="N797" s="375"/>
      <c r="O797" s="375"/>
      <c r="P797" s="375"/>
      <c r="Q797" s="375"/>
      <c r="R797" s="375"/>
      <c r="S797" s="375"/>
      <c r="T797" s="375"/>
      <c r="U797" s="375"/>
      <c r="V797" s="375"/>
      <c r="W797" s="375"/>
      <c r="X797" s="375"/>
      <c r="Y797" s="375"/>
      <c r="Z797" s="375"/>
      <c r="AA797" s="375"/>
    </row>
    <row r="798" spans="1:27" ht="14.4">
      <c r="A798" s="425"/>
      <c r="B798" s="425"/>
      <c r="C798" s="425"/>
      <c r="D798" s="391"/>
      <c r="E798" s="425"/>
      <c r="F798" s="425"/>
      <c r="G798" s="425"/>
      <c r="H798" s="425"/>
      <c r="I798" s="425"/>
      <c r="J798" s="425"/>
      <c r="K798" s="425"/>
      <c r="L798" s="375"/>
      <c r="M798" s="375"/>
      <c r="N798" s="375"/>
      <c r="O798" s="375"/>
      <c r="P798" s="375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  <c r="AA798" s="375"/>
    </row>
    <row r="799" spans="1:27" ht="14.4">
      <c r="A799" s="425"/>
      <c r="B799" s="425"/>
      <c r="C799" s="425"/>
      <c r="D799" s="391"/>
      <c r="E799" s="425"/>
      <c r="F799" s="425"/>
      <c r="G799" s="425"/>
      <c r="H799" s="425"/>
      <c r="I799" s="425"/>
      <c r="J799" s="425"/>
      <c r="K799" s="425"/>
      <c r="L799" s="375"/>
      <c r="M799" s="375"/>
      <c r="N799" s="375"/>
      <c r="O799" s="375"/>
      <c r="P799" s="375"/>
      <c r="Q799" s="375"/>
      <c r="R799" s="375"/>
      <c r="S799" s="375"/>
      <c r="T799" s="375"/>
      <c r="U799" s="375"/>
      <c r="V799" s="375"/>
      <c r="W799" s="375"/>
      <c r="X799" s="375"/>
      <c r="Y799" s="375"/>
      <c r="Z799" s="375"/>
      <c r="AA799" s="375"/>
    </row>
    <row r="800" spans="1:27" ht="14.4">
      <c r="A800" s="425"/>
      <c r="B800" s="425"/>
      <c r="C800" s="425"/>
      <c r="D800" s="391"/>
      <c r="E800" s="425"/>
      <c r="F800" s="425"/>
      <c r="G800" s="425"/>
      <c r="H800" s="425"/>
      <c r="I800" s="425"/>
      <c r="J800" s="425"/>
      <c r="K800" s="425"/>
      <c r="L800" s="375"/>
      <c r="M800" s="375"/>
      <c r="N800" s="375"/>
      <c r="O800" s="375"/>
      <c r="P800" s="375"/>
      <c r="Q800" s="375"/>
      <c r="R800" s="375"/>
      <c r="S800" s="375"/>
      <c r="T800" s="375"/>
      <c r="U800" s="375"/>
      <c r="V800" s="375"/>
      <c r="W800" s="375"/>
      <c r="X800" s="375"/>
      <c r="Y800" s="375"/>
      <c r="Z800" s="375"/>
      <c r="AA800" s="375"/>
    </row>
    <row r="801" spans="1:27" ht="14.4">
      <c r="A801" s="425"/>
      <c r="B801" s="425"/>
      <c r="C801" s="425"/>
      <c r="D801" s="391"/>
      <c r="E801" s="425"/>
      <c r="F801" s="425"/>
      <c r="G801" s="425"/>
      <c r="H801" s="425"/>
      <c r="I801" s="425"/>
      <c r="J801" s="425"/>
      <c r="K801" s="425"/>
      <c r="L801" s="375"/>
      <c r="M801" s="375"/>
      <c r="N801" s="375"/>
      <c r="O801" s="375"/>
      <c r="P801" s="375"/>
      <c r="Q801" s="375"/>
      <c r="R801" s="375"/>
      <c r="S801" s="375"/>
      <c r="T801" s="375"/>
      <c r="U801" s="375"/>
      <c r="V801" s="375"/>
      <c r="W801" s="375"/>
      <c r="X801" s="375"/>
      <c r="Y801" s="375"/>
      <c r="Z801" s="375"/>
      <c r="AA801" s="375"/>
    </row>
    <row r="802" spans="1:27" ht="14.4">
      <c r="A802" s="425"/>
      <c r="B802" s="425"/>
      <c r="C802" s="425"/>
      <c r="D802" s="391"/>
      <c r="E802" s="425"/>
      <c r="F802" s="425"/>
      <c r="G802" s="425"/>
      <c r="H802" s="425"/>
      <c r="I802" s="425"/>
      <c r="J802" s="425"/>
      <c r="K802" s="425"/>
      <c r="L802" s="375"/>
      <c r="M802" s="375"/>
      <c r="N802" s="375"/>
      <c r="O802" s="375"/>
      <c r="P802" s="375"/>
      <c r="Q802" s="375"/>
      <c r="R802" s="375"/>
      <c r="S802" s="375"/>
      <c r="T802" s="375"/>
      <c r="U802" s="375"/>
      <c r="V802" s="375"/>
      <c r="W802" s="375"/>
      <c r="X802" s="375"/>
      <c r="Y802" s="375"/>
      <c r="Z802" s="375"/>
      <c r="AA802" s="375"/>
    </row>
    <row r="803" spans="1:27" ht="14.4">
      <c r="A803" s="425"/>
      <c r="B803" s="425"/>
      <c r="C803" s="425"/>
      <c r="D803" s="391"/>
      <c r="E803" s="425"/>
      <c r="F803" s="425"/>
      <c r="G803" s="425"/>
      <c r="H803" s="425"/>
      <c r="I803" s="425"/>
      <c r="J803" s="425"/>
      <c r="K803" s="425"/>
      <c r="L803" s="375"/>
      <c r="M803" s="375"/>
      <c r="N803" s="375"/>
      <c r="O803" s="375"/>
      <c r="P803" s="375"/>
      <c r="Q803" s="375"/>
      <c r="R803" s="375"/>
      <c r="S803" s="375"/>
      <c r="T803" s="375"/>
      <c r="U803" s="375"/>
      <c r="V803" s="375"/>
      <c r="W803" s="375"/>
      <c r="X803" s="375"/>
      <c r="Y803" s="375"/>
      <c r="Z803" s="375"/>
      <c r="AA803" s="375"/>
    </row>
    <row r="804" spans="1:27" ht="14.4">
      <c r="A804" s="425"/>
      <c r="B804" s="425"/>
      <c r="C804" s="425"/>
      <c r="D804" s="391"/>
      <c r="E804" s="425"/>
      <c r="F804" s="425"/>
      <c r="G804" s="425"/>
      <c r="H804" s="425"/>
      <c r="I804" s="425"/>
      <c r="J804" s="425"/>
      <c r="K804" s="425"/>
      <c r="L804" s="375"/>
      <c r="M804" s="375"/>
      <c r="N804" s="375"/>
      <c r="O804" s="375"/>
      <c r="P804" s="375"/>
      <c r="Q804" s="375"/>
      <c r="R804" s="375"/>
      <c r="S804" s="375"/>
      <c r="T804" s="375"/>
      <c r="U804" s="375"/>
      <c r="V804" s="375"/>
      <c r="W804" s="375"/>
      <c r="X804" s="375"/>
      <c r="Y804" s="375"/>
      <c r="Z804" s="375"/>
      <c r="AA804" s="375"/>
    </row>
    <row r="805" spans="1:27" ht="14.4">
      <c r="A805" s="425"/>
      <c r="B805" s="425"/>
      <c r="C805" s="425"/>
      <c r="D805" s="391"/>
      <c r="E805" s="425"/>
      <c r="F805" s="425"/>
      <c r="G805" s="425"/>
      <c r="H805" s="425"/>
      <c r="I805" s="425"/>
      <c r="J805" s="425"/>
      <c r="K805" s="425"/>
      <c r="L805" s="375"/>
      <c r="M805" s="375"/>
      <c r="N805" s="375"/>
      <c r="O805" s="375"/>
      <c r="P805" s="375"/>
      <c r="Q805" s="375"/>
      <c r="R805" s="375"/>
      <c r="S805" s="375"/>
      <c r="T805" s="375"/>
      <c r="U805" s="375"/>
      <c r="V805" s="375"/>
      <c r="W805" s="375"/>
      <c r="X805" s="375"/>
      <c r="Y805" s="375"/>
      <c r="Z805" s="375"/>
      <c r="AA805" s="375"/>
    </row>
    <row r="806" spans="1:27" ht="14.4">
      <c r="A806" s="425"/>
      <c r="B806" s="425"/>
      <c r="C806" s="425"/>
      <c r="D806" s="391"/>
      <c r="E806" s="425"/>
      <c r="F806" s="425"/>
      <c r="G806" s="425"/>
      <c r="H806" s="425"/>
      <c r="I806" s="425"/>
      <c r="J806" s="425"/>
      <c r="K806" s="425"/>
      <c r="L806" s="375"/>
      <c r="M806" s="375"/>
      <c r="N806" s="375"/>
      <c r="O806" s="375"/>
      <c r="P806" s="375"/>
      <c r="Q806" s="375"/>
      <c r="R806" s="375"/>
      <c r="S806" s="375"/>
      <c r="T806" s="375"/>
      <c r="U806" s="375"/>
      <c r="V806" s="375"/>
      <c r="W806" s="375"/>
      <c r="X806" s="375"/>
      <c r="Y806" s="375"/>
      <c r="Z806" s="375"/>
      <c r="AA806" s="375"/>
    </row>
    <row r="807" spans="1:27" ht="14.4">
      <c r="A807" s="425"/>
      <c r="B807" s="425"/>
      <c r="C807" s="425"/>
      <c r="D807" s="391"/>
      <c r="E807" s="425"/>
      <c r="F807" s="425"/>
      <c r="G807" s="425"/>
      <c r="H807" s="425"/>
      <c r="I807" s="425"/>
      <c r="J807" s="425"/>
      <c r="K807" s="425"/>
      <c r="L807" s="375"/>
      <c r="M807" s="375"/>
      <c r="N807" s="375"/>
      <c r="O807" s="375"/>
      <c r="P807" s="375"/>
      <c r="Q807" s="375"/>
      <c r="R807" s="375"/>
      <c r="S807" s="375"/>
      <c r="T807" s="375"/>
      <c r="U807" s="375"/>
      <c r="V807" s="375"/>
      <c r="W807" s="375"/>
      <c r="X807" s="375"/>
      <c r="Y807" s="375"/>
      <c r="Z807" s="375"/>
      <c r="AA807" s="375"/>
    </row>
    <row r="808" spans="1:27" ht="14.4">
      <c r="A808" s="425"/>
      <c r="B808" s="425"/>
      <c r="C808" s="425"/>
      <c r="D808" s="391"/>
      <c r="E808" s="425"/>
      <c r="F808" s="425"/>
      <c r="G808" s="425"/>
      <c r="H808" s="425"/>
      <c r="I808" s="425"/>
      <c r="J808" s="425"/>
      <c r="K808" s="425"/>
      <c r="L808" s="375"/>
      <c r="M808" s="375"/>
      <c r="N808" s="375"/>
      <c r="O808" s="375"/>
      <c r="P808" s="375"/>
      <c r="Q808" s="375"/>
      <c r="R808" s="375"/>
      <c r="S808" s="375"/>
      <c r="T808" s="375"/>
      <c r="U808" s="375"/>
      <c r="V808" s="375"/>
      <c r="W808" s="375"/>
      <c r="X808" s="375"/>
      <c r="Y808" s="375"/>
      <c r="Z808" s="375"/>
      <c r="AA808" s="375"/>
    </row>
    <row r="809" spans="1:27" ht="14.4">
      <c r="A809" s="425"/>
      <c r="B809" s="425"/>
      <c r="C809" s="425"/>
      <c r="D809" s="391"/>
      <c r="E809" s="425"/>
      <c r="F809" s="425"/>
      <c r="G809" s="425"/>
      <c r="H809" s="425"/>
      <c r="I809" s="425"/>
      <c r="J809" s="425"/>
      <c r="K809" s="425"/>
      <c r="L809" s="375"/>
      <c r="M809" s="375"/>
      <c r="N809" s="375"/>
      <c r="O809" s="375"/>
      <c r="P809" s="375"/>
      <c r="Q809" s="375"/>
      <c r="R809" s="375"/>
      <c r="S809" s="375"/>
      <c r="T809" s="375"/>
      <c r="U809" s="375"/>
      <c r="V809" s="375"/>
      <c r="W809" s="375"/>
      <c r="X809" s="375"/>
      <c r="Y809" s="375"/>
      <c r="Z809" s="375"/>
      <c r="AA809" s="375"/>
    </row>
    <row r="810" spans="1:27" ht="14.4">
      <c r="A810" s="425"/>
      <c r="B810" s="425"/>
      <c r="C810" s="425"/>
      <c r="D810" s="391"/>
      <c r="E810" s="425"/>
      <c r="F810" s="425"/>
      <c r="G810" s="425"/>
      <c r="H810" s="425"/>
      <c r="I810" s="425"/>
      <c r="J810" s="425"/>
      <c r="K810" s="425"/>
      <c r="L810" s="375"/>
      <c r="M810" s="375"/>
      <c r="N810" s="375"/>
      <c r="O810" s="375"/>
      <c r="P810" s="375"/>
      <c r="Q810" s="375"/>
      <c r="R810" s="375"/>
      <c r="S810" s="375"/>
      <c r="T810" s="375"/>
      <c r="U810" s="375"/>
      <c r="V810" s="375"/>
      <c r="W810" s="375"/>
      <c r="X810" s="375"/>
      <c r="Y810" s="375"/>
      <c r="Z810" s="375"/>
      <c r="AA810" s="375"/>
    </row>
    <row r="811" spans="1:27" ht="14.4">
      <c r="A811" s="425"/>
      <c r="B811" s="425"/>
      <c r="C811" s="425"/>
      <c r="D811" s="391"/>
      <c r="E811" s="425"/>
      <c r="F811" s="425"/>
      <c r="G811" s="425"/>
      <c r="H811" s="425"/>
      <c r="I811" s="425"/>
      <c r="J811" s="425"/>
      <c r="K811" s="425"/>
      <c r="L811" s="375"/>
      <c r="M811" s="375"/>
      <c r="N811" s="375"/>
      <c r="O811" s="375"/>
      <c r="P811" s="375"/>
      <c r="Q811" s="375"/>
      <c r="R811" s="375"/>
      <c r="S811" s="375"/>
      <c r="T811" s="375"/>
      <c r="U811" s="375"/>
      <c r="V811" s="375"/>
      <c r="W811" s="375"/>
      <c r="X811" s="375"/>
      <c r="Y811" s="375"/>
      <c r="Z811" s="375"/>
      <c r="AA811" s="375"/>
    </row>
    <row r="812" spans="1:27" ht="14.4">
      <c r="A812" s="425"/>
      <c r="B812" s="425"/>
      <c r="C812" s="425"/>
      <c r="D812" s="391"/>
      <c r="E812" s="425"/>
      <c r="F812" s="425"/>
      <c r="G812" s="425"/>
      <c r="H812" s="425"/>
      <c r="I812" s="425"/>
      <c r="J812" s="425"/>
      <c r="K812" s="425"/>
      <c r="L812" s="375"/>
      <c r="M812" s="375"/>
      <c r="N812" s="375"/>
      <c r="O812" s="375"/>
      <c r="P812" s="375"/>
      <c r="Q812" s="375"/>
      <c r="R812" s="375"/>
      <c r="S812" s="375"/>
      <c r="T812" s="375"/>
      <c r="U812" s="375"/>
      <c r="V812" s="375"/>
      <c r="W812" s="375"/>
      <c r="X812" s="375"/>
      <c r="Y812" s="375"/>
      <c r="Z812" s="375"/>
      <c r="AA812" s="375"/>
    </row>
    <row r="813" spans="1:27" ht="14.4">
      <c r="A813" s="425"/>
      <c r="B813" s="425"/>
      <c r="C813" s="425"/>
      <c r="D813" s="391"/>
      <c r="E813" s="425"/>
      <c r="F813" s="425"/>
      <c r="G813" s="425"/>
      <c r="H813" s="425"/>
      <c r="I813" s="425"/>
      <c r="J813" s="425"/>
      <c r="K813" s="425"/>
      <c r="L813" s="375"/>
      <c r="M813" s="375"/>
      <c r="N813" s="375"/>
      <c r="O813" s="375"/>
      <c r="P813" s="375"/>
      <c r="Q813" s="375"/>
      <c r="R813" s="375"/>
      <c r="S813" s="375"/>
      <c r="T813" s="375"/>
      <c r="U813" s="375"/>
      <c r="V813" s="375"/>
      <c r="W813" s="375"/>
      <c r="X813" s="375"/>
      <c r="Y813" s="375"/>
      <c r="Z813" s="375"/>
      <c r="AA813" s="375"/>
    </row>
    <row r="814" spans="1:27" ht="14.4">
      <c r="A814" s="425"/>
      <c r="B814" s="425"/>
      <c r="C814" s="425"/>
      <c r="D814" s="391"/>
      <c r="E814" s="425"/>
      <c r="F814" s="425"/>
      <c r="G814" s="425"/>
      <c r="H814" s="425"/>
      <c r="I814" s="425"/>
      <c r="J814" s="425"/>
      <c r="K814" s="425"/>
      <c r="L814" s="375"/>
      <c r="M814" s="375"/>
      <c r="N814" s="375"/>
      <c r="O814" s="375"/>
      <c r="P814" s="375"/>
      <c r="Q814" s="375"/>
      <c r="R814" s="375"/>
      <c r="S814" s="375"/>
      <c r="T814" s="375"/>
      <c r="U814" s="375"/>
      <c r="V814" s="375"/>
      <c r="W814" s="375"/>
      <c r="X814" s="375"/>
      <c r="Y814" s="375"/>
      <c r="Z814" s="375"/>
      <c r="AA814" s="375"/>
    </row>
    <row r="815" spans="1:27" ht="14.4">
      <c r="A815" s="425"/>
      <c r="B815" s="425"/>
      <c r="C815" s="425"/>
      <c r="D815" s="391"/>
      <c r="E815" s="425"/>
      <c r="F815" s="425"/>
      <c r="G815" s="425"/>
      <c r="H815" s="425"/>
      <c r="I815" s="425"/>
      <c r="J815" s="425"/>
      <c r="K815" s="425"/>
      <c r="L815" s="375"/>
      <c r="M815" s="375"/>
      <c r="N815" s="375"/>
      <c r="O815" s="375"/>
      <c r="P815" s="375"/>
      <c r="Q815" s="375"/>
      <c r="R815" s="375"/>
      <c r="S815" s="375"/>
      <c r="T815" s="375"/>
      <c r="U815" s="375"/>
      <c r="V815" s="375"/>
      <c r="W815" s="375"/>
      <c r="X815" s="375"/>
      <c r="Y815" s="375"/>
      <c r="Z815" s="375"/>
      <c r="AA815" s="375"/>
    </row>
    <row r="816" spans="1:27" ht="14.4">
      <c r="A816" s="425"/>
      <c r="B816" s="425"/>
      <c r="C816" s="425"/>
      <c r="D816" s="391"/>
      <c r="E816" s="425"/>
      <c r="F816" s="425"/>
      <c r="G816" s="425"/>
      <c r="H816" s="425"/>
      <c r="I816" s="425"/>
      <c r="J816" s="425"/>
      <c r="K816" s="425"/>
      <c r="L816" s="375"/>
      <c r="M816" s="375"/>
      <c r="N816" s="375"/>
      <c r="O816" s="375"/>
      <c r="P816" s="375"/>
      <c r="Q816" s="375"/>
      <c r="R816" s="375"/>
      <c r="S816" s="375"/>
      <c r="T816" s="375"/>
      <c r="U816" s="375"/>
      <c r="V816" s="375"/>
      <c r="W816" s="375"/>
      <c r="X816" s="375"/>
      <c r="Y816" s="375"/>
      <c r="Z816" s="375"/>
      <c r="AA816" s="375"/>
    </row>
    <row r="817" spans="1:27" ht="14.4">
      <c r="A817" s="425"/>
      <c r="B817" s="425"/>
      <c r="C817" s="425"/>
      <c r="D817" s="391"/>
      <c r="E817" s="425"/>
      <c r="F817" s="425"/>
      <c r="G817" s="425"/>
      <c r="H817" s="425"/>
      <c r="I817" s="425"/>
      <c r="J817" s="425"/>
      <c r="K817" s="425"/>
      <c r="L817" s="375"/>
      <c r="M817" s="375"/>
      <c r="N817" s="375"/>
      <c r="O817" s="375"/>
      <c r="P817" s="375"/>
      <c r="Q817" s="375"/>
      <c r="R817" s="375"/>
      <c r="S817" s="375"/>
      <c r="T817" s="375"/>
      <c r="U817" s="375"/>
      <c r="V817" s="375"/>
      <c r="W817" s="375"/>
      <c r="X817" s="375"/>
      <c r="Y817" s="375"/>
      <c r="Z817" s="375"/>
      <c r="AA817" s="375"/>
    </row>
    <row r="818" spans="1:27" ht="14.4">
      <c r="A818" s="425"/>
      <c r="B818" s="425"/>
      <c r="C818" s="425"/>
      <c r="D818" s="391"/>
      <c r="E818" s="425"/>
      <c r="F818" s="425"/>
      <c r="G818" s="425"/>
      <c r="H818" s="425"/>
      <c r="I818" s="425"/>
      <c r="J818" s="425"/>
      <c r="K818" s="425"/>
      <c r="L818" s="375"/>
      <c r="M818" s="375"/>
      <c r="N818" s="375"/>
      <c r="O818" s="375"/>
      <c r="P818" s="375"/>
      <c r="Q818" s="375"/>
      <c r="R818" s="375"/>
      <c r="S818" s="375"/>
      <c r="T818" s="375"/>
      <c r="U818" s="375"/>
      <c r="V818" s="375"/>
      <c r="W818" s="375"/>
      <c r="X818" s="375"/>
      <c r="Y818" s="375"/>
      <c r="Z818" s="375"/>
      <c r="AA818" s="375"/>
    </row>
    <row r="819" spans="1:27" ht="14.4">
      <c r="A819" s="425"/>
      <c r="B819" s="425"/>
      <c r="C819" s="425"/>
      <c r="D819" s="391"/>
      <c r="E819" s="425"/>
      <c r="F819" s="425"/>
      <c r="G819" s="425"/>
      <c r="H819" s="425"/>
      <c r="I819" s="425"/>
      <c r="J819" s="425"/>
      <c r="K819" s="425"/>
      <c r="L819" s="375"/>
      <c r="M819" s="375"/>
      <c r="N819" s="375"/>
      <c r="O819" s="375"/>
      <c r="P819" s="375"/>
      <c r="Q819" s="375"/>
      <c r="R819" s="375"/>
      <c r="S819" s="375"/>
      <c r="T819" s="375"/>
      <c r="U819" s="375"/>
      <c r="V819" s="375"/>
      <c r="W819" s="375"/>
      <c r="X819" s="375"/>
      <c r="Y819" s="375"/>
      <c r="Z819" s="375"/>
      <c r="AA819" s="375"/>
    </row>
    <row r="820" spans="1:27" ht="14.4">
      <c r="A820" s="425"/>
      <c r="B820" s="425"/>
      <c r="C820" s="425"/>
      <c r="D820" s="391"/>
      <c r="E820" s="425"/>
      <c r="F820" s="425"/>
      <c r="G820" s="425"/>
      <c r="H820" s="425"/>
      <c r="I820" s="425"/>
      <c r="J820" s="425"/>
      <c r="K820" s="425"/>
      <c r="L820" s="375"/>
      <c r="M820" s="375"/>
      <c r="N820" s="375"/>
      <c r="O820" s="375"/>
      <c r="P820" s="375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  <c r="AA820" s="375"/>
    </row>
    <row r="821" spans="1:27" ht="14.4">
      <c r="A821" s="425"/>
      <c r="B821" s="425"/>
      <c r="C821" s="425"/>
      <c r="D821" s="391"/>
      <c r="E821" s="425"/>
      <c r="F821" s="425"/>
      <c r="G821" s="425"/>
      <c r="H821" s="425"/>
      <c r="I821" s="425"/>
      <c r="J821" s="425"/>
      <c r="K821" s="425"/>
      <c r="L821" s="375"/>
      <c r="M821" s="375"/>
      <c r="N821" s="375"/>
      <c r="O821" s="375"/>
      <c r="P821" s="375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  <c r="AA821" s="375"/>
    </row>
    <row r="822" spans="1:27" ht="14.4">
      <c r="A822" s="425"/>
      <c r="B822" s="425"/>
      <c r="C822" s="425"/>
      <c r="D822" s="391"/>
      <c r="E822" s="425"/>
      <c r="F822" s="425"/>
      <c r="G822" s="425"/>
      <c r="H822" s="425"/>
      <c r="I822" s="425"/>
      <c r="J822" s="425"/>
      <c r="K822" s="425"/>
      <c r="L822" s="375"/>
      <c r="M822" s="375"/>
      <c r="N822" s="375"/>
      <c r="O822" s="375"/>
      <c r="P822" s="375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  <c r="AA822" s="375"/>
    </row>
    <row r="823" spans="1:27" ht="14.4">
      <c r="A823" s="425"/>
      <c r="B823" s="425"/>
      <c r="C823" s="425"/>
      <c r="D823" s="391"/>
      <c r="E823" s="425"/>
      <c r="F823" s="425"/>
      <c r="G823" s="425"/>
      <c r="H823" s="425"/>
      <c r="I823" s="425"/>
      <c r="J823" s="425"/>
      <c r="K823" s="425"/>
      <c r="L823" s="375"/>
      <c r="M823" s="375"/>
      <c r="N823" s="375"/>
      <c r="O823" s="375"/>
      <c r="P823" s="375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  <c r="AA823" s="375"/>
    </row>
    <row r="824" spans="1:27" ht="14.4">
      <c r="A824" s="425"/>
      <c r="B824" s="425"/>
      <c r="C824" s="425"/>
      <c r="D824" s="391"/>
      <c r="E824" s="425"/>
      <c r="F824" s="425"/>
      <c r="G824" s="425"/>
      <c r="H824" s="425"/>
      <c r="I824" s="425"/>
      <c r="J824" s="425"/>
      <c r="K824" s="425"/>
      <c r="L824" s="375"/>
      <c r="M824" s="375"/>
      <c r="N824" s="375"/>
      <c r="O824" s="375"/>
      <c r="P824" s="375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  <c r="AA824" s="375"/>
    </row>
    <row r="825" spans="1:27" ht="14.4">
      <c r="A825" s="425"/>
      <c r="B825" s="425"/>
      <c r="C825" s="425"/>
      <c r="D825" s="391"/>
      <c r="E825" s="425"/>
      <c r="F825" s="425"/>
      <c r="G825" s="425"/>
      <c r="H825" s="425"/>
      <c r="I825" s="425"/>
      <c r="J825" s="425"/>
      <c r="K825" s="425"/>
      <c r="L825" s="375"/>
      <c r="M825" s="375"/>
      <c r="N825" s="375"/>
      <c r="O825" s="375"/>
      <c r="P825" s="375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  <c r="AA825" s="375"/>
    </row>
    <row r="826" spans="1:27" ht="14.4">
      <c r="A826" s="425"/>
      <c r="B826" s="425"/>
      <c r="C826" s="425"/>
      <c r="D826" s="391"/>
      <c r="E826" s="425"/>
      <c r="F826" s="425"/>
      <c r="G826" s="425"/>
      <c r="H826" s="425"/>
      <c r="I826" s="425"/>
      <c r="J826" s="425"/>
      <c r="K826" s="425"/>
      <c r="L826" s="375"/>
      <c r="M826" s="375"/>
      <c r="N826" s="375"/>
      <c r="O826" s="375"/>
      <c r="P826" s="375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  <c r="AA826" s="375"/>
    </row>
    <row r="827" spans="1:27" ht="14.4">
      <c r="A827" s="425"/>
      <c r="B827" s="425"/>
      <c r="C827" s="425"/>
      <c r="D827" s="391"/>
      <c r="E827" s="425"/>
      <c r="F827" s="425"/>
      <c r="G827" s="425"/>
      <c r="H827" s="425"/>
      <c r="I827" s="425"/>
      <c r="J827" s="425"/>
      <c r="K827" s="425"/>
      <c r="L827" s="375"/>
      <c r="M827" s="375"/>
      <c r="N827" s="375"/>
      <c r="O827" s="375"/>
      <c r="P827" s="375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  <c r="AA827" s="375"/>
    </row>
    <row r="828" spans="1:27" ht="14.4">
      <c r="A828" s="425"/>
      <c r="B828" s="425"/>
      <c r="C828" s="425"/>
      <c r="D828" s="391"/>
      <c r="E828" s="425"/>
      <c r="F828" s="425"/>
      <c r="G828" s="425"/>
      <c r="H828" s="425"/>
      <c r="I828" s="425"/>
      <c r="J828" s="425"/>
      <c r="K828" s="425"/>
      <c r="L828" s="375"/>
      <c r="M828" s="375"/>
      <c r="N828" s="375"/>
      <c r="O828" s="375"/>
      <c r="P828" s="375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  <c r="AA828" s="375"/>
    </row>
    <row r="829" spans="1:27" ht="14.4">
      <c r="A829" s="425"/>
      <c r="B829" s="425"/>
      <c r="C829" s="425"/>
      <c r="D829" s="391"/>
      <c r="E829" s="425"/>
      <c r="F829" s="425"/>
      <c r="G829" s="425"/>
      <c r="H829" s="425"/>
      <c r="I829" s="425"/>
      <c r="J829" s="425"/>
      <c r="K829" s="425"/>
      <c r="L829" s="375"/>
      <c r="M829" s="375"/>
      <c r="N829" s="375"/>
      <c r="O829" s="375"/>
      <c r="P829" s="375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  <c r="AA829" s="375"/>
    </row>
    <row r="830" spans="1:27" ht="14.4">
      <c r="A830" s="425"/>
      <c r="B830" s="425"/>
      <c r="C830" s="425"/>
      <c r="D830" s="391"/>
      <c r="E830" s="425"/>
      <c r="F830" s="425"/>
      <c r="G830" s="425"/>
      <c r="H830" s="425"/>
      <c r="I830" s="425"/>
      <c r="J830" s="425"/>
      <c r="K830" s="425"/>
      <c r="L830" s="375"/>
      <c r="M830" s="375"/>
      <c r="N830" s="375"/>
      <c r="O830" s="375"/>
      <c r="P830" s="375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  <c r="AA830" s="375"/>
    </row>
    <row r="831" spans="1:27" ht="14.4">
      <c r="A831" s="425"/>
      <c r="B831" s="425"/>
      <c r="C831" s="425"/>
      <c r="D831" s="391"/>
      <c r="E831" s="425"/>
      <c r="F831" s="425"/>
      <c r="G831" s="425"/>
      <c r="H831" s="425"/>
      <c r="I831" s="425"/>
      <c r="J831" s="425"/>
      <c r="K831" s="425"/>
      <c r="L831" s="375"/>
      <c r="M831" s="375"/>
      <c r="N831" s="375"/>
      <c r="O831" s="375"/>
      <c r="P831" s="375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  <c r="AA831" s="375"/>
    </row>
    <row r="832" spans="1:27" ht="14.4">
      <c r="A832" s="425"/>
      <c r="B832" s="425"/>
      <c r="C832" s="425"/>
      <c r="D832" s="391"/>
      <c r="E832" s="425"/>
      <c r="F832" s="425"/>
      <c r="G832" s="425"/>
      <c r="H832" s="425"/>
      <c r="I832" s="425"/>
      <c r="J832" s="425"/>
      <c r="K832" s="425"/>
      <c r="L832" s="375"/>
      <c r="M832" s="375"/>
      <c r="N832" s="375"/>
      <c r="O832" s="375"/>
      <c r="P832" s="375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  <c r="AA832" s="375"/>
    </row>
    <row r="833" spans="1:27" ht="14.4">
      <c r="A833" s="425"/>
      <c r="B833" s="425"/>
      <c r="C833" s="425"/>
      <c r="D833" s="391"/>
      <c r="E833" s="425"/>
      <c r="F833" s="425"/>
      <c r="G833" s="425"/>
      <c r="H833" s="425"/>
      <c r="I833" s="425"/>
      <c r="J833" s="425"/>
      <c r="K833" s="425"/>
      <c r="L833" s="375"/>
      <c r="M833" s="375"/>
      <c r="N833" s="375"/>
      <c r="O833" s="375"/>
      <c r="P833" s="375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  <c r="AA833" s="375"/>
    </row>
    <row r="834" spans="1:27" ht="14.4">
      <c r="A834" s="425"/>
      <c r="B834" s="425"/>
      <c r="C834" s="425"/>
      <c r="D834" s="391"/>
      <c r="E834" s="425"/>
      <c r="F834" s="425"/>
      <c r="G834" s="425"/>
      <c r="H834" s="425"/>
      <c r="I834" s="425"/>
      <c r="J834" s="425"/>
      <c r="K834" s="425"/>
      <c r="L834" s="375"/>
      <c r="M834" s="375"/>
      <c r="N834" s="375"/>
      <c r="O834" s="375"/>
      <c r="P834" s="375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  <c r="AA834" s="375"/>
    </row>
    <row r="835" spans="1:27" ht="14.4">
      <c r="A835" s="425"/>
      <c r="B835" s="425"/>
      <c r="C835" s="425"/>
      <c r="D835" s="391"/>
      <c r="E835" s="425"/>
      <c r="F835" s="425"/>
      <c r="G835" s="425"/>
      <c r="H835" s="425"/>
      <c r="I835" s="425"/>
      <c r="J835" s="425"/>
      <c r="K835" s="425"/>
      <c r="L835" s="375"/>
      <c r="M835" s="375"/>
      <c r="N835" s="375"/>
      <c r="O835" s="375"/>
      <c r="P835" s="375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  <c r="AA835" s="375"/>
    </row>
    <row r="836" spans="1:27" ht="14.4">
      <c r="A836" s="425"/>
      <c r="B836" s="425"/>
      <c r="C836" s="425"/>
      <c r="D836" s="391"/>
      <c r="E836" s="425"/>
      <c r="F836" s="425"/>
      <c r="G836" s="425"/>
      <c r="H836" s="425"/>
      <c r="I836" s="425"/>
      <c r="J836" s="425"/>
      <c r="K836" s="425"/>
      <c r="L836" s="375"/>
      <c r="M836" s="375"/>
      <c r="N836" s="375"/>
      <c r="O836" s="375"/>
      <c r="P836" s="375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  <c r="AA836" s="375"/>
    </row>
    <row r="837" spans="1:27" ht="14.4">
      <c r="A837" s="425"/>
      <c r="B837" s="425"/>
      <c r="C837" s="425"/>
      <c r="D837" s="391"/>
      <c r="E837" s="425"/>
      <c r="F837" s="425"/>
      <c r="G837" s="425"/>
      <c r="H837" s="425"/>
      <c r="I837" s="425"/>
      <c r="J837" s="425"/>
      <c r="K837" s="425"/>
      <c r="L837" s="375"/>
      <c r="M837" s="375"/>
      <c r="N837" s="375"/>
      <c r="O837" s="375"/>
      <c r="P837" s="375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  <c r="AA837" s="375"/>
    </row>
    <row r="838" spans="1:27" ht="14.4">
      <c r="A838" s="425"/>
      <c r="B838" s="425"/>
      <c r="C838" s="425"/>
      <c r="D838" s="391"/>
      <c r="E838" s="425"/>
      <c r="F838" s="425"/>
      <c r="G838" s="425"/>
      <c r="H838" s="425"/>
      <c r="I838" s="425"/>
      <c r="J838" s="425"/>
      <c r="K838" s="425"/>
      <c r="L838" s="375"/>
      <c r="M838" s="375"/>
      <c r="N838" s="375"/>
      <c r="O838" s="375"/>
      <c r="P838" s="375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  <c r="AA838" s="375"/>
    </row>
    <row r="839" spans="1:27" ht="14.4">
      <c r="A839" s="425"/>
      <c r="B839" s="425"/>
      <c r="C839" s="425"/>
      <c r="D839" s="391"/>
      <c r="E839" s="425"/>
      <c r="F839" s="425"/>
      <c r="G839" s="425"/>
      <c r="H839" s="425"/>
      <c r="I839" s="425"/>
      <c r="J839" s="425"/>
      <c r="K839" s="425"/>
      <c r="L839" s="375"/>
      <c r="M839" s="375"/>
      <c r="N839" s="375"/>
      <c r="O839" s="375"/>
      <c r="P839" s="375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  <c r="AA839" s="375"/>
    </row>
    <row r="840" spans="1:27" ht="14.4">
      <c r="A840" s="425"/>
      <c r="B840" s="425"/>
      <c r="C840" s="425"/>
      <c r="D840" s="391"/>
      <c r="E840" s="425"/>
      <c r="F840" s="425"/>
      <c r="G840" s="425"/>
      <c r="H840" s="425"/>
      <c r="I840" s="425"/>
      <c r="J840" s="425"/>
      <c r="K840" s="425"/>
      <c r="L840" s="375"/>
      <c r="M840" s="375"/>
      <c r="N840" s="375"/>
      <c r="O840" s="375"/>
      <c r="P840" s="375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  <c r="AA840" s="375"/>
    </row>
    <row r="841" spans="1:27" ht="14.4">
      <c r="A841" s="425"/>
      <c r="B841" s="425"/>
      <c r="C841" s="425"/>
      <c r="D841" s="391"/>
      <c r="E841" s="425"/>
      <c r="F841" s="425"/>
      <c r="G841" s="425"/>
      <c r="H841" s="425"/>
      <c r="I841" s="425"/>
      <c r="J841" s="425"/>
      <c r="K841" s="425"/>
      <c r="L841" s="375"/>
      <c r="M841" s="375"/>
      <c r="N841" s="375"/>
      <c r="O841" s="375"/>
      <c r="P841" s="375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  <c r="AA841" s="375"/>
    </row>
    <row r="842" spans="1:27" ht="14.4">
      <c r="A842" s="425"/>
      <c r="B842" s="425"/>
      <c r="C842" s="425"/>
      <c r="D842" s="391"/>
      <c r="E842" s="425"/>
      <c r="F842" s="425"/>
      <c r="G842" s="425"/>
      <c r="H842" s="425"/>
      <c r="I842" s="425"/>
      <c r="J842" s="425"/>
      <c r="K842" s="425"/>
      <c r="L842" s="375"/>
      <c r="M842" s="375"/>
      <c r="N842" s="375"/>
      <c r="O842" s="375"/>
      <c r="P842" s="375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  <c r="AA842" s="375"/>
    </row>
    <row r="843" spans="1:27" ht="14.4">
      <c r="A843" s="425"/>
      <c r="B843" s="425"/>
      <c r="C843" s="425"/>
      <c r="D843" s="391"/>
      <c r="E843" s="425"/>
      <c r="F843" s="425"/>
      <c r="G843" s="425"/>
      <c r="H843" s="425"/>
      <c r="I843" s="425"/>
      <c r="J843" s="425"/>
      <c r="K843" s="425"/>
      <c r="L843" s="375"/>
      <c r="M843" s="375"/>
      <c r="N843" s="375"/>
      <c r="O843" s="375"/>
      <c r="P843" s="375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  <c r="AA843" s="375"/>
    </row>
    <row r="844" spans="1:27" ht="14.4">
      <c r="A844" s="425"/>
      <c r="B844" s="425"/>
      <c r="C844" s="425"/>
      <c r="D844" s="391"/>
      <c r="E844" s="425"/>
      <c r="F844" s="425"/>
      <c r="G844" s="425"/>
      <c r="H844" s="425"/>
      <c r="I844" s="425"/>
      <c r="J844" s="425"/>
      <c r="K844" s="425"/>
      <c r="L844" s="375"/>
      <c r="M844" s="375"/>
      <c r="N844" s="375"/>
      <c r="O844" s="375"/>
      <c r="P844" s="375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  <c r="AA844" s="375"/>
    </row>
    <row r="845" spans="1:27" ht="14.4">
      <c r="A845" s="425"/>
      <c r="B845" s="425"/>
      <c r="C845" s="425"/>
      <c r="D845" s="391"/>
      <c r="E845" s="425"/>
      <c r="F845" s="425"/>
      <c r="G845" s="425"/>
      <c r="H845" s="425"/>
      <c r="I845" s="425"/>
      <c r="J845" s="425"/>
      <c r="K845" s="425"/>
      <c r="L845" s="375"/>
      <c r="M845" s="375"/>
      <c r="N845" s="375"/>
      <c r="O845" s="375"/>
      <c r="P845" s="375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  <c r="AA845" s="375"/>
    </row>
    <row r="846" spans="1:27" ht="14.4">
      <c r="A846" s="425"/>
      <c r="B846" s="425"/>
      <c r="C846" s="425"/>
      <c r="D846" s="391"/>
      <c r="E846" s="425"/>
      <c r="F846" s="425"/>
      <c r="G846" s="425"/>
      <c r="H846" s="425"/>
      <c r="I846" s="425"/>
      <c r="J846" s="425"/>
      <c r="K846" s="425"/>
      <c r="L846" s="375"/>
      <c r="M846" s="375"/>
      <c r="N846" s="375"/>
      <c r="O846" s="375"/>
      <c r="P846" s="375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  <c r="AA846" s="375"/>
    </row>
    <row r="847" spans="1:27" ht="14.4">
      <c r="A847" s="425"/>
      <c r="B847" s="425"/>
      <c r="C847" s="425"/>
      <c r="D847" s="391"/>
      <c r="E847" s="425"/>
      <c r="F847" s="425"/>
      <c r="G847" s="425"/>
      <c r="H847" s="425"/>
      <c r="I847" s="425"/>
      <c r="J847" s="425"/>
      <c r="K847" s="425"/>
      <c r="L847" s="375"/>
      <c r="M847" s="375"/>
      <c r="N847" s="375"/>
      <c r="O847" s="375"/>
      <c r="P847" s="375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  <c r="AA847" s="375"/>
    </row>
    <row r="848" spans="1:27" ht="14.4">
      <c r="A848" s="425"/>
      <c r="B848" s="425"/>
      <c r="C848" s="425"/>
      <c r="D848" s="391"/>
      <c r="E848" s="425"/>
      <c r="F848" s="425"/>
      <c r="G848" s="425"/>
      <c r="H848" s="425"/>
      <c r="I848" s="425"/>
      <c r="J848" s="425"/>
      <c r="K848" s="425"/>
      <c r="L848" s="375"/>
      <c r="M848" s="375"/>
      <c r="N848" s="375"/>
      <c r="O848" s="375"/>
      <c r="P848" s="375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  <c r="AA848" s="375"/>
    </row>
    <row r="849" spans="1:27" ht="14.4">
      <c r="A849" s="425"/>
      <c r="B849" s="425"/>
      <c r="C849" s="425"/>
      <c r="D849" s="391"/>
      <c r="E849" s="425"/>
      <c r="F849" s="425"/>
      <c r="G849" s="425"/>
      <c r="H849" s="425"/>
      <c r="I849" s="425"/>
      <c r="J849" s="425"/>
      <c r="K849" s="425"/>
      <c r="L849" s="375"/>
      <c r="M849" s="375"/>
      <c r="N849" s="375"/>
      <c r="O849" s="375"/>
      <c r="P849" s="375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  <c r="AA849" s="375"/>
    </row>
    <row r="850" spans="1:27" ht="14.4">
      <c r="A850" s="425"/>
      <c r="B850" s="425"/>
      <c r="C850" s="425"/>
      <c r="D850" s="391"/>
      <c r="E850" s="425"/>
      <c r="F850" s="425"/>
      <c r="G850" s="425"/>
      <c r="H850" s="425"/>
      <c r="I850" s="425"/>
      <c r="J850" s="425"/>
      <c r="K850" s="425"/>
      <c r="L850" s="375"/>
      <c r="M850" s="375"/>
      <c r="N850" s="375"/>
      <c r="O850" s="375"/>
      <c r="P850" s="375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  <c r="AA850" s="375"/>
    </row>
    <row r="851" spans="1:27" ht="14.4">
      <c r="A851" s="425"/>
      <c r="B851" s="425"/>
      <c r="C851" s="425"/>
      <c r="D851" s="391"/>
      <c r="E851" s="425"/>
      <c r="F851" s="425"/>
      <c r="G851" s="425"/>
      <c r="H851" s="425"/>
      <c r="I851" s="425"/>
      <c r="J851" s="425"/>
      <c r="K851" s="425"/>
      <c r="L851" s="375"/>
      <c r="M851" s="375"/>
      <c r="N851" s="375"/>
      <c r="O851" s="375"/>
      <c r="P851" s="375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  <c r="AA851" s="375"/>
    </row>
    <row r="852" spans="1:27" ht="14.4">
      <c r="A852" s="425"/>
      <c r="B852" s="425"/>
      <c r="C852" s="425"/>
      <c r="D852" s="391"/>
      <c r="E852" s="425"/>
      <c r="F852" s="425"/>
      <c r="G852" s="425"/>
      <c r="H852" s="425"/>
      <c r="I852" s="425"/>
      <c r="J852" s="425"/>
      <c r="K852" s="425"/>
      <c r="L852" s="375"/>
      <c r="M852" s="375"/>
      <c r="N852" s="375"/>
      <c r="O852" s="375"/>
      <c r="P852" s="375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  <c r="AA852" s="375"/>
    </row>
    <row r="853" spans="1:27" ht="14.4">
      <c r="A853" s="425"/>
      <c r="B853" s="425"/>
      <c r="C853" s="425"/>
      <c r="D853" s="391"/>
      <c r="E853" s="425"/>
      <c r="F853" s="425"/>
      <c r="G853" s="425"/>
      <c r="H853" s="425"/>
      <c r="I853" s="425"/>
      <c r="J853" s="425"/>
      <c r="K853" s="425"/>
      <c r="L853" s="375"/>
      <c r="M853" s="375"/>
      <c r="N853" s="375"/>
      <c r="O853" s="375"/>
      <c r="P853" s="375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  <c r="AA853" s="375"/>
    </row>
    <row r="854" spans="1:27" ht="14.4">
      <c r="A854" s="425"/>
      <c r="B854" s="425"/>
      <c r="C854" s="425"/>
      <c r="D854" s="391"/>
      <c r="E854" s="425"/>
      <c r="F854" s="425"/>
      <c r="G854" s="425"/>
      <c r="H854" s="425"/>
      <c r="I854" s="425"/>
      <c r="J854" s="425"/>
      <c r="K854" s="425"/>
      <c r="L854" s="375"/>
      <c r="M854" s="375"/>
      <c r="N854" s="375"/>
      <c r="O854" s="375"/>
      <c r="P854" s="375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  <c r="AA854" s="375"/>
    </row>
    <row r="855" spans="1:27" ht="14.4">
      <c r="A855" s="425"/>
      <c r="B855" s="425"/>
      <c r="C855" s="425"/>
      <c r="D855" s="391"/>
      <c r="E855" s="425"/>
      <c r="F855" s="425"/>
      <c r="G855" s="425"/>
      <c r="H855" s="425"/>
      <c r="I855" s="425"/>
      <c r="J855" s="425"/>
      <c r="K855" s="425"/>
      <c r="L855" s="375"/>
      <c r="M855" s="375"/>
      <c r="N855" s="375"/>
      <c r="O855" s="375"/>
      <c r="P855" s="375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  <c r="AA855" s="375"/>
    </row>
    <row r="856" spans="1:27" ht="14.4">
      <c r="A856" s="425"/>
      <c r="B856" s="425"/>
      <c r="C856" s="425"/>
      <c r="D856" s="391"/>
      <c r="E856" s="425"/>
      <c r="F856" s="425"/>
      <c r="G856" s="425"/>
      <c r="H856" s="425"/>
      <c r="I856" s="425"/>
      <c r="J856" s="425"/>
      <c r="K856" s="425"/>
      <c r="L856" s="375"/>
      <c r="M856" s="375"/>
      <c r="N856" s="375"/>
      <c r="O856" s="375"/>
      <c r="P856" s="375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  <c r="AA856" s="375"/>
    </row>
    <row r="857" spans="1:27" ht="14.4">
      <c r="A857" s="425"/>
      <c r="B857" s="425"/>
      <c r="C857" s="425"/>
      <c r="D857" s="391"/>
      <c r="E857" s="425"/>
      <c r="F857" s="425"/>
      <c r="G857" s="425"/>
      <c r="H857" s="425"/>
      <c r="I857" s="425"/>
      <c r="J857" s="425"/>
      <c r="K857" s="425"/>
      <c r="L857" s="375"/>
      <c r="M857" s="375"/>
      <c r="N857" s="375"/>
      <c r="O857" s="375"/>
      <c r="P857" s="375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  <c r="AA857" s="375"/>
    </row>
    <row r="858" spans="1:27" ht="14.4">
      <c r="A858" s="425"/>
      <c r="B858" s="425"/>
      <c r="C858" s="425"/>
      <c r="D858" s="391"/>
      <c r="E858" s="425"/>
      <c r="F858" s="425"/>
      <c r="G858" s="425"/>
      <c r="H858" s="425"/>
      <c r="I858" s="425"/>
      <c r="J858" s="425"/>
      <c r="K858" s="425"/>
      <c r="L858" s="375"/>
      <c r="M858" s="375"/>
      <c r="N858" s="375"/>
      <c r="O858" s="375"/>
      <c r="P858" s="375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  <c r="AA858" s="375"/>
    </row>
    <row r="859" spans="1:27" ht="14.4">
      <c r="A859" s="425"/>
      <c r="B859" s="425"/>
      <c r="C859" s="425"/>
      <c r="D859" s="391"/>
      <c r="E859" s="425"/>
      <c r="F859" s="425"/>
      <c r="G859" s="425"/>
      <c r="H859" s="425"/>
      <c r="I859" s="425"/>
      <c r="J859" s="425"/>
      <c r="K859" s="425"/>
      <c r="L859" s="375"/>
      <c r="M859" s="375"/>
      <c r="N859" s="375"/>
      <c r="O859" s="375"/>
      <c r="P859" s="375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  <c r="AA859" s="375"/>
    </row>
    <row r="860" spans="1:27" ht="14.4">
      <c r="A860" s="425"/>
      <c r="B860" s="425"/>
      <c r="C860" s="425"/>
      <c r="D860" s="391"/>
      <c r="E860" s="425"/>
      <c r="F860" s="425"/>
      <c r="G860" s="425"/>
      <c r="H860" s="425"/>
      <c r="I860" s="425"/>
      <c r="J860" s="425"/>
      <c r="K860" s="425"/>
      <c r="L860" s="375"/>
      <c r="M860" s="375"/>
      <c r="N860" s="375"/>
      <c r="O860" s="375"/>
      <c r="P860" s="375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  <c r="AA860" s="375"/>
    </row>
    <row r="861" spans="1:27" ht="14.4">
      <c r="A861" s="425"/>
      <c r="B861" s="425"/>
      <c r="C861" s="425"/>
      <c r="D861" s="391"/>
      <c r="E861" s="425"/>
      <c r="F861" s="425"/>
      <c r="G861" s="425"/>
      <c r="H861" s="425"/>
      <c r="I861" s="425"/>
      <c r="J861" s="425"/>
      <c r="K861" s="425"/>
      <c r="L861" s="375"/>
      <c r="M861" s="375"/>
      <c r="N861" s="375"/>
      <c r="O861" s="375"/>
      <c r="P861" s="375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  <c r="AA861" s="375"/>
    </row>
    <row r="862" spans="1:27" ht="14.4">
      <c r="A862" s="425"/>
      <c r="B862" s="425"/>
      <c r="C862" s="425"/>
      <c r="D862" s="391"/>
      <c r="E862" s="425"/>
      <c r="F862" s="425"/>
      <c r="G862" s="425"/>
      <c r="H862" s="425"/>
      <c r="I862" s="425"/>
      <c r="J862" s="425"/>
      <c r="K862" s="425"/>
      <c r="L862" s="375"/>
      <c r="M862" s="375"/>
      <c r="N862" s="375"/>
      <c r="O862" s="375"/>
      <c r="P862" s="375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  <c r="AA862" s="375"/>
    </row>
    <row r="863" spans="1:27" ht="14.4">
      <c r="A863" s="425"/>
      <c r="B863" s="425"/>
      <c r="C863" s="425"/>
      <c r="D863" s="391"/>
      <c r="E863" s="425"/>
      <c r="F863" s="425"/>
      <c r="G863" s="425"/>
      <c r="H863" s="425"/>
      <c r="I863" s="425"/>
      <c r="J863" s="425"/>
      <c r="K863" s="425"/>
      <c r="L863" s="375"/>
      <c r="M863" s="375"/>
      <c r="N863" s="375"/>
      <c r="O863" s="375"/>
      <c r="P863" s="375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  <c r="AA863" s="375"/>
    </row>
    <row r="864" spans="1:27" ht="14.4">
      <c r="A864" s="425"/>
      <c r="B864" s="425"/>
      <c r="C864" s="425"/>
      <c r="D864" s="391"/>
      <c r="E864" s="425"/>
      <c r="F864" s="425"/>
      <c r="G864" s="425"/>
      <c r="H864" s="425"/>
      <c r="I864" s="425"/>
      <c r="J864" s="425"/>
      <c r="K864" s="425"/>
      <c r="L864" s="375"/>
      <c r="M864" s="375"/>
      <c r="N864" s="375"/>
      <c r="O864" s="375"/>
      <c r="P864" s="375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  <c r="AA864" s="375"/>
    </row>
    <row r="865" spans="1:27" ht="14.4">
      <c r="A865" s="425"/>
      <c r="B865" s="425"/>
      <c r="C865" s="425"/>
      <c r="D865" s="391"/>
      <c r="E865" s="425"/>
      <c r="F865" s="425"/>
      <c r="G865" s="425"/>
      <c r="H865" s="425"/>
      <c r="I865" s="425"/>
      <c r="J865" s="425"/>
      <c r="K865" s="425"/>
      <c r="L865" s="375"/>
      <c r="M865" s="375"/>
      <c r="N865" s="375"/>
      <c r="O865" s="375"/>
      <c r="P865" s="375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  <c r="AA865" s="375"/>
    </row>
    <row r="866" spans="1:27" ht="14.4">
      <c r="A866" s="425"/>
      <c r="B866" s="425"/>
      <c r="C866" s="425"/>
      <c r="D866" s="391"/>
      <c r="E866" s="425"/>
      <c r="F866" s="425"/>
      <c r="G866" s="425"/>
      <c r="H866" s="425"/>
      <c r="I866" s="425"/>
      <c r="J866" s="425"/>
      <c r="K866" s="425"/>
      <c r="L866" s="375"/>
      <c r="M866" s="375"/>
      <c r="N866" s="375"/>
      <c r="O866" s="375"/>
      <c r="P866" s="375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  <c r="AA866" s="375"/>
    </row>
    <row r="867" spans="1:27" ht="14.4">
      <c r="A867" s="425"/>
      <c r="B867" s="425"/>
      <c r="C867" s="425"/>
      <c r="D867" s="391"/>
      <c r="E867" s="425"/>
      <c r="F867" s="425"/>
      <c r="G867" s="425"/>
      <c r="H867" s="425"/>
      <c r="I867" s="425"/>
      <c r="J867" s="425"/>
      <c r="K867" s="425"/>
      <c r="L867" s="375"/>
      <c r="M867" s="375"/>
      <c r="N867" s="375"/>
      <c r="O867" s="375"/>
      <c r="P867" s="375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  <c r="AA867" s="375"/>
    </row>
    <row r="868" spans="1:27" ht="14.4">
      <c r="A868" s="425"/>
      <c r="B868" s="425"/>
      <c r="C868" s="425"/>
      <c r="D868" s="391"/>
      <c r="E868" s="425"/>
      <c r="F868" s="425"/>
      <c r="G868" s="425"/>
      <c r="H868" s="425"/>
      <c r="I868" s="425"/>
      <c r="J868" s="425"/>
      <c r="K868" s="425"/>
      <c r="L868" s="375"/>
      <c r="M868" s="375"/>
      <c r="N868" s="375"/>
      <c r="O868" s="375"/>
      <c r="P868" s="375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  <c r="AA868" s="375"/>
    </row>
    <row r="869" spans="1:27" ht="14.4">
      <c r="A869" s="425"/>
      <c r="B869" s="425"/>
      <c r="C869" s="425"/>
      <c r="D869" s="391"/>
      <c r="E869" s="425"/>
      <c r="F869" s="425"/>
      <c r="G869" s="425"/>
      <c r="H869" s="425"/>
      <c r="I869" s="425"/>
      <c r="J869" s="425"/>
      <c r="K869" s="425"/>
      <c r="L869" s="375"/>
      <c r="M869" s="375"/>
      <c r="N869" s="375"/>
      <c r="O869" s="375"/>
      <c r="P869" s="375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  <c r="AA869" s="375"/>
    </row>
    <row r="870" spans="1:27" ht="14.4">
      <c r="A870" s="425"/>
      <c r="B870" s="425"/>
      <c r="C870" s="425"/>
      <c r="D870" s="391"/>
      <c r="E870" s="425"/>
      <c r="F870" s="425"/>
      <c r="G870" s="425"/>
      <c r="H870" s="425"/>
      <c r="I870" s="425"/>
      <c r="J870" s="425"/>
      <c r="K870" s="425"/>
      <c r="L870" s="375"/>
      <c r="M870" s="375"/>
      <c r="N870" s="375"/>
      <c r="O870" s="375"/>
      <c r="P870" s="375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  <c r="AA870" s="375"/>
    </row>
    <row r="871" spans="1:27" ht="14.4">
      <c r="A871" s="425"/>
      <c r="B871" s="425"/>
      <c r="C871" s="425"/>
      <c r="D871" s="391"/>
      <c r="E871" s="425"/>
      <c r="F871" s="425"/>
      <c r="G871" s="425"/>
      <c r="H871" s="425"/>
      <c r="I871" s="425"/>
      <c r="J871" s="425"/>
      <c r="K871" s="425"/>
      <c r="L871" s="375"/>
      <c r="M871" s="375"/>
      <c r="N871" s="375"/>
      <c r="O871" s="375"/>
      <c r="P871" s="375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  <c r="AA871" s="375"/>
    </row>
    <row r="872" spans="1:27" ht="14.4">
      <c r="A872" s="425"/>
      <c r="B872" s="425"/>
      <c r="C872" s="425"/>
      <c r="D872" s="391"/>
      <c r="E872" s="425"/>
      <c r="F872" s="425"/>
      <c r="G872" s="425"/>
      <c r="H872" s="425"/>
      <c r="I872" s="425"/>
      <c r="J872" s="425"/>
      <c r="K872" s="425"/>
      <c r="L872" s="375"/>
      <c r="M872" s="375"/>
      <c r="N872" s="375"/>
      <c r="O872" s="375"/>
      <c r="P872" s="375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  <c r="AA872" s="375"/>
    </row>
    <row r="873" spans="1:27" ht="14.4">
      <c r="A873" s="425"/>
      <c r="B873" s="425"/>
      <c r="C873" s="425"/>
      <c r="D873" s="391"/>
      <c r="E873" s="425"/>
      <c r="F873" s="425"/>
      <c r="G873" s="425"/>
      <c r="H873" s="425"/>
      <c r="I873" s="425"/>
      <c r="J873" s="425"/>
      <c r="K873" s="425"/>
      <c r="L873" s="375"/>
      <c r="M873" s="375"/>
      <c r="N873" s="375"/>
      <c r="O873" s="375"/>
      <c r="P873" s="375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  <c r="AA873" s="375"/>
    </row>
    <row r="874" spans="1:27" ht="14.4">
      <c r="A874" s="425"/>
      <c r="B874" s="425"/>
      <c r="C874" s="425"/>
      <c r="D874" s="391"/>
      <c r="E874" s="425"/>
      <c r="F874" s="425"/>
      <c r="G874" s="425"/>
      <c r="H874" s="425"/>
      <c r="I874" s="425"/>
      <c r="J874" s="425"/>
      <c r="K874" s="425"/>
      <c r="L874" s="375"/>
      <c r="M874" s="375"/>
      <c r="N874" s="375"/>
      <c r="O874" s="375"/>
      <c r="P874" s="375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  <c r="AA874" s="375"/>
    </row>
    <row r="875" spans="1:27" ht="14.4">
      <c r="A875" s="425"/>
      <c r="B875" s="425"/>
      <c r="C875" s="425"/>
      <c r="D875" s="391"/>
      <c r="E875" s="425"/>
      <c r="F875" s="425"/>
      <c r="G875" s="425"/>
      <c r="H875" s="425"/>
      <c r="I875" s="425"/>
      <c r="J875" s="425"/>
      <c r="K875" s="425"/>
      <c r="L875" s="375"/>
      <c r="M875" s="375"/>
      <c r="N875" s="375"/>
      <c r="O875" s="375"/>
      <c r="P875" s="375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  <c r="AA875" s="375"/>
    </row>
    <row r="876" spans="1:27" ht="14.4">
      <c r="A876" s="425"/>
      <c r="B876" s="425"/>
      <c r="C876" s="425"/>
      <c r="D876" s="391"/>
      <c r="E876" s="425"/>
      <c r="F876" s="425"/>
      <c r="G876" s="425"/>
      <c r="H876" s="425"/>
      <c r="I876" s="425"/>
      <c r="J876" s="425"/>
      <c r="K876" s="425"/>
      <c r="L876" s="375"/>
      <c r="M876" s="375"/>
      <c r="N876" s="375"/>
      <c r="O876" s="375"/>
      <c r="P876" s="375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  <c r="AA876" s="375"/>
    </row>
    <row r="877" spans="1:27" ht="14.4">
      <c r="A877" s="425"/>
      <c r="B877" s="425"/>
      <c r="C877" s="425"/>
      <c r="D877" s="391"/>
      <c r="E877" s="425"/>
      <c r="F877" s="425"/>
      <c r="G877" s="425"/>
      <c r="H877" s="425"/>
      <c r="I877" s="425"/>
      <c r="J877" s="425"/>
      <c r="K877" s="425"/>
      <c r="L877" s="375"/>
      <c r="M877" s="375"/>
      <c r="N877" s="375"/>
      <c r="O877" s="375"/>
      <c r="P877" s="375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  <c r="AA877" s="375"/>
    </row>
    <row r="878" spans="1:27" ht="14.4">
      <c r="A878" s="425"/>
      <c r="B878" s="425"/>
      <c r="C878" s="425"/>
      <c r="D878" s="391"/>
      <c r="E878" s="425"/>
      <c r="F878" s="425"/>
      <c r="G878" s="425"/>
      <c r="H878" s="425"/>
      <c r="I878" s="425"/>
      <c r="J878" s="425"/>
      <c r="K878" s="425"/>
      <c r="L878" s="375"/>
      <c r="M878" s="375"/>
      <c r="N878" s="375"/>
      <c r="O878" s="375"/>
      <c r="P878" s="375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  <c r="AA878" s="375"/>
    </row>
    <row r="879" spans="1:27" ht="14.4">
      <c r="A879" s="425"/>
      <c r="B879" s="425"/>
      <c r="C879" s="425"/>
      <c r="D879" s="391"/>
      <c r="E879" s="425"/>
      <c r="F879" s="425"/>
      <c r="G879" s="425"/>
      <c r="H879" s="425"/>
      <c r="I879" s="425"/>
      <c r="J879" s="425"/>
      <c r="K879" s="425"/>
      <c r="L879" s="375"/>
      <c r="M879" s="375"/>
      <c r="N879" s="375"/>
      <c r="O879" s="375"/>
      <c r="P879" s="375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  <c r="AA879" s="375"/>
    </row>
    <row r="880" spans="1:27" ht="14.4">
      <c r="A880" s="425"/>
      <c r="B880" s="425"/>
      <c r="C880" s="425"/>
      <c r="D880" s="391"/>
      <c r="E880" s="425"/>
      <c r="F880" s="425"/>
      <c r="G880" s="425"/>
      <c r="H880" s="425"/>
      <c r="I880" s="425"/>
      <c r="J880" s="425"/>
      <c r="K880" s="425"/>
      <c r="L880" s="375"/>
      <c r="M880" s="375"/>
      <c r="N880" s="375"/>
      <c r="O880" s="375"/>
      <c r="P880" s="375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  <c r="AA880" s="375"/>
    </row>
    <row r="881" spans="1:27" ht="14.4">
      <c r="A881" s="425"/>
      <c r="B881" s="425"/>
      <c r="C881" s="425"/>
      <c r="D881" s="391"/>
      <c r="E881" s="425"/>
      <c r="F881" s="425"/>
      <c r="G881" s="425"/>
      <c r="H881" s="425"/>
      <c r="I881" s="425"/>
      <c r="J881" s="425"/>
      <c r="K881" s="425"/>
      <c r="L881" s="375"/>
      <c r="M881" s="375"/>
      <c r="N881" s="375"/>
      <c r="O881" s="375"/>
      <c r="P881" s="375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  <c r="AA881" s="375"/>
    </row>
    <row r="882" spans="1:27" ht="14.4">
      <c r="A882" s="425"/>
      <c r="B882" s="425"/>
      <c r="C882" s="425"/>
      <c r="D882" s="391"/>
      <c r="E882" s="425"/>
      <c r="F882" s="425"/>
      <c r="G882" s="425"/>
      <c r="H882" s="425"/>
      <c r="I882" s="425"/>
      <c r="J882" s="425"/>
      <c r="K882" s="425"/>
      <c r="L882" s="375"/>
      <c r="M882" s="375"/>
      <c r="N882" s="375"/>
      <c r="O882" s="375"/>
      <c r="P882" s="375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  <c r="AA882" s="375"/>
    </row>
    <row r="883" spans="1:27" ht="14.4">
      <c r="A883" s="425"/>
      <c r="B883" s="425"/>
      <c r="C883" s="425"/>
      <c r="D883" s="391"/>
      <c r="E883" s="425"/>
      <c r="F883" s="425"/>
      <c r="G883" s="425"/>
      <c r="H883" s="425"/>
      <c r="I883" s="425"/>
      <c r="J883" s="425"/>
      <c r="K883" s="425"/>
      <c r="L883" s="375"/>
      <c r="M883" s="375"/>
      <c r="N883" s="375"/>
      <c r="O883" s="375"/>
      <c r="P883" s="375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  <c r="AA883" s="375"/>
    </row>
    <row r="884" spans="1:27" ht="14.4">
      <c r="A884" s="425"/>
      <c r="B884" s="425"/>
      <c r="C884" s="425"/>
      <c r="D884" s="391"/>
      <c r="E884" s="425"/>
      <c r="F884" s="425"/>
      <c r="G884" s="425"/>
      <c r="H884" s="425"/>
      <c r="I884" s="425"/>
      <c r="J884" s="425"/>
      <c r="K884" s="425"/>
      <c r="L884" s="375"/>
      <c r="M884" s="375"/>
      <c r="N884" s="375"/>
      <c r="O884" s="375"/>
      <c r="P884" s="375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  <c r="AA884" s="375"/>
    </row>
    <row r="885" spans="1:27" ht="14.4">
      <c r="A885" s="425"/>
      <c r="B885" s="425"/>
      <c r="C885" s="425"/>
      <c r="D885" s="391"/>
      <c r="E885" s="425"/>
      <c r="F885" s="425"/>
      <c r="G885" s="425"/>
      <c r="H885" s="425"/>
      <c r="I885" s="425"/>
      <c r="J885" s="425"/>
      <c r="K885" s="425"/>
      <c r="L885" s="375"/>
      <c r="M885" s="375"/>
      <c r="N885" s="375"/>
      <c r="O885" s="375"/>
      <c r="P885" s="375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  <c r="AA885" s="375"/>
    </row>
    <row r="886" spans="1:27" ht="14.4">
      <c r="A886" s="425"/>
      <c r="B886" s="425"/>
      <c r="C886" s="425"/>
      <c r="D886" s="391"/>
      <c r="E886" s="425"/>
      <c r="F886" s="425"/>
      <c r="G886" s="425"/>
      <c r="H886" s="425"/>
      <c r="I886" s="425"/>
      <c r="J886" s="425"/>
      <c r="K886" s="425"/>
      <c r="L886" s="375"/>
      <c r="M886" s="375"/>
      <c r="N886" s="375"/>
      <c r="O886" s="375"/>
      <c r="P886" s="375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  <c r="AA886" s="375"/>
    </row>
    <row r="887" spans="1:27" ht="14.4">
      <c r="A887" s="425"/>
      <c r="B887" s="425"/>
      <c r="C887" s="425"/>
      <c r="D887" s="391"/>
      <c r="E887" s="425"/>
      <c r="F887" s="425"/>
      <c r="G887" s="425"/>
      <c r="H887" s="425"/>
      <c r="I887" s="425"/>
      <c r="J887" s="425"/>
      <c r="K887" s="425"/>
      <c r="L887" s="375"/>
      <c r="M887" s="375"/>
      <c r="N887" s="375"/>
      <c r="O887" s="375"/>
      <c r="P887" s="375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  <c r="AA887" s="375"/>
    </row>
    <row r="888" spans="1:27" ht="14.4">
      <c r="A888" s="425"/>
      <c r="B888" s="425"/>
      <c r="C888" s="425"/>
      <c r="D888" s="391"/>
      <c r="E888" s="425"/>
      <c r="F888" s="425"/>
      <c r="G888" s="425"/>
      <c r="H888" s="425"/>
      <c r="I888" s="425"/>
      <c r="J888" s="425"/>
      <c r="K888" s="425"/>
      <c r="L888" s="375"/>
      <c r="M888" s="375"/>
      <c r="N888" s="375"/>
      <c r="O888" s="375"/>
      <c r="P888" s="375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  <c r="AA888" s="375"/>
    </row>
    <row r="889" spans="1:27" ht="14.4">
      <c r="A889" s="425"/>
      <c r="B889" s="425"/>
      <c r="C889" s="425"/>
      <c r="D889" s="391"/>
      <c r="E889" s="425"/>
      <c r="F889" s="425"/>
      <c r="G889" s="425"/>
      <c r="H889" s="425"/>
      <c r="I889" s="425"/>
      <c r="J889" s="425"/>
      <c r="K889" s="425"/>
      <c r="L889" s="375"/>
      <c r="M889" s="375"/>
      <c r="N889" s="375"/>
      <c r="O889" s="375"/>
      <c r="P889" s="375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  <c r="AA889" s="375"/>
    </row>
    <row r="890" spans="1:27" ht="14.4">
      <c r="A890" s="425"/>
      <c r="B890" s="425"/>
      <c r="C890" s="425"/>
      <c r="D890" s="391"/>
      <c r="E890" s="425"/>
      <c r="F890" s="425"/>
      <c r="G890" s="425"/>
      <c r="H890" s="425"/>
      <c r="I890" s="425"/>
      <c r="J890" s="425"/>
      <c r="K890" s="425"/>
      <c r="L890" s="375"/>
      <c r="M890" s="375"/>
      <c r="N890" s="375"/>
      <c r="O890" s="375"/>
      <c r="P890" s="375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  <c r="AA890" s="375"/>
    </row>
    <row r="891" spans="1:27" ht="14.4">
      <c r="A891" s="425"/>
      <c r="B891" s="425"/>
      <c r="C891" s="425"/>
      <c r="D891" s="391"/>
      <c r="E891" s="425"/>
      <c r="F891" s="425"/>
      <c r="G891" s="425"/>
      <c r="H891" s="425"/>
      <c r="I891" s="425"/>
      <c r="J891" s="425"/>
      <c r="K891" s="425"/>
      <c r="L891" s="375"/>
      <c r="M891" s="375"/>
      <c r="N891" s="375"/>
      <c r="O891" s="375"/>
      <c r="P891" s="375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  <c r="AA891" s="375"/>
    </row>
    <row r="892" spans="1:27" ht="14.4">
      <c r="A892" s="425"/>
      <c r="B892" s="425"/>
      <c r="C892" s="425"/>
      <c r="D892" s="391"/>
      <c r="E892" s="425"/>
      <c r="F892" s="425"/>
      <c r="G892" s="425"/>
      <c r="H892" s="425"/>
      <c r="I892" s="425"/>
      <c r="J892" s="425"/>
      <c r="K892" s="425"/>
      <c r="L892" s="375"/>
      <c r="M892" s="375"/>
      <c r="N892" s="375"/>
      <c r="O892" s="375"/>
      <c r="P892" s="375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  <c r="AA892" s="375"/>
    </row>
    <row r="893" spans="1:27" ht="14.4">
      <c r="A893" s="425"/>
      <c r="B893" s="425"/>
      <c r="C893" s="425"/>
      <c r="D893" s="391"/>
      <c r="E893" s="425"/>
      <c r="F893" s="425"/>
      <c r="G893" s="425"/>
      <c r="H893" s="425"/>
      <c r="I893" s="425"/>
      <c r="J893" s="425"/>
      <c r="K893" s="425"/>
      <c r="L893" s="375"/>
      <c r="M893" s="375"/>
      <c r="N893" s="375"/>
      <c r="O893" s="375"/>
      <c r="P893" s="375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  <c r="AA893" s="375"/>
    </row>
    <row r="894" spans="1:27" ht="14.4">
      <c r="A894" s="425"/>
      <c r="B894" s="425"/>
      <c r="C894" s="425"/>
      <c r="D894" s="391"/>
      <c r="E894" s="425"/>
      <c r="F894" s="425"/>
      <c r="G894" s="425"/>
      <c r="H894" s="425"/>
      <c r="I894" s="425"/>
      <c r="J894" s="425"/>
      <c r="K894" s="425"/>
      <c r="L894" s="375"/>
      <c r="M894" s="375"/>
      <c r="N894" s="375"/>
      <c r="O894" s="375"/>
      <c r="P894" s="375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  <c r="AA894" s="375"/>
    </row>
    <row r="895" spans="1:27" ht="14.4">
      <c r="A895" s="425"/>
      <c r="B895" s="425"/>
      <c r="C895" s="425"/>
      <c r="D895" s="391"/>
      <c r="E895" s="425"/>
      <c r="F895" s="425"/>
      <c r="G895" s="425"/>
      <c r="H895" s="425"/>
      <c r="I895" s="425"/>
      <c r="J895" s="425"/>
      <c r="K895" s="425"/>
      <c r="L895" s="375"/>
      <c r="M895" s="375"/>
      <c r="N895" s="375"/>
      <c r="O895" s="375"/>
      <c r="P895" s="375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  <c r="AA895" s="375"/>
    </row>
    <row r="896" spans="1:27" ht="14.4">
      <c r="A896" s="425"/>
      <c r="B896" s="425"/>
      <c r="C896" s="425"/>
      <c r="D896" s="391"/>
      <c r="E896" s="425"/>
      <c r="F896" s="425"/>
      <c r="G896" s="425"/>
      <c r="H896" s="425"/>
      <c r="I896" s="425"/>
      <c r="J896" s="425"/>
      <c r="K896" s="425"/>
      <c r="L896" s="375"/>
      <c r="M896" s="375"/>
      <c r="N896" s="375"/>
      <c r="O896" s="375"/>
      <c r="P896" s="375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  <c r="AA896" s="375"/>
    </row>
    <row r="897" spans="1:27" ht="14.4">
      <c r="A897" s="425"/>
      <c r="B897" s="425"/>
      <c r="C897" s="425"/>
      <c r="D897" s="391"/>
      <c r="E897" s="425"/>
      <c r="F897" s="425"/>
      <c r="G897" s="425"/>
      <c r="H897" s="425"/>
      <c r="I897" s="425"/>
      <c r="J897" s="425"/>
      <c r="K897" s="425"/>
      <c r="L897" s="375"/>
      <c r="M897" s="375"/>
      <c r="N897" s="375"/>
      <c r="O897" s="375"/>
      <c r="P897" s="375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  <c r="AA897" s="375"/>
    </row>
    <row r="898" spans="1:27" ht="14.4">
      <c r="A898" s="425"/>
      <c r="B898" s="425"/>
      <c r="C898" s="425"/>
      <c r="D898" s="391"/>
      <c r="E898" s="425"/>
      <c r="F898" s="425"/>
      <c r="G898" s="425"/>
      <c r="H898" s="425"/>
      <c r="I898" s="425"/>
      <c r="J898" s="425"/>
      <c r="K898" s="425"/>
      <c r="L898" s="375"/>
      <c r="M898" s="375"/>
      <c r="N898" s="375"/>
      <c r="O898" s="375"/>
      <c r="P898" s="375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  <c r="AA898" s="375"/>
    </row>
    <row r="899" spans="1:27" ht="14.4">
      <c r="A899" s="425"/>
      <c r="B899" s="425"/>
      <c r="C899" s="425"/>
      <c r="D899" s="391"/>
      <c r="E899" s="425"/>
      <c r="F899" s="425"/>
      <c r="G899" s="425"/>
      <c r="H899" s="425"/>
      <c r="I899" s="425"/>
      <c r="J899" s="425"/>
      <c r="K899" s="425"/>
      <c r="L899" s="375"/>
      <c r="M899" s="375"/>
      <c r="N899" s="375"/>
      <c r="O899" s="375"/>
      <c r="P899" s="375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  <c r="AA899" s="375"/>
    </row>
    <row r="900" spans="1:27" ht="14.4">
      <c r="A900" s="425"/>
      <c r="B900" s="425"/>
      <c r="C900" s="425"/>
      <c r="D900" s="391"/>
      <c r="E900" s="425"/>
      <c r="F900" s="425"/>
      <c r="G900" s="425"/>
      <c r="H900" s="425"/>
      <c r="I900" s="425"/>
      <c r="J900" s="425"/>
      <c r="K900" s="425"/>
      <c r="L900" s="375"/>
      <c r="M900" s="375"/>
      <c r="N900" s="375"/>
      <c r="O900" s="375"/>
      <c r="P900" s="375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  <c r="AA900" s="375"/>
    </row>
    <row r="901" spans="1:27" ht="14.4">
      <c r="A901" s="425"/>
      <c r="B901" s="425"/>
      <c r="C901" s="425"/>
      <c r="D901" s="391"/>
      <c r="E901" s="425"/>
      <c r="F901" s="425"/>
      <c r="G901" s="425"/>
      <c r="H901" s="425"/>
      <c r="I901" s="425"/>
      <c r="J901" s="425"/>
      <c r="K901" s="425"/>
      <c r="L901" s="375"/>
      <c r="M901" s="375"/>
      <c r="N901" s="375"/>
      <c r="O901" s="375"/>
      <c r="P901" s="375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  <c r="AA901" s="375"/>
    </row>
    <row r="902" spans="1:27" ht="14.4">
      <c r="A902" s="425"/>
      <c r="B902" s="425"/>
      <c r="C902" s="425"/>
      <c r="D902" s="391"/>
      <c r="E902" s="425"/>
      <c r="F902" s="425"/>
      <c r="G902" s="425"/>
      <c r="H902" s="425"/>
      <c r="I902" s="425"/>
      <c r="J902" s="425"/>
      <c r="K902" s="425"/>
      <c r="L902" s="375"/>
      <c r="M902" s="375"/>
      <c r="N902" s="375"/>
      <c r="O902" s="375"/>
      <c r="P902" s="375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  <c r="AA902" s="375"/>
    </row>
    <row r="903" spans="1:27" ht="14.4">
      <c r="A903" s="425"/>
      <c r="B903" s="425"/>
      <c r="C903" s="425"/>
      <c r="D903" s="391"/>
      <c r="E903" s="425"/>
      <c r="F903" s="425"/>
      <c r="G903" s="425"/>
      <c r="H903" s="425"/>
      <c r="I903" s="425"/>
      <c r="J903" s="425"/>
      <c r="K903" s="425"/>
      <c r="L903" s="375"/>
      <c r="M903" s="375"/>
      <c r="N903" s="375"/>
      <c r="O903" s="375"/>
      <c r="P903" s="375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  <c r="AA903" s="375"/>
    </row>
    <row r="904" spans="1:27" ht="14.4">
      <c r="A904" s="425"/>
      <c r="B904" s="425"/>
      <c r="C904" s="425"/>
      <c r="D904" s="391"/>
      <c r="E904" s="425"/>
      <c r="F904" s="425"/>
      <c r="G904" s="425"/>
      <c r="H904" s="425"/>
      <c r="I904" s="425"/>
      <c r="J904" s="425"/>
      <c r="K904" s="425"/>
      <c r="L904" s="375"/>
      <c r="M904" s="375"/>
      <c r="N904" s="375"/>
      <c r="O904" s="375"/>
      <c r="P904" s="375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  <c r="AA904" s="375"/>
    </row>
    <row r="905" spans="1:27" ht="14.4">
      <c r="A905" s="425"/>
      <c r="B905" s="425"/>
      <c r="C905" s="425"/>
      <c r="D905" s="391"/>
      <c r="E905" s="425"/>
      <c r="F905" s="425"/>
      <c r="G905" s="425"/>
      <c r="H905" s="425"/>
      <c r="I905" s="425"/>
      <c r="J905" s="425"/>
      <c r="K905" s="425"/>
      <c r="L905" s="375"/>
      <c r="M905" s="375"/>
      <c r="N905" s="375"/>
      <c r="O905" s="375"/>
      <c r="P905" s="375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  <c r="AA905" s="375"/>
    </row>
    <row r="906" spans="1:27" ht="14.4">
      <c r="A906" s="425"/>
      <c r="B906" s="425"/>
      <c r="C906" s="425"/>
      <c r="D906" s="391"/>
      <c r="E906" s="425"/>
      <c r="F906" s="425"/>
      <c r="G906" s="425"/>
      <c r="H906" s="425"/>
      <c r="I906" s="425"/>
      <c r="J906" s="425"/>
      <c r="K906" s="425"/>
      <c r="L906" s="375"/>
      <c r="M906" s="375"/>
      <c r="N906" s="375"/>
      <c r="O906" s="375"/>
      <c r="P906" s="375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  <c r="AA906" s="375"/>
    </row>
    <row r="907" spans="1:27" ht="14.4">
      <c r="A907" s="425"/>
      <c r="B907" s="425"/>
      <c r="C907" s="425"/>
      <c r="D907" s="391"/>
      <c r="E907" s="425"/>
      <c r="F907" s="425"/>
      <c r="G907" s="425"/>
      <c r="H907" s="425"/>
      <c r="I907" s="425"/>
      <c r="J907" s="425"/>
      <c r="K907" s="425"/>
      <c r="L907" s="375"/>
      <c r="M907" s="375"/>
      <c r="N907" s="375"/>
      <c r="O907" s="375"/>
      <c r="P907" s="375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  <c r="AA907" s="375"/>
    </row>
    <row r="908" spans="1:27" ht="14.4">
      <c r="A908" s="425"/>
      <c r="B908" s="425"/>
      <c r="C908" s="425"/>
      <c r="D908" s="391"/>
      <c r="E908" s="425"/>
      <c r="F908" s="425"/>
      <c r="G908" s="425"/>
      <c r="H908" s="425"/>
      <c r="I908" s="425"/>
      <c r="J908" s="425"/>
      <c r="K908" s="425"/>
      <c r="L908" s="375"/>
      <c r="M908" s="375"/>
      <c r="N908" s="375"/>
      <c r="O908" s="375"/>
      <c r="P908" s="375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  <c r="AA908" s="375"/>
    </row>
    <row r="909" spans="1:27" ht="14.4">
      <c r="A909" s="425"/>
      <c r="B909" s="425"/>
      <c r="C909" s="425"/>
      <c r="D909" s="391"/>
      <c r="E909" s="425"/>
      <c r="F909" s="425"/>
      <c r="G909" s="425"/>
      <c r="H909" s="425"/>
      <c r="I909" s="425"/>
      <c r="J909" s="425"/>
      <c r="K909" s="425"/>
      <c r="L909" s="375"/>
      <c r="M909" s="375"/>
      <c r="N909" s="375"/>
      <c r="O909" s="375"/>
      <c r="P909" s="375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  <c r="AA909" s="375"/>
    </row>
    <row r="910" spans="1:27" ht="14.4">
      <c r="A910" s="425"/>
      <c r="B910" s="425"/>
      <c r="C910" s="425"/>
      <c r="D910" s="391"/>
      <c r="E910" s="425"/>
      <c r="F910" s="425"/>
      <c r="G910" s="425"/>
      <c r="H910" s="425"/>
      <c r="I910" s="425"/>
      <c r="J910" s="425"/>
      <c r="K910" s="425"/>
      <c r="L910" s="375"/>
      <c r="M910" s="375"/>
      <c r="N910" s="375"/>
      <c r="O910" s="375"/>
      <c r="P910" s="375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  <c r="AA910" s="375"/>
    </row>
    <row r="911" spans="1:27" ht="14.4">
      <c r="A911" s="425"/>
      <c r="B911" s="425"/>
      <c r="C911" s="425"/>
      <c r="D911" s="391"/>
      <c r="E911" s="425"/>
      <c r="F911" s="425"/>
      <c r="G911" s="425"/>
      <c r="H911" s="425"/>
      <c r="I911" s="425"/>
      <c r="J911" s="425"/>
      <c r="K911" s="425"/>
      <c r="L911" s="375"/>
      <c r="M911" s="375"/>
      <c r="N911" s="375"/>
      <c r="O911" s="375"/>
      <c r="P911" s="375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  <c r="AA911" s="375"/>
    </row>
    <row r="912" spans="1:27" ht="14.4">
      <c r="A912" s="425"/>
      <c r="B912" s="425"/>
      <c r="C912" s="425"/>
      <c r="D912" s="391"/>
      <c r="E912" s="425"/>
      <c r="F912" s="425"/>
      <c r="G912" s="425"/>
      <c r="H912" s="425"/>
      <c r="I912" s="425"/>
      <c r="J912" s="425"/>
      <c r="K912" s="425"/>
      <c r="L912" s="375"/>
      <c r="M912" s="375"/>
      <c r="N912" s="375"/>
      <c r="O912" s="375"/>
      <c r="P912" s="375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  <c r="AA912" s="375"/>
    </row>
    <row r="913" spans="1:27" ht="14.4">
      <c r="A913" s="425"/>
      <c r="B913" s="425"/>
      <c r="C913" s="425"/>
      <c r="D913" s="391"/>
      <c r="E913" s="425"/>
      <c r="F913" s="425"/>
      <c r="G913" s="425"/>
      <c r="H913" s="425"/>
      <c r="I913" s="425"/>
      <c r="J913" s="425"/>
      <c r="K913" s="425"/>
      <c r="L913" s="375"/>
      <c r="M913" s="375"/>
      <c r="N913" s="375"/>
      <c r="O913" s="375"/>
      <c r="P913" s="375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  <c r="AA913" s="375"/>
    </row>
    <row r="914" spans="1:27" ht="14.4">
      <c r="A914" s="425"/>
      <c r="B914" s="425"/>
      <c r="C914" s="425"/>
      <c r="D914" s="391"/>
      <c r="E914" s="425"/>
      <c r="F914" s="425"/>
      <c r="G914" s="425"/>
      <c r="H914" s="425"/>
      <c r="I914" s="425"/>
      <c r="J914" s="425"/>
      <c r="K914" s="425"/>
      <c r="L914" s="375"/>
      <c r="M914" s="375"/>
      <c r="N914" s="375"/>
      <c r="O914" s="375"/>
      <c r="P914" s="375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  <c r="AA914" s="375"/>
    </row>
    <row r="915" spans="1:27" ht="13.8">
      <c r="A915" s="425"/>
      <c r="B915" s="425"/>
      <c r="C915" s="425"/>
      <c r="D915" s="391"/>
      <c r="E915" s="425"/>
      <c r="F915" s="425"/>
      <c r="G915" s="425"/>
      <c r="H915" s="425"/>
    </row>
    <row r="916" spans="1:27" ht="13.8">
      <c r="A916" s="425"/>
      <c r="B916" s="425"/>
      <c r="C916" s="425"/>
      <c r="D916" s="391"/>
      <c r="E916" s="425"/>
      <c r="F916" s="425"/>
      <c r="G916" s="425"/>
      <c r="H916" s="425"/>
    </row>
    <row r="917" spans="1:27" ht="13.8">
      <c r="A917" s="425"/>
      <c r="B917" s="425"/>
      <c r="C917" s="425"/>
      <c r="D917" s="391"/>
      <c r="E917" s="425"/>
      <c r="F917" s="425"/>
      <c r="G917" s="425"/>
      <c r="H917" s="425"/>
    </row>
    <row r="918" spans="1:27" ht="13.8">
      <c r="A918" s="425"/>
      <c r="B918" s="425"/>
      <c r="C918" s="425"/>
      <c r="D918" s="391"/>
      <c r="E918" s="425"/>
      <c r="F918" s="425"/>
      <c r="G918" s="425"/>
      <c r="H918" s="425"/>
    </row>
    <row r="919" spans="1:27" ht="13.8">
      <c r="A919" s="425"/>
      <c r="B919" s="425"/>
      <c r="C919" s="425"/>
      <c r="D919" s="391"/>
      <c r="E919" s="425"/>
      <c r="F919" s="425"/>
      <c r="G919" s="425"/>
      <c r="H919" s="425"/>
    </row>
    <row r="920" spans="1:27" ht="13.8">
      <c r="A920" s="425"/>
      <c r="B920" s="425"/>
      <c r="C920" s="425"/>
      <c r="D920" s="391"/>
      <c r="E920" s="425"/>
      <c r="F920" s="425"/>
      <c r="G920" s="425"/>
      <c r="H920" s="425"/>
    </row>
    <row r="921" spans="1:27" ht="13.8">
      <c r="A921" s="425"/>
      <c r="B921" s="425"/>
      <c r="C921" s="425"/>
      <c r="D921" s="391"/>
      <c r="E921" s="425"/>
      <c r="F921" s="425"/>
      <c r="G921" s="425"/>
      <c r="H921" s="425"/>
    </row>
    <row r="922" spans="1:27" ht="13.8">
      <c r="A922" s="425"/>
      <c r="B922" s="425"/>
      <c r="C922" s="425"/>
      <c r="D922" s="391"/>
      <c r="E922" s="425"/>
      <c r="F922" s="425"/>
      <c r="G922" s="425"/>
      <c r="H922" s="425"/>
    </row>
    <row r="923" spans="1:27" ht="13.8">
      <c r="A923" s="425"/>
      <c r="B923" s="425"/>
      <c r="C923" s="425"/>
      <c r="D923" s="391"/>
      <c r="E923" s="425"/>
      <c r="F923" s="425"/>
      <c r="G923" s="425"/>
      <c r="H923" s="425"/>
    </row>
    <row r="924" spans="1:27" ht="13.8">
      <c r="A924" s="425"/>
      <c r="B924" s="425"/>
      <c r="C924" s="425"/>
      <c r="D924" s="391"/>
      <c r="E924" s="425"/>
      <c r="F924" s="425"/>
      <c r="G924" s="425"/>
      <c r="H924" s="425"/>
    </row>
    <row r="925" spans="1:27" ht="13.8">
      <c r="A925" s="425"/>
      <c r="B925" s="425"/>
      <c r="C925" s="425"/>
      <c r="D925" s="391"/>
      <c r="E925" s="425"/>
      <c r="F925" s="425"/>
      <c r="G925" s="425"/>
      <c r="H925" s="425"/>
    </row>
    <row r="926" spans="1:27" ht="13.8">
      <c r="A926" s="425"/>
      <c r="B926" s="425"/>
      <c r="C926" s="425"/>
      <c r="D926" s="391"/>
      <c r="E926" s="425"/>
      <c r="F926" s="425"/>
      <c r="G926" s="425"/>
      <c r="H926" s="425"/>
    </row>
    <row r="927" spans="1:27" ht="13.8">
      <c r="A927" s="425"/>
      <c r="B927" s="425"/>
      <c r="C927" s="425"/>
      <c r="D927" s="391"/>
      <c r="E927" s="425"/>
      <c r="F927" s="425"/>
      <c r="G927" s="425"/>
      <c r="H927" s="425"/>
    </row>
    <row r="928" spans="1:27" ht="13.8">
      <c r="A928" s="425"/>
      <c r="B928" s="425"/>
      <c r="C928" s="425"/>
      <c r="D928" s="391"/>
      <c r="E928" s="425"/>
      <c r="F928" s="425"/>
      <c r="G928" s="425"/>
      <c r="H928" s="425"/>
    </row>
    <row r="929" spans="1:8" ht="13.8">
      <c r="A929" s="425"/>
      <c r="B929" s="425"/>
      <c r="C929" s="425"/>
      <c r="D929" s="391"/>
      <c r="E929" s="425"/>
      <c r="F929" s="425"/>
      <c r="G929" s="425"/>
      <c r="H929" s="425"/>
    </row>
    <row r="930" spans="1:8" ht="13.8">
      <c r="A930" s="425"/>
      <c r="B930" s="425"/>
      <c r="C930" s="425"/>
      <c r="D930" s="391"/>
      <c r="E930" s="425"/>
      <c r="F930" s="425"/>
      <c r="G930" s="425"/>
      <c r="H930" s="425"/>
    </row>
    <row r="931" spans="1:8" ht="13.8">
      <c r="A931" s="425"/>
      <c r="B931" s="425"/>
      <c r="C931" s="425"/>
      <c r="D931" s="391"/>
      <c r="E931" s="425"/>
      <c r="F931" s="425"/>
      <c r="G931" s="425"/>
      <c r="H931" s="425"/>
    </row>
    <row r="932" spans="1:8" ht="13.8">
      <c r="A932" s="425"/>
      <c r="B932" s="425"/>
      <c r="C932" s="425"/>
      <c r="D932" s="391"/>
      <c r="E932" s="425"/>
      <c r="F932" s="425"/>
      <c r="G932" s="425"/>
      <c r="H932" s="425"/>
    </row>
    <row r="933" spans="1:8" ht="13.8">
      <c r="A933" s="425"/>
      <c r="B933" s="425"/>
      <c r="C933" s="425"/>
      <c r="D933" s="391"/>
      <c r="E933" s="425"/>
      <c r="F933" s="425"/>
      <c r="G933" s="425"/>
      <c r="H933" s="425"/>
    </row>
    <row r="934" spans="1:8" ht="13.8">
      <c r="A934" s="425"/>
      <c r="B934" s="425"/>
      <c r="C934" s="425"/>
      <c r="D934" s="391"/>
      <c r="E934" s="425"/>
      <c r="F934" s="425"/>
      <c r="G934" s="425"/>
      <c r="H934" s="425"/>
    </row>
    <row r="935" spans="1:8" ht="13.8">
      <c r="A935" s="425"/>
      <c r="B935" s="425"/>
      <c r="C935" s="425"/>
      <c r="D935" s="391"/>
      <c r="E935" s="425"/>
      <c r="F935" s="425"/>
      <c r="G935" s="425"/>
      <c r="H935" s="425"/>
    </row>
    <row r="936" spans="1:8" ht="13.8">
      <c r="A936" s="425"/>
      <c r="B936" s="425"/>
      <c r="C936" s="425"/>
      <c r="D936" s="391"/>
      <c r="E936" s="425"/>
      <c r="F936" s="425"/>
      <c r="G936" s="425"/>
      <c r="H936" s="425"/>
    </row>
    <row r="937" spans="1:8" ht="13.8">
      <c r="A937" s="425"/>
      <c r="B937" s="425"/>
      <c r="C937" s="425"/>
      <c r="D937" s="391"/>
      <c r="E937" s="425"/>
      <c r="F937" s="425"/>
      <c r="G937" s="425"/>
      <c r="H937" s="425"/>
    </row>
    <row r="938" spans="1:8" ht="13.8">
      <c r="A938" s="425"/>
      <c r="B938" s="425"/>
      <c r="C938" s="425"/>
      <c r="D938" s="391"/>
      <c r="E938" s="425"/>
      <c r="F938" s="425"/>
      <c r="G938" s="425"/>
      <c r="H938" s="425"/>
    </row>
    <row r="939" spans="1:8" ht="13.8">
      <c r="A939" s="425"/>
      <c r="B939" s="425"/>
      <c r="C939" s="425"/>
      <c r="D939" s="391"/>
      <c r="E939" s="425"/>
      <c r="F939" s="425"/>
      <c r="G939" s="425"/>
      <c r="H939" s="425"/>
    </row>
    <row r="940" spans="1:8" ht="13.8">
      <c r="A940" s="425"/>
      <c r="B940" s="425"/>
      <c r="C940" s="425"/>
      <c r="D940" s="391"/>
      <c r="E940" s="425"/>
      <c r="F940" s="425"/>
      <c r="G940" s="425"/>
      <c r="H940" s="425"/>
    </row>
    <row r="941" spans="1:8" ht="13.8">
      <c r="A941" s="425"/>
      <c r="B941" s="425"/>
      <c r="C941" s="425"/>
      <c r="D941" s="391"/>
      <c r="E941" s="425"/>
      <c r="F941" s="425"/>
      <c r="G941" s="425"/>
      <c r="H941" s="425"/>
    </row>
    <row r="942" spans="1:8" ht="13.8">
      <c r="A942" s="425"/>
      <c r="B942" s="425"/>
      <c r="C942" s="425"/>
      <c r="D942" s="391"/>
      <c r="E942" s="425"/>
      <c r="F942" s="425"/>
      <c r="G942" s="425"/>
      <c r="H942" s="425"/>
    </row>
    <row r="943" spans="1:8" ht="13.8">
      <c r="A943" s="425"/>
      <c r="B943" s="425"/>
      <c r="C943" s="425"/>
      <c r="D943" s="391"/>
      <c r="E943" s="425"/>
      <c r="F943" s="425"/>
      <c r="G943" s="425"/>
      <c r="H943" s="425"/>
    </row>
    <row r="944" spans="1:8" ht="13.8">
      <c r="A944" s="425"/>
      <c r="B944" s="425"/>
      <c r="C944" s="425"/>
      <c r="D944" s="391"/>
      <c r="E944" s="425"/>
      <c r="F944" s="425"/>
      <c r="G944" s="425"/>
      <c r="H944" s="425"/>
    </row>
    <row r="945" spans="1:8" ht="13.8">
      <c r="A945" s="425"/>
      <c r="B945" s="425"/>
      <c r="C945" s="425"/>
      <c r="D945" s="391"/>
      <c r="E945" s="425"/>
      <c r="F945" s="425"/>
      <c r="G945" s="425"/>
      <c r="H945" s="425"/>
    </row>
    <row r="946" spans="1:8" ht="13.8">
      <c r="A946" s="425"/>
      <c r="B946" s="425"/>
      <c r="C946" s="425"/>
      <c r="D946" s="391"/>
      <c r="E946" s="425"/>
      <c r="F946" s="425"/>
      <c r="G946" s="425"/>
      <c r="H946" s="425"/>
    </row>
    <row r="947" spans="1:8" ht="13.8">
      <c r="A947" s="425"/>
      <c r="B947" s="425"/>
      <c r="C947" s="425"/>
      <c r="D947" s="391"/>
      <c r="E947" s="425"/>
      <c r="F947" s="425"/>
      <c r="G947" s="425"/>
      <c r="H947" s="425"/>
    </row>
    <row r="948" spans="1:8" ht="13.8">
      <c r="A948" s="425"/>
      <c r="B948" s="425"/>
      <c r="C948" s="425"/>
      <c r="D948" s="391"/>
      <c r="E948" s="425"/>
      <c r="F948" s="425"/>
      <c r="G948" s="425"/>
      <c r="H948" s="425"/>
    </row>
    <row r="949" spans="1:8" ht="13.8">
      <c r="A949" s="425"/>
      <c r="B949" s="425"/>
      <c r="C949" s="425"/>
      <c r="D949" s="391"/>
      <c r="E949" s="425"/>
      <c r="F949" s="425"/>
      <c r="G949" s="425"/>
      <c r="H949" s="425"/>
    </row>
    <row r="950" spans="1:8" ht="13.8">
      <c r="A950" s="425"/>
      <c r="B950" s="425"/>
      <c r="C950" s="425"/>
      <c r="D950" s="391"/>
      <c r="E950" s="425"/>
      <c r="F950" s="425"/>
      <c r="G950" s="425"/>
      <c r="H950" s="425"/>
    </row>
    <row r="951" spans="1:8" ht="13.8">
      <c r="A951" s="425"/>
      <c r="B951" s="425"/>
      <c r="C951" s="425"/>
      <c r="D951" s="391"/>
      <c r="E951" s="425"/>
      <c r="F951" s="425"/>
      <c r="G951" s="425"/>
      <c r="H951" s="425"/>
    </row>
    <row r="952" spans="1:8" ht="13.8">
      <c r="A952" s="425"/>
      <c r="B952" s="425"/>
      <c r="C952" s="425"/>
      <c r="D952" s="391"/>
      <c r="E952" s="425"/>
      <c r="F952" s="425"/>
      <c r="G952" s="425"/>
      <c r="H952" s="425"/>
    </row>
    <row r="953" spans="1:8" ht="13.8">
      <c r="A953" s="425"/>
      <c r="B953" s="425"/>
      <c r="C953" s="425"/>
      <c r="D953" s="391"/>
      <c r="E953" s="425"/>
      <c r="F953" s="425"/>
      <c r="G953" s="425"/>
      <c r="H953" s="425"/>
    </row>
    <row r="954" spans="1:8" ht="13.8">
      <c r="A954" s="425"/>
      <c r="B954" s="425"/>
      <c r="C954" s="425"/>
      <c r="D954" s="391"/>
      <c r="E954" s="425"/>
      <c r="F954" s="425"/>
      <c r="G954" s="425"/>
      <c r="H954" s="425"/>
    </row>
    <row r="955" spans="1:8" ht="13.8">
      <c r="A955" s="425"/>
      <c r="B955" s="425"/>
      <c r="C955" s="425"/>
      <c r="D955" s="391"/>
      <c r="E955" s="425"/>
      <c r="F955" s="425"/>
      <c r="G955" s="425"/>
      <c r="H955" s="425"/>
    </row>
    <row r="956" spans="1:8" ht="13.8">
      <c r="A956" s="425"/>
      <c r="B956" s="425"/>
      <c r="C956" s="425"/>
      <c r="D956" s="391"/>
      <c r="E956" s="425"/>
      <c r="F956" s="425"/>
      <c r="G956" s="425"/>
      <c r="H956" s="425"/>
    </row>
    <row r="957" spans="1:8" ht="13.8">
      <c r="A957" s="425"/>
      <c r="B957" s="425"/>
      <c r="C957" s="425"/>
      <c r="D957" s="391"/>
      <c r="E957" s="425"/>
      <c r="F957" s="425"/>
      <c r="G957" s="425"/>
      <c r="H957" s="425"/>
    </row>
    <row r="958" spans="1:8" ht="13.8">
      <c r="A958" s="425"/>
      <c r="B958" s="425"/>
      <c r="C958" s="425"/>
      <c r="D958" s="391"/>
      <c r="E958" s="425"/>
      <c r="F958" s="425"/>
      <c r="G958" s="425"/>
      <c r="H958" s="425"/>
    </row>
    <row r="959" spans="1:8" ht="13.8">
      <c r="A959" s="425"/>
      <c r="B959" s="425"/>
      <c r="C959" s="425"/>
      <c r="D959" s="391"/>
      <c r="E959" s="425"/>
      <c r="F959" s="425"/>
      <c r="G959" s="425"/>
      <c r="H959" s="425"/>
    </row>
    <row r="960" spans="1:8" ht="13.8">
      <c r="A960" s="425"/>
      <c r="B960" s="425"/>
      <c r="C960" s="425"/>
      <c r="D960" s="391"/>
      <c r="E960" s="425"/>
      <c r="F960" s="425"/>
      <c r="G960" s="425"/>
      <c r="H960" s="425"/>
    </row>
    <row r="961" spans="1:8" ht="13.8">
      <c r="A961" s="425"/>
      <c r="B961" s="425"/>
      <c r="C961" s="425"/>
      <c r="D961" s="391"/>
      <c r="E961" s="425"/>
      <c r="F961" s="425"/>
      <c r="G961" s="425"/>
      <c r="H961" s="425"/>
    </row>
  </sheetData>
  <mergeCells count="4">
    <mergeCell ref="G8:H8"/>
    <mergeCell ref="F64:G64"/>
    <mergeCell ref="F65:G65"/>
    <mergeCell ref="F66:G6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7"/>
  <sheetViews>
    <sheetView workbookViewId="0"/>
  </sheetViews>
  <sheetFormatPr defaultColWidth="12.59765625" defaultRowHeight="15" customHeight="1"/>
  <cols>
    <col min="2" max="2" width="53.5" customWidth="1"/>
    <col min="4" max="4" width="5.19921875" customWidth="1"/>
  </cols>
  <sheetData>
    <row r="1" spans="1:8" ht="15" customHeight="1">
      <c r="A1" s="375"/>
      <c r="B1" s="375"/>
      <c r="C1" s="375"/>
    </row>
    <row r="2" spans="1:8" ht="15" customHeight="1">
      <c r="A2" s="375"/>
      <c r="B2" s="577" t="s">
        <v>209</v>
      </c>
      <c r="C2" s="577" t="s">
        <v>682</v>
      </c>
      <c r="E2" s="453" t="s">
        <v>365</v>
      </c>
      <c r="F2" s="453" t="s">
        <v>683</v>
      </c>
      <c r="G2" s="453" t="s">
        <v>684</v>
      </c>
      <c r="H2" s="453" t="s">
        <v>685</v>
      </c>
    </row>
    <row r="3" spans="1:8" ht="15" customHeight="1">
      <c r="A3" s="375"/>
      <c r="B3" s="540"/>
      <c r="C3" s="540"/>
      <c r="E3" s="454"/>
      <c r="F3" s="455"/>
      <c r="G3" s="455"/>
      <c r="H3" s="456"/>
    </row>
    <row r="4" spans="1:8" ht="15" customHeight="1">
      <c r="A4" s="375"/>
      <c r="B4" s="457" t="s">
        <v>686</v>
      </c>
      <c r="C4" s="458"/>
      <c r="E4" s="454"/>
      <c r="F4" s="455"/>
      <c r="G4" s="455"/>
      <c r="H4" s="456"/>
    </row>
    <row r="5" spans="1:8" ht="15" customHeight="1">
      <c r="A5" s="375"/>
      <c r="B5" s="459" t="s">
        <v>687</v>
      </c>
      <c r="C5" s="458">
        <v>7</v>
      </c>
      <c r="E5" s="460">
        <v>0</v>
      </c>
      <c r="F5" s="461">
        <f t="shared" ref="F5:F7" si="0">C5*E5</f>
        <v>0</v>
      </c>
      <c r="G5" s="461">
        <v>0</v>
      </c>
      <c r="H5" s="462">
        <f t="shared" ref="H5:H7" si="1">C5*G5</f>
        <v>0</v>
      </c>
    </row>
    <row r="6" spans="1:8" ht="15" customHeight="1">
      <c r="A6" s="375"/>
      <c r="B6" s="459" t="s">
        <v>688</v>
      </c>
      <c r="C6" s="458">
        <v>1</v>
      </c>
      <c r="E6" s="460">
        <v>0</v>
      </c>
      <c r="F6" s="461">
        <f t="shared" si="0"/>
        <v>0</v>
      </c>
      <c r="G6" s="461">
        <v>0</v>
      </c>
      <c r="H6" s="462">
        <f t="shared" si="1"/>
        <v>0</v>
      </c>
    </row>
    <row r="7" spans="1:8" ht="15" customHeight="1">
      <c r="A7" s="375"/>
      <c r="B7" s="459" t="s">
        <v>689</v>
      </c>
      <c r="C7" s="458">
        <v>2</v>
      </c>
      <c r="E7" s="460">
        <v>0</v>
      </c>
      <c r="F7" s="461">
        <f t="shared" si="0"/>
        <v>0</v>
      </c>
      <c r="G7" s="461">
        <v>0</v>
      </c>
      <c r="H7" s="462">
        <f t="shared" si="1"/>
        <v>0</v>
      </c>
    </row>
  </sheetData>
  <mergeCells count="2">
    <mergeCell ref="B2:B3"/>
    <mergeCell ref="C2:C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AA803"/>
  <sheetViews>
    <sheetView workbookViewId="0"/>
  </sheetViews>
  <sheetFormatPr defaultColWidth="12.59765625" defaultRowHeight="15" customHeight="1"/>
  <cols>
    <col min="1" max="1" width="6" customWidth="1"/>
    <col min="2" max="2" width="47.59765625" customWidth="1"/>
    <col min="3" max="3" width="46.09765625" customWidth="1"/>
    <col min="4" max="5" width="12.59765625" customWidth="1"/>
    <col min="6" max="6" width="14.59765625" customWidth="1"/>
    <col min="7" max="7" width="21.69921875" customWidth="1"/>
    <col min="10" max="10" width="14.19921875" customWidth="1"/>
  </cols>
  <sheetData>
    <row r="1" spans="1:27" ht="15.75" customHeight="1">
      <c r="A1" s="23"/>
      <c r="B1" s="463" t="s">
        <v>690</v>
      </c>
      <c r="C1" s="23"/>
      <c r="D1" s="464"/>
      <c r="E1" s="23"/>
      <c r="F1" s="23"/>
      <c r="G1" s="578"/>
      <c r="H1" s="558"/>
      <c r="I1" s="558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23"/>
      <c r="B2" s="465" t="s">
        <v>691</v>
      </c>
      <c r="C2" s="23"/>
      <c r="D2" s="464"/>
      <c r="E2" s="466"/>
      <c r="F2" s="23"/>
      <c r="G2" s="467"/>
      <c r="H2" s="23"/>
      <c r="I2" s="46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>
      <c r="A3" s="23"/>
      <c r="B3" s="468" t="s">
        <v>692</v>
      </c>
      <c r="C3" s="23"/>
      <c r="D3" s="464"/>
      <c r="E3" s="466"/>
      <c r="F3" s="23"/>
      <c r="G3" s="467"/>
      <c r="H3" s="23"/>
      <c r="I3" s="46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>
      <c r="A4" s="23"/>
      <c r="B4" s="23"/>
      <c r="C4" s="23"/>
      <c r="D4" s="464"/>
      <c r="E4" s="466"/>
      <c r="F4" s="23"/>
      <c r="G4" s="467"/>
      <c r="H4" s="23"/>
      <c r="I4" s="46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>
      <c r="A5" s="23"/>
      <c r="B5" s="469" t="s">
        <v>693</v>
      </c>
      <c r="C5" s="470"/>
      <c r="D5" s="471"/>
      <c r="E5" s="472"/>
      <c r="F5" s="23"/>
      <c r="G5" s="467"/>
      <c r="H5" s="23"/>
      <c r="I5" s="46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>
      <c r="A6" s="23"/>
      <c r="B6" s="473" t="s">
        <v>16</v>
      </c>
      <c r="C6" s="467"/>
      <c r="D6" s="464"/>
      <c r="E6" s="474"/>
      <c r="F6" s="23"/>
      <c r="G6" s="467"/>
      <c r="H6" s="23"/>
      <c r="I6" s="46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>
      <c r="A7" s="23"/>
      <c r="B7" s="475" t="s">
        <v>694</v>
      </c>
      <c r="C7" s="467"/>
      <c r="D7" s="464"/>
      <c r="E7" s="474"/>
      <c r="F7" s="23"/>
      <c r="G7" s="467"/>
      <c r="H7" s="23"/>
      <c r="I7" s="46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>
      <c r="A8" s="23"/>
      <c r="B8" s="475" t="s">
        <v>695</v>
      </c>
      <c r="C8" s="467"/>
      <c r="D8" s="464"/>
      <c r="E8" s="474"/>
      <c r="F8" s="23"/>
      <c r="G8" s="467"/>
      <c r="H8" s="23"/>
      <c r="I8" s="46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>
      <c r="A9" s="23"/>
      <c r="B9" s="476"/>
      <c r="C9" s="477"/>
      <c r="D9" s="478"/>
      <c r="E9" s="479"/>
      <c r="F9" s="464"/>
      <c r="G9" s="467"/>
      <c r="H9" s="464"/>
      <c r="I9" s="464"/>
      <c r="J9" s="464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>
      <c r="A10" s="23"/>
      <c r="B10" s="467"/>
      <c r="C10" s="467"/>
      <c r="D10" s="464"/>
      <c r="E10" s="467"/>
      <c r="F10" s="464"/>
      <c r="G10" s="467"/>
      <c r="H10" s="464"/>
      <c r="I10" s="464"/>
      <c r="J10" s="464"/>
      <c r="K10" s="480"/>
      <c r="L10" s="464"/>
      <c r="M10" s="464"/>
      <c r="N10" s="464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>
      <c r="A11" s="23"/>
      <c r="B11" s="579" t="s">
        <v>696</v>
      </c>
      <c r="C11" s="531"/>
      <c r="D11" s="531"/>
      <c r="E11" s="531"/>
      <c r="F11" s="531"/>
      <c r="G11" s="531"/>
      <c r="H11" s="531"/>
      <c r="I11" s="531"/>
      <c r="J11" s="532"/>
      <c r="K11" s="480"/>
      <c r="L11" s="464"/>
      <c r="M11" s="23"/>
      <c r="N11" s="464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>
      <c r="A12" s="23"/>
      <c r="B12" s="481" t="s">
        <v>697</v>
      </c>
      <c r="C12" s="482" t="s">
        <v>698</v>
      </c>
      <c r="D12" s="483" t="s">
        <v>699</v>
      </c>
      <c r="E12" s="483" t="s">
        <v>86</v>
      </c>
      <c r="F12" s="483" t="s">
        <v>700</v>
      </c>
      <c r="G12" s="483" t="s">
        <v>701</v>
      </c>
      <c r="H12" s="483" t="s">
        <v>702</v>
      </c>
      <c r="I12" s="483" t="s">
        <v>703</v>
      </c>
      <c r="J12" s="483" t="s">
        <v>704</v>
      </c>
      <c r="K12" s="480"/>
      <c r="L12" s="464"/>
      <c r="M12" s="464"/>
      <c r="N12" s="464"/>
      <c r="O12" s="464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>
      <c r="A13" s="23"/>
      <c r="B13" s="484"/>
      <c r="C13" s="485"/>
      <c r="D13" s="485"/>
      <c r="E13" s="486"/>
      <c r="F13" s="487">
        <f>G13-I13</f>
        <v>0</v>
      </c>
      <c r="G13" s="487">
        <f>E13*(D13+D13+C13+C13)</f>
        <v>0</v>
      </c>
      <c r="H13" s="487">
        <f>C13*E13</f>
        <v>0</v>
      </c>
      <c r="I13" s="487">
        <f>C13*E13</f>
        <v>0</v>
      </c>
      <c r="J13" s="487">
        <f>G13</f>
        <v>0</v>
      </c>
      <c r="K13" s="480"/>
      <c r="L13" s="464"/>
      <c r="M13" s="464"/>
      <c r="N13" s="464"/>
      <c r="O13" s="464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>
      <c r="A14" s="23"/>
      <c r="B14" s="488" t="s">
        <v>705</v>
      </c>
      <c r="C14" s="489"/>
      <c r="D14" s="490"/>
      <c r="E14" s="491">
        <f t="shared" ref="E14:J14" si="0">SUM(E13)</f>
        <v>0</v>
      </c>
      <c r="F14" s="491">
        <f t="shared" si="0"/>
        <v>0</v>
      </c>
      <c r="G14" s="491">
        <f t="shared" si="0"/>
        <v>0</v>
      </c>
      <c r="H14" s="491">
        <f t="shared" si="0"/>
        <v>0</v>
      </c>
      <c r="I14" s="491">
        <f t="shared" si="0"/>
        <v>0</v>
      </c>
      <c r="J14" s="491">
        <f t="shared" si="0"/>
        <v>0</v>
      </c>
      <c r="K14" s="23"/>
      <c r="L14" s="23"/>
      <c r="M14" s="492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>
      <c r="A15" s="23"/>
      <c r="B15" s="481" t="s">
        <v>706</v>
      </c>
      <c r="C15" s="493" t="s">
        <v>698</v>
      </c>
      <c r="D15" s="483" t="s">
        <v>699</v>
      </c>
      <c r="E15" s="483" t="s">
        <v>86</v>
      </c>
      <c r="F15" s="483" t="s">
        <v>101</v>
      </c>
      <c r="G15" s="483" t="s">
        <v>701</v>
      </c>
      <c r="H15" s="483" t="s">
        <v>702</v>
      </c>
      <c r="I15" s="483" t="s">
        <v>707</v>
      </c>
      <c r="J15" s="483" t="s">
        <v>704</v>
      </c>
      <c r="K15" s="23"/>
      <c r="L15" s="23"/>
      <c r="M15" s="492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>
      <c r="A16" s="23"/>
      <c r="B16" s="484"/>
      <c r="C16" s="485"/>
      <c r="D16" s="485"/>
      <c r="E16" s="486"/>
      <c r="F16" s="487">
        <f>C16*D16*E16</f>
        <v>0</v>
      </c>
      <c r="G16" s="487">
        <f>E16*(D16+D16+C16)</f>
        <v>0</v>
      </c>
      <c r="H16" s="487">
        <f>C16*E16</f>
        <v>0</v>
      </c>
      <c r="I16" s="487">
        <f>C16*E16</f>
        <v>0</v>
      </c>
      <c r="J16" s="487">
        <f>G16</f>
        <v>0</v>
      </c>
      <c r="K16" s="580"/>
      <c r="L16" s="535"/>
      <c r="M16" s="535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>
      <c r="A17" s="23"/>
      <c r="B17" s="488" t="s">
        <v>705</v>
      </c>
      <c r="C17" s="489"/>
      <c r="D17" s="490"/>
      <c r="E17" s="491">
        <f t="shared" ref="E17:J17" si="1">SUM(E16)</f>
        <v>0</v>
      </c>
      <c r="F17" s="491">
        <f t="shared" si="1"/>
        <v>0</v>
      </c>
      <c r="G17" s="491">
        <f t="shared" si="1"/>
        <v>0</v>
      </c>
      <c r="H17" s="491">
        <f t="shared" si="1"/>
        <v>0</v>
      </c>
      <c r="I17" s="491">
        <f t="shared" si="1"/>
        <v>0</v>
      </c>
      <c r="J17" s="491">
        <f t="shared" si="1"/>
        <v>0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>
      <c r="A18" s="23"/>
      <c r="B18" s="467"/>
      <c r="C18" s="494"/>
      <c r="D18" s="464"/>
      <c r="E18" s="464"/>
      <c r="F18" s="464"/>
      <c r="G18" s="464"/>
      <c r="H18" s="464"/>
      <c r="I18" s="464"/>
      <c r="J18" s="46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>
      <c r="A19" s="23"/>
      <c r="B19" s="481" t="s">
        <v>708</v>
      </c>
      <c r="C19" s="493" t="s">
        <v>709</v>
      </c>
      <c r="D19" s="483" t="s">
        <v>86</v>
      </c>
      <c r="E19" s="483" t="s">
        <v>87</v>
      </c>
      <c r="F19" s="464"/>
      <c r="G19" s="464"/>
      <c r="H19" s="464"/>
      <c r="I19" s="464"/>
      <c r="J19" s="46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>
      <c r="A20" s="495"/>
      <c r="B20" s="496" t="s">
        <v>710</v>
      </c>
      <c r="C20" s="497"/>
      <c r="D20" s="498"/>
      <c r="E20" s="499"/>
      <c r="F20" s="464"/>
      <c r="G20" s="464"/>
      <c r="H20" s="464"/>
      <c r="I20" s="46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>
      <c r="A21" s="495"/>
      <c r="B21" s="500" t="s">
        <v>711</v>
      </c>
      <c r="C21" s="501" t="s">
        <v>712</v>
      </c>
      <c r="D21" s="502">
        <f>104.29+58.98</f>
        <v>163.27000000000001</v>
      </c>
      <c r="E21" s="503" t="s">
        <v>101</v>
      </c>
      <c r="F21" s="464"/>
      <c r="G21" s="464"/>
      <c r="H21" s="464"/>
      <c r="I21" s="504">
        <f>ROUNDUP(D21/1,0)</f>
        <v>164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>
      <c r="A22" s="495"/>
      <c r="B22" s="497"/>
      <c r="C22" s="497"/>
      <c r="D22" s="498"/>
      <c r="E22" s="499"/>
      <c r="F22" s="464"/>
      <c r="G22" s="464"/>
      <c r="H22" s="464"/>
      <c r="I22" s="46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>
      <c r="A23" s="23"/>
      <c r="B23" s="467"/>
      <c r="C23" s="494"/>
      <c r="D23" s="464"/>
      <c r="E23" s="464"/>
      <c r="F23" s="464"/>
      <c r="G23" s="464"/>
      <c r="H23" s="464"/>
      <c r="I23" s="464"/>
      <c r="J23" s="46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>
      <c r="A24" s="495"/>
      <c r="B24" s="505" t="s">
        <v>16</v>
      </c>
      <c r="C24" s="506"/>
      <c r="D24" s="507"/>
      <c r="E24" s="506"/>
      <c r="F24" s="508"/>
      <c r="G24" s="508"/>
      <c r="H24" s="50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>
      <c r="A25" s="495"/>
      <c r="B25" s="509" t="s">
        <v>713</v>
      </c>
      <c r="C25" s="497"/>
      <c r="D25" s="498"/>
      <c r="E25" s="499"/>
      <c r="F25" s="508"/>
      <c r="G25" s="508"/>
      <c r="H25" s="50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>
      <c r="A26" s="495"/>
      <c r="B26" s="509" t="s">
        <v>710</v>
      </c>
      <c r="C26" s="497"/>
      <c r="D26" s="498"/>
      <c r="E26" s="499"/>
      <c r="F26" s="508"/>
      <c r="G26" s="508"/>
      <c r="H26" s="50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>
      <c r="A27" s="495"/>
      <c r="B27" s="510" t="str">
        <f t="shared" ref="B27:C27" si="2">B21</f>
        <v>Brick Veneer</v>
      </c>
      <c r="C27" s="501" t="str">
        <f t="shared" si="2"/>
        <v>Patching and Repair</v>
      </c>
      <c r="D27" s="502">
        <f>ROUNDUP(D21,0)</f>
        <v>164</v>
      </c>
      <c r="E27" s="503" t="s">
        <v>101</v>
      </c>
      <c r="F27" s="508"/>
      <c r="G27" s="508"/>
      <c r="H27" s="50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>
      <c r="A28" s="495"/>
      <c r="B28" s="511"/>
      <c r="C28" s="497"/>
      <c r="D28" s="498"/>
      <c r="E28" s="499"/>
      <c r="F28" s="508"/>
      <c r="G28" s="508"/>
      <c r="H28" s="50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>
      <c r="A29" s="23"/>
      <c r="B29" s="23"/>
      <c r="C29" s="23"/>
      <c r="D29" s="46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>
      <c r="A30" s="23"/>
      <c r="B30" s="23"/>
      <c r="C30" s="23"/>
      <c r="D30" s="50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>
      <c r="A31" s="23"/>
      <c r="B31" s="23"/>
      <c r="C31" s="23"/>
      <c r="D31" s="50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>
      <c r="A32" s="23"/>
      <c r="B32" s="23"/>
      <c r="C32" s="23"/>
      <c r="D32" s="46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>
      <c r="A33" s="23"/>
      <c r="B33" s="23"/>
      <c r="C33" s="23"/>
      <c r="D33" s="46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>
      <c r="A34" s="23"/>
      <c r="B34" s="23"/>
      <c r="C34" s="23"/>
      <c r="D34" s="46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>
      <c r="A35" s="23"/>
      <c r="B35" s="23"/>
      <c r="C35" s="23"/>
      <c r="D35" s="46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>
      <c r="A36" s="23"/>
      <c r="B36" s="23"/>
      <c r="C36" s="23"/>
      <c r="D36" s="46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>
      <c r="A37" s="23"/>
      <c r="B37" s="23"/>
      <c r="C37" s="23"/>
      <c r="D37" s="46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>
      <c r="A38" s="23"/>
      <c r="B38" s="23"/>
      <c r="C38" s="23"/>
      <c r="D38" s="46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>
      <c r="A39" s="23"/>
      <c r="B39" s="23"/>
      <c r="C39" s="23"/>
      <c r="D39" s="46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>
      <c r="A40" s="23"/>
      <c r="B40" s="23"/>
      <c r="C40" s="23"/>
      <c r="D40" s="46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>
      <c r="A41" s="23"/>
      <c r="B41" s="23"/>
      <c r="C41" s="23"/>
      <c r="D41" s="46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>
      <c r="A42" s="23"/>
      <c r="B42" s="23"/>
      <c r="C42" s="23"/>
      <c r="D42" s="46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>
      <c r="A43" s="23"/>
      <c r="B43" s="23"/>
      <c r="C43" s="23"/>
      <c r="D43" s="46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>
      <c r="A44" s="23"/>
      <c r="B44" s="23"/>
      <c r="C44" s="23"/>
      <c r="D44" s="46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>
      <c r="A45" s="23"/>
      <c r="B45" s="23"/>
      <c r="C45" s="23"/>
      <c r="D45" s="46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>
      <c r="A46" s="23"/>
      <c r="B46" s="23"/>
      <c r="C46" s="23"/>
      <c r="D46" s="46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>
      <c r="A47" s="23"/>
      <c r="B47" s="23"/>
      <c r="C47" s="23"/>
      <c r="D47" s="46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>
      <c r="A48" s="23"/>
      <c r="B48" s="23"/>
      <c r="C48" s="23"/>
      <c r="D48" s="46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>
      <c r="A49" s="23"/>
      <c r="B49" s="23"/>
      <c r="C49" s="23"/>
      <c r="D49" s="46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>
      <c r="A50" s="23"/>
      <c r="B50" s="23"/>
      <c r="C50" s="23"/>
      <c r="D50" s="46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>
      <c r="A51" s="23"/>
      <c r="B51" s="23"/>
      <c r="C51" s="23"/>
      <c r="D51" s="46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>
      <c r="A52" s="23"/>
      <c r="B52" s="23"/>
      <c r="C52" s="23"/>
      <c r="D52" s="46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>
      <c r="A53" s="23"/>
      <c r="B53" s="23"/>
      <c r="C53" s="23"/>
      <c r="D53" s="46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>
      <c r="A54" s="23"/>
      <c r="B54" s="23"/>
      <c r="C54" s="23"/>
      <c r="D54" s="46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>
      <c r="A55" s="23"/>
      <c r="B55" s="23"/>
      <c r="C55" s="23"/>
      <c r="D55" s="46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>
      <c r="A56" s="23"/>
      <c r="B56" s="23"/>
      <c r="C56" s="23"/>
      <c r="D56" s="46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>
      <c r="A57" s="23"/>
      <c r="B57" s="23"/>
      <c r="C57" s="23"/>
      <c r="D57" s="46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>
      <c r="A58" s="23"/>
      <c r="B58" s="23"/>
      <c r="C58" s="23"/>
      <c r="D58" s="46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>
      <c r="A59" s="23"/>
      <c r="B59" s="23"/>
      <c r="C59" s="23"/>
      <c r="D59" s="46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>
      <c r="A60" s="23"/>
      <c r="B60" s="23"/>
      <c r="C60" s="23"/>
      <c r="D60" s="46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>
      <c r="A61" s="23"/>
      <c r="B61" s="23"/>
      <c r="C61" s="23"/>
      <c r="D61" s="46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>
      <c r="A62" s="23"/>
      <c r="B62" s="23"/>
      <c r="C62" s="23"/>
      <c r="D62" s="46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>
      <c r="A63" s="23"/>
      <c r="B63" s="23"/>
      <c r="C63" s="23"/>
      <c r="D63" s="46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>
      <c r="A64" s="23"/>
      <c r="B64" s="23"/>
      <c r="C64" s="23"/>
      <c r="D64" s="46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>
      <c r="A65" s="23"/>
      <c r="B65" s="23"/>
      <c r="C65" s="23"/>
      <c r="D65" s="46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>
      <c r="A66" s="23"/>
      <c r="B66" s="23"/>
      <c r="C66" s="23"/>
      <c r="D66" s="46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>
      <c r="A67" s="23"/>
      <c r="B67" s="23"/>
      <c r="C67" s="23"/>
      <c r="D67" s="46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>
      <c r="A68" s="23"/>
      <c r="B68" s="23"/>
      <c r="C68" s="23"/>
      <c r="D68" s="46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>
      <c r="A69" s="23"/>
      <c r="B69" s="23"/>
      <c r="C69" s="23"/>
      <c r="D69" s="46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>
      <c r="A70" s="23"/>
      <c r="B70" s="23"/>
      <c r="C70" s="23"/>
      <c r="D70" s="46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>
      <c r="A71" s="23"/>
      <c r="B71" s="23"/>
      <c r="C71" s="23"/>
      <c r="D71" s="46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>
      <c r="A72" s="23"/>
      <c r="B72" s="23"/>
      <c r="C72" s="23"/>
      <c r="D72" s="46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>
      <c r="A73" s="23"/>
      <c r="B73" s="23"/>
      <c r="C73" s="23"/>
      <c r="D73" s="46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>
      <c r="A74" s="23"/>
      <c r="B74" s="23"/>
      <c r="C74" s="23"/>
      <c r="D74" s="46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>
      <c r="A75" s="23"/>
      <c r="B75" s="23"/>
      <c r="C75" s="23"/>
      <c r="D75" s="46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>
      <c r="A76" s="23"/>
      <c r="B76" s="23"/>
      <c r="C76" s="23"/>
      <c r="D76" s="46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>
      <c r="A77" s="23"/>
      <c r="B77" s="23"/>
      <c r="C77" s="23"/>
      <c r="D77" s="46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>
      <c r="A78" s="23"/>
      <c r="B78" s="23"/>
      <c r="C78" s="23"/>
      <c r="D78" s="46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>
      <c r="A79" s="23"/>
      <c r="B79" s="23"/>
      <c r="C79" s="23"/>
      <c r="D79" s="46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>
      <c r="A80" s="23"/>
      <c r="B80" s="23"/>
      <c r="C80" s="23"/>
      <c r="D80" s="46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>
      <c r="A81" s="23"/>
      <c r="B81" s="23"/>
      <c r="C81" s="23"/>
      <c r="D81" s="46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>
      <c r="A82" s="23"/>
      <c r="B82" s="23"/>
      <c r="C82" s="23"/>
      <c r="D82" s="46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>
      <c r="A83" s="23"/>
      <c r="B83" s="23"/>
      <c r="C83" s="23"/>
      <c r="D83" s="46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>
      <c r="A84" s="23"/>
      <c r="B84" s="23"/>
      <c r="C84" s="23"/>
      <c r="D84" s="46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>
      <c r="A85" s="23"/>
      <c r="B85" s="23"/>
      <c r="C85" s="23"/>
      <c r="D85" s="46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>
      <c r="A86" s="23"/>
      <c r="B86" s="23"/>
      <c r="C86" s="23"/>
      <c r="D86" s="46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>
      <c r="A87" s="23"/>
      <c r="B87" s="23"/>
      <c r="C87" s="23"/>
      <c r="D87" s="46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>
      <c r="A88" s="23"/>
      <c r="B88" s="23"/>
      <c r="C88" s="23"/>
      <c r="D88" s="46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>
      <c r="A89" s="23"/>
      <c r="B89" s="23"/>
      <c r="C89" s="23"/>
      <c r="D89" s="46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>
      <c r="A90" s="23"/>
      <c r="B90" s="23"/>
      <c r="C90" s="23"/>
      <c r="D90" s="46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>
      <c r="A91" s="23"/>
      <c r="B91" s="23"/>
      <c r="C91" s="23"/>
      <c r="D91" s="46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>
      <c r="A92" s="23"/>
      <c r="B92" s="23"/>
      <c r="C92" s="23"/>
      <c r="D92" s="46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>
      <c r="A93" s="23"/>
      <c r="B93" s="23"/>
      <c r="C93" s="23"/>
      <c r="D93" s="46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>
      <c r="A94" s="23"/>
      <c r="B94" s="23"/>
      <c r="C94" s="23"/>
      <c r="D94" s="46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>
      <c r="A95" s="23"/>
      <c r="B95" s="23"/>
      <c r="C95" s="23"/>
      <c r="D95" s="46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>
      <c r="A96" s="23"/>
      <c r="B96" s="23"/>
      <c r="C96" s="23"/>
      <c r="D96" s="46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>
      <c r="A97" s="23"/>
      <c r="B97" s="23"/>
      <c r="C97" s="23"/>
      <c r="D97" s="46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>
      <c r="A98" s="23"/>
      <c r="B98" s="23"/>
      <c r="C98" s="23"/>
      <c r="D98" s="46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>
      <c r="A99" s="23"/>
      <c r="B99" s="23"/>
      <c r="C99" s="23"/>
      <c r="D99" s="46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>
      <c r="A100" s="23"/>
      <c r="B100" s="23"/>
      <c r="C100" s="23"/>
      <c r="D100" s="46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>
      <c r="A101" s="23"/>
      <c r="B101" s="23"/>
      <c r="C101" s="23"/>
      <c r="D101" s="46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>
      <c r="A102" s="23"/>
      <c r="B102" s="23"/>
      <c r="C102" s="23"/>
      <c r="D102" s="46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>
      <c r="A103" s="23"/>
      <c r="B103" s="23"/>
      <c r="C103" s="23"/>
      <c r="D103" s="46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>
      <c r="A104" s="23"/>
      <c r="B104" s="23"/>
      <c r="C104" s="23"/>
      <c r="D104" s="46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>
      <c r="A105" s="23"/>
      <c r="B105" s="23"/>
      <c r="C105" s="23"/>
      <c r="D105" s="46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>
      <c r="A106" s="23"/>
      <c r="B106" s="23"/>
      <c r="C106" s="23"/>
      <c r="D106" s="46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>
      <c r="A107" s="23"/>
      <c r="B107" s="23"/>
      <c r="C107" s="23"/>
      <c r="D107" s="46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>
      <c r="A108" s="23"/>
      <c r="B108" s="23"/>
      <c r="C108" s="23"/>
      <c r="D108" s="46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>
      <c r="A109" s="23"/>
      <c r="B109" s="23"/>
      <c r="C109" s="23"/>
      <c r="D109" s="46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>
      <c r="A110" s="23"/>
      <c r="B110" s="23"/>
      <c r="C110" s="23"/>
      <c r="D110" s="46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>
      <c r="A111" s="23"/>
      <c r="B111" s="23"/>
      <c r="C111" s="23"/>
      <c r="D111" s="46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>
      <c r="A112" s="23"/>
      <c r="B112" s="23"/>
      <c r="C112" s="23"/>
      <c r="D112" s="46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>
      <c r="A113" s="23"/>
      <c r="B113" s="23"/>
      <c r="C113" s="23"/>
      <c r="D113" s="46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>
      <c r="A114" s="23"/>
      <c r="B114" s="23"/>
      <c r="C114" s="23"/>
      <c r="D114" s="46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>
      <c r="A115" s="23"/>
      <c r="B115" s="23"/>
      <c r="C115" s="23"/>
      <c r="D115" s="46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>
      <c r="A116" s="23"/>
      <c r="B116" s="23"/>
      <c r="C116" s="23"/>
      <c r="D116" s="46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>
      <c r="A117" s="23"/>
      <c r="B117" s="23"/>
      <c r="C117" s="23"/>
      <c r="D117" s="46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>
      <c r="A118" s="23"/>
      <c r="B118" s="23"/>
      <c r="C118" s="23"/>
      <c r="D118" s="46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>
      <c r="A119" s="23"/>
      <c r="B119" s="23"/>
      <c r="C119" s="23"/>
      <c r="D119" s="46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>
      <c r="A120" s="23"/>
      <c r="B120" s="23"/>
      <c r="C120" s="23"/>
      <c r="D120" s="46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>
      <c r="A121" s="23"/>
      <c r="B121" s="23"/>
      <c r="C121" s="23"/>
      <c r="D121" s="46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>
      <c r="A122" s="23"/>
      <c r="B122" s="23"/>
      <c r="C122" s="23"/>
      <c r="D122" s="46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>
      <c r="A123" s="23"/>
      <c r="B123" s="23"/>
      <c r="C123" s="23"/>
      <c r="D123" s="46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>
      <c r="A124" s="23"/>
      <c r="B124" s="23"/>
      <c r="C124" s="23"/>
      <c r="D124" s="46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>
      <c r="A125" s="23"/>
      <c r="B125" s="23"/>
      <c r="C125" s="23"/>
      <c r="D125" s="46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>
      <c r="A126" s="23"/>
      <c r="B126" s="23"/>
      <c r="C126" s="23"/>
      <c r="D126" s="46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>
      <c r="A127" s="23"/>
      <c r="B127" s="23"/>
      <c r="C127" s="23"/>
      <c r="D127" s="46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>
      <c r="A128" s="23"/>
      <c r="B128" s="23"/>
      <c r="C128" s="23"/>
      <c r="D128" s="46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>
      <c r="A129" s="23"/>
      <c r="B129" s="23"/>
      <c r="C129" s="23"/>
      <c r="D129" s="46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>
      <c r="A130" s="23"/>
      <c r="B130" s="23"/>
      <c r="C130" s="23"/>
      <c r="D130" s="46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>
      <c r="A131" s="23"/>
      <c r="B131" s="23"/>
      <c r="C131" s="23"/>
      <c r="D131" s="46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>
      <c r="A132" s="23"/>
      <c r="B132" s="23"/>
      <c r="C132" s="23"/>
      <c r="D132" s="46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>
      <c r="A133" s="23"/>
      <c r="B133" s="23"/>
      <c r="C133" s="23"/>
      <c r="D133" s="46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>
      <c r="A134" s="23"/>
      <c r="B134" s="23"/>
      <c r="C134" s="23"/>
      <c r="D134" s="46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>
      <c r="A135" s="23"/>
      <c r="B135" s="23"/>
      <c r="C135" s="23"/>
      <c r="D135" s="46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>
      <c r="A136" s="23"/>
      <c r="B136" s="23"/>
      <c r="C136" s="23"/>
      <c r="D136" s="46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>
      <c r="A137" s="23"/>
      <c r="B137" s="23"/>
      <c r="C137" s="23"/>
      <c r="D137" s="46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>
      <c r="A138" s="23"/>
      <c r="B138" s="23"/>
      <c r="C138" s="23"/>
      <c r="D138" s="46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</sheetData>
  <mergeCells count="3">
    <mergeCell ref="G1:I1"/>
    <mergeCell ref="B11:J11"/>
    <mergeCell ref="K16:M16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922"/>
  <sheetViews>
    <sheetView workbookViewId="0"/>
  </sheetViews>
  <sheetFormatPr defaultColWidth="12.59765625" defaultRowHeight="15" customHeight="1"/>
  <cols>
    <col min="1" max="1" width="6" customWidth="1"/>
    <col min="2" max="2" width="117.8984375" customWidth="1"/>
    <col min="3" max="3" width="35.19921875" customWidth="1"/>
    <col min="4" max="4" width="18" customWidth="1"/>
    <col min="5" max="5" width="32.09765625" customWidth="1"/>
    <col min="6" max="7" width="18" customWidth="1"/>
    <col min="8" max="8" width="12.19921875" customWidth="1"/>
    <col min="9" max="9" width="18" customWidth="1"/>
    <col min="10" max="10" width="24.19921875" customWidth="1"/>
    <col min="11" max="12" width="12" customWidth="1"/>
    <col min="13" max="13" width="10.19921875" customWidth="1"/>
    <col min="14" max="14" width="10.5" customWidth="1"/>
    <col min="15" max="27" width="7.59765625" customWidth="1"/>
  </cols>
  <sheetData>
    <row r="1" spans="1:26" ht="15.75" customHeight="1">
      <c r="A1" s="23"/>
      <c r="B1" s="512" t="s">
        <v>714</v>
      </c>
      <c r="C1" s="23"/>
      <c r="D1" s="23"/>
      <c r="E1" s="23"/>
      <c r="F1" s="23"/>
      <c r="G1" s="494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3"/>
      <c r="B2" s="512" t="s">
        <v>715</v>
      </c>
      <c r="C2" s="513" t="s">
        <v>716</v>
      </c>
      <c r="D2" s="464"/>
      <c r="E2" s="494"/>
      <c r="F2" s="23"/>
      <c r="G2" s="494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3"/>
      <c r="B3" s="512" t="s">
        <v>717</v>
      </c>
      <c r="C3" s="513" t="s">
        <v>718</v>
      </c>
      <c r="D3" s="464"/>
      <c r="E3" s="494"/>
      <c r="F3" s="23"/>
      <c r="G3" s="494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3"/>
      <c r="B4" s="512" t="s">
        <v>719</v>
      </c>
      <c r="C4" s="514">
        <v>45733</v>
      </c>
      <c r="D4" s="23"/>
      <c r="E4" s="23"/>
      <c r="F4" s="23"/>
      <c r="G4" s="49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3"/>
      <c r="B5" s="512" t="s">
        <v>720</v>
      </c>
      <c r="C5" s="514">
        <v>45965</v>
      </c>
      <c r="D5" s="23"/>
      <c r="E5" s="23"/>
      <c r="F5" s="23"/>
      <c r="G5" s="494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3"/>
      <c r="B6" s="23"/>
      <c r="C6" s="23"/>
      <c r="D6" s="23"/>
      <c r="E6" s="23"/>
      <c r="F6" s="23"/>
      <c r="G6" s="494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3"/>
      <c r="B7" s="515" t="s">
        <v>721</v>
      </c>
      <c r="C7" s="516"/>
      <c r="D7" s="517"/>
      <c r="E7" s="23"/>
      <c r="F7" s="23"/>
      <c r="G7" s="494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3"/>
      <c r="B8" s="518" t="s">
        <v>722</v>
      </c>
      <c r="C8" s="519"/>
      <c r="D8" s="497"/>
      <c r="E8" s="494"/>
      <c r="F8" s="23"/>
      <c r="G8" s="494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3"/>
      <c r="B9" s="520" t="s">
        <v>723</v>
      </c>
      <c r="C9" s="521">
        <f>PRODUCT(E9:G9)</f>
        <v>94.44</v>
      </c>
      <c r="D9" s="520" t="s">
        <v>199</v>
      </c>
      <c r="E9" s="522">
        <v>2</v>
      </c>
      <c r="F9" s="523">
        <v>47.22</v>
      </c>
      <c r="G9" s="494"/>
      <c r="H9" s="23">
        <f>F9*E9*3</f>
        <v>283.32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3"/>
      <c r="B10" s="520"/>
      <c r="C10" s="521"/>
      <c r="D10" s="520"/>
      <c r="E10" s="522"/>
      <c r="F10" s="523"/>
      <c r="G10" s="494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3"/>
      <c r="B11" s="524" t="s">
        <v>724</v>
      </c>
      <c r="C11" s="525">
        <f>SUM(C8:C10)</f>
        <v>94.44</v>
      </c>
      <c r="D11" s="526" t="s">
        <v>199</v>
      </c>
      <c r="E11" s="494"/>
      <c r="F11" s="23"/>
      <c r="G11" s="494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3"/>
      <c r="B12" s="518" t="s">
        <v>725</v>
      </c>
      <c r="C12" s="519"/>
      <c r="D12" s="497"/>
      <c r="E12" s="494"/>
      <c r="F12" s="23"/>
      <c r="G12" s="494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3"/>
      <c r="B13" s="520" t="s">
        <v>726</v>
      </c>
      <c r="C13" s="521">
        <f t="shared" ref="C13:C14" si="0">PRODUCT(E13:G13)</f>
        <v>25.02</v>
      </c>
      <c r="D13" s="520" t="s">
        <v>199</v>
      </c>
      <c r="E13" s="522">
        <v>2</v>
      </c>
      <c r="F13" s="523">
        <f>4.17*3</f>
        <v>12.51</v>
      </c>
      <c r="G13" s="494"/>
      <c r="H13" s="23">
        <f>C13*0.125</f>
        <v>3.1274999999999999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3"/>
      <c r="B14" s="520" t="s">
        <v>727</v>
      </c>
      <c r="C14" s="521">
        <f t="shared" si="0"/>
        <v>60</v>
      </c>
      <c r="D14" s="520" t="s">
        <v>199</v>
      </c>
      <c r="E14" s="522">
        <v>2</v>
      </c>
      <c r="F14" s="523">
        <f>10*3</f>
        <v>30</v>
      </c>
      <c r="G14" s="494"/>
      <c r="H14" s="23">
        <f>C14*0.1875</f>
        <v>11.25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3"/>
      <c r="B15" s="497"/>
      <c r="C15" s="519"/>
      <c r="D15" s="497"/>
      <c r="E15" s="494"/>
      <c r="F15" s="23"/>
      <c r="G15" s="494"/>
      <c r="H15" s="23">
        <f>H13+H14</f>
        <v>14.3775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3"/>
      <c r="B16" s="524" t="s">
        <v>728</v>
      </c>
      <c r="C16" s="525">
        <f>C14+C13</f>
        <v>85.02</v>
      </c>
      <c r="D16" s="526" t="s">
        <v>199</v>
      </c>
      <c r="E16" s="494"/>
      <c r="F16" s="23"/>
      <c r="G16" s="49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3"/>
      <c r="B17" s="23"/>
      <c r="C17" s="23"/>
      <c r="D17" s="23"/>
      <c r="E17" s="23"/>
      <c r="F17" s="23"/>
      <c r="G17" s="494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3"/>
      <c r="B18" s="23"/>
      <c r="C18" s="23"/>
      <c r="D18" s="23"/>
      <c r="E18" s="23"/>
      <c r="F18" s="23"/>
      <c r="G18" s="49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3"/>
      <c r="B19" s="23"/>
      <c r="C19" s="23"/>
      <c r="D19" s="23"/>
      <c r="E19" s="23"/>
      <c r="F19" s="23"/>
      <c r="G19" s="494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1">
      <c r="A20" s="23"/>
      <c r="B20" s="255" t="s">
        <v>208</v>
      </c>
      <c r="C20" s="256"/>
      <c r="D20" s="257"/>
      <c r="E20" s="23"/>
      <c r="F20" s="23"/>
      <c r="G20" s="23"/>
      <c r="H20" s="23"/>
      <c r="I20" s="23"/>
      <c r="J20" s="580"/>
      <c r="K20" s="535"/>
      <c r="L20" s="535"/>
      <c r="M20" s="53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3"/>
      <c r="B21" s="258" t="s">
        <v>729</v>
      </c>
      <c r="C21" s="23"/>
      <c r="D21" s="105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3"/>
      <c r="B22" s="259" t="s">
        <v>730</v>
      </c>
      <c r="C22" s="23"/>
      <c r="D22" s="10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3"/>
      <c r="B23" s="259" t="s">
        <v>731</v>
      </c>
      <c r="C23" s="23"/>
      <c r="D23" s="105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3"/>
      <c r="B24" s="259" t="s">
        <v>18</v>
      </c>
      <c r="C24" s="23"/>
      <c r="D24" s="105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3"/>
      <c r="B25" s="259" t="s">
        <v>19</v>
      </c>
      <c r="C25" s="23"/>
      <c r="D25" s="105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3"/>
      <c r="B26" s="260"/>
      <c r="C26" s="261"/>
      <c r="D26" s="26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3"/>
      <c r="B27" s="23"/>
      <c r="C27" s="23"/>
      <c r="D27" s="23"/>
      <c r="E27" s="23"/>
      <c r="F27" s="23"/>
      <c r="G27" s="494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3"/>
      <c r="B28" s="23"/>
      <c r="C28" s="23"/>
      <c r="D28" s="23"/>
      <c r="E28" s="23"/>
      <c r="F28" s="23"/>
      <c r="G28" s="49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3"/>
      <c r="B29" s="23"/>
      <c r="C29" s="23"/>
      <c r="D29" s="23"/>
      <c r="E29" s="23"/>
      <c r="F29" s="23"/>
      <c r="G29" s="494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494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494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3"/>
      <c r="B32" s="23"/>
      <c r="C32" s="23"/>
      <c r="D32" s="23"/>
      <c r="E32" s="23"/>
      <c r="F32" s="23"/>
      <c r="G32" s="494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3"/>
      <c r="B33" s="23"/>
      <c r="C33" s="23"/>
      <c r="D33" s="23"/>
      <c r="E33" s="23"/>
      <c r="F33" s="23"/>
      <c r="G33" s="494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494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494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494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494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494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494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49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494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494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494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494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494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494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494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49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494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494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494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49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494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494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494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494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494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494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494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494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494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494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494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49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494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494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494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494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494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494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494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494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494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494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494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49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494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494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494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494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494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494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494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494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494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494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494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49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494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494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494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494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494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494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494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494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494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494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494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49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494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494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494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494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494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494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494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494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494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494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494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49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494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494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494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494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494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494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494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494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494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494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494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49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494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494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494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494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494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494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494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494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494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494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494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49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494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494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494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494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494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494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494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494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494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494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494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49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494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494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494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494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494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494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494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494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494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494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494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49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494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494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494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494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494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494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494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494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494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494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494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49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494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494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494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494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494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494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494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494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494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494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494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49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494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494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494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494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494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494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494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494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494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494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494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49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494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494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494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494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494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494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494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494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494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494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494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49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494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494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494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494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494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494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494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494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494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494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494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49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494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494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494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494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494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494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494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494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494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494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494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49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23"/>
      <c r="F233" s="23"/>
      <c r="G233" s="494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23"/>
      <c r="B234" s="23"/>
      <c r="C234" s="23"/>
      <c r="D234" s="23"/>
      <c r="E234" s="23"/>
      <c r="F234" s="23"/>
      <c r="G234" s="494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23"/>
      <c r="B235" s="23"/>
      <c r="C235" s="23"/>
      <c r="D235" s="23"/>
      <c r="E235" s="23"/>
      <c r="F235" s="23"/>
      <c r="G235" s="494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23"/>
      <c r="B236" s="23"/>
      <c r="C236" s="23"/>
      <c r="D236" s="23"/>
      <c r="E236" s="23"/>
      <c r="F236" s="23"/>
      <c r="G236" s="494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23"/>
      <c r="B237" s="23"/>
      <c r="C237" s="23"/>
      <c r="D237" s="23"/>
      <c r="E237" s="23"/>
      <c r="F237" s="23"/>
      <c r="G237" s="494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23"/>
      <c r="B238" s="23"/>
      <c r="C238" s="23"/>
      <c r="D238" s="23"/>
      <c r="E238" s="23"/>
      <c r="F238" s="23"/>
      <c r="G238" s="494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23"/>
      <c r="B239" s="23"/>
      <c r="C239" s="23"/>
      <c r="D239" s="23"/>
      <c r="E239" s="23"/>
      <c r="F239" s="23"/>
      <c r="G239" s="494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23"/>
      <c r="B240" s="23"/>
      <c r="C240" s="23"/>
      <c r="D240" s="23"/>
      <c r="E240" s="23"/>
      <c r="F240" s="23"/>
      <c r="G240" s="494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23"/>
      <c r="B241" s="23"/>
      <c r="C241" s="23"/>
      <c r="D241" s="23"/>
      <c r="E241" s="23"/>
      <c r="F241" s="23"/>
      <c r="G241" s="494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23"/>
      <c r="B242" s="23"/>
      <c r="C242" s="23"/>
      <c r="D242" s="23"/>
      <c r="E242" s="23"/>
      <c r="F242" s="23"/>
      <c r="G242" s="494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23"/>
      <c r="B243" s="23"/>
      <c r="C243" s="23"/>
      <c r="D243" s="23"/>
      <c r="E243" s="23"/>
      <c r="F243" s="23"/>
      <c r="G243" s="494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23"/>
      <c r="B244" s="23"/>
      <c r="C244" s="23"/>
      <c r="D244" s="23"/>
      <c r="E244" s="23"/>
      <c r="F244" s="23"/>
      <c r="G244" s="49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23"/>
      <c r="B245" s="23"/>
      <c r="C245" s="23"/>
      <c r="D245" s="23"/>
      <c r="E245" s="23"/>
      <c r="F245" s="23"/>
      <c r="G245" s="494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23"/>
      <c r="B246" s="23"/>
      <c r="C246" s="23"/>
      <c r="D246" s="23"/>
      <c r="E246" s="23"/>
      <c r="F246" s="23"/>
      <c r="G246" s="494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23"/>
      <c r="B247" s="23"/>
      <c r="C247" s="23"/>
      <c r="D247" s="23"/>
      <c r="E247" s="23"/>
      <c r="F247" s="23"/>
      <c r="G247" s="494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23"/>
      <c r="B248" s="23"/>
      <c r="C248" s="23"/>
      <c r="D248" s="23"/>
      <c r="E248" s="23"/>
      <c r="F248" s="23"/>
      <c r="G248" s="494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23"/>
      <c r="B249" s="23"/>
      <c r="C249" s="23"/>
      <c r="D249" s="23"/>
      <c r="E249" s="23"/>
      <c r="F249" s="23"/>
      <c r="G249" s="494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23"/>
      <c r="B250" s="23"/>
      <c r="C250" s="23"/>
      <c r="D250" s="23"/>
      <c r="E250" s="23"/>
      <c r="F250" s="23"/>
      <c r="G250" s="494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23"/>
      <c r="B251" s="23"/>
      <c r="C251" s="23"/>
      <c r="D251" s="23"/>
      <c r="E251" s="23"/>
      <c r="F251" s="23"/>
      <c r="G251" s="494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23"/>
      <c r="B252" s="23"/>
      <c r="C252" s="23"/>
      <c r="D252" s="23"/>
      <c r="E252" s="23"/>
      <c r="F252" s="23"/>
      <c r="G252" s="494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23"/>
      <c r="B253" s="23"/>
      <c r="C253" s="23"/>
      <c r="D253" s="23"/>
      <c r="E253" s="23"/>
      <c r="F253" s="23"/>
      <c r="G253" s="494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23"/>
      <c r="B254" s="23"/>
      <c r="C254" s="23"/>
      <c r="D254" s="23"/>
      <c r="E254" s="23"/>
      <c r="F254" s="23"/>
      <c r="G254" s="494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23"/>
      <c r="B255" s="23"/>
      <c r="C255" s="23"/>
      <c r="D255" s="23"/>
      <c r="E255" s="23"/>
      <c r="F255" s="23"/>
      <c r="G255" s="494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23"/>
      <c r="B256" s="23"/>
      <c r="C256" s="23"/>
      <c r="D256" s="23"/>
      <c r="E256" s="23"/>
      <c r="F256" s="23"/>
      <c r="G256" s="49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23"/>
      <c r="B257" s="23"/>
      <c r="C257" s="23"/>
      <c r="D257" s="23"/>
      <c r="E257" s="23"/>
      <c r="F257" s="23"/>
      <c r="G257" s="494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23"/>
      <c r="B258" s="23"/>
      <c r="C258" s="23"/>
      <c r="D258" s="23"/>
      <c r="E258" s="23"/>
      <c r="F258" s="23"/>
      <c r="G258" s="494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23"/>
      <c r="B259" s="23"/>
      <c r="C259" s="23"/>
      <c r="D259" s="23"/>
      <c r="E259" s="23"/>
      <c r="F259" s="23"/>
      <c r="G259" s="494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23"/>
      <c r="B260" s="23"/>
      <c r="C260" s="23"/>
      <c r="D260" s="23"/>
      <c r="E260" s="23"/>
      <c r="F260" s="23"/>
      <c r="G260" s="494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23"/>
      <c r="B261" s="23"/>
      <c r="C261" s="23"/>
      <c r="D261" s="23"/>
      <c r="E261" s="23"/>
      <c r="F261" s="23"/>
      <c r="G261" s="494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23"/>
      <c r="B262" s="23"/>
      <c r="C262" s="23"/>
      <c r="D262" s="23"/>
      <c r="E262" s="23"/>
      <c r="F262" s="23"/>
      <c r="G262" s="494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23"/>
      <c r="B263" s="23"/>
      <c r="C263" s="23"/>
      <c r="D263" s="23"/>
      <c r="E263" s="23"/>
      <c r="F263" s="23"/>
      <c r="G263" s="494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23"/>
      <c r="B264" s="23"/>
      <c r="C264" s="23"/>
      <c r="D264" s="23"/>
      <c r="E264" s="23"/>
      <c r="F264" s="23"/>
      <c r="G264" s="494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23"/>
      <c r="B265" s="23"/>
      <c r="C265" s="23"/>
      <c r="D265" s="23"/>
      <c r="E265" s="23"/>
      <c r="F265" s="23"/>
      <c r="G265" s="494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23"/>
      <c r="B266" s="23"/>
      <c r="C266" s="23"/>
      <c r="D266" s="23"/>
      <c r="E266" s="23"/>
      <c r="F266" s="23"/>
      <c r="G266" s="494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23"/>
      <c r="B267" s="23"/>
      <c r="C267" s="23"/>
      <c r="D267" s="23"/>
      <c r="E267" s="23"/>
      <c r="F267" s="23"/>
      <c r="G267" s="494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23"/>
      <c r="B268" s="23"/>
      <c r="C268" s="23"/>
      <c r="D268" s="23"/>
      <c r="E268" s="23"/>
      <c r="F268" s="23"/>
      <c r="G268" s="49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23"/>
      <c r="B269" s="23"/>
      <c r="C269" s="23"/>
      <c r="D269" s="23"/>
      <c r="E269" s="23"/>
      <c r="F269" s="23"/>
      <c r="G269" s="494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23"/>
      <c r="B270" s="23"/>
      <c r="C270" s="23"/>
      <c r="D270" s="23"/>
      <c r="E270" s="23"/>
      <c r="F270" s="23"/>
      <c r="G270" s="494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23"/>
      <c r="B271" s="23"/>
      <c r="C271" s="23"/>
      <c r="D271" s="23"/>
      <c r="E271" s="23"/>
      <c r="F271" s="23"/>
      <c r="G271" s="494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23"/>
      <c r="B272" s="23"/>
      <c r="C272" s="23"/>
      <c r="D272" s="23"/>
      <c r="E272" s="23"/>
      <c r="F272" s="23"/>
      <c r="G272" s="494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23"/>
      <c r="B273" s="23"/>
      <c r="C273" s="23"/>
      <c r="D273" s="23"/>
      <c r="E273" s="23"/>
      <c r="F273" s="23"/>
      <c r="G273" s="494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23"/>
      <c r="B274" s="23"/>
      <c r="C274" s="23"/>
      <c r="D274" s="23"/>
      <c r="E274" s="23"/>
      <c r="F274" s="23"/>
      <c r="G274" s="494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23"/>
      <c r="B275" s="23"/>
      <c r="C275" s="23"/>
      <c r="D275" s="23"/>
      <c r="E275" s="23"/>
      <c r="F275" s="23"/>
      <c r="G275" s="494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23"/>
      <c r="B276" s="23"/>
      <c r="C276" s="23"/>
      <c r="D276" s="23"/>
      <c r="E276" s="23"/>
      <c r="F276" s="23"/>
      <c r="G276" s="494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23"/>
      <c r="B277" s="23"/>
      <c r="C277" s="23"/>
      <c r="D277" s="23"/>
      <c r="E277" s="23"/>
      <c r="F277" s="23"/>
      <c r="G277" s="494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23"/>
      <c r="B278" s="23"/>
      <c r="C278" s="23"/>
      <c r="D278" s="23"/>
      <c r="E278" s="23"/>
      <c r="F278" s="23"/>
      <c r="G278" s="494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23"/>
      <c r="B279" s="23"/>
      <c r="C279" s="23"/>
      <c r="D279" s="23"/>
      <c r="E279" s="23"/>
      <c r="F279" s="23"/>
      <c r="G279" s="494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23"/>
      <c r="B280" s="23"/>
      <c r="C280" s="23"/>
      <c r="D280" s="23"/>
      <c r="E280" s="23"/>
      <c r="F280" s="23"/>
      <c r="G280" s="49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23"/>
      <c r="B281" s="23"/>
      <c r="C281" s="23"/>
      <c r="D281" s="23"/>
      <c r="E281" s="23"/>
      <c r="F281" s="23"/>
      <c r="G281" s="494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23"/>
      <c r="B282" s="23"/>
      <c r="C282" s="23"/>
      <c r="D282" s="23"/>
      <c r="E282" s="23"/>
      <c r="F282" s="23"/>
      <c r="G282" s="494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23"/>
      <c r="B283" s="23"/>
      <c r="C283" s="23"/>
      <c r="D283" s="23"/>
      <c r="E283" s="23"/>
      <c r="F283" s="23"/>
      <c r="G283" s="494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23"/>
      <c r="B284" s="23"/>
      <c r="C284" s="23"/>
      <c r="D284" s="23"/>
      <c r="E284" s="23"/>
      <c r="F284" s="23"/>
      <c r="G284" s="494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23"/>
      <c r="B285" s="23"/>
      <c r="C285" s="23"/>
      <c r="D285" s="23"/>
      <c r="E285" s="23"/>
      <c r="F285" s="23"/>
      <c r="G285" s="494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23"/>
      <c r="B286" s="23"/>
      <c r="C286" s="23"/>
      <c r="D286" s="23"/>
      <c r="E286" s="23"/>
      <c r="F286" s="23"/>
      <c r="G286" s="494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23"/>
      <c r="B287" s="23"/>
      <c r="C287" s="23"/>
      <c r="D287" s="23"/>
      <c r="E287" s="23"/>
      <c r="F287" s="23"/>
      <c r="G287" s="494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23"/>
      <c r="B288" s="23"/>
      <c r="C288" s="23"/>
      <c r="D288" s="23"/>
      <c r="E288" s="23"/>
      <c r="F288" s="23"/>
      <c r="G288" s="494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23"/>
      <c r="B289" s="23"/>
      <c r="C289" s="23"/>
      <c r="D289" s="23"/>
      <c r="E289" s="23"/>
      <c r="F289" s="23"/>
      <c r="G289" s="494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23"/>
      <c r="B290" s="23"/>
      <c r="C290" s="23"/>
      <c r="D290" s="23"/>
      <c r="E290" s="23"/>
      <c r="F290" s="23"/>
      <c r="G290" s="494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23"/>
      <c r="B291" s="23"/>
      <c r="C291" s="23"/>
      <c r="D291" s="23"/>
      <c r="E291" s="23"/>
      <c r="F291" s="23"/>
      <c r="G291" s="494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23"/>
      <c r="B292" s="23"/>
      <c r="C292" s="23"/>
      <c r="D292" s="23"/>
      <c r="E292" s="23"/>
      <c r="F292" s="23"/>
      <c r="G292" s="49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23"/>
      <c r="B293" s="23"/>
      <c r="C293" s="23"/>
      <c r="D293" s="23"/>
      <c r="E293" s="23"/>
      <c r="F293" s="23"/>
      <c r="G293" s="494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23"/>
      <c r="B294" s="23"/>
      <c r="C294" s="23"/>
      <c r="D294" s="23"/>
      <c r="E294" s="23"/>
      <c r="F294" s="23"/>
      <c r="G294" s="494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23"/>
      <c r="B295" s="23"/>
      <c r="C295" s="23"/>
      <c r="D295" s="23"/>
      <c r="E295" s="23"/>
      <c r="F295" s="23"/>
      <c r="G295" s="494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23"/>
      <c r="B296" s="23"/>
      <c r="C296" s="23"/>
      <c r="D296" s="23"/>
      <c r="E296" s="23"/>
      <c r="F296" s="23"/>
      <c r="G296" s="494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23"/>
      <c r="B297" s="23"/>
      <c r="C297" s="23"/>
      <c r="D297" s="23"/>
      <c r="E297" s="23"/>
      <c r="F297" s="23"/>
      <c r="G297" s="494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23"/>
      <c r="B298" s="23"/>
      <c r="C298" s="23"/>
      <c r="D298" s="23"/>
      <c r="E298" s="23"/>
      <c r="F298" s="23"/>
      <c r="G298" s="494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23"/>
      <c r="B299" s="23"/>
      <c r="C299" s="23"/>
      <c r="D299" s="23"/>
      <c r="E299" s="23"/>
      <c r="F299" s="23"/>
      <c r="G299" s="494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23"/>
      <c r="B300" s="23"/>
      <c r="C300" s="23"/>
      <c r="D300" s="23"/>
      <c r="E300" s="23"/>
      <c r="F300" s="23"/>
      <c r="G300" s="494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23"/>
      <c r="B301" s="23"/>
      <c r="C301" s="23"/>
      <c r="D301" s="23"/>
      <c r="E301" s="23"/>
      <c r="F301" s="23"/>
      <c r="G301" s="494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23"/>
      <c r="B302" s="23"/>
      <c r="C302" s="23"/>
      <c r="D302" s="23"/>
      <c r="E302" s="23"/>
      <c r="F302" s="23"/>
      <c r="G302" s="494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23"/>
      <c r="B303" s="23"/>
      <c r="C303" s="23"/>
      <c r="D303" s="23"/>
      <c r="E303" s="23"/>
      <c r="F303" s="23"/>
      <c r="G303" s="494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23"/>
      <c r="B304" s="23"/>
      <c r="C304" s="23"/>
      <c r="D304" s="23"/>
      <c r="E304" s="23"/>
      <c r="F304" s="23"/>
      <c r="G304" s="49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23"/>
      <c r="B305" s="23"/>
      <c r="C305" s="23"/>
      <c r="D305" s="23"/>
      <c r="E305" s="23"/>
      <c r="F305" s="23"/>
      <c r="G305" s="494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23"/>
      <c r="B306" s="23"/>
      <c r="C306" s="23"/>
      <c r="D306" s="23"/>
      <c r="E306" s="23"/>
      <c r="F306" s="23"/>
      <c r="G306" s="494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23"/>
      <c r="B307" s="23"/>
      <c r="C307" s="23"/>
      <c r="D307" s="23"/>
      <c r="E307" s="23"/>
      <c r="F307" s="23"/>
      <c r="G307" s="494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23"/>
      <c r="B308" s="23"/>
      <c r="C308" s="23"/>
      <c r="D308" s="23"/>
      <c r="E308" s="23"/>
      <c r="F308" s="23"/>
      <c r="G308" s="494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23"/>
      <c r="B309" s="23"/>
      <c r="C309" s="23"/>
      <c r="D309" s="23"/>
      <c r="E309" s="23"/>
      <c r="F309" s="23"/>
      <c r="G309" s="494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23"/>
      <c r="B310" s="23"/>
      <c r="C310" s="23"/>
      <c r="D310" s="23"/>
      <c r="E310" s="23"/>
      <c r="F310" s="23"/>
      <c r="G310" s="494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23"/>
      <c r="B311" s="23"/>
      <c r="C311" s="23"/>
      <c r="D311" s="23"/>
      <c r="E311" s="23"/>
      <c r="F311" s="23"/>
      <c r="G311" s="494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23"/>
      <c r="B312" s="23"/>
      <c r="C312" s="23"/>
      <c r="D312" s="23"/>
      <c r="E312" s="23"/>
      <c r="F312" s="23"/>
      <c r="G312" s="494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23"/>
      <c r="B313" s="23"/>
      <c r="C313" s="23"/>
      <c r="D313" s="23"/>
      <c r="E313" s="23"/>
      <c r="F313" s="23"/>
      <c r="G313" s="494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23"/>
      <c r="B314" s="23"/>
      <c r="C314" s="23"/>
      <c r="D314" s="23"/>
      <c r="E314" s="23"/>
      <c r="F314" s="23"/>
      <c r="G314" s="494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23"/>
      <c r="B315" s="23"/>
      <c r="C315" s="23"/>
      <c r="D315" s="23"/>
      <c r="E315" s="23"/>
      <c r="F315" s="23"/>
      <c r="G315" s="494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23"/>
      <c r="B316" s="23"/>
      <c r="C316" s="23"/>
      <c r="D316" s="23"/>
      <c r="E316" s="23"/>
      <c r="F316" s="23"/>
      <c r="G316" s="49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23"/>
      <c r="B317" s="23"/>
      <c r="C317" s="23"/>
      <c r="D317" s="23"/>
      <c r="E317" s="23"/>
      <c r="F317" s="23"/>
      <c r="G317" s="494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23"/>
      <c r="B318" s="23"/>
      <c r="C318" s="23"/>
      <c r="D318" s="23"/>
      <c r="E318" s="23"/>
      <c r="F318" s="23"/>
      <c r="G318" s="494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23"/>
      <c r="B319" s="23"/>
      <c r="C319" s="23"/>
      <c r="D319" s="23"/>
      <c r="E319" s="23"/>
      <c r="F319" s="23"/>
      <c r="G319" s="494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23"/>
      <c r="B320" s="23"/>
      <c r="C320" s="23"/>
      <c r="D320" s="23"/>
      <c r="E320" s="23"/>
      <c r="F320" s="23"/>
      <c r="G320" s="494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23"/>
      <c r="B321" s="23"/>
      <c r="C321" s="23"/>
      <c r="D321" s="23"/>
      <c r="E321" s="23"/>
      <c r="F321" s="23"/>
      <c r="G321" s="494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23"/>
      <c r="B322" s="23"/>
      <c r="C322" s="23"/>
      <c r="D322" s="23"/>
      <c r="E322" s="23"/>
      <c r="F322" s="23"/>
      <c r="G322" s="494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23"/>
      <c r="B323" s="23"/>
      <c r="C323" s="23"/>
      <c r="D323" s="23"/>
      <c r="E323" s="23"/>
      <c r="F323" s="23"/>
      <c r="G323" s="494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23"/>
      <c r="B324" s="23"/>
      <c r="C324" s="23"/>
      <c r="D324" s="23"/>
      <c r="E324" s="23"/>
      <c r="F324" s="23"/>
      <c r="G324" s="494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23"/>
      <c r="B325" s="23"/>
      <c r="C325" s="23"/>
      <c r="D325" s="23"/>
      <c r="E325" s="23"/>
      <c r="F325" s="23"/>
      <c r="G325" s="494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23"/>
      <c r="B326" s="23"/>
      <c r="C326" s="23"/>
      <c r="D326" s="23"/>
      <c r="E326" s="23"/>
      <c r="F326" s="23"/>
      <c r="G326" s="494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23"/>
      <c r="B327" s="23"/>
      <c r="C327" s="23"/>
      <c r="D327" s="23"/>
      <c r="E327" s="23"/>
      <c r="F327" s="23"/>
      <c r="G327" s="494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23"/>
      <c r="B328" s="23"/>
      <c r="C328" s="23"/>
      <c r="D328" s="23"/>
      <c r="E328" s="23"/>
      <c r="F328" s="23"/>
      <c r="G328" s="49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494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3"/>
      <c r="D330" s="23"/>
      <c r="E330" s="23"/>
      <c r="F330" s="23"/>
      <c r="G330" s="494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494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494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494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3"/>
      <c r="D334" s="23"/>
      <c r="E334" s="23"/>
      <c r="F334" s="23"/>
      <c r="G334" s="494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494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494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494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494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3"/>
      <c r="D339" s="23"/>
      <c r="E339" s="23"/>
      <c r="F339" s="23"/>
      <c r="G339" s="494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49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494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3"/>
      <c r="D342" s="23"/>
      <c r="E342" s="23"/>
      <c r="F342" s="23"/>
      <c r="G342" s="494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494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494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494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494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494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494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494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494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494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49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494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494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494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494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494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494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494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494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494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494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494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49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494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494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494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494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494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494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494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494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494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494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494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494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494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494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494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494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494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494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494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494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494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494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494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494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494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494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494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494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494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494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494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494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494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494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494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494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494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494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494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494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494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494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494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494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494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494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494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494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494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494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494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494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494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494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494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494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494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494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494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494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494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494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494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494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494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494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494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494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494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494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494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494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494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494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494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494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494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494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494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494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494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494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494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494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494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494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494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494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494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494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494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494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494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494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494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494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494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494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494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494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494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494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494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494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494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494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494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494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494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494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494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494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494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494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494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494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494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494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494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494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494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494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494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494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494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494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494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494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494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494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494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494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494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494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494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494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494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494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494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494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494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494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494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494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494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494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494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494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494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494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494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494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494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494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494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494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494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494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494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494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494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494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494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494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75" customHeight="1">
      <c r="A529" s="23"/>
      <c r="B529" s="23"/>
      <c r="C529" s="23"/>
      <c r="D529" s="23"/>
      <c r="E529" s="23"/>
      <c r="F529" s="23"/>
      <c r="G529" s="494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75" customHeight="1">
      <c r="A530" s="23"/>
      <c r="B530" s="23"/>
      <c r="C530" s="23"/>
      <c r="D530" s="23"/>
      <c r="E530" s="23"/>
      <c r="F530" s="23"/>
      <c r="G530" s="494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75" customHeight="1">
      <c r="A531" s="23"/>
      <c r="B531" s="23"/>
      <c r="C531" s="23"/>
      <c r="D531" s="23"/>
      <c r="E531" s="23"/>
      <c r="F531" s="23"/>
      <c r="G531" s="494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75" customHeight="1">
      <c r="A532" s="23"/>
      <c r="B532" s="23"/>
      <c r="C532" s="23"/>
      <c r="D532" s="23"/>
      <c r="E532" s="23"/>
      <c r="F532" s="23"/>
      <c r="G532" s="494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75" customHeight="1">
      <c r="A533" s="23"/>
      <c r="B533" s="23"/>
      <c r="C533" s="23"/>
      <c r="D533" s="23"/>
      <c r="E533" s="23"/>
      <c r="F533" s="23"/>
      <c r="G533" s="494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75" customHeight="1">
      <c r="A534" s="23"/>
      <c r="B534" s="23"/>
      <c r="C534" s="23"/>
      <c r="D534" s="23"/>
      <c r="E534" s="23"/>
      <c r="F534" s="23"/>
      <c r="G534" s="494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75" customHeight="1">
      <c r="A535" s="23"/>
      <c r="B535" s="23"/>
      <c r="C535" s="23"/>
      <c r="D535" s="23"/>
      <c r="E535" s="23"/>
      <c r="F535" s="23"/>
      <c r="G535" s="494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75" customHeight="1">
      <c r="A536" s="23"/>
      <c r="B536" s="23"/>
      <c r="C536" s="23"/>
      <c r="D536" s="23"/>
      <c r="E536" s="23"/>
      <c r="F536" s="23"/>
      <c r="G536" s="494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75" customHeight="1">
      <c r="A537" s="23"/>
      <c r="B537" s="23"/>
      <c r="C537" s="23"/>
      <c r="D537" s="23"/>
      <c r="E537" s="23"/>
      <c r="F537" s="23"/>
      <c r="G537" s="494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75" customHeight="1">
      <c r="A538" s="23"/>
      <c r="B538" s="23"/>
      <c r="C538" s="23"/>
      <c r="D538" s="23"/>
      <c r="E538" s="23"/>
      <c r="F538" s="23"/>
      <c r="G538" s="494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75" customHeight="1">
      <c r="A539" s="23"/>
      <c r="B539" s="23"/>
      <c r="C539" s="23"/>
      <c r="D539" s="23"/>
      <c r="E539" s="23"/>
      <c r="F539" s="23"/>
      <c r="G539" s="494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75" customHeight="1">
      <c r="A540" s="23"/>
      <c r="B540" s="23"/>
      <c r="C540" s="23"/>
      <c r="D540" s="23"/>
      <c r="E540" s="23"/>
      <c r="F540" s="23"/>
      <c r="G540" s="494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75" customHeight="1">
      <c r="A541" s="23"/>
      <c r="B541" s="23"/>
      <c r="C541" s="23"/>
      <c r="D541" s="23"/>
      <c r="E541" s="23"/>
      <c r="F541" s="23"/>
      <c r="G541" s="494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75" customHeight="1">
      <c r="A542" s="23"/>
      <c r="B542" s="23"/>
      <c r="C542" s="23"/>
      <c r="D542" s="23"/>
      <c r="E542" s="23"/>
      <c r="F542" s="23"/>
      <c r="G542" s="494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75" customHeight="1">
      <c r="A543" s="23"/>
      <c r="B543" s="23"/>
      <c r="C543" s="23"/>
      <c r="D543" s="23"/>
      <c r="E543" s="23"/>
      <c r="F543" s="23"/>
      <c r="G543" s="494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75" customHeight="1">
      <c r="A544" s="23"/>
      <c r="B544" s="23"/>
      <c r="C544" s="23"/>
      <c r="D544" s="23"/>
      <c r="E544" s="23"/>
      <c r="F544" s="23"/>
      <c r="G544" s="494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75" customHeight="1">
      <c r="A545" s="23"/>
      <c r="B545" s="23"/>
      <c r="C545" s="23"/>
      <c r="D545" s="23"/>
      <c r="E545" s="23"/>
      <c r="F545" s="23"/>
      <c r="G545" s="494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75" customHeight="1">
      <c r="A546" s="23"/>
      <c r="B546" s="23"/>
      <c r="C546" s="23"/>
      <c r="D546" s="23"/>
      <c r="E546" s="23"/>
      <c r="F546" s="23"/>
      <c r="G546" s="494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75" customHeight="1">
      <c r="A547" s="23"/>
      <c r="B547" s="23"/>
      <c r="C547" s="23"/>
      <c r="D547" s="23"/>
      <c r="E547" s="23"/>
      <c r="F547" s="23"/>
      <c r="G547" s="494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75" customHeight="1">
      <c r="A548" s="23"/>
      <c r="B548" s="23"/>
      <c r="C548" s="23"/>
      <c r="D548" s="23"/>
      <c r="E548" s="23"/>
      <c r="F548" s="23"/>
      <c r="G548" s="494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75" customHeight="1">
      <c r="A549" s="23"/>
      <c r="B549" s="23"/>
      <c r="C549" s="23"/>
      <c r="D549" s="23"/>
      <c r="E549" s="23"/>
      <c r="F549" s="23"/>
      <c r="G549" s="494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75" customHeight="1">
      <c r="A550" s="23"/>
      <c r="B550" s="23"/>
      <c r="C550" s="23"/>
      <c r="D550" s="23"/>
      <c r="E550" s="23"/>
      <c r="F550" s="23"/>
      <c r="G550" s="494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75" customHeight="1">
      <c r="A551" s="23"/>
      <c r="B551" s="23"/>
      <c r="C551" s="23"/>
      <c r="D551" s="23"/>
      <c r="E551" s="23"/>
      <c r="F551" s="23"/>
      <c r="G551" s="494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75" customHeight="1">
      <c r="A552" s="23"/>
      <c r="B552" s="23"/>
      <c r="C552" s="23"/>
      <c r="D552" s="23"/>
      <c r="E552" s="23"/>
      <c r="F552" s="23"/>
      <c r="G552" s="494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75" customHeight="1">
      <c r="A553" s="23"/>
      <c r="B553" s="23"/>
      <c r="C553" s="23"/>
      <c r="D553" s="23"/>
      <c r="E553" s="23"/>
      <c r="F553" s="23"/>
      <c r="G553" s="494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75" customHeight="1">
      <c r="A554" s="23"/>
      <c r="B554" s="23"/>
      <c r="C554" s="23"/>
      <c r="D554" s="23"/>
      <c r="E554" s="23"/>
      <c r="F554" s="23"/>
      <c r="G554" s="494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75" customHeight="1">
      <c r="A555" s="23"/>
      <c r="B555" s="23"/>
      <c r="C555" s="23"/>
      <c r="D555" s="23"/>
      <c r="E555" s="23"/>
      <c r="F555" s="23"/>
      <c r="G555" s="494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75" customHeight="1">
      <c r="A556" s="23"/>
      <c r="B556" s="23"/>
      <c r="C556" s="23"/>
      <c r="D556" s="23"/>
      <c r="E556" s="23"/>
      <c r="F556" s="23"/>
      <c r="G556" s="494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75" customHeight="1">
      <c r="A557" s="23"/>
      <c r="B557" s="23"/>
      <c r="C557" s="23"/>
      <c r="D557" s="23"/>
      <c r="E557" s="23"/>
      <c r="F557" s="23"/>
      <c r="G557" s="494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75" customHeight="1">
      <c r="A558" s="23"/>
      <c r="B558" s="23"/>
      <c r="C558" s="23"/>
      <c r="D558" s="23"/>
      <c r="E558" s="23"/>
      <c r="F558" s="23"/>
      <c r="G558" s="494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75" customHeight="1">
      <c r="A559" s="23"/>
      <c r="B559" s="23"/>
      <c r="C559" s="23"/>
      <c r="D559" s="23"/>
      <c r="E559" s="23"/>
      <c r="F559" s="23"/>
      <c r="G559" s="494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75" customHeight="1">
      <c r="A560" s="23"/>
      <c r="B560" s="23"/>
      <c r="C560" s="23"/>
      <c r="D560" s="23"/>
      <c r="E560" s="23"/>
      <c r="F560" s="23"/>
      <c r="G560" s="494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75" customHeight="1">
      <c r="A561" s="23"/>
      <c r="B561" s="23"/>
      <c r="C561" s="23"/>
      <c r="D561" s="23"/>
      <c r="E561" s="23"/>
      <c r="F561" s="23"/>
      <c r="G561" s="494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75" customHeight="1">
      <c r="A562" s="23"/>
      <c r="B562" s="23"/>
      <c r="C562" s="23"/>
      <c r="D562" s="23"/>
      <c r="E562" s="23"/>
      <c r="F562" s="23"/>
      <c r="G562" s="494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75" customHeight="1">
      <c r="A563" s="23"/>
      <c r="B563" s="23"/>
      <c r="C563" s="23"/>
      <c r="D563" s="23"/>
      <c r="E563" s="23"/>
      <c r="F563" s="23"/>
      <c r="G563" s="494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75" customHeight="1">
      <c r="A564" s="23"/>
      <c r="B564" s="23"/>
      <c r="C564" s="23"/>
      <c r="D564" s="23"/>
      <c r="E564" s="23"/>
      <c r="F564" s="23"/>
      <c r="G564" s="494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75" customHeight="1">
      <c r="A565" s="23"/>
      <c r="B565" s="23"/>
      <c r="C565" s="23"/>
      <c r="D565" s="23"/>
      <c r="E565" s="23"/>
      <c r="F565" s="23"/>
      <c r="G565" s="494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75" customHeight="1">
      <c r="A566" s="23"/>
      <c r="B566" s="23"/>
      <c r="C566" s="23"/>
      <c r="D566" s="23"/>
      <c r="E566" s="23"/>
      <c r="F566" s="23"/>
      <c r="G566" s="494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75" customHeight="1">
      <c r="A567" s="23"/>
      <c r="B567" s="23"/>
      <c r="C567" s="23"/>
      <c r="D567" s="23"/>
      <c r="E567" s="23"/>
      <c r="F567" s="23"/>
      <c r="G567" s="494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75" customHeight="1">
      <c r="A568" s="23"/>
      <c r="B568" s="23"/>
      <c r="C568" s="23"/>
      <c r="D568" s="23"/>
      <c r="E568" s="23"/>
      <c r="F568" s="23"/>
      <c r="G568" s="494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75" customHeight="1">
      <c r="A569" s="23"/>
      <c r="B569" s="23"/>
      <c r="C569" s="23"/>
      <c r="D569" s="23"/>
      <c r="E569" s="23"/>
      <c r="F569" s="23"/>
      <c r="G569" s="494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75" customHeight="1">
      <c r="A570" s="23"/>
      <c r="B570" s="23"/>
      <c r="C570" s="23"/>
      <c r="D570" s="23"/>
      <c r="E570" s="23"/>
      <c r="F570" s="23"/>
      <c r="G570" s="494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75" customHeight="1">
      <c r="A571" s="23"/>
      <c r="B571" s="23"/>
      <c r="C571" s="23"/>
      <c r="D571" s="23"/>
      <c r="E571" s="23"/>
      <c r="F571" s="23"/>
      <c r="G571" s="494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75" customHeight="1">
      <c r="A572" s="23"/>
      <c r="B572" s="23"/>
      <c r="C572" s="23"/>
      <c r="D572" s="23"/>
      <c r="E572" s="23"/>
      <c r="F572" s="23"/>
      <c r="G572" s="494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75" customHeight="1">
      <c r="A573" s="23"/>
      <c r="B573" s="23"/>
      <c r="C573" s="23"/>
      <c r="D573" s="23"/>
      <c r="E573" s="23"/>
      <c r="F573" s="23"/>
      <c r="G573" s="494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75" customHeight="1">
      <c r="A574" s="23"/>
      <c r="B574" s="23"/>
      <c r="C574" s="23"/>
      <c r="D574" s="23"/>
      <c r="E574" s="23"/>
      <c r="F574" s="23"/>
      <c r="G574" s="494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75" customHeight="1">
      <c r="A575" s="23"/>
      <c r="B575" s="23"/>
      <c r="C575" s="23"/>
      <c r="D575" s="23"/>
      <c r="E575" s="23"/>
      <c r="F575" s="23"/>
      <c r="G575" s="494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75" customHeight="1">
      <c r="A576" s="23"/>
      <c r="B576" s="23"/>
      <c r="C576" s="23"/>
      <c r="D576" s="23"/>
      <c r="E576" s="23"/>
      <c r="F576" s="23"/>
      <c r="G576" s="494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75" customHeight="1">
      <c r="A577" s="23"/>
      <c r="B577" s="23"/>
      <c r="C577" s="23"/>
      <c r="D577" s="23"/>
      <c r="E577" s="23"/>
      <c r="F577" s="23"/>
      <c r="G577" s="494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75" customHeight="1">
      <c r="A578" s="23"/>
      <c r="B578" s="23"/>
      <c r="C578" s="23"/>
      <c r="D578" s="23"/>
      <c r="E578" s="23"/>
      <c r="F578" s="23"/>
      <c r="G578" s="494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75" customHeight="1">
      <c r="A579" s="23"/>
      <c r="B579" s="23"/>
      <c r="C579" s="23"/>
      <c r="D579" s="23"/>
      <c r="E579" s="23"/>
      <c r="F579" s="23"/>
      <c r="G579" s="494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75" customHeight="1">
      <c r="A580" s="23"/>
      <c r="B580" s="23"/>
      <c r="C580" s="23"/>
      <c r="D580" s="23"/>
      <c r="E580" s="23"/>
      <c r="F580" s="23"/>
      <c r="G580" s="494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75" customHeight="1">
      <c r="A581" s="23"/>
      <c r="B581" s="23"/>
      <c r="C581" s="23"/>
      <c r="D581" s="23"/>
      <c r="E581" s="23"/>
      <c r="F581" s="23"/>
      <c r="G581" s="494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75" customHeight="1">
      <c r="A582" s="23"/>
      <c r="B582" s="23"/>
      <c r="C582" s="23"/>
      <c r="D582" s="23"/>
      <c r="E582" s="23"/>
      <c r="F582" s="23"/>
      <c r="G582" s="494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75" customHeight="1">
      <c r="A583" s="23"/>
      <c r="B583" s="23"/>
      <c r="C583" s="23"/>
      <c r="D583" s="23"/>
      <c r="E583" s="23"/>
      <c r="F583" s="23"/>
      <c r="G583" s="494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75" customHeight="1">
      <c r="A584" s="23"/>
      <c r="B584" s="23"/>
      <c r="C584" s="23"/>
      <c r="D584" s="23"/>
      <c r="E584" s="23"/>
      <c r="F584" s="23"/>
      <c r="G584" s="494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75" customHeight="1">
      <c r="A585" s="23"/>
      <c r="B585" s="23"/>
      <c r="C585" s="23"/>
      <c r="D585" s="23"/>
      <c r="E585" s="23"/>
      <c r="F585" s="23"/>
      <c r="G585" s="494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75" customHeight="1">
      <c r="A586" s="23"/>
      <c r="B586" s="23"/>
      <c r="C586" s="23"/>
      <c r="D586" s="23"/>
      <c r="E586" s="23"/>
      <c r="F586" s="23"/>
      <c r="G586" s="494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75" customHeight="1">
      <c r="A587" s="23"/>
      <c r="B587" s="23"/>
      <c r="C587" s="23"/>
      <c r="D587" s="23"/>
      <c r="E587" s="23"/>
      <c r="F587" s="23"/>
      <c r="G587" s="494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75" customHeight="1">
      <c r="A588" s="23"/>
      <c r="B588" s="23"/>
      <c r="C588" s="23"/>
      <c r="D588" s="23"/>
      <c r="E588" s="23"/>
      <c r="F588" s="23"/>
      <c r="G588" s="494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75" customHeight="1">
      <c r="A589" s="23"/>
      <c r="B589" s="23"/>
      <c r="C589" s="23"/>
      <c r="D589" s="23"/>
      <c r="E589" s="23"/>
      <c r="F589" s="23"/>
      <c r="G589" s="494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75" customHeight="1">
      <c r="A590" s="23"/>
      <c r="B590" s="23"/>
      <c r="C590" s="23"/>
      <c r="D590" s="23"/>
      <c r="E590" s="23"/>
      <c r="F590" s="23"/>
      <c r="G590" s="494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75" customHeight="1">
      <c r="A591" s="23"/>
      <c r="B591" s="23"/>
      <c r="C591" s="23"/>
      <c r="D591" s="23"/>
      <c r="E591" s="23"/>
      <c r="F591" s="23"/>
      <c r="G591" s="494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75" customHeight="1">
      <c r="A592" s="23"/>
      <c r="B592" s="23"/>
      <c r="C592" s="23"/>
      <c r="D592" s="23"/>
      <c r="E592" s="23"/>
      <c r="F592" s="23"/>
      <c r="G592" s="494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75" customHeight="1">
      <c r="A593" s="23"/>
      <c r="B593" s="23"/>
      <c r="C593" s="23"/>
      <c r="D593" s="23"/>
      <c r="E593" s="23"/>
      <c r="F593" s="23"/>
      <c r="G593" s="494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75" customHeight="1">
      <c r="A594" s="23"/>
      <c r="B594" s="23"/>
      <c r="C594" s="23"/>
      <c r="D594" s="23"/>
      <c r="E594" s="23"/>
      <c r="F594" s="23"/>
      <c r="G594" s="494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75" customHeight="1">
      <c r="A595" s="23"/>
      <c r="B595" s="23"/>
      <c r="C595" s="23"/>
      <c r="D595" s="23"/>
      <c r="E595" s="23"/>
      <c r="F595" s="23"/>
      <c r="G595" s="494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75" customHeight="1">
      <c r="A596" s="23"/>
      <c r="B596" s="23"/>
      <c r="C596" s="23"/>
      <c r="D596" s="23"/>
      <c r="E596" s="23"/>
      <c r="F596" s="23"/>
      <c r="G596" s="494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75" customHeight="1">
      <c r="A597" s="23"/>
      <c r="B597" s="23"/>
      <c r="C597" s="23"/>
      <c r="D597" s="23"/>
      <c r="E597" s="23"/>
      <c r="F597" s="23"/>
      <c r="G597" s="494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75" customHeight="1">
      <c r="A598" s="23"/>
      <c r="B598" s="23"/>
      <c r="C598" s="23"/>
      <c r="D598" s="23"/>
      <c r="E598" s="23"/>
      <c r="F598" s="23"/>
      <c r="G598" s="494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75" customHeight="1">
      <c r="A599" s="23"/>
      <c r="B599" s="23"/>
      <c r="C599" s="23"/>
      <c r="D599" s="23"/>
      <c r="E599" s="23"/>
      <c r="F599" s="23"/>
      <c r="G599" s="494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75" customHeight="1">
      <c r="A600" s="23"/>
      <c r="B600" s="23"/>
      <c r="C600" s="23"/>
      <c r="D600" s="23"/>
      <c r="E600" s="23"/>
      <c r="F600" s="23"/>
      <c r="G600" s="494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75" customHeight="1">
      <c r="A601" s="23"/>
      <c r="B601" s="23"/>
      <c r="C601" s="23"/>
      <c r="D601" s="23"/>
      <c r="E601" s="23"/>
      <c r="F601" s="23"/>
      <c r="G601" s="494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75" customHeight="1">
      <c r="A602" s="23"/>
      <c r="B602" s="23"/>
      <c r="C602" s="23"/>
      <c r="D602" s="23"/>
      <c r="E602" s="23"/>
      <c r="F602" s="23"/>
      <c r="G602" s="494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75" customHeight="1">
      <c r="A603" s="23"/>
      <c r="B603" s="23"/>
      <c r="C603" s="23"/>
      <c r="D603" s="23"/>
      <c r="E603" s="23"/>
      <c r="F603" s="23"/>
      <c r="G603" s="494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75" customHeight="1">
      <c r="A604" s="23"/>
      <c r="B604" s="23"/>
      <c r="C604" s="23"/>
      <c r="D604" s="23"/>
      <c r="E604" s="23"/>
      <c r="F604" s="23"/>
      <c r="G604" s="494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75" customHeight="1">
      <c r="A605" s="23"/>
      <c r="B605" s="23"/>
      <c r="C605" s="23"/>
      <c r="D605" s="23"/>
      <c r="E605" s="23"/>
      <c r="F605" s="23"/>
      <c r="G605" s="494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75" customHeight="1">
      <c r="A606" s="23"/>
      <c r="B606" s="23"/>
      <c r="C606" s="23"/>
      <c r="D606" s="23"/>
      <c r="E606" s="23"/>
      <c r="F606" s="23"/>
      <c r="G606" s="494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75" customHeight="1">
      <c r="A607" s="23"/>
      <c r="B607" s="23"/>
      <c r="C607" s="23"/>
      <c r="D607" s="23"/>
      <c r="E607" s="23"/>
      <c r="F607" s="23"/>
      <c r="G607" s="494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75" customHeight="1">
      <c r="A608" s="23"/>
      <c r="B608" s="23"/>
      <c r="C608" s="23"/>
      <c r="D608" s="23"/>
      <c r="E608" s="23"/>
      <c r="F608" s="23"/>
      <c r="G608" s="494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75" customHeight="1">
      <c r="A609" s="23"/>
      <c r="B609" s="23"/>
      <c r="C609" s="23"/>
      <c r="D609" s="23"/>
      <c r="E609" s="23"/>
      <c r="F609" s="23"/>
      <c r="G609" s="494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75" customHeight="1">
      <c r="A610" s="23"/>
      <c r="B610" s="23"/>
      <c r="C610" s="23"/>
      <c r="D610" s="23"/>
      <c r="E610" s="23"/>
      <c r="F610" s="23"/>
      <c r="G610" s="494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75" customHeight="1">
      <c r="A611" s="23"/>
      <c r="B611" s="23"/>
      <c r="C611" s="23"/>
      <c r="D611" s="23"/>
      <c r="E611" s="23"/>
      <c r="F611" s="23"/>
      <c r="G611" s="494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75" customHeight="1">
      <c r="A612" s="23"/>
      <c r="B612" s="23"/>
      <c r="C612" s="23"/>
      <c r="D612" s="23"/>
      <c r="E612" s="23"/>
      <c r="F612" s="23"/>
      <c r="G612" s="494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75" customHeight="1">
      <c r="A613" s="23"/>
      <c r="B613" s="23"/>
      <c r="C613" s="23"/>
      <c r="D613" s="23"/>
      <c r="E613" s="23"/>
      <c r="F613" s="23"/>
      <c r="G613" s="494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75" customHeight="1">
      <c r="A614" s="23"/>
      <c r="B614" s="23"/>
      <c r="C614" s="23"/>
      <c r="D614" s="23"/>
      <c r="E614" s="23"/>
      <c r="F614" s="23"/>
      <c r="G614" s="494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75" customHeight="1">
      <c r="A615" s="23"/>
      <c r="B615" s="23"/>
      <c r="C615" s="23"/>
      <c r="D615" s="23"/>
      <c r="E615" s="23"/>
      <c r="F615" s="23"/>
      <c r="G615" s="494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75" customHeight="1">
      <c r="A616" s="23"/>
      <c r="B616" s="23"/>
      <c r="C616" s="23"/>
      <c r="D616" s="23"/>
      <c r="E616" s="23"/>
      <c r="F616" s="23"/>
      <c r="G616" s="494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75" customHeight="1">
      <c r="A617" s="23"/>
      <c r="B617" s="23"/>
      <c r="C617" s="23"/>
      <c r="D617" s="23"/>
      <c r="E617" s="23"/>
      <c r="F617" s="23"/>
      <c r="G617" s="494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75" customHeight="1">
      <c r="A618" s="23"/>
      <c r="B618" s="23"/>
      <c r="C618" s="23"/>
      <c r="D618" s="23"/>
      <c r="E618" s="23"/>
      <c r="F618" s="23"/>
      <c r="G618" s="494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75" customHeight="1">
      <c r="A619" s="23"/>
      <c r="B619" s="23"/>
      <c r="C619" s="23"/>
      <c r="D619" s="23"/>
      <c r="E619" s="23"/>
      <c r="F619" s="23"/>
      <c r="G619" s="494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75" customHeight="1">
      <c r="A620" s="23"/>
      <c r="B620" s="23"/>
      <c r="C620" s="23"/>
      <c r="D620" s="23"/>
      <c r="E620" s="23"/>
      <c r="F620" s="23"/>
      <c r="G620" s="494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75" customHeight="1">
      <c r="A621" s="23"/>
      <c r="B621" s="23"/>
      <c r="C621" s="23"/>
      <c r="D621" s="23"/>
      <c r="E621" s="23"/>
      <c r="F621" s="23"/>
      <c r="G621" s="494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75" customHeight="1">
      <c r="A622" s="23"/>
      <c r="B622" s="23"/>
      <c r="C622" s="23"/>
      <c r="D622" s="23"/>
      <c r="E622" s="23"/>
      <c r="F622" s="23"/>
      <c r="G622" s="494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75" customHeight="1">
      <c r="A623" s="23"/>
      <c r="B623" s="23"/>
      <c r="C623" s="23"/>
      <c r="D623" s="23"/>
      <c r="E623" s="23"/>
      <c r="F623" s="23"/>
      <c r="G623" s="494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75" customHeight="1">
      <c r="A624" s="23"/>
      <c r="B624" s="23"/>
      <c r="C624" s="23"/>
      <c r="D624" s="23"/>
      <c r="E624" s="23"/>
      <c r="F624" s="23"/>
      <c r="G624" s="494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75" customHeight="1">
      <c r="A625" s="23"/>
      <c r="B625" s="23"/>
      <c r="C625" s="23"/>
      <c r="D625" s="23"/>
      <c r="E625" s="23"/>
      <c r="F625" s="23"/>
      <c r="G625" s="494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75" customHeight="1">
      <c r="A626" s="23"/>
      <c r="B626" s="23"/>
      <c r="C626" s="23"/>
      <c r="D626" s="23"/>
      <c r="E626" s="23"/>
      <c r="F626" s="23"/>
      <c r="G626" s="494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75" customHeight="1">
      <c r="A627" s="23"/>
      <c r="B627" s="23"/>
      <c r="C627" s="23"/>
      <c r="D627" s="23"/>
      <c r="E627" s="23"/>
      <c r="F627" s="23"/>
      <c r="G627" s="494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75" customHeight="1">
      <c r="A628" s="23"/>
      <c r="B628" s="23"/>
      <c r="C628" s="23"/>
      <c r="D628" s="23"/>
      <c r="E628" s="23"/>
      <c r="F628" s="23"/>
      <c r="G628" s="494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75" customHeight="1">
      <c r="A629" s="23"/>
      <c r="B629" s="23"/>
      <c r="C629" s="23"/>
      <c r="D629" s="23"/>
      <c r="E629" s="23"/>
      <c r="F629" s="23"/>
      <c r="G629" s="494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75" customHeight="1">
      <c r="A630" s="23"/>
      <c r="B630" s="23"/>
      <c r="C630" s="23"/>
      <c r="D630" s="23"/>
      <c r="E630" s="23"/>
      <c r="F630" s="23"/>
      <c r="G630" s="494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75" customHeight="1">
      <c r="A631" s="23"/>
      <c r="B631" s="23"/>
      <c r="C631" s="23"/>
      <c r="D631" s="23"/>
      <c r="E631" s="23"/>
      <c r="F631" s="23"/>
      <c r="G631" s="494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75" customHeight="1">
      <c r="A632" s="23"/>
      <c r="B632" s="23"/>
      <c r="C632" s="23"/>
      <c r="D632" s="23"/>
      <c r="E632" s="23"/>
      <c r="F632" s="23"/>
      <c r="G632" s="494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75" customHeight="1">
      <c r="A633" s="23"/>
      <c r="B633" s="23"/>
      <c r="C633" s="23"/>
      <c r="D633" s="23"/>
      <c r="E633" s="23"/>
      <c r="F633" s="23"/>
      <c r="G633" s="494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75" customHeight="1">
      <c r="A634" s="23"/>
      <c r="B634" s="23"/>
      <c r="C634" s="23"/>
      <c r="D634" s="23"/>
      <c r="E634" s="23"/>
      <c r="F634" s="23"/>
      <c r="G634" s="494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75" customHeight="1">
      <c r="A635" s="23"/>
      <c r="B635" s="23"/>
      <c r="C635" s="23"/>
      <c r="D635" s="23"/>
      <c r="E635" s="23"/>
      <c r="F635" s="23"/>
      <c r="G635" s="494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75" customHeight="1">
      <c r="A636" s="23"/>
      <c r="B636" s="23"/>
      <c r="C636" s="23"/>
      <c r="D636" s="23"/>
      <c r="E636" s="23"/>
      <c r="F636" s="23"/>
      <c r="G636" s="494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75" customHeight="1">
      <c r="A637" s="23"/>
      <c r="B637" s="23"/>
      <c r="C637" s="23"/>
      <c r="D637" s="23"/>
      <c r="E637" s="23"/>
      <c r="F637" s="23"/>
      <c r="G637" s="494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75" customHeight="1">
      <c r="A638" s="23"/>
      <c r="B638" s="23"/>
      <c r="C638" s="23"/>
      <c r="D638" s="23"/>
      <c r="E638" s="23"/>
      <c r="F638" s="23"/>
      <c r="G638" s="494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75" customHeight="1">
      <c r="A639" s="23"/>
      <c r="B639" s="23"/>
      <c r="C639" s="23"/>
      <c r="D639" s="23"/>
      <c r="E639" s="23"/>
      <c r="F639" s="23"/>
      <c r="G639" s="494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75" customHeight="1">
      <c r="A640" s="23"/>
      <c r="B640" s="23"/>
      <c r="C640" s="23"/>
      <c r="D640" s="23"/>
      <c r="E640" s="23"/>
      <c r="F640" s="23"/>
      <c r="G640" s="494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75" customHeight="1">
      <c r="A641" s="23"/>
      <c r="B641" s="23"/>
      <c r="C641" s="23"/>
      <c r="D641" s="23"/>
      <c r="E641" s="23"/>
      <c r="F641" s="23"/>
      <c r="G641" s="494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75" customHeight="1">
      <c r="A642" s="23"/>
      <c r="B642" s="23"/>
      <c r="C642" s="23"/>
      <c r="D642" s="23"/>
      <c r="E642" s="23"/>
      <c r="F642" s="23"/>
      <c r="G642" s="494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75" customHeight="1">
      <c r="A643" s="23"/>
      <c r="B643" s="23"/>
      <c r="C643" s="23"/>
      <c r="D643" s="23"/>
      <c r="E643" s="23"/>
      <c r="F643" s="23"/>
      <c r="G643" s="494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75" customHeight="1">
      <c r="A644" s="23"/>
      <c r="B644" s="23"/>
      <c r="C644" s="23"/>
      <c r="D644" s="23"/>
      <c r="E644" s="23"/>
      <c r="F644" s="23"/>
      <c r="G644" s="494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75" customHeight="1">
      <c r="A645" s="23"/>
      <c r="B645" s="23"/>
      <c r="C645" s="23"/>
      <c r="D645" s="23"/>
      <c r="E645" s="23"/>
      <c r="F645" s="23"/>
      <c r="G645" s="494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75" customHeight="1">
      <c r="A646" s="23"/>
      <c r="B646" s="23"/>
      <c r="C646" s="23"/>
      <c r="D646" s="23"/>
      <c r="E646" s="23"/>
      <c r="F646" s="23"/>
      <c r="G646" s="494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>
      <c r="A647" s="23"/>
      <c r="B647" s="23"/>
      <c r="C647" s="23"/>
      <c r="D647" s="23"/>
      <c r="E647" s="23"/>
      <c r="F647" s="23"/>
      <c r="G647" s="494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75" customHeight="1">
      <c r="A648" s="23"/>
      <c r="B648" s="23"/>
      <c r="C648" s="23"/>
      <c r="D648" s="23"/>
      <c r="E648" s="23"/>
      <c r="F648" s="23"/>
      <c r="G648" s="494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75" customHeight="1">
      <c r="A649" s="23"/>
      <c r="B649" s="23"/>
      <c r="C649" s="23"/>
      <c r="D649" s="23"/>
      <c r="E649" s="23"/>
      <c r="F649" s="23"/>
      <c r="G649" s="494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75" customHeight="1">
      <c r="A650" s="23"/>
      <c r="B650" s="23"/>
      <c r="C650" s="23"/>
      <c r="D650" s="23"/>
      <c r="E650" s="23"/>
      <c r="F650" s="23"/>
      <c r="G650" s="494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75" customHeight="1">
      <c r="A651" s="23"/>
      <c r="B651" s="23"/>
      <c r="C651" s="23"/>
      <c r="D651" s="23"/>
      <c r="E651" s="23"/>
      <c r="F651" s="23"/>
      <c r="G651" s="494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75" customHeight="1">
      <c r="A652" s="23"/>
      <c r="B652" s="23"/>
      <c r="C652" s="23"/>
      <c r="D652" s="23"/>
      <c r="E652" s="23"/>
      <c r="F652" s="23"/>
      <c r="G652" s="494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75" customHeight="1">
      <c r="A653" s="23"/>
      <c r="B653" s="23"/>
      <c r="C653" s="23"/>
      <c r="D653" s="23"/>
      <c r="E653" s="23"/>
      <c r="F653" s="23"/>
      <c r="G653" s="494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75" customHeight="1">
      <c r="A654" s="23"/>
      <c r="B654" s="23"/>
      <c r="C654" s="23"/>
      <c r="D654" s="23"/>
      <c r="E654" s="23"/>
      <c r="F654" s="23"/>
      <c r="G654" s="494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75" customHeight="1">
      <c r="A655" s="23"/>
      <c r="B655" s="23"/>
      <c r="C655" s="23"/>
      <c r="D655" s="23"/>
      <c r="E655" s="23"/>
      <c r="F655" s="23"/>
      <c r="G655" s="494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75" customHeight="1">
      <c r="A656" s="23"/>
      <c r="B656" s="23"/>
      <c r="C656" s="23"/>
      <c r="D656" s="23"/>
      <c r="E656" s="23"/>
      <c r="F656" s="23"/>
      <c r="G656" s="494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75" customHeight="1">
      <c r="A657" s="23"/>
      <c r="B657" s="23"/>
      <c r="C657" s="23"/>
      <c r="D657" s="23"/>
      <c r="E657" s="23"/>
      <c r="F657" s="23"/>
      <c r="G657" s="494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>
      <c r="A658" s="23"/>
      <c r="B658" s="23"/>
      <c r="C658" s="23"/>
      <c r="D658" s="23"/>
      <c r="E658" s="23"/>
      <c r="F658" s="23"/>
      <c r="G658" s="494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75" customHeight="1">
      <c r="A659" s="23"/>
      <c r="B659" s="23"/>
      <c r="C659" s="23"/>
      <c r="D659" s="23"/>
      <c r="E659" s="23"/>
      <c r="F659" s="23"/>
      <c r="G659" s="494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75" customHeight="1">
      <c r="A660" s="23"/>
      <c r="B660" s="23"/>
      <c r="C660" s="23"/>
      <c r="D660" s="23"/>
      <c r="E660" s="23"/>
      <c r="F660" s="23"/>
      <c r="G660" s="494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75" customHeight="1">
      <c r="A661" s="23"/>
      <c r="B661" s="23"/>
      <c r="C661" s="23"/>
      <c r="D661" s="23"/>
      <c r="E661" s="23"/>
      <c r="F661" s="23"/>
      <c r="G661" s="494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75" customHeight="1">
      <c r="A662" s="23"/>
      <c r="B662" s="23"/>
      <c r="C662" s="23"/>
      <c r="D662" s="23"/>
      <c r="E662" s="23"/>
      <c r="F662" s="23"/>
      <c r="G662" s="494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>
      <c r="A663" s="23"/>
      <c r="B663" s="23"/>
      <c r="C663" s="23"/>
      <c r="D663" s="23"/>
      <c r="E663" s="23"/>
      <c r="F663" s="23"/>
      <c r="G663" s="494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75" customHeight="1">
      <c r="A664" s="23"/>
      <c r="B664" s="23"/>
      <c r="C664" s="23"/>
      <c r="D664" s="23"/>
      <c r="E664" s="23"/>
      <c r="F664" s="23"/>
      <c r="G664" s="494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75" customHeight="1">
      <c r="A665" s="23"/>
      <c r="B665" s="23"/>
      <c r="C665" s="23"/>
      <c r="D665" s="23"/>
      <c r="E665" s="23"/>
      <c r="F665" s="23"/>
      <c r="G665" s="494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>
      <c r="A666" s="23"/>
      <c r="B666" s="23"/>
      <c r="C666" s="23"/>
      <c r="D666" s="23"/>
      <c r="E666" s="23"/>
      <c r="F666" s="23"/>
      <c r="G666" s="494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>
      <c r="A667" s="23"/>
      <c r="B667" s="23"/>
      <c r="C667" s="23"/>
      <c r="D667" s="23"/>
      <c r="E667" s="23"/>
      <c r="F667" s="23"/>
      <c r="G667" s="494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75" customHeight="1">
      <c r="A668" s="23"/>
      <c r="B668" s="23"/>
      <c r="C668" s="23"/>
      <c r="D668" s="23"/>
      <c r="E668" s="23"/>
      <c r="F668" s="23"/>
      <c r="G668" s="494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>
      <c r="A669" s="23"/>
      <c r="B669" s="23"/>
      <c r="C669" s="23"/>
      <c r="D669" s="23"/>
      <c r="E669" s="23"/>
      <c r="F669" s="23"/>
      <c r="G669" s="494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>
      <c r="A670" s="23"/>
      <c r="B670" s="23"/>
      <c r="C670" s="23"/>
      <c r="D670" s="23"/>
      <c r="E670" s="23"/>
      <c r="F670" s="23"/>
      <c r="G670" s="494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75" customHeight="1">
      <c r="A671" s="23"/>
      <c r="B671" s="23"/>
      <c r="C671" s="23"/>
      <c r="D671" s="23"/>
      <c r="E671" s="23"/>
      <c r="F671" s="23"/>
      <c r="G671" s="494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75" customHeight="1">
      <c r="A672" s="23"/>
      <c r="B672" s="23"/>
      <c r="C672" s="23"/>
      <c r="D672" s="23"/>
      <c r="E672" s="23"/>
      <c r="F672" s="23"/>
      <c r="G672" s="494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75" customHeight="1">
      <c r="A673" s="23"/>
      <c r="B673" s="23"/>
      <c r="C673" s="23"/>
      <c r="D673" s="23"/>
      <c r="E673" s="23"/>
      <c r="F673" s="23"/>
      <c r="G673" s="494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75" customHeight="1">
      <c r="A674" s="23"/>
      <c r="B674" s="23"/>
      <c r="C674" s="23"/>
      <c r="D674" s="23"/>
      <c r="E674" s="23"/>
      <c r="F674" s="23"/>
      <c r="G674" s="494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75" customHeight="1">
      <c r="A675" s="23"/>
      <c r="B675" s="23"/>
      <c r="C675" s="23"/>
      <c r="D675" s="23"/>
      <c r="E675" s="23"/>
      <c r="F675" s="23"/>
      <c r="G675" s="494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75" customHeight="1">
      <c r="A676" s="23"/>
      <c r="B676" s="23"/>
      <c r="C676" s="23"/>
      <c r="D676" s="23"/>
      <c r="E676" s="23"/>
      <c r="F676" s="23"/>
      <c r="G676" s="494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75" customHeight="1">
      <c r="A677" s="23"/>
      <c r="B677" s="23"/>
      <c r="C677" s="23"/>
      <c r="D677" s="23"/>
      <c r="E677" s="23"/>
      <c r="F677" s="23"/>
      <c r="G677" s="494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75" customHeight="1">
      <c r="A678" s="23"/>
      <c r="B678" s="23"/>
      <c r="C678" s="23"/>
      <c r="D678" s="23"/>
      <c r="E678" s="23"/>
      <c r="F678" s="23"/>
      <c r="G678" s="494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75" customHeight="1">
      <c r="A679" s="23"/>
      <c r="B679" s="23"/>
      <c r="C679" s="23"/>
      <c r="D679" s="23"/>
      <c r="E679" s="23"/>
      <c r="F679" s="23"/>
      <c r="G679" s="494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75" customHeight="1">
      <c r="A680" s="23"/>
      <c r="B680" s="23"/>
      <c r="C680" s="23"/>
      <c r="D680" s="23"/>
      <c r="E680" s="23"/>
      <c r="F680" s="23"/>
      <c r="G680" s="494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75" customHeight="1">
      <c r="A681" s="23"/>
      <c r="B681" s="23"/>
      <c r="C681" s="23"/>
      <c r="D681" s="23"/>
      <c r="E681" s="23"/>
      <c r="F681" s="23"/>
      <c r="G681" s="494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75" customHeight="1">
      <c r="A682" s="23"/>
      <c r="B682" s="23"/>
      <c r="C682" s="23"/>
      <c r="D682" s="23"/>
      <c r="E682" s="23"/>
      <c r="F682" s="23"/>
      <c r="G682" s="494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75" customHeight="1">
      <c r="A683" s="23"/>
      <c r="B683" s="23"/>
      <c r="C683" s="23"/>
      <c r="D683" s="23"/>
      <c r="E683" s="23"/>
      <c r="F683" s="23"/>
      <c r="G683" s="494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75" customHeight="1">
      <c r="A684" s="23"/>
      <c r="B684" s="23"/>
      <c r="C684" s="23"/>
      <c r="D684" s="23"/>
      <c r="E684" s="23"/>
      <c r="F684" s="23"/>
      <c r="G684" s="494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75" customHeight="1">
      <c r="A685" s="23"/>
      <c r="B685" s="23"/>
      <c r="C685" s="23"/>
      <c r="D685" s="23"/>
      <c r="E685" s="23"/>
      <c r="F685" s="23"/>
      <c r="G685" s="494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75" customHeight="1">
      <c r="A686" s="23"/>
      <c r="B686" s="23"/>
      <c r="C686" s="23"/>
      <c r="D686" s="23"/>
      <c r="E686" s="23"/>
      <c r="F686" s="23"/>
      <c r="G686" s="494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75" customHeight="1">
      <c r="A687" s="23"/>
      <c r="B687" s="23"/>
      <c r="C687" s="23"/>
      <c r="D687" s="23"/>
      <c r="E687" s="23"/>
      <c r="F687" s="23"/>
      <c r="G687" s="494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75" customHeight="1">
      <c r="A688" s="23"/>
      <c r="B688" s="23"/>
      <c r="C688" s="23"/>
      <c r="D688" s="23"/>
      <c r="E688" s="23"/>
      <c r="F688" s="23"/>
      <c r="G688" s="494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75" customHeight="1">
      <c r="A689" s="23"/>
      <c r="B689" s="23"/>
      <c r="C689" s="23"/>
      <c r="D689" s="23"/>
      <c r="E689" s="23"/>
      <c r="F689" s="23"/>
      <c r="G689" s="494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75" customHeight="1">
      <c r="A690" s="23"/>
      <c r="B690" s="23"/>
      <c r="C690" s="23"/>
      <c r="D690" s="23"/>
      <c r="E690" s="23"/>
      <c r="F690" s="23"/>
      <c r="G690" s="494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75" customHeight="1">
      <c r="A691" s="23"/>
      <c r="B691" s="23"/>
      <c r="C691" s="23"/>
      <c r="D691" s="23"/>
      <c r="E691" s="23"/>
      <c r="F691" s="23"/>
      <c r="G691" s="494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75" customHeight="1">
      <c r="A692" s="23"/>
      <c r="B692" s="23"/>
      <c r="C692" s="23"/>
      <c r="D692" s="23"/>
      <c r="E692" s="23"/>
      <c r="F692" s="23"/>
      <c r="G692" s="494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75" customHeight="1">
      <c r="A693" s="23"/>
      <c r="B693" s="23"/>
      <c r="C693" s="23"/>
      <c r="D693" s="23"/>
      <c r="E693" s="23"/>
      <c r="F693" s="23"/>
      <c r="G693" s="494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75" customHeight="1">
      <c r="A694" s="23"/>
      <c r="B694" s="23"/>
      <c r="C694" s="23"/>
      <c r="D694" s="23"/>
      <c r="E694" s="23"/>
      <c r="F694" s="23"/>
      <c r="G694" s="494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75" customHeight="1">
      <c r="A695" s="23"/>
      <c r="B695" s="23"/>
      <c r="C695" s="23"/>
      <c r="D695" s="23"/>
      <c r="E695" s="23"/>
      <c r="F695" s="23"/>
      <c r="G695" s="494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75" customHeight="1">
      <c r="A696" s="23"/>
      <c r="B696" s="23"/>
      <c r="C696" s="23"/>
      <c r="D696" s="23"/>
      <c r="E696" s="23"/>
      <c r="F696" s="23"/>
      <c r="G696" s="494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75" customHeight="1">
      <c r="A697" s="23"/>
      <c r="B697" s="23"/>
      <c r="C697" s="23"/>
      <c r="D697" s="23"/>
      <c r="E697" s="23"/>
      <c r="F697" s="23"/>
      <c r="G697" s="494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>
      <c r="A698" s="23"/>
      <c r="B698" s="23"/>
      <c r="C698" s="23"/>
      <c r="D698" s="23"/>
      <c r="E698" s="23"/>
      <c r="F698" s="23"/>
      <c r="G698" s="494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75" customHeight="1">
      <c r="A699" s="23"/>
      <c r="B699" s="23"/>
      <c r="C699" s="23"/>
      <c r="D699" s="23"/>
      <c r="E699" s="23"/>
      <c r="F699" s="23"/>
      <c r="G699" s="494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75" customHeight="1">
      <c r="A700" s="23"/>
      <c r="B700" s="23"/>
      <c r="C700" s="23"/>
      <c r="D700" s="23"/>
      <c r="E700" s="23"/>
      <c r="F700" s="23"/>
      <c r="G700" s="494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75" customHeight="1">
      <c r="A701" s="23"/>
      <c r="B701" s="23"/>
      <c r="C701" s="23"/>
      <c r="D701" s="23"/>
      <c r="E701" s="23"/>
      <c r="F701" s="23"/>
      <c r="G701" s="494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75" customHeight="1">
      <c r="A702" s="23"/>
      <c r="B702" s="23"/>
      <c r="C702" s="23"/>
      <c r="D702" s="23"/>
      <c r="E702" s="23"/>
      <c r="F702" s="23"/>
      <c r="G702" s="494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75" customHeight="1">
      <c r="A703" s="23"/>
      <c r="B703" s="23"/>
      <c r="C703" s="23"/>
      <c r="D703" s="23"/>
      <c r="E703" s="23"/>
      <c r="F703" s="23"/>
      <c r="G703" s="494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75" customHeight="1">
      <c r="A704" s="23"/>
      <c r="B704" s="23"/>
      <c r="C704" s="23"/>
      <c r="D704" s="23"/>
      <c r="E704" s="23"/>
      <c r="F704" s="23"/>
      <c r="G704" s="494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75" customHeight="1">
      <c r="A705" s="23"/>
      <c r="B705" s="23"/>
      <c r="C705" s="23"/>
      <c r="D705" s="23"/>
      <c r="E705" s="23"/>
      <c r="F705" s="23"/>
      <c r="G705" s="494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75" customHeight="1">
      <c r="A706" s="23"/>
      <c r="B706" s="23"/>
      <c r="C706" s="23"/>
      <c r="D706" s="23"/>
      <c r="E706" s="23"/>
      <c r="F706" s="23"/>
      <c r="G706" s="494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75" customHeight="1">
      <c r="A707" s="23"/>
      <c r="B707" s="23"/>
      <c r="C707" s="23"/>
      <c r="D707" s="23"/>
      <c r="E707" s="23"/>
      <c r="F707" s="23"/>
      <c r="G707" s="494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75" customHeight="1">
      <c r="A708" s="23"/>
      <c r="B708" s="23"/>
      <c r="C708" s="23"/>
      <c r="D708" s="23"/>
      <c r="E708" s="23"/>
      <c r="F708" s="23"/>
      <c r="G708" s="494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75" customHeight="1">
      <c r="A709" s="23"/>
      <c r="B709" s="23"/>
      <c r="C709" s="23"/>
      <c r="D709" s="23"/>
      <c r="E709" s="23"/>
      <c r="F709" s="23"/>
      <c r="G709" s="494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75" customHeight="1">
      <c r="A710" s="23"/>
      <c r="B710" s="23"/>
      <c r="C710" s="23"/>
      <c r="D710" s="23"/>
      <c r="E710" s="23"/>
      <c r="F710" s="23"/>
      <c r="G710" s="494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75" customHeight="1">
      <c r="A711" s="23"/>
      <c r="B711" s="23"/>
      <c r="C711" s="23"/>
      <c r="D711" s="23"/>
      <c r="E711" s="23"/>
      <c r="F711" s="23"/>
      <c r="G711" s="494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75" customHeight="1">
      <c r="A712" s="23"/>
      <c r="B712" s="23"/>
      <c r="C712" s="23"/>
      <c r="D712" s="23"/>
      <c r="E712" s="23"/>
      <c r="F712" s="23"/>
      <c r="G712" s="494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75" customHeight="1">
      <c r="A713" s="23"/>
      <c r="B713" s="23"/>
      <c r="C713" s="23"/>
      <c r="D713" s="23"/>
      <c r="E713" s="23"/>
      <c r="F713" s="23"/>
      <c r="G713" s="494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75" customHeight="1">
      <c r="A714" s="23"/>
      <c r="B714" s="23"/>
      <c r="C714" s="23"/>
      <c r="D714" s="23"/>
      <c r="E714" s="23"/>
      <c r="F714" s="23"/>
      <c r="G714" s="494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75" customHeight="1">
      <c r="A715" s="23"/>
      <c r="B715" s="23"/>
      <c r="C715" s="23"/>
      <c r="D715" s="23"/>
      <c r="E715" s="23"/>
      <c r="F715" s="23"/>
      <c r="G715" s="494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75" customHeight="1">
      <c r="A716" s="23"/>
      <c r="B716" s="23"/>
      <c r="C716" s="23"/>
      <c r="D716" s="23"/>
      <c r="E716" s="23"/>
      <c r="F716" s="23"/>
      <c r="G716" s="494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75" customHeight="1">
      <c r="A717" s="23"/>
      <c r="B717" s="23"/>
      <c r="C717" s="23"/>
      <c r="D717" s="23"/>
      <c r="E717" s="23"/>
      <c r="F717" s="23"/>
      <c r="G717" s="494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75" customHeight="1">
      <c r="A718" s="23"/>
      <c r="B718" s="23"/>
      <c r="C718" s="23"/>
      <c r="D718" s="23"/>
      <c r="E718" s="23"/>
      <c r="F718" s="23"/>
      <c r="G718" s="494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75" customHeight="1">
      <c r="A719" s="23"/>
      <c r="B719" s="23"/>
      <c r="C719" s="23"/>
      <c r="D719" s="23"/>
      <c r="E719" s="23"/>
      <c r="F719" s="23"/>
      <c r="G719" s="494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75" customHeight="1">
      <c r="A720" s="23"/>
      <c r="B720" s="23"/>
      <c r="C720" s="23"/>
      <c r="D720" s="23"/>
      <c r="E720" s="23"/>
      <c r="F720" s="23"/>
      <c r="G720" s="494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75" customHeight="1">
      <c r="A721" s="23"/>
      <c r="B721" s="23"/>
      <c r="C721" s="23"/>
      <c r="D721" s="23"/>
      <c r="E721" s="23"/>
      <c r="F721" s="23"/>
      <c r="G721" s="494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75" customHeight="1">
      <c r="A722" s="23"/>
      <c r="B722" s="23"/>
      <c r="C722" s="23"/>
      <c r="D722" s="23"/>
      <c r="E722" s="23"/>
      <c r="F722" s="23"/>
      <c r="G722" s="494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75" customHeight="1">
      <c r="A723" s="23"/>
      <c r="B723" s="23"/>
      <c r="C723" s="23"/>
      <c r="D723" s="23"/>
      <c r="E723" s="23"/>
      <c r="F723" s="23"/>
      <c r="G723" s="494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75" customHeight="1">
      <c r="A724" s="23"/>
      <c r="B724" s="23"/>
      <c r="C724" s="23"/>
      <c r="D724" s="23"/>
      <c r="E724" s="23"/>
      <c r="F724" s="23"/>
      <c r="G724" s="494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75" customHeight="1">
      <c r="A725" s="23"/>
      <c r="B725" s="23"/>
      <c r="C725" s="23"/>
      <c r="D725" s="23"/>
      <c r="E725" s="23"/>
      <c r="F725" s="23"/>
      <c r="G725" s="494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75" customHeight="1">
      <c r="A726" s="23"/>
      <c r="B726" s="23"/>
      <c r="C726" s="23"/>
      <c r="D726" s="23"/>
      <c r="E726" s="23"/>
      <c r="F726" s="23"/>
      <c r="G726" s="494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75" customHeight="1">
      <c r="A727" s="23"/>
      <c r="B727" s="23"/>
      <c r="C727" s="23"/>
      <c r="D727" s="23"/>
      <c r="E727" s="23"/>
      <c r="F727" s="23"/>
      <c r="G727" s="494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75" customHeight="1">
      <c r="A728" s="23"/>
      <c r="B728" s="23"/>
      <c r="C728" s="23"/>
      <c r="D728" s="23"/>
      <c r="E728" s="23"/>
      <c r="F728" s="23"/>
      <c r="G728" s="494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75" customHeight="1">
      <c r="A729" s="23"/>
      <c r="B729" s="23"/>
      <c r="C729" s="23"/>
      <c r="D729" s="23"/>
      <c r="E729" s="23"/>
      <c r="F729" s="23"/>
      <c r="G729" s="494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75" customHeight="1">
      <c r="A730" s="23"/>
      <c r="B730" s="23"/>
      <c r="C730" s="23"/>
      <c r="D730" s="23"/>
      <c r="E730" s="23"/>
      <c r="F730" s="23"/>
      <c r="G730" s="494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75" customHeight="1">
      <c r="A731" s="23"/>
      <c r="B731" s="23"/>
      <c r="C731" s="23"/>
      <c r="D731" s="23"/>
      <c r="E731" s="23"/>
      <c r="F731" s="23"/>
      <c r="G731" s="494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75" customHeight="1">
      <c r="A732" s="23"/>
      <c r="B732" s="23"/>
      <c r="C732" s="23"/>
      <c r="D732" s="23"/>
      <c r="E732" s="23"/>
      <c r="F732" s="23"/>
      <c r="G732" s="494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75" customHeight="1">
      <c r="A733" s="23"/>
      <c r="B733" s="23"/>
      <c r="C733" s="23"/>
      <c r="D733" s="23"/>
      <c r="E733" s="23"/>
      <c r="F733" s="23"/>
      <c r="G733" s="494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75" customHeight="1">
      <c r="A734" s="23"/>
      <c r="B734" s="23"/>
      <c r="C734" s="23"/>
      <c r="D734" s="23"/>
      <c r="E734" s="23"/>
      <c r="F734" s="23"/>
      <c r="G734" s="494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75" customHeight="1">
      <c r="A735" s="23"/>
      <c r="B735" s="23"/>
      <c r="C735" s="23"/>
      <c r="D735" s="23"/>
      <c r="E735" s="23"/>
      <c r="F735" s="23"/>
      <c r="G735" s="494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75" customHeight="1">
      <c r="A736" s="23"/>
      <c r="B736" s="23"/>
      <c r="C736" s="23"/>
      <c r="D736" s="23"/>
      <c r="E736" s="23"/>
      <c r="F736" s="23"/>
      <c r="G736" s="494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75" customHeight="1">
      <c r="A737" s="23"/>
      <c r="B737" s="23"/>
      <c r="C737" s="23"/>
      <c r="D737" s="23"/>
      <c r="E737" s="23"/>
      <c r="F737" s="23"/>
      <c r="G737" s="494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75" customHeight="1">
      <c r="A738" s="23"/>
      <c r="B738" s="23"/>
      <c r="C738" s="23"/>
      <c r="D738" s="23"/>
      <c r="E738" s="23"/>
      <c r="F738" s="23"/>
      <c r="G738" s="494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75" customHeight="1">
      <c r="A739" s="23"/>
      <c r="B739" s="23"/>
      <c r="C739" s="23"/>
      <c r="D739" s="23"/>
      <c r="E739" s="23"/>
      <c r="F739" s="23"/>
      <c r="G739" s="494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75" customHeight="1">
      <c r="A740" s="23"/>
      <c r="B740" s="23"/>
      <c r="C740" s="23"/>
      <c r="D740" s="23"/>
      <c r="E740" s="23"/>
      <c r="F740" s="23"/>
      <c r="G740" s="494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75" customHeight="1">
      <c r="A741" s="23"/>
      <c r="B741" s="23"/>
      <c r="C741" s="23"/>
      <c r="D741" s="23"/>
      <c r="E741" s="23"/>
      <c r="F741" s="23"/>
      <c r="G741" s="494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75" customHeight="1">
      <c r="A742" s="23"/>
      <c r="B742" s="23"/>
      <c r="C742" s="23"/>
      <c r="D742" s="23"/>
      <c r="E742" s="23"/>
      <c r="F742" s="23"/>
      <c r="G742" s="494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75" customHeight="1">
      <c r="A743" s="23"/>
      <c r="B743" s="23"/>
      <c r="C743" s="23"/>
      <c r="D743" s="23"/>
      <c r="E743" s="23"/>
      <c r="F743" s="23"/>
      <c r="G743" s="494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75" customHeight="1">
      <c r="A744" s="23"/>
      <c r="B744" s="23"/>
      <c r="C744" s="23"/>
      <c r="D744" s="23"/>
      <c r="E744" s="23"/>
      <c r="F744" s="23"/>
      <c r="G744" s="494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75" customHeight="1">
      <c r="A745" s="23"/>
      <c r="B745" s="23"/>
      <c r="C745" s="23"/>
      <c r="D745" s="23"/>
      <c r="E745" s="23"/>
      <c r="F745" s="23"/>
      <c r="G745" s="494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75" customHeight="1">
      <c r="A746" s="23"/>
      <c r="B746" s="23"/>
      <c r="C746" s="23"/>
      <c r="D746" s="23"/>
      <c r="E746" s="23"/>
      <c r="F746" s="23"/>
      <c r="G746" s="494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75" customHeight="1">
      <c r="A747" s="23"/>
      <c r="B747" s="23"/>
      <c r="C747" s="23"/>
      <c r="D747" s="23"/>
      <c r="E747" s="23"/>
      <c r="F747" s="23"/>
      <c r="G747" s="494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75" customHeight="1">
      <c r="A748" s="23"/>
      <c r="B748" s="23"/>
      <c r="C748" s="23"/>
      <c r="D748" s="23"/>
      <c r="E748" s="23"/>
      <c r="F748" s="23"/>
      <c r="G748" s="494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75" customHeight="1">
      <c r="A749" s="23"/>
      <c r="B749" s="23"/>
      <c r="C749" s="23"/>
      <c r="D749" s="23"/>
      <c r="E749" s="23"/>
      <c r="F749" s="23"/>
      <c r="G749" s="494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75" customHeight="1">
      <c r="A750" s="23"/>
      <c r="B750" s="23"/>
      <c r="C750" s="23"/>
      <c r="D750" s="23"/>
      <c r="E750" s="23"/>
      <c r="F750" s="23"/>
      <c r="G750" s="494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75" customHeight="1">
      <c r="A751" s="23"/>
      <c r="B751" s="23"/>
      <c r="C751" s="23"/>
      <c r="D751" s="23"/>
      <c r="E751" s="23"/>
      <c r="F751" s="23"/>
      <c r="G751" s="494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75" customHeight="1">
      <c r="A752" s="23"/>
      <c r="B752" s="23"/>
      <c r="C752" s="23"/>
      <c r="D752" s="23"/>
      <c r="E752" s="23"/>
      <c r="F752" s="23"/>
      <c r="G752" s="494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75" customHeight="1">
      <c r="A753" s="23"/>
      <c r="B753" s="23"/>
      <c r="C753" s="23"/>
      <c r="D753" s="23"/>
      <c r="E753" s="23"/>
      <c r="F753" s="23"/>
      <c r="G753" s="494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75" customHeight="1">
      <c r="A754" s="23"/>
      <c r="B754" s="23"/>
      <c r="C754" s="23"/>
      <c r="D754" s="23"/>
      <c r="E754" s="23"/>
      <c r="F754" s="23"/>
      <c r="G754" s="494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75" customHeight="1">
      <c r="A755" s="23"/>
      <c r="B755" s="23"/>
      <c r="C755" s="23"/>
      <c r="D755" s="23"/>
      <c r="E755" s="23"/>
      <c r="F755" s="23"/>
      <c r="G755" s="494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75" customHeight="1">
      <c r="A756" s="23"/>
      <c r="B756" s="23"/>
      <c r="C756" s="23"/>
      <c r="D756" s="23"/>
      <c r="E756" s="23"/>
      <c r="F756" s="23"/>
      <c r="G756" s="494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75" customHeight="1">
      <c r="A757" s="23"/>
      <c r="B757" s="23"/>
      <c r="C757" s="23"/>
      <c r="D757" s="23"/>
      <c r="E757" s="23"/>
      <c r="F757" s="23"/>
      <c r="G757" s="494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75" customHeight="1">
      <c r="A758" s="23"/>
      <c r="B758" s="23"/>
      <c r="C758" s="23"/>
      <c r="D758" s="23"/>
      <c r="E758" s="23"/>
      <c r="F758" s="23"/>
      <c r="G758" s="494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75" customHeight="1">
      <c r="A759" s="23"/>
      <c r="B759" s="23"/>
      <c r="C759" s="23"/>
      <c r="D759" s="23"/>
      <c r="E759" s="23"/>
      <c r="F759" s="23"/>
      <c r="G759" s="494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75" customHeight="1">
      <c r="A760" s="23"/>
      <c r="B760" s="23"/>
      <c r="C760" s="23"/>
      <c r="D760" s="23"/>
      <c r="E760" s="23"/>
      <c r="F760" s="23"/>
      <c r="G760" s="494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75" customHeight="1">
      <c r="A761" s="23"/>
      <c r="B761" s="23"/>
      <c r="C761" s="23"/>
      <c r="D761" s="23"/>
      <c r="E761" s="23"/>
      <c r="F761" s="23"/>
      <c r="G761" s="494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75" customHeight="1">
      <c r="A762" s="23"/>
      <c r="B762" s="23"/>
      <c r="C762" s="23"/>
      <c r="D762" s="23"/>
      <c r="E762" s="23"/>
      <c r="F762" s="23"/>
      <c r="G762" s="494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75" customHeight="1">
      <c r="A763" s="23"/>
      <c r="B763" s="23"/>
      <c r="C763" s="23"/>
      <c r="D763" s="23"/>
      <c r="E763" s="23"/>
      <c r="F763" s="23"/>
      <c r="G763" s="494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75" customHeight="1">
      <c r="A764" s="23"/>
      <c r="B764" s="23"/>
      <c r="C764" s="23"/>
      <c r="D764" s="23"/>
      <c r="E764" s="23"/>
      <c r="F764" s="23"/>
      <c r="G764" s="494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75" customHeight="1">
      <c r="A765" s="23"/>
      <c r="B765" s="23"/>
      <c r="C765" s="23"/>
      <c r="D765" s="23"/>
      <c r="E765" s="23"/>
      <c r="F765" s="23"/>
      <c r="G765" s="494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75" customHeight="1">
      <c r="A766" s="23"/>
      <c r="B766" s="23"/>
      <c r="C766" s="23"/>
      <c r="D766" s="23"/>
      <c r="E766" s="23"/>
      <c r="F766" s="23"/>
      <c r="G766" s="494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75" customHeight="1">
      <c r="A767" s="23"/>
      <c r="B767" s="23"/>
      <c r="C767" s="23"/>
      <c r="D767" s="23"/>
      <c r="E767" s="23"/>
      <c r="F767" s="23"/>
      <c r="G767" s="494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75" customHeight="1">
      <c r="A768" s="23"/>
      <c r="B768" s="23"/>
      <c r="C768" s="23"/>
      <c r="D768" s="23"/>
      <c r="E768" s="23"/>
      <c r="F768" s="23"/>
      <c r="G768" s="494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75" customHeight="1">
      <c r="A769" s="23"/>
      <c r="B769" s="23"/>
      <c r="C769" s="23"/>
      <c r="D769" s="23"/>
      <c r="E769" s="23"/>
      <c r="F769" s="23"/>
      <c r="G769" s="494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75" customHeight="1">
      <c r="A770" s="23"/>
      <c r="B770" s="23"/>
      <c r="C770" s="23"/>
      <c r="D770" s="23"/>
      <c r="E770" s="23"/>
      <c r="F770" s="23"/>
      <c r="G770" s="494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75" customHeight="1">
      <c r="A771" s="23"/>
      <c r="B771" s="23"/>
      <c r="C771" s="23"/>
      <c r="D771" s="23"/>
      <c r="E771" s="23"/>
      <c r="F771" s="23"/>
      <c r="G771" s="494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75" customHeight="1">
      <c r="A772" s="23"/>
      <c r="B772" s="23"/>
      <c r="C772" s="23"/>
      <c r="D772" s="23"/>
      <c r="E772" s="23"/>
      <c r="F772" s="23"/>
      <c r="G772" s="494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75" customHeight="1">
      <c r="A773" s="23"/>
      <c r="B773" s="23"/>
      <c r="C773" s="23"/>
      <c r="D773" s="23"/>
      <c r="E773" s="23"/>
      <c r="F773" s="23"/>
      <c r="G773" s="494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75" customHeight="1">
      <c r="A774" s="23"/>
      <c r="B774" s="23"/>
      <c r="C774" s="23"/>
      <c r="D774" s="23"/>
      <c r="E774" s="23"/>
      <c r="F774" s="23"/>
      <c r="G774" s="494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75" customHeight="1">
      <c r="A775" s="23"/>
      <c r="B775" s="23"/>
      <c r="C775" s="23"/>
      <c r="D775" s="23"/>
      <c r="E775" s="23"/>
      <c r="F775" s="23"/>
      <c r="G775" s="494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75" customHeight="1">
      <c r="A776" s="23"/>
      <c r="B776" s="23"/>
      <c r="C776" s="23"/>
      <c r="D776" s="23"/>
      <c r="E776" s="23"/>
      <c r="F776" s="23"/>
      <c r="G776" s="494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75" customHeight="1">
      <c r="A777" s="23"/>
      <c r="B777" s="23"/>
      <c r="C777" s="23"/>
      <c r="D777" s="23"/>
      <c r="E777" s="23"/>
      <c r="F777" s="23"/>
      <c r="G777" s="494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75" customHeight="1">
      <c r="A778" s="23"/>
      <c r="B778" s="23"/>
      <c r="C778" s="23"/>
      <c r="D778" s="23"/>
      <c r="E778" s="23"/>
      <c r="F778" s="23"/>
      <c r="G778" s="494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75" customHeight="1">
      <c r="A779" s="23"/>
      <c r="B779" s="23"/>
      <c r="C779" s="23"/>
      <c r="D779" s="23"/>
      <c r="E779" s="23"/>
      <c r="F779" s="23"/>
      <c r="G779" s="494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75" customHeight="1">
      <c r="A780" s="23"/>
      <c r="B780" s="23"/>
      <c r="C780" s="23"/>
      <c r="D780" s="23"/>
      <c r="E780" s="23"/>
      <c r="F780" s="23"/>
      <c r="G780" s="494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75" customHeight="1">
      <c r="A781" s="23"/>
      <c r="B781" s="23"/>
      <c r="C781" s="23"/>
      <c r="D781" s="23"/>
      <c r="E781" s="23"/>
      <c r="F781" s="23"/>
      <c r="G781" s="494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75" customHeight="1">
      <c r="A782" s="23"/>
      <c r="B782" s="23"/>
      <c r="C782" s="23"/>
      <c r="D782" s="23"/>
      <c r="E782" s="23"/>
      <c r="F782" s="23"/>
      <c r="G782" s="494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75" customHeight="1">
      <c r="A783" s="23"/>
      <c r="B783" s="23"/>
      <c r="C783" s="23"/>
      <c r="D783" s="23"/>
      <c r="E783" s="23"/>
      <c r="F783" s="23"/>
      <c r="G783" s="494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75" customHeight="1">
      <c r="A784" s="23"/>
      <c r="B784" s="23"/>
      <c r="C784" s="23"/>
      <c r="D784" s="23"/>
      <c r="E784" s="23"/>
      <c r="F784" s="23"/>
      <c r="G784" s="494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75" customHeight="1">
      <c r="A785" s="23"/>
      <c r="B785" s="23"/>
      <c r="C785" s="23"/>
      <c r="D785" s="23"/>
      <c r="E785" s="23"/>
      <c r="F785" s="23"/>
      <c r="G785" s="494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75" customHeight="1">
      <c r="A786" s="23"/>
      <c r="B786" s="23"/>
      <c r="C786" s="23"/>
      <c r="D786" s="23"/>
      <c r="E786" s="23"/>
      <c r="F786" s="23"/>
      <c r="G786" s="494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75" customHeight="1">
      <c r="A787" s="23"/>
      <c r="B787" s="23"/>
      <c r="C787" s="23"/>
      <c r="D787" s="23"/>
      <c r="E787" s="23"/>
      <c r="F787" s="23"/>
      <c r="G787" s="494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75" customHeight="1">
      <c r="A788" s="23"/>
      <c r="B788" s="23"/>
      <c r="C788" s="23"/>
      <c r="D788" s="23"/>
      <c r="E788" s="23"/>
      <c r="F788" s="23"/>
      <c r="G788" s="494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75" customHeight="1">
      <c r="A789" s="23"/>
      <c r="B789" s="23"/>
      <c r="C789" s="23"/>
      <c r="D789" s="23"/>
      <c r="E789" s="23"/>
      <c r="F789" s="23"/>
      <c r="G789" s="494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75" customHeight="1">
      <c r="A790" s="23"/>
      <c r="B790" s="23"/>
      <c r="C790" s="23"/>
      <c r="D790" s="23"/>
      <c r="E790" s="23"/>
      <c r="F790" s="23"/>
      <c r="G790" s="494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75" customHeight="1">
      <c r="A791" s="23"/>
      <c r="B791" s="23"/>
      <c r="C791" s="23"/>
      <c r="D791" s="23"/>
      <c r="E791" s="23"/>
      <c r="F791" s="23"/>
      <c r="G791" s="494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75" customHeight="1">
      <c r="A792" s="23"/>
      <c r="B792" s="23"/>
      <c r="C792" s="23"/>
      <c r="D792" s="23"/>
      <c r="E792" s="23"/>
      <c r="F792" s="23"/>
      <c r="G792" s="494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75" customHeight="1">
      <c r="A793" s="23"/>
      <c r="B793" s="23"/>
      <c r="C793" s="23"/>
      <c r="D793" s="23"/>
      <c r="E793" s="23"/>
      <c r="F793" s="23"/>
      <c r="G793" s="494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75" customHeight="1">
      <c r="A794" s="23"/>
      <c r="B794" s="23"/>
      <c r="C794" s="23"/>
      <c r="D794" s="23"/>
      <c r="E794" s="23"/>
      <c r="F794" s="23"/>
      <c r="G794" s="494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75" customHeight="1">
      <c r="A795" s="23"/>
      <c r="B795" s="23"/>
      <c r="C795" s="23"/>
      <c r="D795" s="23"/>
      <c r="E795" s="23"/>
      <c r="F795" s="23"/>
      <c r="G795" s="494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75" customHeight="1">
      <c r="A796" s="23"/>
      <c r="B796" s="23"/>
      <c r="C796" s="23"/>
      <c r="D796" s="23"/>
      <c r="E796" s="23"/>
      <c r="F796" s="23"/>
      <c r="G796" s="494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75" customHeight="1">
      <c r="A797" s="23"/>
      <c r="B797" s="23"/>
      <c r="C797" s="23"/>
      <c r="D797" s="23"/>
      <c r="E797" s="23"/>
      <c r="F797" s="23"/>
      <c r="G797" s="494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75" customHeight="1">
      <c r="A798" s="23"/>
      <c r="B798" s="23"/>
      <c r="C798" s="23"/>
      <c r="D798" s="23"/>
      <c r="E798" s="23"/>
      <c r="F798" s="23"/>
      <c r="G798" s="494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75" customHeight="1">
      <c r="A799" s="23"/>
      <c r="B799" s="23"/>
      <c r="C799" s="23"/>
      <c r="D799" s="23"/>
      <c r="E799" s="23"/>
      <c r="F799" s="23"/>
      <c r="G799" s="494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75" customHeight="1">
      <c r="A800" s="23"/>
      <c r="B800" s="23"/>
      <c r="C800" s="23"/>
      <c r="D800" s="23"/>
      <c r="E800" s="23"/>
      <c r="F800" s="23"/>
      <c r="G800" s="494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75" customHeight="1">
      <c r="A801" s="23"/>
      <c r="B801" s="23"/>
      <c r="C801" s="23"/>
      <c r="D801" s="23"/>
      <c r="E801" s="23"/>
      <c r="F801" s="23"/>
      <c r="G801" s="494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75" customHeight="1">
      <c r="A802" s="23"/>
      <c r="B802" s="23"/>
      <c r="C802" s="23"/>
      <c r="D802" s="23"/>
      <c r="E802" s="23"/>
      <c r="F802" s="23"/>
      <c r="G802" s="494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75" customHeight="1">
      <c r="A803" s="23"/>
      <c r="B803" s="23"/>
      <c r="C803" s="23"/>
      <c r="D803" s="23"/>
      <c r="E803" s="23"/>
      <c r="F803" s="23"/>
      <c r="G803" s="494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75" customHeight="1">
      <c r="A804" s="23"/>
      <c r="B804" s="23"/>
      <c r="C804" s="23"/>
      <c r="D804" s="23"/>
      <c r="E804" s="23"/>
      <c r="F804" s="23"/>
      <c r="G804" s="494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75" customHeight="1">
      <c r="A805" s="23"/>
      <c r="B805" s="23"/>
      <c r="C805" s="23"/>
      <c r="D805" s="23"/>
      <c r="E805" s="23"/>
      <c r="F805" s="23"/>
      <c r="G805" s="494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75" customHeight="1">
      <c r="A806" s="23"/>
      <c r="B806" s="23"/>
      <c r="C806" s="23"/>
      <c r="D806" s="23"/>
      <c r="E806" s="23"/>
      <c r="F806" s="23"/>
      <c r="G806" s="494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75" customHeight="1">
      <c r="A807" s="23"/>
      <c r="B807" s="23"/>
      <c r="C807" s="23"/>
      <c r="D807" s="23"/>
      <c r="E807" s="23"/>
      <c r="F807" s="23"/>
      <c r="G807" s="494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75" customHeight="1">
      <c r="A808" s="23"/>
      <c r="B808" s="23"/>
      <c r="C808" s="23"/>
      <c r="D808" s="23"/>
      <c r="E808" s="23"/>
      <c r="F808" s="23"/>
      <c r="G808" s="494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75" customHeight="1">
      <c r="A809" s="23"/>
      <c r="B809" s="23"/>
      <c r="C809" s="23"/>
      <c r="D809" s="23"/>
      <c r="E809" s="23"/>
      <c r="F809" s="23"/>
      <c r="G809" s="494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75" customHeight="1">
      <c r="A810" s="23"/>
      <c r="B810" s="23"/>
      <c r="C810" s="23"/>
      <c r="D810" s="23"/>
      <c r="E810" s="23"/>
      <c r="F810" s="23"/>
      <c r="G810" s="494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75" customHeight="1">
      <c r="A811" s="23"/>
      <c r="B811" s="23"/>
      <c r="C811" s="23"/>
      <c r="D811" s="23"/>
      <c r="E811" s="23"/>
      <c r="F811" s="23"/>
      <c r="G811" s="494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75" customHeight="1">
      <c r="A812" s="23"/>
      <c r="B812" s="23"/>
      <c r="C812" s="23"/>
      <c r="D812" s="23"/>
      <c r="E812" s="23"/>
      <c r="F812" s="23"/>
      <c r="G812" s="494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75" customHeight="1">
      <c r="A813" s="23"/>
      <c r="B813" s="23"/>
      <c r="C813" s="23"/>
      <c r="D813" s="23"/>
      <c r="E813" s="23"/>
      <c r="F813" s="23"/>
      <c r="G813" s="494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75" customHeight="1">
      <c r="A814" s="23"/>
      <c r="B814" s="23"/>
      <c r="C814" s="23"/>
      <c r="D814" s="23"/>
      <c r="E814" s="23"/>
      <c r="F814" s="23"/>
      <c r="G814" s="494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75" customHeight="1">
      <c r="A815" s="23"/>
      <c r="B815" s="23"/>
      <c r="C815" s="23"/>
      <c r="D815" s="23"/>
      <c r="E815" s="23"/>
      <c r="F815" s="23"/>
      <c r="G815" s="494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75" customHeight="1">
      <c r="A816" s="23"/>
      <c r="B816" s="23"/>
      <c r="C816" s="23"/>
      <c r="D816" s="23"/>
      <c r="E816" s="23"/>
      <c r="F816" s="23"/>
      <c r="G816" s="494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75" customHeight="1">
      <c r="A817" s="23"/>
      <c r="B817" s="23"/>
      <c r="C817" s="23"/>
      <c r="D817" s="23"/>
      <c r="E817" s="23"/>
      <c r="F817" s="23"/>
      <c r="G817" s="494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75" customHeight="1">
      <c r="A818" s="23"/>
      <c r="B818" s="23"/>
      <c r="C818" s="23"/>
      <c r="D818" s="23"/>
      <c r="E818" s="23"/>
      <c r="F818" s="23"/>
      <c r="G818" s="494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75" customHeight="1">
      <c r="A819" s="23"/>
      <c r="B819" s="23"/>
      <c r="C819" s="23"/>
      <c r="D819" s="23"/>
      <c r="E819" s="23"/>
      <c r="F819" s="23"/>
      <c r="G819" s="494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75" customHeight="1">
      <c r="A820" s="23"/>
      <c r="B820" s="23"/>
      <c r="C820" s="23"/>
      <c r="D820" s="23"/>
      <c r="E820" s="23"/>
      <c r="F820" s="23"/>
      <c r="G820" s="494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75" customHeight="1">
      <c r="A821" s="23"/>
      <c r="B821" s="23"/>
      <c r="C821" s="23"/>
      <c r="D821" s="23"/>
      <c r="E821" s="23"/>
      <c r="F821" s="23"/>
      <c r="G821" s="494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75" customHeight="1">
      <c r="A822" s="23"/>
      <c r="B822" s="23"/>
      <c r="C822" s="23"/>
      <c r="D822" s="23"/>
      <c r="E822" s="23"/>
      <c r="F822" s="23"/>
      <c r="G822" s="494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>
      <c r="A823" s="23"/>
      <c r="B823" s="23"/>
      <c r="C823" s="23"/>
      <c r="D823" s="23"/>
      <c r="E823" s="23"/>
      <c r="F823" s="23"/>
      <c r="G823" s="494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75" customHeight="1">
      <c r="A824" s="23"/>
      <c r="B824" s="23"/>
      <c r="C824" s="23"/>
      <c r="D824" s="23"/>
      <c r="E824" s="23"/>
      <c r="F824" s="23"/>
      <c r="G824" s="494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75" customHeight="1">
      <c r="A825" s="23"/>
      <c r="B825" s="23"/>
      <c r="C825" s="23"/>
      <c r="D825" s="23"/>
      <c r="E825" s="23"/>
      <c r="F825" s="23"/>
      <c r="G825" s="494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75" customHeight="1">
      <c r="A826" s="23"/>
      <c r="B826" s="23"/>
      <c r="C826" s="23"/>
      <c r="D826" s="23"/>
      <c r="E826" s="23"/>
      <c r="F826" s="23"/>
      <c r="G826" s="494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75" customHeight="1">
      <c r="A827" s="23"/>
      <c r="B827" s="23"/>
      <c r="C827" s="23"/>
      <c r="D827" s="23"/>
      <c r="E827" s="23"/>
      <c r="F827" s="23"/>
      <c r="G827" s="494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75" customHeight="1">
      <c r="A828" s="23"/>
      <c r="B828" s="23"/>
      <c r="C828" s="23"/>
      <c r="D828" s="23"/>
      <c r="E828" s="23"/>
      <c r="F828" s="23"/>
      <c r="G828" s="494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75" customHeight="1">
      <c r="A829" s="23"/>
      <c r="B829" s="23"/>
      <c r="C829" s="23"/>
      <c r="D829" s="23"/>
      <c r="E829" s="23"/>
      <c r="F829" s="23"/>
      <c r="G829" s="494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75" customHeight="1">
      <c r="A830" s="23"/>
      <c r="B830" s="23"/>
      <c r="C830" s="23"/>
      <c r="D830" s="23"/>
      <c r="E830" s="23"/>
      <c r="F830" s="23"/>
      <c r="G830" s="494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75" customHeight="1">
      <c r="A831" s="23"/>
      <c r="B831" s="23"/>
      <c r="C831" s="23"/>
      <c r="D831" s="23"/>
      <c r="E831" s="23"/>
      <c r="F831" s="23"/>
      <c r="G831" s="494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75" customHeight="1">
      <c r="A832" s="23"/>
      <c r="B832" s="23"/>
      <c r="C832" s="23"/>
      <c r="D832" s="23"/>
      <c r="E832" s="23"/>
      <c r="F832" s="23"/>
      <c r="G832" s="494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75" customHeight="1">
      <c r="A833" s="23"/>
      <c r="B833" s="23"/>
      <c r="C833" s="23"/>
      <c r="D833" s="23"/>
      <c r="E833" s="23"/>
      <c r="F833" s="23"/>
      <c r="G833" s="494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75" customHeight="1">
      <c r="A834" s="23"/>
      <c r="B834" s="23"/>
      <c r="C834" s="23"/>
      <c r="D834" s="23"/>
      <c r="E834" s="23"/>
      <c r="F834" s="23"/>
      <c r="G834" s="494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75" customHeight="1">
      <c r="A835" s="23"/>
      <c r="B835" s="23"/>
      <c r="C835" s="23"/>
      <c r="D835" s="23"/>
      <c r="E835" s="23"/>
      <c r="F835" s="23"/>
      <c r="G835" s="494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75" customHeight="1">
      <c r="A836" s="23"/>
      <c r="B836" s="23"/>
      <c r="C836" s="23"/>
      <c r="D836" s="23"/>
      <c r="E836" s="23"/>
      <c r="F836" s="23"/>
      <c r="G836" s="494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75" customHeight="1">
      <c r="A837" s="23"/>
      <c r="B837" s="23"/>
      <c r="C837" s="23"/>
      <c r="D837" s="23"/>
      <c r="E837" s="23"/>
      <c r="F837" s="23"/>
      <c r="G837" s="494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75" customHeight="1">
      <c r="A838" s="23"/>
      <c r="B838" s="23"/>
      <c r="C838" s="23"/>
      <c r="D838" s="23"/>
      <c r="E838" s="23"/>
      <c r="F838" s="23"/>
      <c r="G838" s="494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75" customHeight="1">
      <c r="A839" s="23"/>
      <c r="B839" s="23"/>
      <c r="C839" s="23"/>
      <c r="D839" s="23"/>
      <c r="E839" s="23"/>
      <c r="F839" s="23"/>
      <c r="G839" s="494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75" customHeight="1">
      <c r="A840" s="23"/>
      <c r="B840" s="23"/>
      <c r="C840" s="23"/>
      <c r="D840" s="23"/>
      <c r="E840" s="23"/>
      <c r="F840" s="23"/>
      <c r="G840" s="494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75" customHeight="1">
      <c r="A841" s="23"/>
      <c r="B841" s="23"/>
      <c r="C841" s="23"/>
      <c r="D841" s="23"/>
      <c r="E841" s="23"/>
      <c r="F841" s="23"/>
      <c r="G841" s="494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75" customHeight="1">
      <c r="A842" s="23"/>
      <c r="B842" s="23"/>
      <c r="C842" s="23"/>
      <c r="D842" s="23"/>
      <c r="E842" s="23"/>
      <c r="F842" s="23"/>
      <c r="G842" s="494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75" customHeight="1">
      <c r="A843" s="23"/>
      <c r="B843" s="23"/>
      <c r="C843" s="23"/>
      <c r="D843" s="23"/>
      <c r="E843" s="23"/>
      <c r="F843" s="23"/>
      <c r="G843" s="494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75" customHeight="1">
      <c r="A844" s="23"/>
      <c r="B844" s="23"/>
      <c r="C844" s="23"/>
      <c r="D844" s="23"/>
      <c r="E844" s="23"/>
      <c r="F844" s="23"/>
      <c r="G844" s="494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75" customHeight="1">
      <c r="A845" s="23"/>
      <c r="B845" s="23"/>
      <c r="C845" s="23"/>
      <c r="D845" s="23"/>
      <c r="E845" s="23"/>
      <c r="F845" s="23"/>
      <c r="G845" s="494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75" customHeight="1">
      <c r="A846" s="23"/>
      <c r="B846" s="23"/>
      <c r="C846" s="23"/>
      <c r="D846" s="23"/>
      <c r="E846" s="23"/>
      <c r="F846" s="23"/>
      <c r="G846" s="494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75" customHeight="1">
      <c r="A847" s="23"/>
      <c r="B847" s="23"/>
      <c r="C847" s="23"/>
      <c r="D847" s="23"/>
      <c r="E847" s="23"/>
      <c r="F847" s="23"/>
      <c r="G847" s="494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75" customHeight="1">
      <c r="A848" s="23"/>
      <c r="B848" s="23"/>
      <c r="C848" s="23"/>
      <c r="D848" s="23"/>
      <c r="E848" s="23"/>
      <c r="F848" s="23"/>
      <c r="G848" s="494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75" customHeight="1">
      <c r="A849" s="23"/>
      <c r="B849" s="23"/>
      <c r="C849" s="23"/>
      <c r="D849" s="23"/>
      <c r="E849" s="23"/>
      <c r="F849" s="23"/>
      <c r="G849" s="494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75" customHeight="1">
      <c r="A850" s="23"/>
      <c r="B850" s="23"/>
      <c r="C850" s="23"/>
      <c r="D850" s="23"/>
      <c r="E850" s="23"/>
      <c r="F850" s="23"/>
      <c r="G850" s="494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75" customHeight="1">
      <c r="A851" s="23"/>
      <c r="B851" s="23"/>
      <c r="C851" s="23"/>
      <c r="D851" s="23"/>
      <c r="E851" s="23"/>
      <c r="F851" s="23"/>
      <c r="G851" s="494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75" customHeight="1">
      <c r="A852" s="23"/>
      <c r="B852" s="23"/>
      <c r="C852" s="23"/>
      <c r="D852" s="23"/>
      <c r="E852" s="23"/>
      <c r="F852" s="23"/>
      <c r="G852" s="494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75" customHeight="1">
      <c r="A853" s="23"/>
      <c r="B853" s="23"/>
      <c r="C853" s="23"/>
      <c r="D853" s="23"/>
      <c r="E853" s="23"/>
      <c r="F853" s="23"/>
      <c r="G853" s="494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75" customHeight="1">
      <c r="A854" s="23"/>
      <c r="B854" s="23"/>
      <c r="C854" s="23"/>
      <c r="D854" s="23"/>
      <c r="E854" s="23"/>
      <c r="F854" s="23"/>
      <c r="G854" s="494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75" customHeight="1">
      <c r="A855" s="23"/>
      <c r="B855" s="23"/>
      <c r="C855" s="23"/>
      <c r="D855" s="23"/>
      <c r="E855" s="23"/>
      <c r="F855" s="23"/>
      <c r="G855" s="494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75" customHeight="1">
      <c r="A856" s="23"/>
      <c r="B856" s="23"/>
      <c r="C856" s="23"/>
      <c r="D856" s="23"/>
      <c r="E856" s="23"/>
      <c r="F856" s="23"/>
      <c r="G856" s="494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75" customHeight="1">
      <c r="A857" s="23"/>
      <c r="B857" s="23"/>
      <c r="C857" s="23"/>
      <c r="D857" s="23"/>
      <c r="E857" s="23"/>
      <c r="F857" s="23"/>
      <c r="G857" s="494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75" customHeight="1">
      <c r="A858" s="23"/>
      <c r="B858" s="23"/>
      <c r="C858" s="23"/>
      <c r="D858" s="23"/>
      <c r="E858" s="23"/>
      <c r="F858" s="23"/>
      <c r="G858" s="494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75" customHeight="1">
      <c r="A859" s="23"/>
      <c r="B859" s="23"/>
      <c r="C859" s="23"/>
      <c r="D859" s="23"/>
      <c r="E859" s="23"/>
      <c r="F859" s="23"/>
      <c r="G859" s="494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75" customHeight="1">
      <c r="A860" s="23"/>
      <c r="B860" s="23"/>
      <c r="C860" s="23"/>
      <c r="D860" s="23"/>
      <c r="E860" s="23"/>
      <c r="F860" s="23"/>
      <c r="G860" s="494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75" customHeight="1">
      <c r="A861" s="23"/>
      <c r="B861" s="23"/>
      <c r="C861" s="23"/>
      <c r="D861" s="23"/>
      <c r="E861" s="23"/>
      <c r="F861" s="23"/>
      <c r="G861" s="494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75" customHeight="1">
      <c r="A862" s="23"/>
      <c r="B862" s="23"/>
      <c r="C862" s="23"/>
      <c r="D862" s="23"/>
      <c r="E862" s="23"/>
      <c r="F862" s="23"/>
      <c r="G862" s="494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75" customHeight="1">
      <c r="A863" s="23"/>
      <c r="B863" s="23"/>
      <c r="C863" s="23"/>
      <c r="D863" s="23"/>
      <c r="E863" s="23"/>
      <c r="F863" s="23"/>
      <c r="G863" s="494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75" customHeight="1">
      <c r="A864" s="23"/>
      <c r="B864" s="23"/>
      <c r="C864" s="23"/>
      <c r="D864" s="23"/>
      <c r="E864" s="23"/>
      <c r="F864" s="23"/>
      <c r="G864" s="494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75" customHeight="1">
      <c r="A865" s="23"/>
      <c r="B865" s="23"/>
      <c r="C865" s="23"/>
      <c r="D865" s="23"/>
      <c r="E865" s="23"/>
      <c r="F865" s="23"/>
      <c r="G865" s="494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75" customHeight="1">
      <c r="A866" s="23"/>
      <c r="B866" s="23"/>
      <c r="C866" s="23"/>
      <c r="D866" s="23"/>
      <c r="E866" s="23"/>
      <c r="F866" s="23"/>
      <c r="G866" s="494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75" customHeight="1">
      <c r="A867" s="23"/>
      <c r="B867" s="23"/>
      <c r="C867" s="23"/>
      <c r="D867" s="23"/>
      <c r="E867" s="23"/>
      <c r="F867" s="23"/>
      <c r="G867" s="494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75" customHeight="1">
      <c r="A868" s="23"/>
      <c r="B868" s="23"/>
      <c r="C868" s="23"/>
      <c r="D868" s="23"/>
      <c r="E868" s="23"/>
      <c r="F868" s="23"/>
      <c r="G868" s="494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75" customHeight="1">
      <c r="A869" s="23"/>
      <c r="B869" s="23"/>
      <c r="C869" s="23"/>
      <c r="D869" s="23"/>
      <c r="E869" s="23"/>
      <c r="F869" s="23"/>
      <c r="G869" s="494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75" customHeight="1">
      <c r="A870" s="23"/>
      <c r="B870" s="23"/>
      <c r="C870" s="23"/>
      <c r="D870" s="23"/>
      <c r="E870" s="23"/>
      <c r="F870" s="23"/>
      <c r="G870" s="494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75" customHeight="1">
      <c r="A871" s="23"/>
      <c r="B871" s="23"/>
      <c r="C871" s="23"/>
      <c r="D871" s="23"/>
      <c r="E871" s="23"/>
      <c r="F871" s="23"/>
      <c r="G871" s="494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75" customHeight="1">
      <c r="A872" s="23"/>
      <c r="B872" s="23"/>
      <c r="C872" s="23"/>
      <c r="D872" s="23"/>
      <c r="E872" s="23"/>
      <c r="F872" s="23"/>
      <c r="G872" s="494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75" customHeight="1">
      <c r="A873" s="23"/>
      <c r="B873" s="23"/>
      <c r="C873" s="23"/>
      <c r="D873" s="23"/>
      <c r="E873" s="23"/>
      <c r="F873" s="23"/>
      <c r="G873" s="494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75" customHeight="1">
      <c r="A874" s="23"/>
      <c r="B874" s="23"/>
      <c r="C874" s="23"/>
      <c r="D874" s="23"/>
      <c r="E874" s="23"/>
      <c r="F874" s="23"/>
      <c r="G874" s="494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75" customHeight="1">
      <c r="A875" s="23"/>
      <c r="B875" s="23"/>
      <c r="C875" s="23"/>
      <c r="D875" s="23"/>
      <c r="E875" s="23"/>
      <c r="F875" s="23"/>
      <c r="G875" s="494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75" customHeight="1">
      <c r="A876" s="23"/>
      <c r="B876" s="23"/>
      <c r="C876" s="23"/>
      <c r="D876" s="23"/>
      <c r="E876" s="23"/>
      <c r="F876" s="23"/>
      <c r="G876" s="494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75" customHeight="1">
      <c r="A877" s="23"/>
      <c r="B877" s="23"/>
      <c r="C877" s="23"/>
      <c r="D877" s="23"/>
      <c r="E877" s="23"/>
      <c r="F877" s="23"/>
      <c r="G877" s="494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75" customHeight="1">
      <c r="A878" s="23"/>
      <c r="B878" s="23"/>
      <c r="C878" s="23"/>
      <c r="D878" s="23"/>
      <c r="E878" s="23"/>
      <c r="F878" s="23"/>
      <c r="G878" s="494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75" customHeight="1">
      <c r="A879" s="23"/>
      <c r="B879" s="23"/>
      <c r="C879" s="23"/>
      <c r="D879" s="23"/>
      <c r="E879" s="23"/>
      <c r="F879" s="23"/>
      <c r="G879" s="494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75" customHeight="1">
      <c r="A880" s="23"/>
      <c r="B880" s="23"/>
      <c r="C880" s="23"/>
      <c r="D880" s="23"/>
      <c r="E880" s="23"/>
      <c r="F880" s="23"/>
      <c r="G880" s="494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75" customHeight="1">
      <c r="A881" s="23"/>
      <c r="B881" s="23"/>
      <c r="C881" s="23"/>
      <c r="D881" s="23"/>
      <c r="E881" s="23"/>
      <c r="F881" s="23"/>
      <c r="G881" s="494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75" customHeight="1">
      <c r="A882" s="23"/>
      <c r="B882" s="23"/>
      <c r="C882" s="23"/>
      <c r="D882" s="23"/>
      <c r="E882" s="23"/>
      <c r="F882" s="23"/>
      <c r="G882" s="494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75" customHeight="1">
      <c r="A883" s="23"/>
      <c r="B883" s="23"/>
      <c r="C883" s="23"/>
      <c r="D883" s="23"/>
      <c r="E883" s="23"/>
      <c r="F883" s="23"/>
      <c r="G883" s="494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75" customHeight="1">
      <c r="A884" s="23"/>
      <c r="B884" s="23"/>
      <c r="C884" s="23"/>
      <c r="D884" s="23"/>
      <c r="E884" s="23"/>
      <c r="F884" s="23"/>
      <c r="G884" s="494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75" customHeight="1">
      <c r="A885" s="23"/>
      <c r="B885" s="23"/>
      <c r="C885" s="23"/>
      <c r="D885" s="23"/>
      <c r="E885" s="23"/>
      <c r="F885" s="23"/>
      <c r="G885" s="494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75" customHeight="1">
      <c r="A886" s="23"/>
      <c r="B886" s="23"/>
      <c r="C886" s="23"/>
      <c r="D886" s="23"/>
      <c r="E886" s="23"/>
      <c r="F886" s="23"/>
      <c r="G886" s="494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75" customHeight="1">
      <c r="A887" s="23"/>
      <c r="B887" s="23"/>
      <c r="C887" s="23"/>
      <c r="D887" s="23"/>
      <c r="E887" s="23"/>
      <c r="F887" s="23"/>
      <c r="G887" s="494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75" customHeight="1">
      <c r="A888" s="23"/>
      <c r="B888" s="23"/>
      <c r="C888" s="23"/>
      <c r="D888" s="23"/>
      <c r="E888" s="23"/>
      <c r="F888" s="23"/>
      <c r="G888" s="494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75" customHeight="1">
      <c r="A889" s="23"/>
      <c r="B889" s="23"/>
      <c r="C889" s="23"/>
      <c r="D889" s="23"/>
      <c r="E889" s="23"/>
      <c r="F889" s="23"/>
      <c r="G889" s="494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75" customHeight="1">
      <c r="A890" s="23"/>
      <c r="B890" s="23"/>
      <c r="C890" s="23"/>
      <c r="D890" s="23"/>
      <c r="E890" s="23"/>
      <c r="F890" s="23"/>
      <c r="G890" s="494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75" customHeight="1">
      <c r="A891" s="23"/>
      <c r="B891" s="23"/>
      <c r="C891" s="23"/>
      <c r="D891" s="23"/>
      <c r="E891" s="23"/>
      <c r="F891" s="23"/>
      <c r="G891" s="494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75" customHeight="1">
      <c r="A892" s="23"/>
      <c r="B892" s="23"/>
      <c r="C892" s="23"/>
      <c r="D892" s="23"/>
      <c r="E892" s="23"/>
      <c r="F892" s="23"/>
      <c r="G892" s="494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75" customHeight="1">
      <c r="A893" s="23"/>
      <c r="B893" s="23"/>
      <c r="C893" s="23"/>
      <c r="D893" s="23"/>
      <c r="E893" s="23"/>
      <c r="F893" s="23"/>
      <c r="G893" s="494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75" customHeight="1">
      <c r="A894" s="23"/>
      <c r="B894" s="23"/>
      <c r="C894" s="23"/>
      <c r="D894" s="23"/>
      <c r="E894" s="23"/>
      <c r="F894" s="23"/>
      <c r="G894" s="494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75" customHeight="1">
      <c r="A895" s="23"/>
      <c r="B895" s="23"/>
      <c r="C895" s="23"/>
      <c r="D895" s="23"/>
      <c r="E895" s="23"/>
      <c r="F895" s="23"/>
      <c r="G895" s="494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75" customHeight="1">
      <c r="A896" s="23"/>
      <c r="B896" s="23"/>
      <c r="C896" s="23"/>
      <c r="D896" s="23"/>
      <c r="E896" s="23"/>
      <c r="F896" s="23"/>
      <c r="G896" s="494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75" customHeight="1">
      <c r="A897" s="23"/>
      <c r="B897" s="23"/>
      <c r="C897" s="23"/>
      <c r="D897" s="23"/>
      <c r="E897" s="23"/>
      <c r="F897" s="23"/>
      <c r="G897" s="494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75" customHeight="1">
      <c r="A898" s="23"/>
      <c r="B898" s="23"/>
      <c r="C898" s="23"/>
      <c r="D898" s="23"/>
      <c r="E898" s="23"/>
      <c r="F898" s="23"/>
      <c r="G898" s="494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75" customHeight="1">
      <c r="A899" s="23"/>
      <c r="B899" s="23"/>
      <c r="C899" s="23"/>
      <c r="D899" s="23"/>
      <c r="E899" s="23"/>
      <c r="F899" s="23"/>
      <c r="G899" s="494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75" customHeight="1">
      <c r="A900" s="23"/>
      <c r="B900" s="23"/>
      <c r="C900" s="23"/>
      <c r="D900" s="23"/>
      <c r="E900" s="23"/>
      <c r="F900" s="23"/>
      <c r="G900" s="494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75" customHeight="1">
      <c r="A901" s="23"/>
      <c r="B901" s="23"/>
      <c r="C901" s="23"/>
      <c r="D901" s="23"/>
      <c r="E901" s="23"/>
      <c r="F901" s="23"/>
      <c r="G901" s="494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75" customHeight="1">
      <c r="A902" s="23"/>
      <c r="B902" s="23"/>
      <c r="C902" s="23"/>
      <c r="D902" s="23"/>
      <c r="E902" s="23"/>
      <c r="F902" s="23"/>
      <c r="G902" s="494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75" customHeight="1">
      <c r="A903" s="23"/>
      <c r="B903" s="23"/>
      <c r="C903" s="23"/>
      <c r="D903" s="23"/>
      <c r="E903" s="23"/>
      <c r="F903" s="23"/>
      <c r="G903" s="494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75" customHeight="1">
      <c r="A904" s="23"/>
      <c r="B904" s="23"/>
      <c r="C904" s="23"/>
      <c r="D904" s="23"/>
      <c r="E904" s="23"/>
      <c r="F904" s="23"/>
      <c r="G904" s="494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75" customHeight="1">
      <c r="A905" s="23"/>
      <c r="B905" s="23"/>
      <c r="C905" s="23"/>
      <c r="D905" s="23"/>
      <c r="E905" s="23"/>
      <c r="F905" s="23"/>
      <c r="G905" s="494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75" customHeight="1">
      <c r="A906" s="23"/>
      <c r="B906" s="23"/>
      <c r="C906" s="23"/>
      <c r="D906" s="23"/>
      <c r="E906" s="23"/>
      <c r="F906" s="23"/>
      <c r="G906" s="494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75" customHeight="1">
      <c r="A907" s="23"/>
      <c r="B907" s="23"/>
      <c r="C907" s="23"/>
      <c r="D907" s="23"/>
      <c r="E907" s="23"/>
      <c r="F907" s="23"/>
      <c r="G907" s="494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75" customHeight="1">
      <c r="A908" s="23"/>
      <c r="B908" s="23"/>
      <c r="C908" s="23"/>
      <c r="D908" s="23"/>
      <c r="E908" s="23"/>
      <c r="F908" s="23"/>
      <c r="G908" s="494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75" customHeight="1">
      <c r="A909" s="23"/>
      <c r="B909" s="23"/>
      <c r="C909" s="23"/>
      <c r="D909" s="23"/>
      <c r="E909" s="23"/>
      <c r="F909" s="23"/>
      <c r="G909" s="494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75" customHeight="1">
      <c r="A910" s="23"/>
      <c r="B910" s="23"/>
      <c r="C910" s="23"/>
      <c r="D910" s="23"/>
      <c r="E910" s="23"/>
      <c r="F910" s="23"/>
      <c r="G910" s="494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75" customHeight="1">
      <c r="A911" s="23"/>
      <c r="B911" s="23"/>
      <c r="C911" s="23"/>
      <c r="D911" s="23"/>
      <c r="E911" s="23"/>
      <c r="F911" s="23"/>
      <c r="G911" s="494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75" customHeight="1">
      <c r="A912" s="23"/>
      <c r="B912" s="23"/>
      <c r="C912" s="23"/>
      <c r="D912" s="23"/>
      <c r="E912" s="23"/>
      <c r="F912" s="23"/>
      <c r="G912" s="494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75" customHeight="1">
      <c r="A913" s="23"/>
      <c r="B913" s="23"/>
      <c r="C913" s="23"/>
      <c r="D913" s="23"/>
      <c r="E913" s="23"/>
      <c r="F913" s="23"/>
      <c r="G913" s="494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75" customHeight="1">
      <c r="A914" s="23"/>
      <c r="B914" s="23"/>
      <c r="C914" s="23"/>
      <c r="D914" s="23"/>
      <c r="E914" s="23"/>
      <c r="F914" s="23"/>
      <c r="G914" s="494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75" customHeight="1">
      <c r="A915" s="23"/>
      <c r="B915" s="23"/>
      <c r="C915" s="23"/>
      <c r="D915" s="23"/>
      <c r="E915" s="23"/>
      <c r="F915" s="23"/>
      <c r="G915" s="494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75" customHeight="1">
      <c r="A916" s="23"/>
      <c r="B916" s="23"/>
      <c r="C916" s="23"/>
      <c r="D916" s="23"/>
      <c r="E916" s="23"/>
      <c r="F916" s="23"/>
      <c r="G916" s="494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75" customHeight="1">
      <c r="A917" s="23"/>
      <c r="B917" s="23"/>
      <c r="C917" s="23"/>
      <c r="D917" s="23"/>
      <c r="E917" s="23"/>
      <c r="F917" s="23"/>
      <c r="G917" s="494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75" customHeight="1">
      <c r="A918" s="23"/>
      <c r="B918" s="23"/>
      <c r="C918" s="23"/>
      <c r="D918" s="23"/>
      <c r="E918" s="23"/>
      <c r="F918" s="23"/>
      <c r="G918" s="494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75" customHeight="1">
      <c r="A919" s="23"/>
      <c r="B919" s="23"/>
      <c r="C919" s="23"/>
      <c r="D919" s="23"/>
      <c r="E919" s="23"/>
      <c r="F919" s="23"/>
      <c r="G919" s="494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</sheetData>
  <mergeCells count="1">
    <mergeCell ref="J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NOTES</vt:lpstr>
      <vt:lpstr>SUMMARY</vt:lpstr>
      <vt:lpstr>Item Breakdown</vt:lpstr>
      <vt:lpstr>Flooring &amp; Tile</vt:lpstr>
      <vt:lpstr>FDI</vt:lpstr>
      <vt:lpstr>Landscaping</vt:lpstr>
      <vt:lpstr>Opening</vt:lpstr>
      <vt:lpstr>Millwork &amp; Interior Trim</vt:lpstr>
      <vt:lpstr>Specialties</vt:lpstr>
      <vt:lpstr>Wood Framing</vt:lpstr>
      <vt:lpstr>Interior Painting &amp; Finishes</vt:lpstr>
      <vt:lpstr>HM Frame Door</vt:lpstr>
      <vt:lpstr>Exterior Siding</vt:lpstr>
      <vt:lpstr>Exterior Painting</vt:lpstr>
      <vt:lpstr>'Item Breakdown'!SubcontractorTable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grosswiler</dc:creator>
  <cp:lastModifiedBy>cody grosswiler</cp:lastModifiedBy>
  <cp:lastPrinted>2025-11-12T15:33:03Z</cp:lastPrinted>
  <dcterms:created xsi:type="dcterms:W3CDTF">2025-11-12T20:06:58Z</dcterms:created>
  <dcterms:modified xsi:type="dcterms:W3CDTF">2025-11-14T18:38:42Z</dcterms:modified>
</cp:coreProperties>
</file>